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BillMaster\"/>
    </mc:Choice>
  </mc:AlternateContent>
  <xr:revisionPtr revIDLastSave="0" documentId="13_ncr:1_{EFEF881F-83A9-4786-A0B9-163423381F86}" xr6:coauthVersionLast="47" xr6:coauthVersionMax="47" xr10:uidLastSave="{00000000-0000-0000-0000-000000000000}"/>
  <bookViews>
    <workbookView xWindow="-120" yWindow="-120" windowWidth="29040" windowHeight="15720" tabRatio="821" activeTab="3" xr2:uid="{C4B3EDE0-48C3-4502-8044-50C371E4E9F3}"/>
  </bookViews>
  <sheets>
    <sheet name="Dashboard" sheetId="1" r:id="rId1"/>
    <sheet name="Income" sheetId="16" r:id="rId2"/>
    <sheet name="Data" sheetId="19" r:id="rId3"/>
    <sheet name="Paydown Calc" sheetId="132" r:id="rId4"/>
    <sheet name="CredTemplate" sheetId="6" r:id="rId5"/>
    <sheet name="BillTemplate" sheetId="53" r:id="rId6"/>
    <sheet name="InvestTemplate" sheetId="54" r:id="rId7"/>
    <sheet name="CashTemplate" sheetId="130" r:id="rId8"/>
  </sheets>
  <externalReferences>
    <externalReference r:id="rId9"/>
  </externalReferences>
  <definedNames>
    <definedName name="_xlpm.calendar" hidden="1" xlm="1">#NAME?</definedName>
    <definedName name="_xlpm.currentPayDate" hidden="1" xlm="1">#NAME?</definedName>
    <definedName name="_xlpm.n" hidden="1" xlm="1">#NAME?</definedName>
    <definedName name="_xlpm.tday" hidden="1" xlm="1">#NAME?</definedName>
    <definedName name="Sheet_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32" l="1"/>
  <c r="L40" i="132"/>
  <c r="J40" i="132"/>
  <c r="L39" i="132"/>
  <c r="K40" i="132" s="1"/>
  <c r="J39" i="132"/>
  <c r="L38" i="132"/>
  <c r="K39" i="132" s="1"/>
  <c r="J38" i="132"/>
  <c r="L37" i="132"/>
  <c r="K38" i="132" s="1"/>
  <c r="K37" i="132"/>
  <c r="J37" i="132"/>
  <c r="L36" i="132"/>
  <c r="J36" i="132"/>
  <c r="L35" i="132"/>
  <c r="K36" i="132" s="1"/>
  <c r="K35" i="132"/>
  <c r="J35" i="132"/>
  <c r="L34" i="132"/>
  <c r="J34" i="132"/>
  <c r="L33" i="132"/>
  <c r="K34" i="132" s="1"/>
  <c r="J33" i="132"/>
  <c r="L32" i="132"/>
  <c r="K33" i="132" s="1"/>
  <c r="J32" i="132"/>
  <c r="J31" i="132"/>
  <c r="J30" i="132"/>
  <c r="J29" i="132"/>
  <c r="J28" i="132"/>
  <c r="J27" i="132"/>
  <c r="J26" i="132"/>
  <c r="J25" i="132"/>
  <c r="J24" i="132"/>
  <c r="J23" i="132"/>
  <c r="J22" i="132"/>
  <c r="J21" i="132"/>
  <c r="J20" i="132"/>
  <c r="J19" i="132"/>
  <c r="J18" i="132"/>
  <c r="J17" i="132"/>
  <c r="J16" i="132"/>
  <c r="J15" i="132"/>
  <c r="J14" i="132"/>
  <c r="J13" i="132"/>
  <c r="J12" i="132"/>
  <c r="J11" i="132"/>
  <c r="J10" i="132"/>
  <c r="J9" i="132"/>
  <c r="J8" i="132"/>
  <c r="J7" i="132"/>
  <c r="K6" i="132"/>
  <c r="E4" i="132"/>
  <c r="E3" i="132"/>
  <c r="E2" i="132"/>
  <c r="AV5" i="1"/>
  <c r="L153" i="19" a="1"/>
  <c r="L153" i="19" s="1"/>
  <c r="L154" i="19" a="1"/>
  <c r="L154" i="19" s="1"/>
  <c r="L155" i="19" a="1"/>
  <c r="L155" i="19" s="1"/>
  <c r="L156" i="19" a="1"/>
  <c r="L156" i="19" s="1"/>
  <c r="L157" i="19" a="1"/>
  <c r="L157" i="19" s="1"/>
  <c r="L158" i="19" a="1"/>
  <c r="L158" i="19" s="1"/>
  <c r="L159" i="19" a="1"/>
  <c r="L159" i="19" s="1"/>
  <c r="L160" i="19" a="1"/>
  <c r="L160" i="19" s="1"/>
  <c r="L161" i="19" a="1"/>
  <c r="L161" i="19" s="1"/>
  <c r="L162" i="19" a="1"/>
  <c r="L162" i="19" s="1"/>
  <c r="L163" i="19" a="1"/>
  <c r="L163" i="19" s="1"/>
  <c r="L164" i="19" a="1"/>
  <c r="L164" i="19" s="1"/>
  <c r="L165" i="19" a="1"/>
  <c r="L165" i="19" s="1"/>
  <c r="L166" i="19" a="1"/>
  <c r="L166" i="19" s="1"/>
  <c r="L167" i="19" a="1"/>
  <c r="L167" i="19" s="1"/>
  <c r="L168" i="19" a="1"/>
  <c r="L168" i="19" s="1"/>
  <c r="L169" i="19" a="1"/>
  <c r="L169" i="19" s="1"/>
  <c r="L170" i="19" a="1"/>
  <c r="L170" i="19" s="1"/>
  <c r="L171" i="19" a="1"/>
  <c r="L171" i="19" s="1"/>
  <c r="L172" i="19" a="1"/>
  <c r="L172" i="19" s="1"/>
  <c r="L173" i="19" a="1"/>
  <c r="L173" i="19" s="1"/>
  <c r="L174" i="19" a="1"/>
  <c r="L174" i="19" s="1"/>
  <c r="L175" i="19" a="1"/>
  <c r="L175" i="19" s="1"/>
  <c r="L176" i="19" a="1"/>
  <c r="L176" i="19" s="1"/>
  <c r="L177" i="19" a="1"/>
  <c r="L177" i="19" s="1"/>
  <c r="L178" i="19" a="1"/>
  <c r="L178" i="19" s="1"/>
  <c r="L179" i="19" a="1"/>
  <c r="L179" i="19" s="1"/>
  <c r="L180" i="19" a="1"/>
  <c r="L180" i="19" s="1"/>
  <c r="L181" i="19" a="1"/>
  <c r="L181" i="19" s="1"/>
  <c r="L182" i="19" a="1"/>
  <c r="L182" i="19" s="1"/>
  <c r="L183" i="19" a="1"/>
  <c r="L183" i="19" s="1"/>
  <c r="L184" i="19" a="1"/>
  <c r="L184" i="19" s="1"/>
  <c r="L185" i="19" a="1"/>
  <c r="L185" i="19" s="1"/>
  <c r="L186" i="19" a="1"/>
  <c r="L186" i="19" s="1"/>
  <c r="L187" i="19" a="1"/>
  <c r="L187" i="19" s="1"/>
  <c r="L188" i="19" a="1"/>
  <c r="L188" i="19" s="1"/>
  <c r="L189" i="19" a="1"/>
  <c r="L189" i="19" s="1"/>
  <c r="L190" i="19" a="1"/>
  <c r="L190" i="19" s="1"/>
  <c r="L191" i="19" a="1"/>
  <c r="L191" i="19" s="1"/>
  <c r="L192" i="19" a="1"/>
  <c r="L192" i="19" s="1"/>
  <c r="L193" i="19" a="1"/>
  <c r="L193" i="19" s="1"/>
  <c r="L194" i="19" a="1"/>
  <c r="L194" i="19" s="1"/>
  <c r="L195" i="19" a="1"/>
  <c r="L195" i="19" s="1"/>
  <c r="L196" i="19" a="1"/>
  <c r="L196" i="19" s="1"/>
  <c r="L197" i="19" a="1"/>
  <c r="L197" i="19" s="1"/>
  <c r="L198" i="19" a="1"/>
  <c r="L198" i="19" s="1"/>
  <c r="L199" i="19" a="1"/>
  <c r="L199" i="19" s="1"/>
  <c r="L200" i="19" a="1"/>
  <c r="L200" i="19" s="1"/>
  <c r="L201" i="19" a="1"/>
  <c r="L201" i="19" s="1"/>
  <c r="L202" i="19" a="1"/>
  <c r="L202" i="19" s="1"/>
  <c r="L203" i="19" a="1"/>
  <c r="L203" i="19" s="1"/>
  <c r="L204" i="19" a="1"/>
  <c r="L204" i="19" s="1"/>
  <c r="L205" i="19" a="1"/>
  <c r="L205" i="19" s="1"/>
  <c r="L206" i="19" a="1"/>
  <c r="L206" i="19" s="1"/>
  <c r="L207" i="19" a="1"/>
  <c r="L207" i="19" s="1"/>
  <c r="L208" i="19" a="1"/>
  <c r="L208" i="19" s="1"/>
  <c r="L209" i="19" a="1"/>
  <c r="L209" i="19" s="1"/>
  <c r="L210" i="19" a="1"/>
  <c r="L210" i="19" s="1"/>
  <c r="L211" i="19" a="1"/>
  <c r="L211" i="19" s="1"/>
  <c r="L212" i="19" a="1"/>
  <c r="L212" i="19" s="1"/>
  <c r="L213" i="19" a="1"/>
  <c r="L213" i="19" s="1"/>
  <c r="L214" i="19" a="1"/>
  <c r="L214" i="19" s="1"/>
  <c r="L215" i="19" a="1"/>
  <c r="L215" i="19" s="1"/>
  <c r="L216" i="19" a="1"/>
  <c r="L216" i="19" s="1"/>
  <c r="L217" i="19" a="1"/>
  <c r="L217" i="19" s="1"/>
  <c r="L218" i="19" a="1"/>
  <c r="L218" i="19" s="1"/>
  <c r="L219" i="19" a="1"/>
  <c r="L219" i="19" s="1"/>
  <c r="L220" i="19" a="1"/>
  <c r="L220" i="19" s="1"/>
  <c r="L221" i="19" a="1"/>
  <c r="L221" i="19" s="1"/>
  <c r="L222" i="19" a="1"/>
  <c r="L222" i="19" s="1"/>
  <c r="L223" i="19" a="1"/>
  <c r="L223" i="19" s="1"/>
  <c r="L224" i="19" a="1"/>
  <c r="L224" i="19" s="1"/>
  <c r="L225" i="19" a="1"/>
  <c r="L225" i="19" s="1"/>
  <c r="L226" i="19" a="1"/>
  <c r="L226" i="19" s="1"/>
  <c r="L227" i="19" a="1"/>
  <c r="L227" i="19" s="1"/>
  <c r="L228" i="19" a="1"/>
  <c r="L228" i="19" s="1"/>
  <c r="L229" i="19" a="1"/>
  <c r="L229" i="19" s="1"/>
  <c r="L230" i="19" a="1"/>
  <c r="L230" i="19" s="1"/>
  <c r="L231" i="19" a="1"/>
  <c r="L231" i="19" s="1"/>
  <c r="L232" i="19" a="1"/>
  <c r="L232" i="19" s="1"/>
  <c r="L233" i="19" a="1"/>
  <c r="L233" i="19" s="1"/>
  <c r="L234" i="19" a="1"/>
  <c r="L234" i="19" s="1"/>
  <c r="L235" i="19" a="1"/>
  <c r="L235" i="19" s="1"/>
  <c r="L236" i="19" a="1"/>
  <c r="L236" i="19" s="1"/>
  <c r="L237" i="19" a="1"/>
  <c r="L237" i="19" s="1"/>
  <c r="L238" i="19" a="1"/>
  <c r="L238" i="19" s="1"/>
  <c r="L239" i="19" a="1"/>
  <c r="L239" i="19" s="1"/>
  <c r="L240" i="19" a="1"/>
  <c r="L240" i="19" s="1"/>
  <c r="L241" i="19" a="1"/>
  <c r="L241" i="19" s="1"/>
  <c r="L242" i="19" a="1"/>
  <c r="L242" i="19" s="1"/>
  <c r="L243" i="19" a="1"/>
  <c r="L243" i="19" s="1"/>
  <c r="L244" i="19" a="1"/>
  <c r="L244" i="19" s="1"/>
  <c r="L245" i="19" a="1"/>
  <c r="L245" i="19" s="1"/>
  <c r="L246" i="19" a="1"/>
  <c r="L246" i="19" s="1"/>
  <c r="L247" i="19" a="1"/>
  <c r="L247" i="19" s="1"/>
  <c r="L248" i="19" a="1"/>
  <c r="L248" i="19" s="1"/>
  <c r="L249" i="19" a="1"/>
  <c r="L249" i="19" s="1"/>
  <c r="L250" i="19" a="1"/>
  <c r="L250" i="19" s="1"/>
  <c r="L251" i="19" a="1"/>
  <c r="L251" i="19" s="1"/>
  <c r="L252" i="19" a="1"/>
  <c r="L252" i="19" s="1"/>
  <c r="L253" i="19" a="1"/>
  <c r="L253" i="19" s="1"/>
  <c r="L254" i="19" a="1"/>
  <c r="L254" i="19" s="1"/>
  <c r="L255" i="19" a="1"/>
  <c r="L255" i="19" s="1"/>
  <c r="L256" i="19" a="1"/>
  <c r="L256" i="19" s="1"/>
  <c r="L257" i="19" a="1"/>
  <c r="L257" i="19" s="1"/>
  <c r="L258" i="19" a="1"/>
  <c r="L258" i="19" s="1"/>
  <c r="L259" i="19" a="1"/>
  <c r="L259" i="19" s="1"/>
  <c r="L260" i="19" a="1"/>
  <c r="L260" i="19" s="1"/>
  <c r="L261" i="19" a="1"/>
  <c r="L261" i="19" s="1"/>
  <c r="L262" i="19" a="1"/>
  <c r="L262" i="19" s="1"/>
  <c r="L263" i="19" a="1"/>
  <c r="L263" i="19" s="1"/>
  <c r="L264" i="19" a="1"/>
  <c r="L264" i="19" s="1"/>
  <c r="L265" i="19" a="1"/>
  <c r="L265" i="19" s="1"/>
  <c r="L266" i="19" a="1"/>
  <c r="L266" i="19" s="1"/>
  <c r="L267" i="19" a="1"/>
  <c r="L267" i="19" s="1"/>
  <c r="L268" i="19" a="1"/>
  <c r="L268" i="19" s="1"/>
  <c r="L269" i="19" a="1"/>
  <c r="L269" i="19" s="1"/>
  <c r="L270" i="19" a="1"/>
  <c r="L270" i="19" s="1"/>
  <c r="L271" i="19" a="1"/>
  <c r="L271" i="19" s="1"/>
  <c r="L272" i="19" a="1"/>
  <c r="L272" i="19" s="1"/>
  <c r="L273" i="19" a="1"/>
  <c r="L273" i="19" s="1"/>
  <c r="L274" i="19" a="1"/>
  <c r="L274" i="19" s="1"/>
  <c r="L275" i="19" a="1"/>
  <c r="L275" i="19" s="1"/>
  <c r="L276" i="19" a="1"/>
  <c r="L276" i="19" s="1"/>
  <c r="L277" i="19" a="1"/>
  <c r="L277" i="19" s="1"/>
  <c r="L278" i="19" a="1"/>
  <c r="L278" i="19" s="1"/>
  <c r="L279" i="19" a="1"/>
  <c r="L279" i="19" s="1"/>
  <c r="L280" i="19" a="1"/>
  <c r="L280" i="19" s="1"/>
  <c r="L281" i="19" a="1"/>
  <c r="L281" i="19" s="1"/>
  <c r="L282" i="19" a="1"/>
  <c r="L282" i="19" s="1"/>
  <c r="L283" i="19" a="1"/>
  <c r="L283" i="19" s="1"/>
  <c r="L284" i="19" a="1"/>
  <c r="L284" i="19" s="1"/>
  <c r="L285" i="19" a="1"/>
  <c r="L285" i="19" s="1"/>
  <c r="L286" i="19" a="1"/>
  <c r="L286" i="19" s="1"/>
  <c r="L287" i="19" a="1"/>
  <c r="L287" i="19" s="1"/>
  <c r="L288" i="19" a="1"/>
  <c r="L288" i="19" s="1"/>
  <c r="L289" i="19" a="1"/>
  <c r="L289" i="19" s="1"/>
  <c r="L290" i="19" a="1"/>
  <c r="L290" i="19" s="1"/>
  <c r="L291" i="19" a="1"/>
  <c r="L291" i="19" s="1"/>
  <c r="L292" i="19" a="1"/>
  <c r="L292" i="19" s="1"/>
  <c r="L293" i="19" a="1"/>
  <c r="L293" i="19" s="1"/>
  <c r="L294" i="19" a="1"/>
  <c r="L294" i="19" s="1"/>
  <c r="L295" i="19" a="1"/>
  <c r="L295" i="19" s="1"/>
  <c r="L296" i="19" a="1"/>
  <c r="L296" i="19" s="1"/>
  <c r="L297" i="19" a="1"/>
  <c r="L297" i="19" s="1"/>
  <c r="L298" i="19" a="1"/>
  <c r="L298" i="19" s="1"/>
  <c r="L299" i="19" a="1"/>
  <c r="L299" i="19" s="1"/>
  <c r="L300" i="19" a="1"/>
  <c r="L300" i="19" s="1"/>
  <c r="L301" i="19" a="1"/>
  <c r="L301" i="19" s="1"/>
  <c r="L302" i="19" a="1"/>
  <c r="L302" i="19" s="1"/>
  <c r="L303" i="19" a="1"/>
  <c r="L303" i="19" s="1"/>
  <c r="L304" i="19" a="1"/>
  <c r="L304" i="19" s="1"/>
  <c r="L305" i="19" a="1"/>
  <c r="L305" i="19" s="1"/>
  <c r="L306" i="19" a="1"/>
  <c r="L306" i="19" s="1"/>
  <c r="L307" i="19" a="1"/>
  <c r="L307" i="19" s="1"/>
  <c r="L308" i="19" a="1"/>
  <c r="L308" i="19" s="1"/>
  <c r="L309" i="19" a="1"/>
  <c r="L309" i="19" s="1"/>
  <c r="L310" i="19" a="1"/>
  <c r="L310" i="19" s="1"/>
  <c r="L311" i="19" a="1"/>
  <c r="L311" i="19" s="1"/>
  <c r="L312" i="19" a="1"/>
  <c r="L312" i="19" s="1"/>
  <c r="L313" i="19" a="1"/>
  <c r="L313" i="19" s="1"/>
  <c r="L314" i="19" a="1"/>
  <c r="L314" i="19" s="1"/>
  <c r="L315" i="19" a="1"/>
  <c r="L315" i="19" s="1"/>
  <c r="L316" i="19" a="1"/>
  <c r="L316" i="19" s="1"/>
  <c r="L317" i="19" a="1"/>
  <c r="L317" i="19" s="1"/>
  <c r="L318" i="19" a="1"/>
  <c r="L318" i="19" s="1"/>
  <c r="L319" i="19" a="1"/>
  <c r="L319" i="19" s="1"/>
  <c r="L320" i="19" a="1"/>
  <c r="L320" i="19" s="1"/>
  <c r="L321" i="19" a="1"/>
  <c r="L321" i="19" s="1"/>
  <c r="L322" i="19" a="1"/>
  <c r="L322" i="19" s="1"/>
  <c r="L323" i="19" a="1"/>
  <c r="L323" i="19" s="1"/>
  <c r="L324" i="19" a="1"/>
  <c r="L324" i="19" s="1"/>
  <c r="L325" i="19" a="1"/>
  <c r="L325" i="19" s="1"/>
  <c r="L326" i="19" a="1"/>
  <c r="L326" i="19" s="1"/>
  <c r="L327" i="19" a="1"/>
  <c r="L327" i="19" s="1"/>
  <c r="L328" i="19" a="1"/>
  <c r="L328" i="19" s="1"/>
  <c r="L329" i="19" a="1"/>
  <c r="L329" i="19" s="1"/>
  <c r="L330" i="19" a="1"/>
  <c r="L330" i="19" s="1"/>
  <c r="L331" i="19" a="1"/>
  <c r="L331" i="19" s="1"/>
  <c r="L332" i="19" a="1"/>
  <c r="L332" i="19" s="1"/>
  <c r="L333" i="19" a="1"/>
  <c r="L333" i="19" s="1"/>
  <c r="L334" i="19" a="1"/>
  <c r="L334" i="19" s="1"/>
  <c r="L335" i="19" a="1"/>
  <c r="L335" i="19" s="1"/>
  <c r="L336" i="19" a="1"/>
  <c r="L336" i="19" s="1"/>
  <c r="L337" i="19" a="1"/>
  <c r="L337" i="19" s="1"/>
  <c r="L338" i="19" a="1"/>
  <c r="L338" i="19" s="1"/>
  <c r="L339" i="19" a="1"/>
  <c r="L339" i="19" s="1"/>
  <c r="L340" i="19" a="1"/>
  <c r="L340" i="19" s="1"/>
  <c r="L341" i="19" a="1"/>
  <c r="L341" i="19" s="1"/>
  <c r="L342" i="19" a="1"/>
  <c r="L342" i="19" s="1"/>
  <c r="L343" i="19" a="1"/>
  <c r="L343" i="19" s="1"/>
  <c r="L344" i="19" a="1"/>
  <c r="L344" i="19" s="1"/>
  <c r="L345" i="19" a="1"/>
  <c r="L345" i="19" s="1"/>
  <c r="L346" i="19" a="1"/>
  <c r="L346" i="19" s="1"/>
  <c r="L347" i="19" a="1"/>
  <c r="L347" i="19" s="1"/>
  <c r="L348" i="19" a="1"/>
  <c r="L348" i="19" s="1"/>
  <c r="L349" i="19" a="1"/>
  <c r="L349" i="19" s="1"/>
  <c r="L350" i="19" a="1"/>
  <c r="L350" i="19" s="1"/>
  <c r="L351" i="19" a="1"/>
  <c r="L351" i="19" s="1"/>
  <c r="L352" i="19" a="1"/>
  <c r="L352" i="19" s="1"/>
  <c r="L353" i="19" a="1"/>
  <c r="L353" i="19" s="1"/>
  <c r="L354" i="19" a="1"/>
  <c r="L354" i="19" s="1"/>
  <c r="L355" i="19" a="1"/>
  <c r="L355" i="19" s="1"/>
  <c r="L356" i="19" a="1"/>
  <c r="L356" i="19" s="1"/>
  <c r="L357" i="19" a="1"/>
  <c r="L357" i="19" s="1"/>
  <c r="L358" i="19" a="1"/>
  <c r="L358" i="19" s="1"/>
  <c r="L359" i="19" a="1"/>
  <c r="L359" i="19" s="1"/>
  <c r="L360" i="19" a="1"/>
  <c r="L360" i="19" s="1"/>
  <c r="L361" i="19" a="1"/>
  <c r="L361" i="19" s="1"/>
  <c r="L362" i="19" a="1"/>
  <c r="L362" i="19" s="1"/>
  <c r="L363" i="19" a="1"/>
  <c r="L363" i="19" s="1"/>
  <c r="L364" i="19" a="1"/>
  <c r="L364" i="19" s="1"/>
  <c r="L365" i="19" a="1"/>
  <c r="L365" i="19" s="1"/>
  <c r="L366" i="19" a="1"/>
  <c r="L366" i="19" s="1"/>
  <c r="L367" i="19" a="1"/>
  <c r="L367" i="19" s="1"/>
  <c r="L368" i="19" a="1"/>
  <c r="L368" i="19" s="1"/>
  <c r="L369" i="19" a="1"/>
  <c r="L369" i="19" s="1"/>
  <c r="L370" i="19" a="1"/>
  <c r="L370" i="19" s="1"/>
  <c r="L371" i="19" a="1"/>
  <c r="L371" i="19" s="1"/>
  <c r="L372" i="19" a="1"/>
  <c r="L372" i="19" s="1"/>
  <c r="L373" i="19" a="1"/>
  <c r="L373" i="19" s="1"/>
  <c r="L374" i="19" a="1"/>
  <c r="L374" i="19" s="1"/>
  <c r="L375" i="19" a="1"/>
  <c r="L375" i="19" s="1"/>
  <c r="L376" i="19" a="1"/>
  <c r="L376" i="19" s="1"/>
  <c r="L377" i="19" a="1"/>
  <c r="L377" i="19" s="1"/>
  <c r="L378" i="19" a="1"/>
  <c r="L378" i="19" s="1"/>
  <c r="L379" i="19" a="1"/>
  <c r="L379" i="19" s="1"/>
  <c r="L380" i="19" a="1"/>
  <c r="L380" i="19" s="1"/>
  <c r="L381" i="19" a="1"/>
  <c r="L381" i="19" s="1"/>
  <c r="L382" i="19" a="1"/>
  <c r="L382" i="19" s="1"/>
  <c r="L383" i="19" a="1"/>
  <c r="L383" i="19" s="1"/>
  <c r="L384" i="19" a="1"/>
  <c r="L384" i="19" s="1"/>
  <c r="L385" i="19" a="1"/>
  <c r="L385" i="19" s="1"/>
  <c r="L386" i="19" a="1"/>
  <c r="L386" i="19" s="1"/>
  <c r="L387" i="19" a="1"/>
  <c r="L387" i="19" s="1"/>
  <c r="L388" i="19" a="1"/>
  <c r="L388" i="19" s="1"/>
  <c r="L389" i="19" a="1"/>
  <c r="L389" i="19" s="1"/>
  <c r="L390" i="19" a="1"/>
  <c r="L390" i="19" s="1"/>
  <c r="L391" i="19" a="1"/>
  <c r="L391" i="19" s="1"/>
  <c r="L392" i="19" a="1"/>
  <c r="L392" i="19" s="1"/>
  <c r="L393" i="19" a="1"/>
  <c r="L393" i="19" s="1"/>
  <c r="L394" i="19" a="1"/>
  <c r="L394" i="19" s="1"/>
  <c r="L395" i="19" a="1"/>
  <c r="L395" i="19" s="1"/>
  <c r="L396" i="19" a="1"/>
  <c r="L396" i="19" s="1"/>
  <c r="L397" i="19" a="1"/>
  <c r="L397" i="19" s="1"/>
  <c r="L398" i="19" a="1"/>
  <c r="L398" i="19" s="1"/>
  <c r="L399" i="19" a="1"/>
  <c r="L399" i="19" s="1"/>
  <c r="L400" i="19" a="1"/>
  <c r="L400" i="19" s="1"/>
  <c r="L401" i="19" a="1"/>
  <c r="L401" i="19" s="1"/>
  <c r="L402" i="19" a="1"/>
  <c r="L402" i="19" s="1"/>
  <c r="L403" i="19" a="1"/>
  <c r="L403" i="19" s="1"/>
  <c r="L404" i="19" a="1"/>
  <c r="L404" i="19" s="1"/>
  <c r="L405" i="19" a="1"/>
  <c r="L405" i="19" s="1"/>
  <c r="L406" i="19" a="1"/>
  <c r="L406" i="19" s="1"/>
  <c r="L407" i="19" a="1"/>
  <c r="L407" i="19" s="1"/>
  <c r="L408" i="19" a="1"/>
  <c r="L408" i="19" s="1"/>
  <c r="L409" i="19" a="1"/>
  <c r="L409" i="19" s="1"/>
  <c r="L410" i="19" a="1"/>
  <c r="L410" i="19" s="1"/>
  <c r="L411" i="19" a="1"/>
  <c r="L411" i="19" s="1"/>
  <c r="L412" i="19" a="1"/>
  <c r="L412" i="19" s="1"/>
  <c r="L413" i="19" a="1"/>
  <c r="L413" i="19" s="1"/>
  <c r="L414" i="19" a="1"/>
  <c r="L414" i="19" s="1"/>
  <c r="L415" i="19" a="1"/>
  <c r="L415" i="19" s="1"/>
  <c r="L416" i="19" a="1"/>
  <c r="L416" i="19" s="1"/>
  <c r="L417" i="19" a="1"/>
  <c r="L417" i="19" s="1"/>
  <c r="L418" i="19" a="1"/>
  <c r="L418" i="19" s="1"/>
  <c r="L419" i="19" a="1"/>
  <c r="L419" i="19" s="1"/>
  <c r="L420" i="19" a="1"/>
  <c r="L420" i="19" s="1"/>
  <c r="L421" i="19" a="1"/>
  <c r="L421" i="19" s="1"/>
  <c r="L422" i="19" a="1"/>
  <c r="L422" i="19" s="1"/>
  <c r="L423" i="19" a="1"/>
  <c r="L423" i="19" s="1"/>
  <c r="L424" i="19" a="1"/>
  <c r="L424" i="19" s="1"/>
  <c r="L425" i="19" a="1"/>
  <c r="L425" i="19" s="1"/>
  <c r="L426" i="19" a="1"/>
  <c r="L426" i="19" s="1"/>
  <c r="L427" i="19" a="1"/>
  <c r="L427" i="19" s="1"/>
  <c r="L428" i="19" a="1"/>
  <c r="L428" i="19" s="1"/>
  <c r="L429" i="19" a="1"/>
  <c r="L429" i="19" s="1"/>
  <c r="L430" i="19" a="1"/>
  <c r="L430" i="19" s="1"/>
  <c r="L431" i="19" a="1"/>
  <c r="L431" i="19" s="1"/>
  <c r="L432" i="19" a="1"/>
  <c r="L432" i="19" s="1"/>
  <c r="L433" i="19" a="1"/>
  <c r="L433" i="19" s="1"/>
  <c r="L434" i="19" a="1"/>
  <c r="L434" i="19" s="1"/>
  <c r="L435" i="19" a="1"/>
  <c r="L435" i="19" s="1"/>
  <c r="L436" i="19" a="1"/>
  <c r="L436" i="19" s="1"/>
  <c r="L437" i="19" a="1"/>
  <c r="L437" i="19" s="1"/>
  <c r="L438" i="19" a="1"/>
  <c r="L438" i="19" s="1"/>
  <c r="L439" i="19" a="1"/>
  <c r="L439" i="19" s="1"/>
  <c r="L440" i="19" a="1"/>
  <c r="L440" i="19" s="1"/>
  <c r="L441" i="19" a="1"/>
  <c r="L441" i="19" s="1"/>
  <c r="L442" i="19" a="1"/>
  <c r="L442" i="19" s="1"/>
  <c r="L443" i="19" a="1"/>
  <c r="L443" i="19" s="1"/>
  <c r="L444" i="19" a="1"/>
  <c r="L444" i="19" s="1"/>
  <c r="L445" i="19" a="1"/>
  <c r="L445" i="19" s="1"/>
  <c r="L446" i="19" a="1"/>
  <c r="L446" i="19" s="1"/>
  <c r="L447" i="19" a="1"/>
  <c r="L447" i="19" s="1"/>
  <c r="L448" i="19" a="1"/>
  <c r="L448" i="19" s="1"/>
  <c r="L449" i="19" a="1"/>
  <c r="L449" i="19" s="1"/>
  <c r="L450" i="19" a="1"/>
  <c r="L450" i="19" s="1"/>
  <c r="L451" i="19" a="1"/>
  <c r="L451" i="19" s="1"/>
  <c r="L452" i="19" a="1"/>
  <c r="L452" i="19" s="1"/>
  <c r="L453" i="19" a="1"/>
  <c r="L453" i="19" s="1"/>
  <c r="L454" i="19" a="1"/>
  <c r="L454" i="19" s="1"/>
  <c r="L455" i="19" a="1"/>
  <c r="L455" i="19" s="1"/>
  <c r="L456" i="19" a="1"/>
  <c r="L456" i="19" s="1"/>
  <c r="L457" i="19" a="1"/>
  <c r="L457" i="19" s="1"/>
  <c r="L458" i="19" a="1"/>
  <c r="L458" i="19" s="1"/>
  <c r="L459" i="19" a="1"/>
  <c r="L459" i="19" s="1"/>
  <c r="L460" i="19" a="1"/>
  <c r="L460" i="19" s="1"/>
  <c r="L461" i="19" a="1"/>
  <c r="L461" i="19" s="1"/>
  <c r="L462" i="19" a="1"/>
  <c r="L462" i="19" s="1"/>
  <c r="L463" i="19" a="1"/>
  <c r="L463" i="19" s="1"/>
  <c r="L464" i="19" a="1"/>
  <c r="L464" i="19" s="1"/>
  <c r="L465" i="19" a="1"/>
  <c r="L465" i="19" s="1"/>
  <c r="L466" i="19" a="1"/>
  <c r="L466" i="19" s="1"/>
  <c r="L467" i="19" a="1"/>
  <c r="L467" i="19" s="1"/>
  <c r="L468" i="19" a="1"/>
  <c r="L468" i="19" s="1"/>
  <c r="L469" i="19" a="1"/>
  <c r="L469" i="19" s="1"/>
  <c r="L470" i="19" a="1"/>
  <c r="L470" i="19" s="1"/>
  <c r="L471" i="19" a="1"/>
  <c r="L471" i="19" s="1"/>
  <c r="L472" i="19" a="1"/>
  <c r="L472" i="19" s="1"/>
  <c r="L473" i="19" a="1"/>
  <c r="L473" i="19" s="1"/>
  <c r="L474" i="19" a="1"/>
  <c r="L474" i="19" s="1"/>
  <c r="L475" i="19" a="1"/>
  <c r="L475" i="19" s="1"/>
  <c r="L476" i="19" a="1"/>
  <c r="L476" i="19" s="1"/>
  <c r="L477" i="19" a="1"/>
  <c r="L477" i="19" s="1"/>
  <c r="L478" i="19" a="1"/>
  <c r="L478" i="19" s="1"/>
  <c r="L479" i="19" a="1"/>
  <c r="L479" i="19" s="1"/>
  <c r="L480" i="19" a="1"/>
  <c r="L480" i="19" s="1"/>
  <c r="L481" i="19" a="1"/>
  <c r="L481" i="19" s="1"/>
  <c r="L482" i="19" a="1"/>
  <c r="L482" i="19" s="1"/>
  <c r="L483" i="19" a="1"/>
  <c r="L483" i="19" s="1"/>
  <c r="L484" i="19" a="1"/>
  <c r="L484" i="19" s="1"/>
  <c r="L485" i="19" a="1"/>
  <c r="L485" i="19" s="1"/>
  <c r="L486" i="19" a="1"/>
  <c r="L486" i="19" s="1"/>
  <c r="L487" i="19" a="1"/>
  <c r="L487" i="19" s="1"/>
  <c r="L488" i="19" a="1"/>
  <c r="L488" i="19" s="1"/>
  <c r="L489" i="19" a="1"/>
  <c r="L489" i="19" s="1"/>
  <c r="L490" i="19" a="1"/>
  <c r="L490" i="19" s="1"/>
  <c r="L491" i="19" a="1"/>
  <c r="L491" i="19" s="1"/>
  <c r="L492" i="19" a="1"/>
  <c r="L492" i="19" s="1"/>
  <c r="L493" i="19" a="1"/>
  <c r="L493" i="19" s="1"/>
  <c r="L494" i="19" a="1"/>
  <c r="L494" i="19" s="1"/>
  <c r="L495" i="19" a="1"/>
  <c r="L495" i="19" s="1"/>
  <c r="L496" i="19" a="1"/>
  <c r="L496" i="19" s="1"/>
  <c r="L497" i="19" a="1"/>
  <c r="L497" i="19" s="1"/>
  <c r="L498" i="19" a="1"/>
  <c r="L498" i="19" s="1"/>
  <c r="L499" i="19" a="1"/>
  <c r="L499" i="19" s="1"/>
  <c r="L500" i="19" a="1"/>
  <c r="L500" i="19" s="1"/>
  <c r="L501" i="19" a="1"/>
  <c r="L501" i="19" s="1"/>
  <c r="L502" i="19" a="1"/>
  <c r="L502" i="19" s="1"/>
  <c r="L503" i="19" a="1"/>
  <c r="L503" i="19" s="1"/>
  <c r="L504" i="19" a="1"/>
  <c r="L504" i="19" s="1"/>
  <c r="L505" i="19" a="1"/>
  <c r="L505" i="19" s="1"/>
  <c r="L506" i="19" a="1"/>
  <c r="L506" i="19" s="1"/>
  <c r="L507" i="19" a="1"/>
  <c r="L507" i="19" s="1"/>
  <c r="L508" i="19" a="1"/>
  <c r="L508" i="19" s="1"/>
  <c r="L509" i="19" a="1"/>
  <c r="L509" i="19" s="1"/>
  <c r="L510" i="19" a="1"/>
  <c r="L510" i="19" s="1"/>
  <c r="L511" i="19" a="1"/>
  <c r="L511" i="19" s="1"/>
  <c r="L512" i="19" a="1"/>
  <c r="L512" i="19" s="1"/>
  <c r="L513" i="19" a="1"/>
  <c r="L513" i="19" s="1"/>
  <c r="L514" i="19" a="1"/>
  <c r="L514" i="19" s="1"/>
  <c r="L515" i="19" a="1"/>
  <c r="L515" i="19" s="1"/>
  <c r="L516" i="19" a="1"/>
  <c r="L516" i="19" s="1"/>
  <c r="L517" i="19" a="1"/>
  <c r="L517" i="19" s="1"/>
  <c r="L518" i="19" a="1"/>
  <c r="L518" i="19" s="1"/>
  <c r="L519" i="19" a="1"/>
  <c r="L519" i="19" s="1"/>
  <c r="L520" i="19" a="1"/>
  <c r="L520" i="19" s="1"/>
  <c r="L521" i="19" a="1"/>
  <c r="L521" i="19" s="1"/>
  <c r="L522" i="19" a="1"/>
  <c r="L522" i="19" s="1"/>
  <c r="L523" i="19" a="1"/>
  <c r="L523" i="19" s="1"/>
  <c r="L524" i="19" a="1"/>
  <c r="L524" i="19" s="1"/>
  <c r="L525" i="19" a="1"/>
  <c r="L525" i="19" s="1"/>
  <c r="L526" i="19" a="1"/>
  <c r="L526" i="19" s="1"/>
  <c r="L527" i="19" a="1"/>
  <c r="L527" i="19" s="1"/>
  <c r="L528" i="19" a="1"/>
  <c r="L528" i="19" s="1"/>
  <c r="L529" i="19" a="1"/>
  <c r="L529" i="19" s="1"/>
  <c r="L530" i="19" a="1"/>
  <c r="L530" i="19" s="1"/>
  <c r="L531" i="19" a="1"/>
  <c r="L531" i="19" s="1"/>
  <c r="L532" i="19" a="1"/>
  <c r="L532" i="19" s="1"/>
  <c r="L533" i="19" a="1"/>
  <c r="L533" i="19" s="1"/>
  <c r="L534" i="19" a="1"/>
  <c r="L534" i="19" s="1"/>
  <c r="L535" i="19" a="1"/>
  <c r="L535" i="19" s="1"/>
  <c r="L536" i="19" a="1"/>
  <c r="L536" i="19" s="1"/>
  <c r="L537" i="19" a="1"/>
  <c r="L537" i="19" s="1"/>
  <c r="L538" i="19" a="1"/>
  <c r="L538" i="19" s="1"/>
  <c r="L539" i="19" a="1"/>
  <c r="L539" i="19" s="1"/>
  <c r="L540" i="19" a="1"/>
  <c r="L540" i="19" s="1"/>
  <c r="L541" i="19" a="1"/>
  <c r="L541" i="19" s="1"/>
  <c r="L542" i="19" a="1"/>
  <c r="L542" i="19" s="1"/>
  <c r="L543" i="19" a="1"/>
  <c r="L543" i="19" s="1"/>
  <c r="L544" i="19" a="1"/>
  <c r="L544" i="19" s="1"/>
  <c r="L545" i="19" a="1"/>
  <c r="L545" i="19" s="1"/>
  <c r="L546" i="19" a="1"/>
  <c r="L546" i="19" s="1"/>
  <c r="L547" i="19" a="1"/>
  <c r="L547" i="19" s="1"/>
  <c r="L548" i="19" a="1"/>
  <c r="L548" i="19" s="1"/>
  <c r="L549" i="19" a="1"/>
  <c r="L549" i="19" s="1"/>
  <c r="L550" i="19" a="1"/>
  <c r="L550" i="19" s="1"/>
  <c r="L551" i="19" a="1"/>
  <c r="L551" i="19" s="1"/>
  <c r="L552" i="19" a="1"/>
  <c r="L552" i="19" s="1"/>
  <c r="L553" i="19" a="1"/>
  <c r="L553" i="19" s="1"/>
  <c r="L554" i="19" a="1"/>
  <c r="L554" i="19" s="1"/>
  <c r="L555" i="19" a="1"/>
  <c r="L555" i="19" s="1"/>
  <c r="L556" i="19" a="1"/>
  <c r="L556" i="19" s="1"/>
  <c r="L557" i="19" a="1"/>
  <c r="L557" i="19" s="1"/>
  <c r="L558" i="19" a="1"/>
  <c r="L558" i="19" s="1"/>
  <c r="L559" i="19" a="1"/>
  <c r="L559" i="19" s="1"/>
  <c r="L560" i="19" a="1"/>
  <c r="L560" i="19" s="1"/>
  <c r="L561" i="19" a="1"/>
  <c r="L561" i="19" s="1"/>
  <c r="L562" i="19" a="1"/>
  <c r="L562" i="19" s="1"/>
  <c r="L563" i="19" a="1"/>
  <c r="L563" i="19" s="1"/>
  <c r="L564" i="19" a="1"/>
  <c r="L564" i="19" s="1"/>
  <c r="L565" i="19" a="1"/>
  <c r="L565" i="19" s="1"/>
  <c r="L566" i="19" a="1"/>
  <c r="L566" i="19" s="1"/>
  <c r="L567" i="19" a="1"/>
  <c r="L567" i="19" s="1"/>
  <c r="L568" i="19" a="1"/>
  <c r="L568" i="19" s="1"/>
  <c r="L569" i="19" a="1"/>
  <c r="L569" i="19" s="1"/>
  <c r="L570" i="19" a="1"/>
  <c r="L570" i="19" s="1"/>
  <c r="L571" i="19" a="1"/>
  <c r="L571" i="19" s="1"/>
  <c r="L572" i="19" a="1"/>
  <c r="L572" i="19" s="1"/>
  <c r="L573" i="19" a="1"/>
  <c r="L573" i="19" s="1"/>
  <c r="L574" i="19" a="1"/>
  <c r="L574" i="19" s="1"/>
  <c r="L575" i="19" a="1"/>
  <c r="L575" i="19" s="1"/>
  <c r="L576" i="19" a="1"/>
  <c r="L576" i="19" s="1"/>
  <c r="L577" i="19" a="1"/>
  <c r="L577" i="19" s="1"/>
  <c r="L578" i="19" a="1"/>
  <c r="L578" i="19" s="1"/>
  <c r="L579" i="19" a="1"/>
  <c r="L579" i="19" s="1"/>
  <c r="L580" i="19" a="1"/>
  <c r="L580" i="19" s="1"/>
  <c r="L581" i="19" a="1"/>
  <c r="L581" i="19" s="1"/>
  <c r="L582" i="19" a="1"/>
  <c r="L582" i="19" s="1"/>
  <c r="L583" i="19" a="1"/>
  <c r="L583" i="19" s="1"/>
  <c r="L584" i="19" a="1"/>
  <c r="L584" i="19" s="1"/>
  <c r="L585" i="19" a="1"/>
  <c r="L585" i="19" s="1"/>
  <c r="L586" i="19" a="1"/>
  <c r="L586" i="19" s="1"/>
  <c r="L587" i="19" a="1"/>
  <c r="L587" i="19" s="1"/>
  <c r="L588" i="19" a="1"/>
  <c r="L588" i="19" s="1"/>
  <c r="L589" i="19" a="1"/>
  <c r="L589" i="19" s="1"/>
  <c r="L590" i="19" a="1"/>
  <c r="L590" i="19" s="1"/>
  <c r="L591" i="19" a="1"/>
  <c r="L591" i="19" s="1"/>
  <c r="L592" i="19" a="1"/>
  <c r="L592" i="19" s="1"/>
  <c r="L593" i="19" a="1"/>
  <c r="L593" i="19" s="1"/>
  <c r="L594" i="19" a="1"/>
  <c r="L594" i="19" s="1"/>
  <c r="L595" i="19" a="1"/>
  <c r="L595" i="19" s="1"/>
  <c r="L596" i="19" a="1"/>
  <c r="L596" i="19" s="1"/>
  <c r="L597" i="19" a="1"/>
  <c r="L597" i="19" s="1"/>
  <c r="L598" i="19" a="1"/>
  <c r="L598" i="19" s="1"/>
  <c r="L599" i="19" a="1"/>
  <c r="L599" i="19" s="1"/>
  <c r="L600" i="19" a="1"/>
  <c r="L600" i="19" s="1"/>
  <c r="L601" i="19" a="1"/>
  <c r="L601" i="19" s="1"/>
  <c r="L602" i="19" a="1"/>
  <c r="L602" i="19" s="1"/>
  <c r="L603" i="19" a="1"/>
  <c r="L603" i="19" s="1"/>
  <c r="L604" i="19" a="1"/>
  <c r="L604" i="19" s="1"/>
  <c r="L605" i="19" a="1"/>
  <c r="L605" i="19" s="1"/>
  <c r="L606" i="19" a="1"/>
  <c r="L606" i="19" s="1"/>
  <c r="L607" i="19" a="1"/>
  <c r="L607" i="19" s="1"/>
  <c r="L608" i="19" a="1"/>
  <c r="L608" i="19" s="1"/>
  <c r="L609" i="19" a="1"/>
  <c r="L609" i="19" s="1"/>
  <c r="L610" i="19" a="1"/>
  <c r="L610" i="19" s="1"/>
  <c r="L611" i="19" a="1"/>
  <c r="L611" i="19" s="1"/>
  <c r="L612" i="19" a="1"/>
  <c r="L612" i="19" s="1"/>
  <c r="L613" i="19" a="1"/>
  <c r="L613" i="19" s="1"/>
  <c r="L614" i="19" a="1"/>
  <c r="L614" i="19" s="1"/>
  <c r="L615" i="19" a="1"/>
  <c r="L615" i="19" s="1"/>
  <c r="L616" i="19" a="1"/>
  <c r="L616" i="19" s="1"/>
  <c r="L617" i="19" a="1"/>
  <c r="L617" i="19" s="1"/>
  <c r="L618" i="19" a="1"/>
  <c r="L618" i="19" s="1"/>
  <c r="L619" i="19" a="1"/>
  <c r="L619" i="19" s="1"/>
  <c r="L620" i="19" a="1"/>
  <c r="L620" i="19" s="1"/>
  <c r="L621" i="19" a="1"/>
  <c r="L621" i="19" s="1"/>
  <c r="L622" i="19" a="1"/>
  <c r="L622" i="19" s="1"/>
  <c r="L623" i="19" a="1"/>
  <c r="L623" i="19" s="1"/>
  <c r="L624" i="19" a="1"/>
  <c r="L624" i="19" s="1"/>
  <c r="L625" i="19" a="1"/>
  <c r="L625" i="19" s="1"/>
  <c r="L626" i="19" a="1"/>
  <c r="L626" i="19" s="1"/>
  <c r="L627" i="19" a="1"/>
  <c r="L627" i="19" s="1"/>
  <c r="L628" i="19" a="1"/>
  <c r="L628" i="19" s="1"/>
  <c r="L629" i="19" a="1"/>
  <c r="L629" i="19" s="1"/>
  <c r="L630" i="19" a="1"/>
  <c r="L630" i="19" s="1"/>
  <c r="L631" i="19" a="1"/>
  <c r="L631" i="19" s="1"/>
  <c r="L632" i="19" a="1"/>
  <c r="L632" i="19" s="1"/>
  <c r="L633" i="19" a="1"/>
  <c r="L633" i="19" s="1"/>
  <c r="L634" i="19" a="1"/>
  <c r="L634" i="19" s="1"/>
  <c r="L635" i="19" a="1"/>
  <c r="L635" i="19" s="1"/>
  <c r="L636" i="19" a="1"/>
  <c r="L636" i="19" s="1"/>
  <c r="L637" i="19" a="1"/>
  <c r="L637" i="19" s="1"/>
  <c r="L638" i="19" a="1"/>
  <c r="L638" i="19" s="1"/>
  <c r="L639" i="19" a="1"/>
  <c r="L639" i="19" s="1"/>
  <c r="L640" i="19" a="1"/>
  <c r="L640" i="19" s="1"/>
  <c r="L641" i="19" a="1"/>
  <c r="L641" i="19" s="1"/>
  <c r="L642" i="19" a="1"/>
  <c r="L642" i="19" s="1"/>
  <c r="L643" i="19" a="1"/>
  <c r="L643" i="19" s="1"/>
  <c r="L644" i="19" a="1"/>
  <c r="L644" i="19" s="1"/>
  <c r="L645" i="19" a="1"/>
  <c r="L645" i="19" s="1"/>
  <c r="L646" i="19" a="1"/>
  <c r="L646" i="19" s="1"/>
  <c r="L647" i="19" a="1"/>
  <c r="L647" i="19" s="1"/>
  <c r="L648" i="19" a="1"/>
  <c r="L648" i="19" s="1"/>
  <c r="L649" i="19" a="1"/>
  <c r="L649" i="19" s="1"/>
  <c r="L650" i="19" a="1"/>
  <c r="L650" i="19" s="1"/>
  <c r="L651" i="19" a="1"/>
  <c r="L651" i="19" s="1"/>
  <c r="L652" i="19" a="1"/>
  <c r="L652" i="19" s="1"/>
  <c r="L653" i="19" a="1"/>
  <c r="L653" i="19" s="1"/>
  <c r="L654" i="19" a="1"/>
  <c r="L654" i="19" s="1"/>
  <c r="L655" i="19" a="1"/>
  <c r="L655" i="19" s="1"/>
  <c r="L656" i="19" a="1"/>
  <c r="L656" i="19" s="1"/>
  <c r="L657" i="19" a="1"/>
  <c r="L657" i="19" s="1"/>
  <c r="L658" i="19" a="1"/>
  <c r="L658" i="19" s="1"/>
  <c r="L659" i="19" a="1"/>
  <c r="L659" i="19" s="1"/>
  <c r="L660" i="19" a="1"/>
  <c r="L660" i="19" s="1"/>
  <c r="L661" i="19" a="1"/>
  <c r="L661" i="19" s="1"/>
  <c r="L662" i="19" a="1"/>
  <c r="L662" i="19" s="1"/>
  <c r="L663" i="19" a="1"/>
  <c r="L663" i="19" s="1"/>
  <c r="L664" i="19" a="1"/>
  <c r="L664" i="19" s="1"/>
  <c r="L665" i="19" a="1"/>
  <c r="L665" i="19" s="1"/>
  <c r="L666" i="19" a="1"/>
  <c r="L666" i="19" s="1"/>
  <c r="L667" i="19" a="1"/>
  <c r="L667" i="19" s="1"/>
  <c r="L668" i="19" a="1"/>
  <c r="L668" i="19" s="1"/>
  <c r="L669" i="19" a="1"/>
  <c r="L669" i="19" s="1"/>
  <c r="L670" i="19" a="1"/>
  <c r="L670" i="19" s="1"/>
  <c r="L671" i="19" a="1"/>
  <c r="L671" i="19" s="1"/>
  <c r="L672" i="19" a="1"/>
  <c r="L672" i="19" s="1"/>
  <c r="L673" i="19" a="1"/>
  <c r="L673" i="19" s="1"/>
  <c r="L674" i="19" a="1"/>
  <c r="L674" i="19" s="1"/>
  <c r="L675" i="19" a="1"/>
  <c r="L675" i="19" s="1"/>
  <c r="L676" i="19" a="1"/>
  <c r="L676" i="19" s="1"/>
  <c r="L677" i="19" a="1"/>
  <c r="L677" i="19" s="1"/>
  <c r="L678" i="19" a="1"/>
  <c r="L678" i="19" s="1"/>
  <c r="L679" i="19" a="1"/>
  <c r="L679" i="19" s="1"/>
  <c r="L680" i="19" a="1"/>
  <c r="L680" i="19" s="1"/>
  <c r="L681" i="19" a="1"/>
  <c r="L681" i="19" s="1"/>
  <c r="L682" i="19" a="1"/>
  <c r="L682" i="19" s="1"/>
  <c r="L683" i="19" a="1"/>
  <c r="L683" i="19" s="1"/>
  <c r="L684" i="19" a="1"/>
  <c r="L684" i="19" s="1"/>
  <c r="L685" i="19" a="1"/>
  <c r="L685" i="19" s="1"/>
  <c r="L686" i="19" a="1"/>
  <c r="L686" i="19" s="1"/>
  <c r="L687" i="19" a="1"/>
  <c r="L687" i="19" s="1"/>
  <c r="L688" i="19" a="1"/>
  <c r="L688" i="19" s="1"/>
  <c r="L689" i="19" a="1"/>
  <c r="L689" i="19" s="1"/>
  <c r="L690" i="19" a="1"/>
  <c r="L690" i="19" s="1"/>
  <c r="L691" i="19" a="1"/>
  <c r="L691" i="19" s="1"/>
  <c r="L692" i="19" a="1"/>
  <c r="L692" i="19" s="1"/>
  <c r="L693" i="19" a="1"/>
  <c r="L693" i="19" s="1"/>
  <c r="L694" i="19" a="1"/>
  <c r="L694" i="19" s="1"/>
  <c r="L695" i="19" a="1"/>
  <c r="L695" i="19" s="1"/>
  <c r="L696" i="19" a="1"/>
  <c r="L696" i="19" s="1"/>
  <c r="L697" i="19" a="1"/>
  <c r="L697" i="19" s="1"/>
  <c r="L698" i="19" a="1"/>
  <c r="L698" i="19" s="1"/>
  <c r="L699" i="19" a="1"/>
  <c r="L699" i="19" s="1"/>
  <c r="L700" i="19" a="1"/>
  <c r="L700" i="19" s="1"/>
  <c r="L701" i="19" a="1"/>
  <c r="L701" i="19" s="1"/>
  <c r="L702" i="19" a="1"/>
  <c r="L702" i="19" s="1"/>
  <c r="L703" i="19" a="1"/>
  <c r="L703" i="19" s="1"/>
  <c r="L704" i="19" a="1"/>
  <c r="L704" i="19" s="1"/>
  <c r="L705" i="19" a="1"/>
  <c r="L705" i="19" s="1"/>
  <c r="L706" i="19" a="1"/>
  <c r="L706" i="19" s="1"/>
  <c r="L707" i="19" a="1"/>
  <c r="L707" i="19" s="1"/>
  <c r="L708" i="19" a="1"/>
  <c r="L708" i="19" s="1"/>
  <c r="L709" i="19" a="1"/>
  <c r="L709" i="19" s="1"/>
  <c r="L710" i="19" a="1"/>
  <c r="L710" i="19" s="1"/>
  <c r="L711" i="19" a="1"/>
  <c r="L711" i="19" s="1"/>
  <c r="L712" i="19" a="1"/>
  <c r="L712" i="19" s="1"/>
  <c r="L713" i="19" a="1"/>
  <c r="L713" i="19" s="1"/>
  <c r="L714" i="19" a="1"/>
  <c r="L714" i="19" s="1"/>
  <c r="L715" i="19" a="1"/>
  <c r="L715" i="19" s="1"/>
  <c r="L716" i="19" a="1"/>
  <c r="L716" i="19" s="1"/>
  <c r="L717" i="19" a="1"/>
  <c r="L717" i="19" s="1"/>
  <c r="L718" i="19" a="1"/>
  <c r="L718" i="19" s="1"/>
  <c r="L719" i="19" a="1"/>
  <c r="L719" i="19" s="1"/>
  <c r="L720" i="19" a="1"/>
  <c r="L720" i="19" s="1"/>
  <c r="L721" i="19" a="1"/>
  <c r="L721" i="19" s="1"/>
  <c r="L722" i="19" a="1"/>
  <c r="L722" i="19" s="1"/>
  <c r="L723" i="19" a="1"/>
  <c r="L723" i="19" s="1"/>
  <c r="L724" i="19" a="1"/>
  <c r="L724" i="19" s="1"/>
  <c r="L725" i="19" a="1"/>
  <c r="L725" i="19" s="1"/>
  <c r="L726" i="19" a="1"/>
  <c r="L726" i="19" s="1"/>
  <c r="L727" i="19" a="1"/>
  <c r="L727" i="19" s="1"/>
  <c r="L728" i="19" a="1"/>
  <c r="L728" i="19" s="1"/>
  <c r="L729" i="19" a="1"/>
  <c r="L729" i="19" s="1"/>
  <c r="L730" i="19" a="1"/>
  <c r="L730" i="19" s="1"/>
  <c r="L731" i="19" a="1"/>
  <c r="L731" i="19" s="1"/>
  <c r="L732" i="19" a="1"/>
  <c r="L732" i="19" s="1"/>
  <c r="L733" i="19" a="1"/>
  <c r="L733" i="19" s="1"/>
  <c r="L734" i="19" a="1"/>
  <c r="L734" i="19" s="1"/>
  <c r="L735" i="19" a="1"/>
  <c r="L735" i="19" s="1"/>
  <c r="L736" i="19" a="1"/>
  <c r="L736" i="19" s="1"/>
  <c r="L737" i="19" a="1"/>
  <c r="L737" i="19" s="1"/>
  <c r="L738" i="19" a="1"/>
  <c r="L738" i="19" s="1"/>
  <c r="L739" i="19" a="1"/>
  <c r="L739" i="19" s="1"/>
  <c r="L740" i="19" a="1"/>
  <c r="L740" i="19" s="1"/>
  <c r="L741" i="19" a="1"/>
  <c r="L741" i="19" s="1"/>
  <c r="L742" i="19" a="1"/>
  <c r="L742" i="19" s="1"/>
  <c r="L743" i="19" a="1"/>
  <c r="L743" i="19" s="1"/>
  <c r="L744" i="19" a="1"/>
  <c r="L744" i="19" s="1"/>
  <c r="L745" i="19" a="1"/>
  <c r="L745" i="19" s="1"/>
  <c r="L746" i="19" a="1"/>
  <c r="L746" i="19" s="1"/>
  <c r="L747" i="19" a="1"/>
  <c r="L747" i="19" s="1"/>
  <c r="L748" i="19" a="1"/>
  <c r="L748" i="19" s="1"/>
  <c r="L749" i="19" a="1"/>
  <c r="L749" i="19" s="1"/>
  <c r="L750" i="19" a="1"/>
  <c r="L750" i="19" s="1"/>
  <c r="L751" i="19" a="1"/>
  <c r="L751" i="19" s="1"/>
  <c r="L752" i="19" a="1"/>
  <c r="L752" i="19" s="1"/>
  <c r="L753" i="19" a="1"/>
  <c r="L753" i="19" s="1"/>
  <c r="L754" i="19" a="1"/>
  <c r="L754" i="19" s="1"/>
  <c r="L755" i="19" a="1"/>
  <c r="L755" i="19" s="1"/>
  <c r="L756" i="19" a="1"/>
  <c r="L756" i="19" s="1"/>
  <c r="L757" i="19" a="1"/>
  <c r="L757" i="19" s="1"/>
  <c r="L758" i="19" a="1"/>
  <c r="L758" i="19" s="1"/>
  <c r="L759" i="19" a="1"/>
  <c r="L759" i="19" s="1"/>
  <c r="L760" i="19" a="1"/>
  <c r="L760" i="19" s="1"/>
  <c r="L761" i="19" a="1"/>
  <c r="L761" i="19" s="1"/>
  <c r="L762" i="19" a="1"/>
  <c r="L762" i="19" s="1"/>
  <c r="L763" i="19" a="1"/>
  <c r="L763" i="19" s="1"/>
  <c r="L764" i="19" a="1"/>
  <c r="L764" i="19" s="1"/>
  <c r="L765" i="19" a="1"/>
  <c r="L765" i="19" s="1"/>
  <c r="L766" i="19" a="1"/>
  <c r="L766" i="19" s="1"/>
  <c r="L767" i="19" a="1"/>
  <c r="L767" i="19" s="1"/>
  <c r="L768" i="19" a="1"/>
  <c r="L768" i="19" s="1"/>
  <c r="L769" i="19" a="1"/>
  <c r="L769" i="19" s="1"/>
  <c r="L770" i="19" a="1"/>
  <c r="L770" i="19" s="1"/>
  <c r="L771" i="19" a="1"/>
  <c r="L771" i="19" s="1"/>
  <c r="L772" i="19" a="1"/>
  <c r="L772" i="19" s="1"/>
  <c r="L773" i="19" a="1"/>
  <c r="L773" i="19" s="1"/>
  <c r="L774" i="19" a="1"/>
  <c r="L774" i="19" s="1"/>
  <c r="L775" i="19" a="1"/>
  <c r="L775" i="19" s="1"/>
  <c r="L776" i="19" a="1"/>
  <c r="L776" i="19" s="1"/>
  <c r="L777" i="19" a="1"/>
  <c r="L777" i="19" s="1"/>
  <c r="L778" i="19" a="1"/>
  <c r="L778" i="19" s="1"/>
  <c r="L779" i="19" a="1"/>
  <c r="L779" i="19" s="1"/>
  <c r="L780" i="19" a="1"/>
  <c r="L780" i="19" s="1"/>
  <c r="L781" i="19" a="1"/>
  <c r="L781" i="19" s="1"/>
  <c r="L782" i="19" a="1"/>
  <c r="L782" i="19" s="1"/>
  <c r="L783" i="19" a="1"/>
  <c r="L783" i="19" s="1"/>
  <c r="L784" i="19" a="1"/>
  <c r="L784" i="19" s="1"/>
  <c r="L785" i="19" a="1"/>
  <c r="L785" i="19" s="1"/>
  <c r="L786" i="19" a="1"/>
  <c r="L786" i="19" s="1"/>
  <c r="L787" i="19" a="1"/>
  <c r="L787" i="19" s="1"/>
  <c r="L788" i="19" a="1"/>
  <c r="L788" i="19" s="1"/>
  <c r="L789" i="19" a="1"/>
  <c r="L789" i="19" s="1"/>
  <c r="L790" i="19" a="1"/>
  <c r="L790" i="19" s="1"/>
  <c r="L791" i="19" a="1"/>
  <c r="L791" i="19" s="1"/>
  <c r="L792" i="19" a="1"/>
  <c r="L792" i="19" s="1"/>
  <c r="L793" i="19" a="1"/>
  <c r="L793" i="19" s="1"/>
  <c r="L794" i="19" a="1"/>
  <c r="L794" i="19" s="1"/>
  <c r="L795" i="19" a="1"/>
  <c r="L795" i="19" s="1"/>
  <c r="L796" i="19" a="1"/>
  <c r="L796" i="19" s="1"/>
  <c r="L797" i="19" a="1"/>
  <c r="L797" i="19" s="1"/>
  <c r="L798" i="19" a="1"/>
  <c r="L798" i="19" s="1"/>
  <c r="L799" i="19" a="1"/>
  <c r="L799" i="19" s="1"/>
  <c r="L800" i="19" a="1"/>
  <c r="L800" i="19" s="1"/>
  <c r="L801" i="19" a="1"/>
  <c r="L801" i="19" s="1"/>
  <c r="L802" i="19" a="1"/>
  <c r="L802" i="19" s="1"/>
  <c r="L803" i="19" a="1"/>
  <c r="L803" i="19" s="1"/>
  <c r="L804" i="19" a="1"/>
  <c r="L804" i="19" s="1"/>
  <c r="L805" i="19" a="1"/>
  <c r="L805" i="19" s="1"/>
  <c r="L806" i="19" a="1"/>
  <c r="L806" i="19" s="1"/>
  <c r="L807" i="19" a="1"/>
  <c r="L807" i="19" s="1"/>
  <c r="L808" i="19" a="1"/>
  <c r="L808" i="19" s="1"/>
  <c r="L809" i="19" a="1"/>
  <c r="L809" i="19" s="1"/>
  <c r="L810" i="19" a="1"/>
  <c r="L810" i="19" s="1"/>
  <c r="L811" i="19" a="1"/>
  <c r="L811" i="19" s="1"/>
  <c r="L812" i="19" a="1"/>
  <c r="L812" i="19" s="1"/>
  <c r="L813" i="19" a="1"/>
  <c r="L813" i="19" s="1"/>
  <c r="L814" i="19" a="1"/>
  <c r="L814" i="19" s="1"/>
  <c r="L815" i="19" a="1"/>
  <c r="L815" i="19" s="1"/>
  <c r="L816" i="19" a="1"/>
  <c r="L816" i="19" s="1"/>
  <c r="L817" i="19" a="1"/>
  <c r="L817" i="19" s="1"/>
  <c r="L818" i="19" a="1"/>
  <c r="L818" i="19" s="1"/>
  <c r="L819" i="19" a="1"/>
  <c r="L819" i="19" s="1"/>
  <c r="L820" i="19" a="1"/>
  <c r="L820" i="19" s="1"/>
  <c r="L821" i="19" a="1"/>
  <c r="L821" i="19" s="1"/>
  <c r="L822" i="19" a="1"/>
  <c r="L822" i="19" s="1"/>
  <c r="L823" i="19" a="1"/>
  <c r="L823" i="19" s="1"/>
  <c r="L824" i="19" a="1"/>
  <c r="L824" i="19" s="1"/>
  <c r="L825" i="19" a="1"/>
  <c r="L825" i="19" s="1"/>
  <c r="L826" i="19" a="1"/>
  <c r="L826" i="19" s="1"/>
  <c r="L827" i="19" a="1"/>
  <c r="L827" i="19" s="1"/>
  <c r="L828" i="19" a="1"/>
  <c r="L828" i="19" s="1"/>
  <c r="L829" i="19" a="1"/>
  <c r="L829" i="19" s="1"/>
  <c r="L830" i="19" a="1"/>
  <c r="L830" i="19" s="1"/>
  <c r="L831" i="19" a="1"/>
  <c r="L831" i="19" s="1"/>
  <c r="L832" i="19" a="1"/>
  <c r="L832" i="19" s="1"/>
  <c r="L833" i="19" a="1"/>
  <c r="L833" i="19" s="1"/>
  <c r="L834" i="19" a="1"/>
  <c r="L834" i="19" s="1"/>
  <c r="L835" i="19" a="1"/>
  <c r="L835" i="19" s="1"/>
  <c r="L836" i="19" a="1"/>
  <c r="L836" i="19" s="1"/>
  <c r="L837" i="19" a="1"/>
  <c r="L837" i="19" s="1"/>
  <c r="L838" i="19" a="1"/>
  <c r="L838" i="19" s="1"/>
  <c r="L839" i="19" a="1"/>
  <c r="L839" i="19" s="1"/>
  <c r="L840" i="19" a="1"/>
  <c r="L840" i="19" s="1"/>
  <c r="L841" i="19" a="1"/>
  <c r="L841" i="19" s="1"/>
  <c r="L842" i="19" a="1"/>
  <c r="L842" i="19" s="1"/>
  <c r="L843" i="19" a="1"/>
  <c r="L843" i="19" s="1"/>
  <c r="L844" i="19" a="1"/>
  <c r="L844" i="19" s="1"/>
  <c r="L845" i="19" a="1"/>
  <c r="L845" i="19" s="1"/>
  <c r="L846" i="19" a="1"/>
  <c r="L846" i="19" s="1"/>
  <c r="L847" i="19" a="1"/>
  <c r="L847" i="19" s="1"/>
  <c r="L848" i="19" a="1"/>
  <c r="L848" i="19" s="1"/>
  <c r="L849" i="19" a="1"/>
  <c r="L849" i="19" s="1"/>
  <c r="L850" i="19" a="1"/>
  <c r="L850" i="19" s="1"/>
  <c r="L851" i="19" a="1"/>
  <c r="L851" i="19" s="1"/>
  <c r="L852" i="19" a="1"/>
  <c r="L852" i="19" s="1"/>
  <c r="L853" i="19" a="1"/>
  <c r="L853" i="19" s="1"/>
  <c r="L854" i="19" a="1"/>
  <c r="L854" i="19" s="1"/>
  <c r="L855" i="19" a="1"/>
  <c r="L855" i="19" s="1"/>
  <c r="L856" i="19" a="1"/>
  <c r="L856" i="19" s="1"/>
  <c r="L857" i="19" a="1"/>
  <c r="L857" i="19" s="1"/>
  <c r="L858" i="19" a="1"/>
  <c r="L858" i="19" s="1"/>
  <c r="L859" i="19" a="1"/>
  <c r="L859" i="19" s="1"/>
  <c r="L860" i="19" a="1"/>
  <c r="L860" i="19" s="1"/>
  <c r="L861" i="19" a="1"/>
  <c r="L861" i="19" s="1"/>
  <c r="L862" i="19" a="1"/>
  <c r="L862" i="19" s="1"/>
  <c r="L863" i="19" a="1"/>
  <c r="L863" i="19" s="1"/>
  <c r="L864" i="19" a="1"/>
  <c r="L864" i="19" s="1"/>
  <c r="L865" i="19" a="1"/>
  <c r="L865" i="19" s="1"/>
  <c r="L866" i="19" a="1"/>
  <c r="L866" i="19" s="1"/>
  <c r="L867" i="19" a="1"/>
  <c r="L867" i="19" s="1"/>
  <c r="L868" i="19" a="1"/>
  <c r="L868" i="19" s="1"/>
  <c r="L869" i="19" a="1"/>
  <c r="L869" i="19" s="1"/>
  <c r="L870" i="19" a="1"/>
  <c r="L870" i="19" s="1"/>
  <c r="L871" i="19" a="1"/>
  <c r="L871" i="19" s="1"/>
  <c r="L872" i="19" a="1"/>
  <c r="L872" i="19" s="1"/>
  <c r="L873" i="19" a="1"/>
  <c r="L873" i="19" s="1"/>
  <c r="L874" i="19" a="1"/>
  <c r="L874" i="19" s="1"/>
  <c r="L875" i="19" a="1"/>
  <c r="L875" i="19" s="1"/>
  <c r="L876" i="19" a="1"/>
  <c r="L876" i="19" s="1"/>
  <c r="L877" i="19" a="1"/>
  <c r="L877" i="19" s="1"/>
  <c r="L878" i="19" a="1"/>
  <c r="L878" i="19" s="1"/>
  <c r="L879" i="19" a="1"/>
  <c r="L879" i="19" s="1"/>
  <c r="L880" i="19" a="1"/>
  <c r="L880" i="19" s="1"/>
  <c r="L881" i="19" a="1"/>
  <c r="L881" i="19" s="1"/>
  <c r="L882" i="19" a="1"/>
  <c r="L882" i="19" s="1"/>
  <c r="L883" i="19" a="1"/>
  <c r="L883" i="19" s="1"/>
  <c r="L884" i="19" a="1"/>
  <c r="L884" i="19" s="1"/>
  <c r="L885" i="19" a="1"/>
  <c r="L885" i="19" s="1"/>
  <c r="L886" i="19" a="1"/>
  <c r="L886" i="19" s="1"/>
  <c r="L887" i="19" a="1"/>
  <c r="L887" i="19" s="1"/>
  <c r="L888" i="19" a="1"/>
  <c r="L888" i="19" s="1"/>
  <c r="L889" i="19" a="1"/>
  <c r="L889" i="19" s="1"/>
  <c r="L890" i="19" a="1"/>
  <c r="L890" i="19" s="1"/>
  <c r="L891" i="19" a="1"/>
  <c r="L891" i="19" s="1"/>
  <c r="L892" i="19" a="1"/>
  <c r="L892" i="19" s="1"/>
  <c r="L893" i="19" a="1"/>
  <c r="L893" i="19" s="1"/>
  <c r="L894" i="19" a="1"/>
  <c r="L894" i="19" s="1"/>
  <c r="L895" i="19" a="1"/>
  <c r="L895" i="19" s="1"/>
  <c r="L896" i="19" a="1"/>
  <c r="L896" i="19" s="1"/>
  <c r="L897" i="19" a="1"/>
  <c r="L897" i="19" s="1"/>
  <c r="L898" i="19" a="1"/>
  <c r="L898" i="19" s="1"/>
  <c r="L899" i="19" a="1"/>
  <c r="L899" i="19" s="1"/>
  <c r="L900" i="19" a="1"/>
  <c r="L900" i="19" s="1"/>
  <c r="L901" i="19" a="1"/>
  <c r="L901" i="19" s="1"/>
  <c r="L902" i="19" a="1"/>
  <c r="L902" i="19" s="1"/>
  <c r="L903" i="19" a="1"/>
  <c r="L903" i="19" s="1"/>
  <c r="L904" i="19" a="1"/>
  <c r="L904" i="19" s="1"/>
  <c r="L905" i="19" a="1"/>
  <c r="L905" i="19" s="1"/>
  <c r="L906" i="19" a="1"/>
  <c r="L906" i="19" s="1"/>
  <c r="L907" i="19" a="1"/>
  <c r="L907" i="19" s="1"/>
  <c r="L908" i="19" a="1"/>
  <c r="L908" i="19" s="1"/>
  <c r="L909" i="19" a="1"/>
  <c r="L909" i="19" s="1"/>
  <c r="L910" i="19" a="1"/>
  <c r="L910" i="19" s="1"/>
  <c r="L911" i="19" a="1"/>
  <c r="L911" i="19" s="1"/>
  <c r="L912" i="19" a="1"/>
  <c r="L912" i="19" s="1"/>
  <c r="L913" i="19" a="1"/>
  <c r="L913" i="19" s="1"/>
  <c r="L914" i="19" a="1"/>
  <c r="L914" i="19" s="1"/>
  <c r="L915" i="19" a="1"/>
  <c r="L915" i="19" s="1"/>
  <c r="L916" i="19" a="1"/>
  <c r="L916" i="19" s="1"/>
  <c r="L917" i="19" a="1"/>
  <c r="L917" i="19" s="1"/>
  <c r="L918" i="19" a="1"/>
  <c r="L918" i="19" s="1"/>
  <c r="L919" i="19" a="1"/>
  <c r="L919" i="19" s="1"/>
  <c r="L920" i="19" a="1"/>
  <c r="L920" i="19" s="1"/>
  <c r="L921" i="19" a="1"/>
  <c r="L921" i="19" s="1"/>
  <c r="L922" i="19" a="1"/>
  <c r="L922" i="19" s="1"/>
  <c r="L923" i="19" a="1"/>
  <c r="L923" i="19" s="1"/>
  <c r="L924" i="19" a="1"/>
  <c r="L924" i="19" s="1"/>
  <c r="L925" i="19" a="1"/>
  <c r="L925" i="19" s="1"/>
  <c r="L926" i="19" a="1"/>
  <c r="L926" i="19" s="1"/>
  <c r="L927" i="19" a="1"/>
  <c r="L927" i="19" s="1"/>
  <c r="L928" i="19" a="1"/>
  <c r="L928" i="19" s="1"/>
  <c r="L929" i="19" a="1"/>
  <c r="L929" i="19" s="1"/>
  <c r="L930" i="19" a="1"/>
  <c r="L930" i="19" s="1"/>
  <c r="L931" i="19" a="1"/>
  <c r="L931" i="19" s="1"/>
  <c r="L932" i="19" a="1"/>
  <c r="L932" i="19" s="1"/>
  <c r="L933" i="19" a="1"/>
  <c r="L933" i="19" s="1"/>
  <c r="L934" i="19" a="1"/>
  <c r="L934" i="19" s="1"/>
  <c r="L935" i="19" a="1"/>
  <c r="L935" i="19" s="1"/>
  <c r="L936" i="19" a="1"/>
  <c r="L936" i="19" s="1"/>
  <c r="L937" i="19" a="1"/>
  <c r="L937" i="19" s="1"/>
  <c r="L938" i="19" a="1"/>
  <c r="L938" i="19" s="1"/>
  <c r="L939" i="19" a="1"/>
  <c r="L939" i="19" s="1"/>
  <c r="L940" i="19" a="1"/>
  <c r="L940" i="19" s="1"/>
  <c r="L941" i="19" a="1"/>
  <c r="L941" i="19" s="1"/>
  <c r="L942" i="19" a="1"/>
  <c r="L942" i="19" s="1"/>
  <c r="L943" i="19" a="1"/>
  <c r="L943" i="19" s="1"/>
  <c r="L944" i="19" a="1"/>
  <c r="L944" i="19" s="1"/>
  <c r="L945" i="19" a="1"/>
  <c r="L945" i="19" s="1"/>
  <c r="L946" i="19" a="1"/>
  <c r="L946" i="19" s="1"/>
  <c r="L947" i="19" a="1"/>
  <c r="L947" i="19" s="1"/>
  <c r="L948" i="19" a="1"/>
  <c r="L948" i="19" s="1"/>
  <c r="L949" i="19" a="1"/>
  <c r="L949" i="19" s="1"/>
  <c r="L950" i="19" a="1"/>
  <c r="L950" i="19" s="1"/>
  <c r="L951" i="19" a="1"/>
  <c r="L951" i="19" s="1"/>
  <c r="L952" i="19" a="1"/>
  <c r="L952" i="19" s="1"/>
  <c r="L953" i="19" a="1"/>
  <c r="L953" i="19" s="1"/>
  <c r="L954" i="19" a="1"/>
  <c r="L954" i="19" s="1"/>
  <c r="L955" i="19" a="1"/>
  <c r="L955" i="19" s="1"/>
  <c r="L956" i="19" a="1"/>
  <c r="L956" i="19" s="1"/>
  <c r="L957" i="19" a="1"/>
  <c r="L957" i="19" s="1"/>
  <c r="L958" i="19" a="1"/>
  <c r="L958" i="19" s="1"/>
  <c r="L959" i="19" a="1"/>
  <c r="L959" i="19" s="1"/>
  <c r="L960" i="19" a="1"/>
  <c r="L960" i="19" s="1"/>
  <c r="L961" i="19" a="1"/>
  <c r="L961" i="19" s="1"/>
  <c r="L962" i="19" a="1"/>
  <c r="L962" i="19" s="1"/>
  <c r="L963" i="19" a="1"/>
  <c r="L963" i="19" s="1"/>
  <c r="L964" i="19" a="1"/>
  <c r="L964" i="19" s="1"/>
  <c r="L965" i="19" a="1"/>
  <c r="L965" i="19" s="1"/>
  <c r="L966" i="19" a="1"/>
  <c r="L966" i="19" s="1"/>
  <c r="L967" i="19" a="1"/>
  <c r="L967" i="19" s="1"/>
  <c r="L968" i="19" a="1"/>
  <c r="L968" i="19" s="1"/>
  <c r="L969" i="19" a="1"/>
  <c r="L969" i="19" s="1"/>
  <c r="L970" i="19" a="1"/>
  <c r="L970" i="19" s="1"/>
  <c r="L971" i="19" a="1"/>
  <c r="L971" i="19" s="1"/>
  <c r="L972" i="19" a="1"/>
  <c r="L972" i="19" s="1"/>
  <c r="L973" i="19" a="1"/>
  <c r="L973" i="19" s="1"/>
  <c r="L974" i="19" a="1"/>
  <c r="L974" i="19" s="1"/>
  <c r="L975" i="19" a="1"/>
  <c r="L975" i="19" s="1"/>
  <c r="L976" i="19" a="1"/>
  <c r="L976" i="19" s="1"/>
  <c r="L977" i="19" a="1"/>
  <c r="L977" i="19" s="1"/>
  <c r="L978" i="19" a="1"/>
  <c r="L978" i="19" s="1"/>
  <c r="L979" i="19" a="1"/>
  <c r="L979" i="19" s="1"/>
  <c r="L980" i="19" a="1"/>
  <c r="L980" i="19" s="1"/>
  <c r="L981" i="19" a="1"/>
  <c r="L981" i="19" s="1"/>
  <c r="L982" i="19" a="1"/>
  <c r="L982" i="19" s="1"/>
  <c r="L983" i="19" a="1"/>
  <c r="L983" i="19" s="1"/>
  <c r="L984" i="19" a="1"/>
  <c r="L984" i="19" s="1"/>
  <c r="L985" i="19" a="1"/>
  <c r="L985" i="19" s="1"/>
  <c r="L986" i="19" a="1"/>
  <c r="L986" i="19" s="1"/>
  <c r="L987" i="19" a="1"/>
  <c r="L987" i="19" s="1"/>
  <c r="L988" i="19" a="1"/>
  <c r="L988" i="19" s="1"/>
  <c r="L989" i="19" a="1"/>
  <c r="L989" i="19" s="1"/>
  <c r="L990" i="19" a="1"/>
  <c r="L990" i="19" s="1"/>
  <c r="L991" i="19" a="1"/>
  <c r="L991" i="19" s="1"/>
  <c r="L992" i="19" a="1"/>
  <c r="L992" i="19" s="1"/>
  <c r="L993" i="19" a="1"/>
  <c r="L993" i="19" s="1"/>
  <c r="L994" i="19" a="1"/>
  <c r="L994" i="19" s="1"/>
  <c r="L995" i="19" a="1"/>
  <c r="L995" i="19" s="1"/>
  <c r="L996" i="19" a="1"/>
  <c r="L996" i="19" s="1"/>
  <c r="L997" i="19" a="1"/>
  <c r="L997" i="19" s="1"/>
  <c r="L998" i="19" a="1"/>
  <c r="L998" i="19" s="1"/>
  <c r="L999" i="19" a="1"/>
  <c r="L999" i="19" s="1"/>
  <c r="L1000" i="19" a="1"/>
  <c r="L1000" i="19" s="1"/>
  <c r="L1001" i="19" a="1"/>
  <c r="L1001" i="19" s="1"/>
  <c r="L1002" i="19" a="1"/>
  <c r="L1002" i="19" s="1"/>
  <c r="L1003" i="19" a="1"/>
  <c r="L1003" i="19" s="1"/>
  <c r="L1004" i="19" a="1"/>
  <c r="L1004" i="19" s="1"/>
  <c r="L1005" i="19" a="1"/>
  <c r="L1005" i="19" s="1"/>
  <c r="L1006" i="19" a="1"/>
  <c r="L1006" i="19" s="1"/>
  <c r="L1007" i="19" a="1"/>
  <c r="L1007" i="19" s="1"/>
  <c r="L1008" i="19" a="1"/>
  <c r="L1008" i="19" s="1"/>
  <c r="L1009" i="19" a="1"/>
  <c r="L1009" i="19" s="1"/>
  <c r="L1010" i="19" a="1"/>
  <c r="L1010" i="19" s="1"/>
  <c r="L1011" i="19" a="1"/>
  <c r="L1011" i="19" s="1"/>
  <c r="L1012" i="19" a="1"/>
  <c r="L1012" i="19" s="1"/>
  <c r="L1013" i="19" a="1"/>
  <c r="L1013" i="19" s="1"/>
  <c r="L1014" i="19" a="1"/>
  <c r="L1014" i="19" s="1"/>
  <c r="L1015" i="19" a="1"/>
  <c r="L1015" i="19" s="1"/>
  <c r="L1016" i="19" a="1"/>
  <c r="L1016" i="19" s="1"/>
  <c r="L1017" i="19" a="1"/>
  <c r="L1017" i="19" s="1"/>
  <c r="L1018" i="19" a="1"/>
  <c r="L1018" i="19" s="1"/>
  <c r="L1019" i="19" a="1"/>
  <c r="L1019" i="19" s="1"/>
  <c r="L1020" i="19" a="1"/>
  <c r="L1020" i="19" s="1"/>
  <c r="L1021" i="19" a="1"/>
  <c r="L1021" i="19" s="1"/>
  <c r="L1022" i="19" a="1"/>
  <c r="L1022" i="19" s="1"/>
  <c r="L1023" i="19" a="1"/>
  <c r="L1023" i="19" s="1"/>
  <c r="L1024" i="19" a="1"/>
  <c r="L1024" i="19" s="1"/>
  <c r="L1025" i="19" a="1"/>
  <c r="L1025" i="19" s="1"/>
  <c r="L1026" i="19" a="1"/>
  <c r="L1026" i="19" s="1"/>
  <c r="L1027" i="19" a="1"/>
  <c r="L1027" i="19" s="1"/>
  <c r="L1028" i="19" a="1"/>
  <c r="L1028" i="19" s="1"/>
  <c r="L1029" i="19" a="1"/>
  <c r="L1029" i="19" s="1"/>
  <c r="L1030" i="19" a="1"/>
  <c r="L1030" i="19" s="1"/>
  <c r="L1031" i="19" a="1"/>
  <c r="L1031" i="19" s="1"/>
  <c r="L1032" i="19" a="1"/>
  <c r="L1032" i="19" s="1"/>
  <c r="L1033" i="19" a="1"/>
  <c r="L1033" i="19" s="1"/>
  <c r="L1034" i="19" a="1"/>
  <c r="L1034" i="19" s="1"/>
  <c r="L1035" i="19" a="1"/>
  <c r="L1035" i="19" s="1"/>
  <c r="L1036" i="19" a="1"/>
  <c r="L1036" i="19" s="1"/>
  <c r="L1037" i="19" a="1"/>
  <c r="L1037" i="19" s="1"/>
  <c r="L1038" i="19" a="1"/>
  <c r="L1038" i="19" s="1"/>
  <c r="L1039" i="19" a="1"/>
  <c r="L1039" i="19" s="1"/>
  <c r="L1040" i="19" a="1"/>
  <c r="L1040" i="19" s="1"/>
  <c r="L1041" i="19" a="1"/>
  <c r="L1041" i="19" s="1"/>
  <c r="L1042" i="19" a="1"/>
  <c r="L1042" i="19" s="1"/>
  <c r="L1043" i="19" a="1"/>
  <c r="L1043" i="19" s="1"/>
  <c r="L1044" i="19" a="1"/>
  <c r="L1044" i="19" s="1"/>
  <c r="L1045" i="19" a="1"/>
  <c r="L1045" i="19" s="1"/>
  <c r="L1046" i="19" a="1"/>
  <c r="L1046" i="19" s="1"/>
  <c r="L1047" i="19" a="1"/>
  <c r="L1047" i="19" s="1"/>
  <c r="L1048" i="19" a="1"/>
  <c r="L1048" i="19" s="1"/>
  <c r="L1049" i="19" a="1"/>
  <c r="L1049" i="19" s="1"/>
  <c r="L1050" i="19" a="1"/>
  <c r="L1050" i="19" s="1"/>
  <c r="L1051" i="19" a="1"/>
  <c r="L1051" i="19" s="1"/>
  <c r="L1052" i="19" a="1"/>
  <c r="L1052" i="19" s="1"/>
  <c r="L1053" i="19" a="1"/>
  <c r="L1053" i="19" s="1"/>
  <c r="L1054" i="19" a="1"/>
  <c r="L1054" i="19" s="1"/>
  <c r="L1055" i="19" a="1"/>
  <c r="L1055" i="19" s="1"/>
  <c r="L1056" i="19" a="1"/>
  <c r="L1056" i="19" s="1"/>
  <c r="L1057" i="19" a="1"/>
  <c r="L1057" i="19" s="1"/>
  <c r="L1058" i="19" a="1"/>
  <c r="L1058" i="19" s="1"/>
  <c r="L1059" i="19" a="1"/>
  <c r="L1059" i="19" s="1"/>
  <c r="L1060" i="19" a="1"/>
  <c r="L1060" i="19" s="1"/>
  <c r="L1061" i="19" a="1"/>
  <c r="L1061" i="19" s="1"/>
  <c r="L1062" i="19" a="1"/>
  <c r="L1062" i="19" s="1"/>
  <c r="L1063" i="19" a="1"/>
  <c r="L1063" i="19" s="1"/>
  <c r="L1064" i="19" a="1"/>
  <c r="L1064" i="19" s="1"/>
  <c r="L1065" i="19" a="1"/>
  <c r="L1065" i="19" s="1"/>
  <c r="L1066" i="19" a="1"/>
  <c r="L1066" i="19" s="1"/>
  <c r="L1067" i="19" a="1"/>
  <c r="L1067" i="19" s="1"/>
  <c r="L1068" i="19" a="1"/>
  <c r="L1068" i="19" s="1"/>
  <c r="L1069" i="19" a="1"/>
  <c r="L1069" i="19" s="1"/>
  <c r="L1070" i="19" a="1"/>
  <c r="L1070" i="19" s="1"/>
  <c r="L1071" i="19" a="1"/>
  <c r="L1071" i="19" s="1"/>
  <c r="L1072" i="19" a="1"/>
  <c r="L1072" i="19" s="1"/>
  <c r="L1073" i="19" a="1"/>
  <c r="L1073" i="19" s="1"/>
  <c r="L1074" i="19" a="1"/>
  <c r="L1074" i="19" s="1"/>
  <c r="L1075" i="19" a="1"/>
  <c r="L1075" i="19" s="1"/>
  <c r="L1076" i="19" a="1"/>
  <c r="L1076" i="19" s="1"/>
  <c r="L1077" i="19" a="1"/>
  <c r="L1077" i="19" s="1"/>
  <c r="L1078" i="19" a="1"/>
  <c r="L1078" i="19" s="1"/>
  <c r="L1079" i="19" a="1"/>
  <c r="L1079" i="19" s="1"/>
  <c r="L1080" i="19" a="1"/>
  <c r="L1080" i="19" s="1"/>
  <c r="L1081" i="19" a="1"/>
  <c r="L1081" i="19" s="1"/>
  <c r="L1082" i="19" a="1"/>
  <c r="L1082" i="19" s="1"/>
  <c r="L1083" i="19" a="1"/>
  <c r="L1083" i="19" s="1"/>
  <c r="L1084" i="19" a="1"/>
  <c r="L1084" i="19" s="1"/>
  <c r="L1085" i="19" a="1"/>
  <c r="L1085" i="19" s="1"/>
  <c r="L1086" i="19" a="1"/>
  <c r="L1086" i="19" s="1"/>
  <c r="L1087" i="19" a="1"/>
  <c r="L1087" i="19" s="1"/>
  <c r="L1088" i="19" a="1"/>
  <c r="L1088" i="19" s="1"/>
  <c r="L1089" i="19" a="1"/>
  <c r="L1089" i="19" s="1"/>
  <c r="L1090" i="19" a="1"/>
  <c r="L1090" i="19" s="1"/>
  <c r="L1091" i="19" a="1"/>
  <c r="L1091" i="19" s="1"/>
  <c r="L1092" i="19" a="1"/>
  <c r="L1092" i="19" s="1"/>
  <c r="L1093" i="19" a="1"/>
  <c r="L1093" i="19" s="1"/>
  <c r="L1094" i="19" a="1"/>
  <c r="L1094" i="19" s="1"/>
  <c r="L1095" i="19" a="1"/>
  <c r="L1095" i="19" s="1"/>
  <c r="L1096" i="19" a="1"/>
  <c r="L1096" i="19" s="1"/>
  <c r="L1097" i="19" a="1"/>
  <c r="L1097" i="19" s="1"/>
  <c r="L1098" i="19" a="1"/>
  <c r="L1098" i="19" s="1"/>
  <c r="L1099" i="19" a="1"/>
  <c r="L1099" i="19" s="1"/>
  <c r="L1100" i="19" a="1"/>
  <c r="L1100" i="19" s="1"/>
  <c r="L1101" i="19" a="1"/>
  <c r="L1101" i="19" s="1"/>
  <c r="L1102" i="19" a="1"/>
  <c r="L1102" i="19" s="1"/>
  <c r="L1103" i="19" a="1"/>
  <c r="L1103" i="19" s="1"/>
  <c r="L1104" i="19" a="1"/>
  <c r="L1104" i="19" s="1"/>
  <c r="L1105" i="19" a="1"/>
  <c r="L1105" i="19" s="1"/>
  <c r="L1106" i="19" a="1"/>
  <c r="L1106" i="19" s="1"/>
  <c r="L1107" i="19" a="1"/>
  <c r="L1107" i="19" s="1"/>
  <c r="L1108" i="19" a="1"/>
  <c r="L1108" i="19" s="1"/>
  <c r="L1109" i="19" a="1"/>
  <c r="L1109" i="19" s="1"/>
  <c r="L1110" i="19" a="1"/>
  <c r="L1110" i="19" s="1"/>
  <c r="L1111" i="19" a="1"/>
  <c r="L1111" i="19" s="1"/>
  <c r="L1112" i="19" a="1"/>
  <c r="L1112" i="19" s="1"/>
  <c r="L1113" i="19" a="1"/>
  <c r="L1113" i="19" s="1"/>
  <c r="L1114" i="19" a="1"/>
  <c r="L1114" i="19" s="1"/>
  <c r="L1115" i="19" a="1"/>
  <c r="L1115" i="19" s="1"/>
  <c r="L1116" i="19" a="1"/>
  <c r="L1116" i="19" s="1"/>
  <c r="L1117" i="19" a="1"/>
  <c r="L1117" i="19" s="1"/>
  <c r="L1118" i="19" a="1"/>
  <c r="L1118" i="19" s="1"/>
  <c r="L1119" i="19" a="1"/>
  <c r="L1119" i="19" s="1"/>
  <c r="L1120" i="19" a="1"/>
  <c r="L1120" i="19" s="1"/>
  <c r="L1121" i="19" a="1"/>
  <c r="L1121" i="19" s="1"/>
  <c r="L1122" i="19" a="1"/>
  <c r="L1122" i="19" s="1"/>
  <c r="L1123" i="19" a="1"/>
  <c r="L1123" i="19" s="1"/>
  <c r="L1124" i="19" a="1"/>
  <c r="L1124" i="19" s="1"/>
  <c r="L1125" i="19" a="1"/>
  <c r="L1125" i="19" s="1"/>
  <c r="L1126" i="19" a="1"/>
  <c r="L1126" i="19" s="1"/>
  <c r="L1127" i="19" a="1"/>
  <c r="L1127" i="19" s="1"/>
  <c r="L1128" i="19" a="1"/>
  <c r="L1128" i="19" s="1"/>
  <c r="L1129" i="19" a="1"/>
  <c r="L1129" i="19" s="1"/>
  <c r="L1130" i="19" a="1"/>
  <c r="L1130" i="19" s="1"/>
  <c r="L1131" i="19" a="1"/>
  <c r="L1131" i="19" s="1"/>
  <c r="L1132" i="19" a="1"/>
  <c r="L1132" i="19" s="1"/>
  <c r="L1133" i="19" a="1"/>
  <c r="L1133" i="19" s="1"/>
  <c r="L1134" i="19" a="1"/>
  <c r="L1134" i="19" s="1"/>
  <c r="L1135" i="19" a="1"/>
  <c r="L1135" i="19" s="1"/>
  <c r="L1136" i="19" a="1"/>
  <c r="L1136" i="19" s="1"/>
  <c r="L1137" i="19" a="1"/>
  <c r="L1137" i="19" s="1"/>
  <c r="L1138" i="19" a="1"/>
  <c r="L1138" i="19" s="1"/>
  <c r="L1139" i="19" a="1"/>
  <c r="L1139" i="19" s="1"/>
  <c r="L1140" i="19" a="1"/>
  <c r="L1140" i="19" s="1"/>
  <c r="L1141" i="19" a="1"/>
  <c r="L1141" i="19" s="1"/>
  <c r="L1142" i="19" a="1"/>
  <c r="L1142" i="19" s="1"/>
  <c r="L1143" i="19" a="1"/>
  <c r="L1143" i="19" s="1"/>
  <c r="L1144" i="19" a="1"/>
  <c r="L1144" i="19" s="1"/>
  <c r="L1145" i="19" a="1"/>
  <c r="L1145" i="19" s="1"/>
  <c r="L1146" i="19" a="1"/>
  <c r="L1146" i="19" s="1"/>
  <c r="L1147" i="19" a="1"/>
  <c r="L1147" i="19" s="1"/>
  <c r="L1148" i="19" a="1"/>
  <c r="L1148" i="19" s="1"/>
  <c r="L1149" i="19" a="1"/>
  <c r="L1149" i="19" s="1"/>
  <c r="L1150" i="19" a="1"/>
  <c r="L1150" i="19" s="1"/>
  <c r="L1151" i="19" a="1"/>
  <c r="L1151" i="19" s="1"/>
  <c r="L1152" i="19" a="1"/>
  <c r="L1152" i="19" s="1"/>
  <c r="L1153" i="19" a="1"/>
  <c r="L1153" i="19" s="1"/>
  <c r="L1154" i="19" a="1"/>
  <c r="L1154" i="19" s="1"/>
  <c r="L1155" i="19" a="1"/>
  <c r="L1155" i="19" s="1"/>
  <c r="L1156" i="19" a="1"/>
  <c r="L1156" i="19" s="1"/>
  <c r="L1157" i="19" a="1"/>
  <c r="L1157" i="19" s="1"/>
  <c r="L1158" i="19" a="1"/>
  <c r="L1158" i="19" s="1"/>
  <c r="L1159" i="19" a="1"/>
  <c r="L1159" i="19" s="1"/>
  <c r="L1160" i="19" a="1"/>
  <c r="L1160" i="19" s="1"/>
  <c r="L1161" i="19" a="1"/>
  <c r="L1161" i="19" s="1"/>
  <c r="L1162" i="19" a="1"/>
  <c r="L1162" i="19" s="1"/>
  <c r="L1163" i="19" a="1"/>
  <c r="L1163" i="19" s="1"/>
  <c r="L1164" i="19" a="1"/>
  <c r="L1164" i="19" s="1"/>
  <c r="L1165" i="19" a="1"/>
  <c r="L1165" i="19" s="1"/>
  <c r="L1166" i="19" a="1"/>
  <c r="L1166" i="19" s="1"/>
  <c r="L1167" i="19" a="1"/>
  <c r="L1167" i="19" s="1"/>
  <c r="L1168" i="19" a="1"/>
  <c r="L1168" i="19" s="1"/>
  <c r="L1169" i="19" a="1"/>
  <c r="L1169" i="19" s="1"/>
  <c r="L1170" i="19" a="1"/>
  <c r="L1170" i="19" s="1"/>
  <c r="L1171" i="19" a="1"/>
  <c r="L1171" i="19" s="1"/>
  <c r="L1172" i="19" a="1"/>
  <c r="L1172" i="19" s="1"/>
  <c r="L1173" i="19" a="1"/>
  <c r="L1173" i="19" s="1"/>
  <c r="L1174" i="19" a="1"/>
  <c r="L1174" i="19" s="1"/>
  <c r="L1175" i="19" a="1"/>
  <c r="L1175" i="19" s="1"/>
  <c r="L1176" i="19" a="1"/>
  <c r="L1176" i="19" s="1"/>
  <c r="L1177" i="19" a="1"/>
  <c r="L1177" i="19" s="1"/>
  <c r="L1178" i="19" a="1"/>
  <c r="L1178" i="19" s="1"/>
  <c r="L1179" i="19" a="1"/>
  <c r="L1179" i="19" s="1"/>
  <c r="L1180" i="19" a="1"/>
  <c r="L1180" i="19" s="1"/>
  <c r="L1181" i="19" a="1"/>
  <c r="L1181" i="19" s="1"/>
  <c r="L1182" i="19" a="1"/>
  <c r="L1182" i="19" s="1"/>
  <c r="L1183" i="19" a="1"/>
  <c r="L1183" i="19" s="1"/>
  <c r="L1184" i="19" a="1"/>
  <c r="L1184" i="19" s="1"/>
  <c r="L1185" i="19" a="1"/>
  <c r="L1185" i="19" s="1"/>
  <c r="L1186" i="19" a="1"/>
  <c r="L1186" i="19" s="1"/>
  <c r="L1187" i="19" a="1"/>
  <c r="L1187" i="19" s="1"/>
  <c r="L1188" i="19" a="1"/>
  <c r="L1188" i="19" s="1"/>
  <c r="L1189" i="19" a="1"/>
  <c r="L1189" i="19" s="1"/>
  <c r="L1190" i="19" a="1"/>
  <c r="L1190" i="19" s="1"/>
  <c r="L1191" i="19" a="1"/>
  <c r="L1191" i="19" s="1"/>
  <c r="L1192" i="19" a="1"/>
  <c r="L1192" i="19" s="1"/>
  <c r="L1193" i="19" a="1"/>
  <c r="L1193" i="19" s="1"/>
  <c r="L1194" i="19" a="1"/>
  <c r="L1194" i="19" s="1"/>
  <c r="L1195" i="19" a="1"/>
  <c r="L1195" i="19" s="1"/>
  <c r="L1196" i="19" a="1"/>
  <c r="L1196" i="19" s="1"/>
  <c r="L1197" i="19" a="1"/>
  <c r="L1197" i="19" s="1"/>
  <c r="L1198" i="19" a="1"/>
  <c r="L1198" i="19" s="1"/>
  <c r="L1199" i="19" a="1"/>
  <c r="L1199" i="19" s="1"/>
  <c r="L1200" i="19" a="1"/>
  <c r="L1200" i="19" s="1"/>
  <c r="L1201" i="19" a="1"/>
  <c r="L1201" i="19" s="1"/>
  <c r="L1202" i="19" a="1"/>
  <c r="L1202" i="19" s="1"/>
  <c r="L1203" i="19" a="1"/>
  <c r="L1203" i="19" s="1"/>
  <c r="L1204" i="19" a="1"/>
  <c r="L1204" i="19" s="1"/>
  <c r="L1205" i="19" a="1"/>
  <c r="L1205" i="19" s="1"/>
  <c r="L1206" i="19" a="1"/>
  <c r="L1206" i="19" s="1"/>
  <c r="L1207" i="19" a="1"/>
  <c r="L1207" i="19" s="1"/>
  <c r="L1208" i="19" a="1"/>
  <c r="L1208" i="19" s="1"/>
  <c r="L1209" i="19" a="1"/>
  <c r="L1209" i="19" s="1"/>
  <c r="L1210" i="19" a="1"/>
  <c r="L1210" i="19" s="1"/>
  <c r="L1211" i="19" a="1"/>
  <c r="L1211" i="19" s="1"/>
  <c r="L1212" i="19" a="1"/>
  <c r="L1212" i="19" s="1"/>
  <c r="L1213" i="19" a="1"/>
  <c r="L1213" i="19" s="1"/>
  <c r="L1214" i="19" a="1"/>
  <c r="L1214" i="19" s="1"/>
  <c r="L1215" i="19" a="1"/>
  <c r="L1215" i="19" s="1"/>
  <c r="L1216" i="19" a="1"/>
  <c r="L1216" i="19" s="1"/>
  <c r="L1217" i="19" a="1"/>
  <c r="L1217" i="19" s="1"/>
  <c r="L1218" i="19" a="1"/>
  <c r="L1218" i="19" s="1"/>
  <c r="L1219" i="19" a="1"/>
  <c r="L1219" i="19" s="1"/>
  <c r="L1220" i="19" a="1"/>
  <c r="L1220" i="19" s="1"/>
  <c r="L1221" i="19" a="1"/>
  <c r="L1221" i="19" s="1"/>
  <c r="L1222" i="19" a="1"/>
  <c r="L1222" i="19" s="1"/>
  <c r="L1223" i="19" a="1"/>
  <c r="L1223" i="19" s="1"/>
  <c r="L1224" i="19" a="1"/>
  <c r="L1224" i="19" s="1"/>
  <c r="L1225" i="19" a="1"/>
  <c r="L1225" i="19" s="1"/>
  <c r="L1226" i="19" a="1"/>
  <c r="L1226" i="19" s="1"/>
  <c r="L1227" i="19" a="1"/>
  <c r="L1227" i="19" s="1"/>
  <c r="L1228" i="19" a="1"/>
  <c r="L1228" i="19" s="1"/>
  <c r="L1229" i="19" a="1"/>
  <c r="L1229" i="19" s="1"/>
  <c r="L1230" i="19" a="1"/>
  <c r="L1230" i="19" s="1"/>
  <c r="L1231" i="19" a="1"/>
  <c r="L1231" i="19" s="1"/>
  <c r="L1232" i="19" a="1"/>
  <c r="L1232" i="19" s="1"/>
  <c r="L1233" i="19" a="1"/>
  <c r="L1233" i="19" s="1"/>
  <c r="L1234" i="19" a="1"/>
  <c r="L1234" i="19" s="1"/>
  <c r="L1235" i="19" a="1"/>
  <c r="L1235" i="19" s="1"/>
  <c r="L1236" i="19" a="1"/>
  <c r="L1236" i="19" s="1"/>
  <c r="L1237" i="19" a="1"/>
  <c r="L1237" i="19" s="1"/>
  <c r="L1238" i="19" a="1"/>
  <c r="L1238" i="19" s="1"/>
  <c r="L1239" i="19" a="1"/>
  <c r="L1239" i="19" s="1"/>
  <c r="L1240" i="19" a="1"/>
  <c r="L1240" i="19" s="1"/>
  <c r="L1241" i="19" a="1"/>
  <c r="L1241" i="19" s="1"/>
  <c r="L1242" i="19" a="1"/>
  <c r="L1242" i="19" s="1"/>
  <c r="L1243" i="19" a="1"/>
  <c r="L1243" i="19" s="1"/>
  <c r="L1244" i="19" a="1"/>
  <c r="L1244" i="19" s="1"/>
  <c r="L1245" i="19" a="1"/>
  <c r="L1245" i="19" s="1"/>
  <c r="L1246" i="19" a="1"/>
  <c r="L1246" i="19" s="1"/>
  <c r="L1247" i="19" a="1"/>
  <c r="L1247" i="19" s="1"/>
  <c r="L1248" i="19" a="1"/>
  <c r="L1248" i="19" s="1"/>
  <c r="L1249" i="19" a="1"/>
  <c r="L1249" i="19" s="1"/>
  <c r="L1250" i="19" a="1"/>
  <c r="L1250" i="19" s="1"/>
  <c r="L1251" i="19" a="1"/>
  <c r="L1251" i="19" s="1"/>
  <c r="L1252" i="19" a="1"/>
  <c r="L1252" i="19" s="1"/>
  <c r="L1253" i="19" a="1"/>
  <c r="L1253" i="19" s="1"/>
  <c r="L1254" i="19" a="1"/>
  <c r="L1254" i="19" s="1"/>
  <c r="L1255" i="19" a="1"/>
  <c r="L1255" i="19" s="1"/>
  <c r="L1256" i="19" a="1"/>
  <c r="L1256" i="19" s="1"/>
  <c r="L1257" i="19" a="1"/>
  <c r="L1257" i="19" s="1"/>
  <c r="L1258" i="19" a="1"/>
  <c r="L1258" i="19" s="1"/>
  <c r="L1259" i="19" a="1"/>
  <c r="L1259" i="19" s="1"/>
  <c r="L1260" i="19" a="1"/>
  <c r="L1260" i="19" s="1"/>
  <c r="L1261" i="19" a="1"/>
  <c r="L1261" i="19" s="1"/>
  <c r="L1262" i="19" a="1"/>
  <c r="L1262" i="19" s="1"/>
  <c r="L1263" i="19" a="1"/>
  <c r="L1263" i="19" s="1"/>
  <c r="L1264" i="19" a="1"/>
  <c r="L1264" i="19" s="1"/>
  <c r="L1265" i="19" a="1"/>
  <c r="L1265" i="19" s="1"/>
  <c r="L1266" i="19" a="1"/>
  <c r="L1266" i="19" s="1"/>
  <c r="L1267" i="19" a="1"/>
  <c r="L1267" i="19" s="1"/>
  <c r="L1268" i="19" a="1"/>
  <c r="L1268" i="19" s="1"/>
  <c r="L1269" i="19" a="1"/>
  <c r="L1269" i="19" s="1"/>
  <c r="L1270" i="19" a="1"/>
  <c r="L1270" i="19" s="1"/>
  <c r="L1271" i="19" a="1"/>
  <c r="L1271" i="19" s="1"/>
  <c r="L1272" i="19" a="1"/>
  <c r="L1272" i="19" s="1"/>
  <c r="L1273" i="19" a="1"/>
  <c r="L1273" i="19" s="1"/>
  <c r="L1274" i="19" a="1"/>
  <c r="L1274" i="19" s="1"/>
  <c r="L1275" i="19" a="1"/>
  <c r="L1275" i="19" s="1"/>
  <c r="L1276" i="19" a="1"/>
  <c r="L1276" i="19" s="1"/>
  <c r="L1277" i="19" a="1"/>
  <c r="L1277" i="19" s="1"/>
  <c r="L1278" i="19" a="1"/>
  <c r="L1278" i="19" s="1"/>
  <c r="L1279" i="19" a="1"/>
  <c r="L1279" i="19" s="1"/>
  <c r="L1280" i="19" a="1"/>
  <c r="L1280" i="19" s="1"/>
  <c r="L1281" i="19" a="1"/>
  <c r="L1281" i="19" s="1"/>
  <c r="L1282" i="19" a="1"/>
  <c r="L1282" i="19" s="1"/>
  <c r="L1283" i="19" a="1"/>
  <c r="L1283" i="19" s="1"/>
  <c r="L1284" i="19" a="1"/>
  <c r="L1284" i="19" s="1"/>
  <c r="L1285" i="19" a="1"/>
  <c r="L1285" i="19" s="1"/>
  <c r="L1286" i="19" a="1"/>
  <c r="L1286" i="19" s="1"/>
  <c r="L1287" i="19" a="1"/>
  <c r="L1287" i="19" s="1"/>
  <c r="L1288" i="19" a="1"/>
  <c r="L1288" i="19" s="1"/>
  <c r="L1289" i="19" a="1"/>
  <c r="L1289" i="19" s="1"/>
  <c r="L1290" i="19" a="1"/>
  <c r="L1290" i="19" s="1"/>
  <c r="L1291" i="19" a="1"/>
  <c r="L1291" i="19" s="1"/>
  <c r="L1292" i="19" a="1"/>
  <c r="L1292" i="19" s="1"/>
  <c r="L1293" i="19" a="1"/>
  <c r="L1293" i="19" s="1"/>
  <c r="L1294" i="19" a="1"/>
  <c r="L1294" i="19" s="1"/>
  <c r="L1295" i="19" a="1"/>
  <c r="L1295" i="19" s="1"/>
  <c r="L1296" i="19" a="1"/>
  <c r="L1296" i="19" s="1"/>
  <c r="L1297" i="19" a="1"/>
  <c r="L1297" i="19" s="1"/>
  <c r="L1298" i="19" a="1"/>
  <c r="L1298" i="19" s="1"/>
  <c r="L1299" i="19" a="1"/>
  <c r="L1299" i="19" s="1"/>
  <c r="L1300" i="19" a="1"/>
  <c r="L1300" i="19" s="1"/>
  <c r="L1301" i="19" a="1"/>
  <c r="L1301" i="19" s="1"/>
  <c r="L1302" i="19" a="1"/>
  <c r="L1302" i="19" s="1"/>
  <c r="L1303" i="19" a="1"/>
  <c r="L1303" i="19" s="1"/>
  <c r="L1304" i="19" a="1"/>
  <c r="L1304" i="19" s="1"/>
  <c r="L1305" i="19" a="1"/>
  <c r="L1305" i="19" s="1"/>
  <c r="L1306" i="19" a="1"/>
  <c r="L1306" i="19" s="1"/>
  <c r="L1307" i="19" a="1"/>
  <c r="L1307" i="19" s="1"/>
  <c r="L1308" i="19" a="1"/>
  <c r="L1308" i="19" s="1"/>
  <c r="L1309" i="19" a="1"/>
  <c r="L1309" i="19" s="1"/>
  <c r="L1310" i="19" a="1"/>
  <c r="L1310" i="19" s="1"/>
  <c r="L1311" i="19" a="1"/>
  <c r="L1311" i="19" s="1"/>
  <c r="L1312" i="19" a="1"/>
  <c r="L1312" i="19" s="1"/>
  <c r="L1313" i="19" a="1"/>
  <c r="L1313" i="19" s="1"/>
  <c r="L1314" i="19" a="1"/>
  <c r="L1314" i="19" s="1"/>
  <c r="L1315" i="19" a="1"/>
  <c r="L1315" i="19" s="1"/>
  <c r="L1316" i="19" a="1"/>
  <c r="L1316" i="19" s="1"/>
  <c r="L1317" i="19" a="1"/>
  <c r="L1317" i="19" s="1"/>
  <c r="L1318" i="19" a="1"/>
  <c r="L1318" i="19" s="1"/>
  <c r="L1319" i="19" a="1"/>
  <c r="L1319" i="19" s="1"/>
  <c r="L1320" i="19" a="1"/>
  <c r="L1320" i="19" s="1"/>
  <c r="L1321" i="19" a="1"/>
  <c r="L1321" i="19" s="1"/>
  <c r="L1322" i="19" a="1"/>
  <c r="L1322" i="19" s="1"/>
  <c r="L1323" i="19" a="1"/>
  <c r="L1323" i="19" s="1"/>
  <c r="L1324" i="19" a="1"/>
  <c r="L1324" i="19" s="1"/>
  <c r="L1325" i="19" a="1"/>
  <c r="L1325" i="19" s="1"/>
  <c r="L1326" i="19" a="1"/>
  <c r="L1326" i="19" s="1"/>
  <c r="L1327" i="19" a="1"/>
  <c r="L1327" i="19" s="1"/>
  <c r="L1328" i="19" a="1"/>
  <c r="L1328" i="19" s="1"/>
  <c r="L1329" i="19" a="1"/>
  <c r="L1329" i="19" s="1"/>
  <c r="L1330" i="19" a="1"/>
  <c r="L1330" i="19" s="1"/>
  <c r="L1331" i="19" a="1"/>
  <c r="L1331" i="19" s="1"/>
  <c r="L1332" i="19" a="1"/>
  <c r="L1332" i="19" s="1"/>
  <c r="L1333" i="19" a="1"/>
  <c r="L1333" i="19" s="1"/>
  <c r="L1334" i="19" a="1"/>
  <c r="L1334" i="19" s="1"/>
  <c r="L1335" i="19" a="1"/>
  <c r="L1335" i="19" s="1"/>
  <c r="L1336" i="19" a="1"/>
  <c r="L1336" i="19" s="1"/>
  <c r="L1337" i="19" a="1"/>
  <c r="L1337" i="19" s="1"/>
  <c r="L1338" i="19" a="1"/>
  <c r="L1338" i="19" s="1"/>
  <c r="L1339" i="19" a="1"/>
  <c r="L1339" i="19" s="1"/>
  <c r="L1340" i="19" a="1"/>
  <c r="L1340" i="19" s="1"/>
  <c r="L1341" i="19" a="1"/>
  <c r="L1341" i="19" s="1"/>
  <c r="L1342" i="19" a="1"/>
  <c r="L1342" i="19" s="1"/>
  <c r="L1343" i="19" a="1"/>
  <c r="L1343" i="19" s="1"/>
  <c r="L1344" i="19" a="1"/>
  <c r="L1344" i="19" s="1"/>
  <c r="L1345" i="19" a="1"/>
  <c r="L1345" i="19" s="1"/>
  <c r="L1346" i="19" a="1"/>
  <c r="L1346" i="19" s="1"/>
  <c r="L1347" i="19" a="1"/>
  <c r="L1347" i="19" s="1"/>
  <c r="L1348" i="19" a="1"/>
  <c r="L1348" i="19" s="1"/>
  <c r="L1349" i="19" a="1"/>
  <c r="L1349" i="19" s="1"/>
  <c r="L1350" i="19" a="1"/>
  <c r="L1350" i="19" s="1"/>
  <c r="L1351" i="19" a="1"/>
  <c r="L1351" i="19" s="1"/>
  <c r="L1352" i="19" a="1"/>
  <c r="L1352" i="19" s="1"/>
  <c r="L1353" i="19" a="1"/>
  <c r="L1353" i="19" s="1"/>
  <c r="L1354" i="19" a="1"/>
  <c r="L1354" i="19" s="1"/>
  <c r="L1355" i="19" a="1"/>
  <c r="L1355" i="19" s="1"/>
  <c r="L1356" i="19" a="1"/>
  <c r="L1356" i="19" s="1"/>
  <c r="L1357" i="19" a="1"/>
  <c r="L1357" i="19" s="1"/>
  <c r="L1358" i="19" a="1"/>
  <c r="L1358" i="19" s="1"/>
  <c r="L1359" i="19" a="1"/>
  <c r="L1359" i="19" s="1"/>
  <c r="L1360" i="19" a="1"/>
  <c r="L1360" i="19" s="1"/>
  <c r="L1361" i="19" a="1"/>
  <c r="L1361" i="19" s="1"/>
  <c r="L1362" i="19" a="1"/>
  <c r="L1362" i="19" s="1"/>
  <c r="L1363" i="19" a="1"/>
  <c r="L1363" i="19" s="1"/>
  <c r="L1364" i="19" a="1"/>
  <c r="L1364" i="19" s="1"/>
  <c r="L1365" i="19" a="1"/>
  <c r="L1365" i="19" s="1"/>
  <c r="L1366" i="19" a="1"/>
  <c r="L1366" i="19" s="1"/>
  <c r="L1367" i="19" a="1"/>
  <c r="L1367" i="19" s="1"/>
  <c r="L1368" i="19" a="1"/>
  <c r="L1368" i="19" s="1"/>
  <c r="L1369" i="19" a="1"/>
  <c r="L1369" i="19" s="1"/>
  <c r="L1370" i="19" a="1"/>
  <c r="L1370" i="19" s="1"/>
  <c r="L1371" i="19" a="1"/>
  <c r="L1371" i="19" s="1"/>
  <c r="L1372" i="19" a="1"/>
  <c r="L1372" i="19" s="1"/>
  <c r="L1373" i="19" a="1"/>
  <c r="L1373" i="19" s="1"/>
  <c r="L1374" i="19" a="1"/>
  <c r="L1374" i="19" s="1"/>
  <c r="L1375" i="19" a="1"/>
  <c r="L1375" i="19" s="1"/>
  <c r="L1376" i="19" a="1"/>
  <c r="L1376" i="19" s="1"/>
  <c r="L1377" i="19" a="1"/>
  <c r="L1377" i="19" s="1"/>
  <c r="L1378" i="19" a="1"/>
  <c r="L1378" i="19" s="1"/>
  <c r="L1379" i="19" a="1"/>
  <c r="L1379" i="19" s="1"/>
  <c r="L1380" i="19" a="1"/>
  <c r="L1380" i="19" s="1"/>
  <c r="L1381" i="19" a="1"/>
  <c r="L1381" i="19" s="1"/>
  <c r="L1382" i="19" a="1"/>
  <c r="L1382" i="19" s="1"/>
  <c r="L1383" i="19" a="1"/>
  <c r="L1383" i="19" s="1"/>
  <c r="L1384" i="19" a="1"/>
  <c r="L1384" i="19" s="1"/>
  <c r="L1385" i="19" a="1"/>
  <c r="L1385" i="19" s="1"/>
  <c r="L1386" i="19" a="1"/>
  <c r="L1386" i="19" s="1"/>
  <c r="L1387" i="19" a="1"/>
  <c r="L1387" i="19" s="1"/>
  <c r="L1388" i="19" a="1"/>
  <c r="L1388" i="19" s="1"/>
  <c r="L1389" i="19" a="1"/>
  <c r="L1389" i="19" s="1"/>
  <c r="L1390" i="19" a="1"/>
  <c r="L1390" i="19" s="1"/>
  <c r="L1391" i="19" a="1"/>
  <c r="L1391" i="19" s="1"/>
  <c r="L1392" i="19" a="1"/>
  <c r="L1392" i="19" s="1"/>
  <c r="L1393" i="19" a="1"/>
  <c r="L1393" i="19" s="1"/>
  <c r="L1394" i="19" a="1"/>
  <c r="L1394" i="19" s="1"/>
  <c r="L1395" i="19" a="1"/>
  <c r="L1395" i="19" s="1"/>
  <c r="L1396" i="19" a="1"/>
  <c r="L1396" i="19" s="1"/>
  <c r="L1397" i="19" a="1"/>
  <c r="L1397" i="19" s="1"/>
  <c r="L1398" i="19" a="1"/>
  <c r="L1398" i="19" s="1"/>
  <c r="L1399" i="19" a="1"/>
  <c r="L1399" i="19" s="1"/>
  <c r="L1400" i="19" a="1"/>
  <c r="L1400" i="19" s="1"/>
  <c r="L1401" i="19" a="1"/>
  <c r="L1401" i="19" s="1"/>
  <c r="L1402" i="19" a="1"/>
  <c r="L1402" i="19" s="1"/>
  <c r="L1403" i="19" a="1"/>
  <c r="L1403" i="19" s="1"/>
  <c r="L1404" i="19" a="1"/>
  <c r="L1404" i="19" s="1"/>
  <c r="L1405" i="19" a="1"/>
  <c r="L1405" i="19" s="1"/>
  <c r="L1406" i="19" a="1"/>
  <c r="L1406" i="19" s="1"/>
  <c r="L1407" i="19" a="1"/>
  <c r="L1407" i="19" s="1"/>
  <c r="L1408" i="19" a="1"/>
  <c r="L1408" i="19" s="1"/>
  <c r="L1409" i="19" a="1"/>
  <c r="L1409" i="19" s="1"/>
  <c r="L1410" i="19" a="1"/>
  <c r="L1410" i="19" s="1"/>
  <c r="L1411" i="19" a="1"/>
  <c r="L1411" i="19" s="1"/>
  <c r="L1412" i="19" a="1"/>
  <c r="L1412" i="19" s="1"/>
  <c r="L1413" i="19" a="1"/>
  <c r="L1413" i="19" s="1"/>
  <c r="L1414" i="19" a="1"/>
  <c r="L1414" i="19" s="1"/>
  <c r="L1415" i="19" a="1"/>
  <c r="L1415" i="19" s="1"/>
  <c r="L1416" i="19" a="1"/>
  <c r="L1416" i="19" s="1"/>
  <c r="L1417" i="19" a="1"/>
  <c r="L1417" i="19" s="1"/>
  <c r="L1418" i="19" a="1"/>
  <c r="L1418" i="19" s="1"/>
  <c r="L1419" i="19" a="1"/>
  <c r="L1419" i="19" s="1"/>
  <c r="L1420" i="19" a="1"/>
  <c r="L1420" i="19" s="1"/>
  <c r="L1421" i="19" a="1"/>
  <c r="L1421" i="19" s="1"/>
  <c r="L1422" i="19" a="1"/>
  <c r="L1422" i="19" s="1"/>
  <c r="L1423" i="19" a="1"/>
  <c r="L1423" i="19" s="1"/>
  <c r="L1424" i="19" a="1"/>
  <c r="L1424" i="19" s="1"/>
  <c r="L1425" i="19" a="1"/>
  <c r="L1425" i="19" s="1"/>
  <c r="L1426" i="19" a="1"/>
  <c r="L1426" i="19" s="1"/>
  <c r="L1427" i="19" a="1"/>
  <c r="L1427" i="19" s="1"/>
  <c r="L1428" i="19" a="1"/>
  <c r="L1428" i="19" s="1"/>
  <c r="L1429" i="19" a="1"/>
  <c r="L1429" i="19" s="1"/>
  <c r="L1430" i="19" a="1"/>
  <c r="L1430" i="19" s="1"/>
  <c r="L1431" i="19" a="1"/>
  <c r="L1431" i="19" s="1"/>
  <c r="L1432" i="19" a="1"/>
  <c r="L1432" i="19" s="1"/>
  <c r="L1433" i="19" a="1"/>
  <c r="L1433" i="19" s="1"/>
  <c r="L1434" i="19" a="1"/>
  <c r="L1434" i="19" s="1"/>
  <c r="L1435" i="19" a="1"/>
  <c r="L1435" i="19" s="1"/>
  <c r="L1436" i="19" a="1"/>
  <c r="L1436" i="19" s="1"/>
  <c r="L1437" i="19" a="1"/>
  <c r="L1437" i="19" s="1"/>
  <c r="L1438" i="19" a="1"/>
  <c r="L1438" i="19" s="1"/>
  <c r="L1439" i="19" a="1"/>
  <c r="L1439" i="19" s="1"/>
  <c r="L1440" i="19" a="1"/>
  <c r="L1440" i="19" s="1"/>
  <c r="L1441" i="19" a="1"/>
  <c r="L1441" i="19" s="1"/>
  <c r="L1442" i="19" a="1"/>
  <c r="L1442" i="19" s="1"/>
  <c r="L1443" i="19" a="1"/>
  <c r="L1443" i="19" s="1"/>
  <c r="L1444" i="19" a="1"/>
  <c r="L1444" i="19" s="1"/>
  <c r="L1445" i="19" a="1"/>
  <c r="L1445" i="19" s="1"/>
  <c r="L1446" i="19" a="1"/>
  <c r="L1446" i="19" s="1"/>
  <c r="L1447" i="19" a="1"/>
  <c r="L1447" i="19" s="1"/>
  <c r="L1448" i="19" a="1"/>
  <c r="L1448" i="19" s="1"/>
  <c r="L1449" i="19" a="1"/>
  <c r="L1449" i="19" s="1"/>
  <c r="L1450" i="19" a="1"/>
  <c r="L1450" i="19" s="1"/>
  <c r="L1451" i="19" a="1"/>
  <c r="L1451" i="19" s="1"/>
  <c r="L1452" i="19" a="1"/>
  <c r="L1452" i="19" s="1"/>
  <c r="L1453" i="19" a="1"/>
  <c r="L1453" i="19" s="1"/>
  <c r="L1454" i="19" a="1"/>
  <c r="L1454" i="19" s="1"/>
  <c r="L1455" i="19" a="1"/>
  <c r="L1455" i="19" s="1"/>
  <c r="L1456" i="19" a="1"/>
  <c r="L1456" i="19" s="1"/>
  <c r="L1457" i="19" a="1"/>
  <c r="L1457" i="19" s="1"/>
  <c r="L1458" i="19" a="1"/>
  <c r="L1458" i="19" s="1"/>
  <c r="L1459" i="19" a="1"/>
  <c r="L1459" i="19" s="1"/>
  <c r="L1460" i="19" a="1"/>
  <c r="L1460" i="19" s="1"/>
  <c r="L1461" i="19" a="1"/>
  <c r="L1461" i="19" s="1"/>
  <c r="L1462" i="19" a="1"/>
  <c r="L1462" i="19" s="1"/>
  <c r="L1463" i="19" a="1"/>
  <c r="L1463" i="19" s="1"/>
  <c r="L1464" i="19" a="1"/>
  <c r="L1464" i="19" s="1"/>
  <c r="L1465" i="19" a="1"/>
  <c r="L1465" i="19" s="1"/>
  <c r="L1466" i="19" a="1"/>
  <c r="L1466" i="19" s="1"/>
  <c r="L1467" i="19" a="1"/>
  <c r="L1467" i="19" s="1"/>
  <c r="L1468" i="19" a="1"/>
  <c r="L1468" i="19" s="1"/>
  <c r="L1469" i="19" a="1"/>
  <c r="L1469" i="19" s="1"/>
  <c r="L1470" i="19" a="1"/>
  <c r="L1470" i="19" s="1"/>
  <c r="L1471" i="19" a="1"/>
  <c r="L1471" i="19" s="1"/>
  <c r="L1472" i="19" a="1"/>
  <c r="L1472" i="19" s="1"/>
  <c r="L1473" i="19" a="1"/>
  <c r="L1473" i="19" s="1"/>
  <c r="L1474" i="19" a="1"/>
  <c r="L1474" i="19" s="1"/>
  <c r="L1475" i="19" a="1"/>
  <c r="L1475" i="19" s="1"/>
  <c r="L1476" i="19" a="1"/>
  <c r="L1476" i="19" s="1"/>
  <c r="L1477" i="19" a="1"/>
  <c r="L1477" i="19" s="1"/>
  <c r="L1478" i="19" a="1"/>
  <c r="L1478" i="19" s="1"/>
  <c r="L1479" i="19" a="1"/>
  <c r="L1479" i="19" s="1"/>
  <c r="L1480" i="19" a="1"/>
  <c r="L1480" i="19" s="1"/>
  <c r="L1481" i="19" a="1"/>
  <c r="L1481" i="19" s="1"/>
  <c r="L1482" i="19" a="1"/>
  <c r="L1482" i="19" s="1"/>
  <c r="L1483" i="19" a="1"/>
  <c r="L1483" i="19" s="1"/>
  <c r="L1484" i="19" a="1"/>
  <c r="L1484" i="19" s="1"/>
  <c r="L1485" i="19" a="1"/>
  <c r="L1485" i="19" s="1"/>
  <c r="L1486" i="19" a="1"/>
  <c r="L1486" i="19" s="1"/>
  <c r="L1487" i="19" a="1"/>
  <c r="L1487" i="19" s="1"/>
  <c r="L1488" i="19" a="1"/>
  <c r="L1488" i="19" s="1"/>
  <c r="L1489" i="19" a="1"/>
  <c r="L1489" i="19" s="1"/>
  <c r="L1490" i="19" a="1"/>
  <c r="L1490" i="19" s="1"/>
  <c r="L1491" i="19" a="1"/>
  <c r="L1491" i="19" s="1"/>
  <c r="L1492" i="19" a="1"/>
  <c r="L1492" i="19" s="1"/>
  <c r="L1493" i="19" a="1"/>
  <c r="L1493" i="19" s="1"/>
  <c r="L1494" i="19" a="1"/>
  <c r="L1494" i="19" s="1"/>
  <c r="L1495" i="19" a="1"/>
  <c r="L1495" i="19" s="1"/>
  <c r="L1496" i="19" a="1"/>
  <c r="L1496" i="19" s="1"/>
  <c r="L1497" i="19" a="1"/>
  <c r="L1497" i="19" s="1"/>
  <c r="L1498" i="19" a="1"/>
  <c r="L1498" i="19" s="1"/>
  <c r="L1499" i="19" a="1"/>
  <c r="L1499" i="19" s="1"/>
  <c r="L1500" i="19" a="1"/>
  <c r="L1500" i="19" s="1"/>
  <c r="L1501" i="19" a="1"/>
  <c r="L1501" i="19" s="1"/>
  <c r="L1502" i="19" a="1"/>
  <c r="L1502" i="19" s="1"/>
  <c r="L1503" i="19" a="1"/>
  <c r="L1503" i="19" s="1"/>
  <c r="L1504" i="19" a="1"/>
  <c r="L1504" i="19" s="1"/>
  <c r="L1505" i="19" a="1"/>
  <c r="L1505" i="19" s="1"/>
  <c r="L1506" i="19" a="1"/>
  <c r="L1506" i="19" s="1"/>
  <c r="L1507" i="19" a="1"/>
  <c r="L1507" i="19" s="1"/>
  <c r="L1508" i="19" a="1"/>
  <c r="L1508" i="19" s="1"/>
  <c r="L1509" i="19" a="1"/>
  <c r="L1509" i="19" s="1"/>
  <c r="L1510" i="19" a="1"/>
  <c r="L1510" i="19" s="1"/>
  <c r="L1511" i="19" a="1"/>
  <c r="L1511" i="19" s="1"/>
  <c r="L1512" i="19" a="1"/>
  <c r="L1512" i="19" s="1"/>
  <c r="L1513" i="19" a="1"/>
  <c r="L1513" i="19" s="1"/>
  <c r="L1514" i="19" a="1"/>
  <c r="L1514" i="19" s="1"/>
  <c r="L1515" i="19" a="1"/>
  <c r="L1515" i="19" s="1"/>
  <c r="L1516" i="19" a="1"/>
  <c r="L1516" i="19" s="1"/>
  <c r="L1517" i="19" a="1"/>
  <c r="L1517" i="19" s="1"/>
  <c r="L1518" i="19" a="1"/>
  <c r="L1518" i="19" s="1"/>
  <c r="L1519" i="19" a="1"/>
  <c r="L1519" i="19" s="1"/>
  <c r="L1520" i="19" a="1"/>
  <c r="L1520" i="19" s="1"/>
  <c r="L1521" i="19" a="1"/>
  <c r="L1521" i="19" s="1"/>
  <c r="L1522" i="19" a="1"/>
  <c r="L1522" i="19" s="1"/>
  <c r="L1523" i="19" a="1"/>
  <c r="L1523" i="19" s="1"/>
  <c r="L1524" i="19" a="1"/>
  <c r="L1524" i="19" s="1"/>
  <c r="L1525" i="19" a="1"/>
  <c r="L1525" i="19" s="1"/>
  <c r="L1526" i="19" a="1"/>
  <c r="L1526" i="19" s="1"/>
  <c r="L1527" i="19" a="1"/>
  <c r="L1527" i="19" s="1"/>
  <c r="L1528" i="19" a="1"/>
  <c r="L1528" i="19" s="1"/>
  <c r="L1529" i="19" a="1"/>
  <c r="L1529" i="19" s="1"/>
  <c r="L1530" i="19" a="1"/>
  <c r="L1530" i="19" s="1"/>
  <c r="L1531" i="19" a="1"/>
  <c r="L1531" i="19" s="1"/>
  <c r="L1532" i="19" a="1"/>
  <c r="L1532" i="19" s="1"/>
  <c r="L1533" i="19" a="1"/>
  <c r="L1533" i="19" s="1"/>
  <c r="L1534" i="19" a="1"/>
  <c r="L1534" i="19" s="1"/>
  <c r="L1535" i="19" a="1"/>
  <c r="L1535" i="19" s="1"/>
  <c r="L1536" i="19" a="1"/>
  <c r="L1536" i="19" s="1"/>
  <c r="L1537" i="19" a="1"/>
  <c r="L1537" i="19" s="1"/>
  <c r="L1538" i="19" a="1"/>
  <c r="L1538" i="19" s="1"/>
  <c r="L1539" i="19" a="1"/>
  <c r="L1539" i="19" s="1"/>
  <c r="L1540" i="19" a="1"/>
  <c r="L1540" i="19" s="1"/>
  <c r="L1541" i="19" a="1"/>
  <c r="L1541" i="19" s="1"/>
  <c r="L1542" i="19" a="1"/>
  <c r="L1542" i="19" s="1"/>
  <c r="L1543" i="19" a="1"/>
  <c r="L1543" i="19" s="1"/>
  <c r="L1544" i="19" a="1"/>
  <c r="L1544" i="19" s="1"/>
  <c r="L1545" i="19" a="1"/>
  <c r="L1545" i="19" s="1"/>
  <c r="L1546" i="19" a="1"/>
  <c r="L1546" i="19" s="1"/>
  <c r="L1547" i="19" a="1"/>
  <c r="L1547" i="19" s="1"/>
  <c r="L1548" i="19" a="1"/>
  <c r="L1548" i="19" s="1"/>
  <c r="L1549" i="19" a="1"/>
  <c r="L1549" i="19" s="1"/>
  <c r="L1550" i="19" a="1"/>
  <c r="L1550" i="19" s="1"/>
  <c r="L1551" i="19" a="1"/>
  <c r="L1551" i="19" s="1"/>
  <c r="L1552" i="19" a="1"/>
  <c r="L1552" i="19" s="1"/>
  <c r="L1553" i="19" a="1"/>
  <c r="L1553" i="19" s="1"/>
  <c r="L1554" i="19" a="1"/>
  <c r="L1554" i="19" s="1"/>
  <c r="L1555" i="19" a="1"/>
  <c r="L1555" i="19" s="1"/>
  <c r="L1556" i="19" a="1"/>
  <c r="L1556" i="19" s="1"/>
  <c r="L1557" i="19" a="1"/>
  <c r="L1557" i="19" s="1"/>
  <c r="L1558" i="19" a="1"/>
  <c r="L1558" i="19" s="1"/>
  <c r="L1559" i="19" a="1"/>
  <c r="L1559" i="19" s="1"/>
  <c r="L1560" i="19" a="1"/>
  <c r="L1560" i="19" s="1"/>
  <c r="L1561" i="19" a="1"/>
  <c r="L1561" i="19" s="1"/>
  <c r="L1562" i="19" a="1"/>
  <c r="L1562" i="19" s="1"/>
  <c r="L1563" i="19" a="1"/>
  <c r="L1563" i="19" s="1"/>
  <c r="L1564" i="19" a="1"/>
  <c r="L1564" i="19" s="1"/>
  <c r="L1565" i="19" a="1"/>
  <c r="L1565" i="19" s="1"/>
  <c r="L1566" i="19" a="1"/>
  <c r="L1566" i="19" s="1"/>
  <c r="L1567" i="19" a="1"/>
  <c r="L1567" i="19" s="1"/>
  <c r="L1568" i="19" a="1"/>
  <c r="L1568" i="19" s="1"/>
  <c r="L1569" i="19" a="1"/>
  <c r="L1569" i="19" s="1"/>
  <c r="L1570" i="19" a="1"/>
  <c r="L1570" i="19" s="1"/>
  <c r="L1571" i="19" a="1"/>
  <c r="L1571" i="19" s="1"/>
  <c r="L1572" i="19" a="1"/>
  <c r="L1572" i="19" s="1"/>
  <c r="L1573" i="19" a="1"/>
  <c r="L1573" i="19" s="1"/>
  <c r="L1574" i="19" a="1"/>
  <c r="L1574" i="19" s="1"/>
  <c r="L1575" i="19" a="1"/>
  <c r="L1575" i="19" s="1"/>
  <c r="L1576" i="19" a="1"/>
  <c r="L1576" i="19" s="1"/>
  <c r="L1577" i="19" a="1"/>
  <c r="L1577" i="19" s="1"/>
  <c r="L1578" i="19" a="1"/>
  <c r="L1578" i="19" s="1"/>
  <c r="L1579" i="19" a="1"/>
  <c r="L1579" i="19" s="1"/>
  <c r="L1580" i="19" a="1"/>
  <c r="L1580" i="19" s="1"/>
  <c r="L1581" i="19" a="1"/>
  <c r="L1581" i="19" s="1"/>
  <c r="L1582" i="19" a="1"/>
  <c r="L1582" i="19" s="1"/>
  <c r="L1583" i="19" a="1"/>
  <c r="L1583" i="19" s="1"/>
  <c r="L1584" i="19" a="1"/>
  <c r="L1584" i="19" s="1"/>
  <c r="L1585" i="19" a="1"/>
  <c r="L1585" i="19" s="1"/>
  <c r="L1586" i="19" a="1"/>
  <c r="L1586" i="19" s="1"/>
  <c r="L1587" i="19" a="1"/>
  <c r="L1587" i="19" s="1"/>
  <c r="L1588" i="19" a="1"/>
  <c r="L1588" i="19" s="1"/>
  <c r="L1589" i="19" a="1"/>
  <c r="L1589" i="19" s="1"/>
  <c r="L1590" i="19" a="1"/>
  <c r="L1590" i="19" s="1"/>
  <c r="L1591" i="19" a="1"/>
  <c r="L1591" i="19" s="1"/>
  <c r="L1592" i="19" a="1"/>
  <c r="L1592" i="19" s="1"/>
  <c r="L1593" i="19" a="1"/>
  <c r="L1593" i="19" s="1"/>
  <c r="L1594" i="19" a="1"/>
  <c r="L1594" i="19" s="1"/>
  <c r="L1595" i="19" a="1"/>
  <c r="L1595" i="19" s="1"/>
  <c r="L1596" i="19" a="1"/>
  <c r="L1596" i="19" s="1"/>
  <c r="L1597" i="19" a="1"/>
  <c r="L1597" i="19" s="1"/>
  <c r="L1598" i="19" a="1"/>
  <c r="L1598" i="19" s="1"/>
  <c r="L1599" i="19" a="1"/>
  <c r="L1599" i="19" s="1"/>
  <c r="L1600" i="19" a="1"/>
  <c r="L1600" i="19" s="1"/>
  <c r="L1601" i="19" a="1"/>
  <c r="L1601" i="19" s="1"/>
  <c r="L1602" i="19" a="1"/>
  <c r="L1602" i="19" s="1"/>
  <c r="L1603" i="19" a="1"/>
  <c r="L1603" i="19" s="1"/>
  <c r="L1604" i="19" a="1"/>
  <c r="L1604" i="19" s="1"/>
  <c r="L1605" i="19" a="1"/>
  <c r="L1605" i="19" s="1"/>
  <c r="L1606" i="19" a="1"/>
  <c r="L1606" i="19" s="1"/>
  <c r="L1607" i="19" a="1"/>
  <c r="L1607" i="19" s="1"/>
  <c r="L1608" i="19" a="1"/>
  <c r="L1608" i="19" s="1"/>
  <c r="L1609" i="19" a="1"/>
  <c r="L1609" i="19" s="1"/>
  <c r="L1610" i="19" a="1"/>
  <c r="L1610" i="19" s="1"/>
  <c r="L1611" i="19" a="1"/>
  <c r="L1611" i="19" s="1"/>
  <c r="L1612" i="19" a="1"/>
  <c r="L1612" i="19" s="1"/>
  <c r="L1613" i="19" a="1"/>
  <c r="L1613" i="19" s="1"/>
  <c r="L1614" i="19" a="1"/>
  <c r="L1614" i="19" s="1"/>
  <c r="L1615" i="19" a="1"/>
  <c r="L1615" i="19" s="1"/>
  <c r="L1616" i="19" a="1"/>
  <c r="L1616" i="19" s="1"/>
  <c r="L1617" i="19" a="1"/>
  <c r="L1617" i="19" s="1"/>
  <c r="L1618" i="19" a="1"/>
  <c r="L1618" i="19" s="1"/>
  <c r="L1619" i="19" a="1"/>
  <c r="L1619" i="19" s="1"/>
  <c r="L1620" i="19" a="1"/>
  <c r="L1620" i="19" s="1"/>
  <c r="L1621" i="19" a="1"/>
  <c r="L1621" i="19" s="1"/>
  <c r="L1622" i="19" a="1"/>
  <c r="L1622" i="19" s="1"/>
  <c r="L1623" i="19" a="1"/>
  <c r="L1623" i="19" s="1"/>
  <c r="L1624" i="19" a="1"/>
  <c r="L1624" i="19" s="1"/>
  <c r="L1625" i="19" a="1"/>
  <c r="L1625" i="19" s="1"/>
  <c r="L1626" i="19" a="1"/>
  <c r="L1626" i="19" s="1"/>
  <c r="L1627" i="19" a="1"/>
  <c r="L1627" i="19" s="1"/>
  <c r="L1628" i="19" a="1"/>
  <c r="L1628" i="19" s="1"/>
  <c r="L1629" i="19" a="1"/>
  <c r="L1629" i="19" s="1"/>
  <c r="L1630" i="19" a="1"/>
  <c r="L1630" i="19" s="1"/>
  <c r="L1631" i="19" a="1"/>
  <c r="L1631" i="19" s="1"/>
  <c r="L1632" i="19" a="1"/>
  <c r="L1632" i="19" s="1"/>
  <c r="L1633" i="19" a="1"/>
  <c r="L1633" i="19" s="1"/>
  <c r="L1634" i="19" a="1"/>
  <c r="L1634" i="19" s="1"/>
  <c r="L1635" i="19" a="1"/>
  <c r="L1635" i="19" s="1"/>
  <c r="L1636" i="19" a="1"/>
  <c r="L1636" i="19" s="1"/>
  <c r="L1637" i="19" a="1"/>
  <c r="L1637" i="19" s="1"/>
  <c r="L1638" i="19" a="1"/>
  <c r="L1638" i="19" s="1"/>
  <c r="L1639" i="19" a="1"/>
  <c r="L1639" i="19" s="1"/>
  <c r="L1640" i="19" a="1"/>
  <c r="L1640" i="19" s="1"/>
  <c r="L1641" i="19" a="1"/>
  <c r="L1641" i="19" s="1"/>
  <c r="L1642" i="19" a="1"/>
  <c r="L1642" i="19" s="1"/>
  <c r="L1643" i="19" a="1"/>
  <c r="L1643" i="19" s="1"/>
  <c r="L1644" i="19" a="1"/>
  <c r="L1644" i="19" s="1"/>
  <c r="L1645" i="19" a="1"/>
  <c r="L1645" i="19" s="1"/>
  <c r="L1646" i="19" a="1"/>
  <c r="L1646" i="19" s="1"/>
  <c r="L1647" i="19" a="1"/>
  <c r="L1647" i="19" s="1"/>
  <c r="L1648" i="19" a="1"/>
  <c r="L1648" i="19" s="1"/>
  <c r="L1649" i="19" a="1"/>
  <c r="L1649" i="19" s="1"/>
  <c r="L1650" i="19" a="1"/>
  <c r="L1650" i="19" s="1"/>
  <c r="L1651" i="19" a="1"/>
  <c r="L1651" i="19" s="1"/>
  <c r="L1652" i="19" a="1"/>
  <c r="L1652" i="19" s="1"/>
  <c r="L1653" i="19" a="1"/>
  <c r="L1653" i="19" s="1"/>
  <c r="L1654" i="19" a="1"/>
  <c r="L1654" i="19" s="1"/>
  <c r="L1655" i="19" a="1"/>
  <c r="L1655" i="19" s="1"/>
  <c r="L1656" i="19" a="1"/>
  <c r="L1656" i="19" s="1"/>
  <c r="L1657" i="19" a="1"/>
  <c r="L1657" i="19" s="1"/>
  <c r="L1658" i="19" a="1"/>
  <c r="L1658" i="19" s="1"/>
  <c r="L1659" i="19" a="1"/>
  <c r="L1659" i="19" s="1"/>
  <c r="L1660" i="19" a="1"/>
  <c r="L1660" i="19" s="1"/>
  <c r="L1661" i="19" a="1"/>
  <c r="L1661" i="19" s="1"/>
  <c r="L1662" i="19" a="1"/>
  <c r="L1662" i="19" s="1"/>
  <c r="L1663" i="19" a="1"/>
  <c r="L1663" i="19" s="1"/>
  <c r="L1664" i="19" a="1"/>
  <c r="L1664" i="19" s="1"/>
  <c r="L1665" i="19" a="1"/>
  <c r="L1665" i="19" s="1"/>
  <c r="L1666" i="19" a="1"/>
  <c r="L1666" i="19" s="1"/>
  <c r="L1667" i="19" a="1"/>
  <c r="L1667" i="19" s="1"/>
  <c r="L1668" i="19" a="1"/>
  <c r="L1668" i="19" s="1"/>
  <c r="L1669" i="19" a="1"/>
  <c r="L1669" i="19" s="1"/>
  <c r="L1670" i="19" a="1"/>
  <c r="L1670" i="19" s="1"/>
  <c r="L1671" i="19" a="1"/>
  <c r="L1671" i="19" s="1"/>
  <c r="L1672" i="19" a="1"/>
  <c r="L1672" i="19" s="1"/>
  <c r="L1673" i="19" a="1"/>
  <c r="L1673" i="19" s="1"/>
  <c r="L1674" i="19" a="1"/>
  <c r="L1674" i="19" s="1"/>
  <c r="L1675" i="19" a="1"/>
  <c r="L1675" i="19" s="1"/>
  <c r="L1676" i="19" a="1"/>
  <c r="L1676" i="19" s="1"/>
  <c r="L1677" i="19" a="1"/>
  <c r="L1677" i="19" s="1"/>
  <c r="L1678" i="19" a="1"/>
  <c r="L1678" i="19" s="1"/>
  <c r="L1679" i="19" a="1"/>
  <c r="L1679" i="19" s="1"/>
  <c r="L1680" i="19" a="1"/>
  <c r="L1680" i="19" s="1"/>
  <c r="L1681" i="19" a="1"/>
  <c r="L1681" i="19" s="1"/>
  <c r="L1682" i="19" a="1"/>
  <c r="L1682" i="19" s="1"/>
  <c r="L1683" i="19" a="1"/>
  <c r="L1683" i="19" s="1"/>
  <c r="L1684" i="19" a="1"/>
  <c r="L1684" i="19" s="1"/>
  <c r="L1685" i="19" a="1"/>
  <c r="L1685" i="19" s="1"/>
  <c r="L1686" i="19" a="1"/>
  <c r="L1686" i="19" s="1"/>
  <c r="L1687" i="19" a="1"/>
  <c r="L1687" i="19" s="1"/>
  <c r="L1688" i="19" a="1"/>
  <c r="L1688" i="19" s="1"/>
  <c r="L1689" i="19" a="1"/>
  <c r="L1689" i="19" s="1"/>
  <c r="L1690" i="19" a="1"/>
  <c r="L1690" i="19" s="1"/>
  <c r="L1691" i="19" a="1"/>
  <c r="L1691" i="19" s="1"/>
  <c r="L1692" i="19" a="1"/>
  <c r="L1692" i="19" s="1"/>
  <c r="L1693" i="19" a="1"/>
  <c r="L1693" i="19" s="1"/>
  <c r="L1694" i="19" a="1"/>
  <c r="L1694" i="19" s="1"/>
  <c r="L1695" i="19" a="1"/>
  <c r="L1695" i="19" s="1"/>
  <c r="L1696" i="19" a="1"/>
  <c r="L1696" i="19" s="1"/>
  <c r="L1697" i="19" a="1"/>
  <c r="L1697" i="19" s="1"/>
  <c r="L1698" i="19" a="1"/>
  <c r="L1698" i="19" s="1"/>
  <c r="L1699" i="19" a="1"/>
  <c r="L1699" i="19" s="1"/>
  <c r="L1700" i="19" a="1"/>
  <c r="L1700" i="19" s="1"/>
  <c r="L1701" i="19" a="1"/>
  <c r="L1701" i="19" s="1"/>
  <c r="L1702" i="19" a="1"/>
  <c r="L1702" i="19" s="1"/>
  <c r="L1703" i="19" a="1"/>
  <c r="L1703" i="19" s="1"/>
  <c r="L1704" i="19" a="1"/>
  <c r="L1704" i="19" s="1"/>
  <c r="L1705" i="19" a="1"/>
  <c r="L1705" i="19" s="1"/>
  <c r="L1706" i="19" a="1"/>
  <c r="L1706" i="19" s="1"/>
  <c r="L1707" i="19" a="1"/>
  <c r="L1707" i="19" s="1"/>
  <c r="L1708" i="19" a="1"/>
  <c r="L1708" i="19" s="1"/>
  <c r="L1709" i="19" a="1"/>
  <c r="L1709" i="19" s="1"/>
  <c r="L1710" i="19" a="1"/>
  <c r="L1710" i="19" s="1"/>
  <c r="L1711" i="19" a="1"/>
  <c r="L1711" i="19" s="1"/>
  <c r="L1712" i="19" a="1"/>
  <c r="L1712" i="19" s="1"/>
  <c r="L1713" i="19" a="1"/>
  <c r="L1713" i="19" s="1"/>
  <c r="L1714" i="19" a="1"/>
  <c r="L1714" i="19" s="1"/>
  <c r="L1715" i="19" a="1"/>
  <c r="L1715" i="19" s="1"/>
  <c r="L1716" i="19" a="1"/>
  <c r="L1716" i="19" s="1"/>
  <c r="L1717" i="19" a="1"/>
  <c r="L1717" i="19" s="1"/>
  <c r="L1718" i="19" a="1"/>
  <c r="L1718" i="19" s="1"/>
  <c r="L1719" i="19" a="1"/>
  <c r="L1719" i="19" s="1"/>
  <c r="L1720" i="19" a="1"/>
  <c r="L1720" i="19" s="1"/>
  <c r="L1721" i="19" a="1"/>
  <c r="L1721" i="19" s="1"/>
  <c r="L1722" i="19" a="1"/>
  <c r="L1722" i="19" s="1"/>
  <c r="L1723" i="19" a="1"/>
  <c r="L1723" i="19" s="1"/>
  <c r="L1724" i="19" a="1"/>
  <c r="L1724" i="19" s="1"/>
  <c r="L1725" i="19" a="1"/>
  <c r="L1725" i="19" s="1"/>
  <c r="L1726" i="19" a="1"/>
  <c r="L1726" i="19" s="1"/>
  <c r="L1727" i="19" a="1"/>
  <c r="L1727" i="19" s="1"/>
  <c r="L1728" i="19" a="1"/>
  <c r="L1728" i="19" s="1"/>
  <c r="L1729" i="19" a="1"/>
  <c r="L1729" i="19" s="1"/>
  <c r="L1730" i="19" a="1"/>
  <c r="L1730" i="19" s="1"/>
  <c r="L1731" i="19" a="1"/>
  <c r="L1731" i="19" s="1"/>
  <c r="L1732" i="19" a="1"/>
  <c r="L1732" i="19" s="1"/>
  <c r="L1733" i="19" a="1"/>
  <c r="L1733" i="19" s="1"/>
  <c r="L1734" i="19" a="1"/>
  <c r="L1734" i="19" s="1"/>
  <c r="L1735" i="19" a="1"/>
  <c r="L1735" i="19" s="1"/>
  <c r="L1736" i="19" a="1"/>
  <c r="L1736" i="19" s="1"/>
  <c r="L1737" i="19" a="1"/>
  <c r="L1737" i="19" s="1"/>
  <c r="L1738" i="19" a="1"/>
  <c r="L1738" i="19" s="1"/>
  <c r="L1739" i="19" a="1"/>
  <c r="L1739" i="19" s="1"/>
  <c r="L1740" i="19" a="1"/>
  <c r="L1740" i="19" s="1"/>
  <c r="L1741" i="19" a="1"/>
  <c r="L1741" i="19" s="1"/>
  <c r="L1742" i="19" a="1"/>
  <c r="L1742" i="19" s="1"/>
  <c r="L1743" i="19" a="1"/>
  <c r="L1743" i="19" s="1"/>
  <c r="L1744" i="19" a="1"/>
  <c r="L1744" i="19" s="1"/>
  <c r="L1745" i="19" a="1"/>
  <c r="L1745" i="19" s="1"/>
  <c r="L1746" i="19" a="1"/>
  <c r="L1746" i="19" s="1"/>
  <c r="L1747" i="19" a="1"/>
  <c r="L1747" i="19" s="1"/>
  <c r="L1748" i="19" a="1"/>
  <c r="L1748" i="19" s="1"/>
  <c r="L1749" i="19" a="1"/>
  <c r="L1749" i="19" s="1"/>
  <c r="L1750" i="19" a="1"/>
  <c r="L1750" i="19" s="1"/>
  <c r="L1751" i="19" a="1"/>
  <c r="L1751" i="19" s="1"/>
  <c r="L1752" i="19" a="1"/>
  <c r="L1752" i="19" s="1"/>
  <c r="L1753" i="19" a="1"/>
  <c r="L1753" i="19" s="1"/>
  <c r="L1754" i="19" a="1"/>
  <c r="L1754" i="19" s="1"/>
  <c r="L1755" i="19" a="1"/>
  <c r="L1755" i="19" s="1"/>
  <c r="L1756" i="19" a="1"/>
  <c r="L1756" i="19" s="1"/>
  <c r="L1757" i="19" a="1"/>
  <c r="L1757" i="19" s="1"/>
  <c r="L1758" i="19" a="1"/>
  <c r="L1758" i="19" s="1"/>
  <c r="L1759" i="19" a="1"/>
  <c r="L1759" i="19" s="1"/>
  <c r="L1760" i="19" a="1"/>
  <c r="L1760" i="19" s="1"/>
  <c r="L1761" i="19" a="1"/>
  <c r="L1761" i="19" s="1"/>
  <c r="L1762" i="19" a="1"/>
  <c r="L1762" i="19" s="1"/>
  <c r="L1763" i="19" a="1"/>
  <c r="L1763" i="19" s="1"/>
  <c r="L1764" i="19" a="1"/>
  <c r="L1764" i="19" s="1"/>
  <c r="L1765" i="19" a="1"/>
  <c r="L1765" i="19" s="1"/>
  <c r="L1766" i="19" a="1"/>
  <c r="L1766" i="19" s="1"/>
  <c r="L1767" i="19" a="1"/>
  <c r="L1767" i="19" s="1"/>
  <c r="L1768" i="19" a="1"/>
  <c r="L1768" i="19" s="1"/>
  <c r="L1769" i="19" a="1"/>
  <c r="L1769" i="19" s="1"/>
  <c r="L1770" i="19" a="1"/>
  <c r="L1770" i="19" s="1"/>
  <c r="L1771" i="19" a="1"/>
  <c r="L1771" i="19" s="1"/>
  <c r="L1772" i="19" a="1"/>
  <c r="L1772" i="19" s="1"/>
  <c r="L1773" i="19" a="1"/>
  <c r="L1773" i="19" s="1"/>
  <c r="L1774" i="19" a="1"/>
  <c r="L1774" i="19" s="1"/>
  <c r="L1775" i="19" a="1"/>
  <c r="L1775" i="19" s="1"/>
  <c r="L1776" i="19" a="1"/>
  <c r="L1776" i="19" s="1"/>
  <c r="L1777" i="19" a="1"/>
  <c r="L1777" i="19" s="1"/>
  <c r="L1778" i="19" a="1"/>
  <c r="L1778" i="19" s="1"/>
  <c r="L1779" i="19" a="1"/>
  <c r="L1779" i="19" s="1"/>
  <c r="L1780" i="19" a="1"/>
  <c r="L1780" i="19" s="1"/>
  <c r="L1781" i="19" a="1"/>
  <c r="L1781" i="19" s="1"/>
  <c r="L1782" i="19" a="1"/>
  <c r="L1782" i="19" s="1"/>
  <c r="L1783" i="19" a="1"/>
  <c r="L1783" i="19" s="1"/>
  <c r="L1784" i="19" a="1"/>
  <c r="L1784" i="19" s="1"/>
  <c r="L1785" i="19" a="1"/>
  <c r="L1785" i="19" s="1"/>
  <c r="L1786" i="19" a="1"/>
  <c r="L1786" i="19" s="1"/>
  <c r="L1787" i="19" a="1"/>
  <c r="L1787" i="19" s="1"/>
  <c r="L1788" i="19" a="1"/>
  <c r="L1788" i="19" s="1"/>
  <c r="L1789" i="19" a="1"/>
  <c r="L1789" i="19" s="1"/>
  <c r="L1790" i="19" a="1"/>
  <c r="L1790" i="19" s="1"/>
  <c r="L1791" i="19" a="1"/>
  <c r="L1791" i="19" s="1"/>
  <c r="L1792" i="19" a="1"/>
  <c r="L1792" i="19" s="1"/>
  <c r="L1793" i="19" a="1"/>
  <c r="L1793" i="19" s="1"/>
  <c r="L1794" i="19" a="1"/>
  <c r="L1794" i="19" s="1"/>
  <c r="L1795" i="19" a="1"/>
  <c r="L1795" i="19" s="1"/>
  <c r="L1796" i="19" a="1"/>
  <c r="L1796" i="19" s="1"/>
  <c r="L1797" i="19" a="1"/>
  <c r="L1797" i="19" s="1"/>
  <c r="L1798" i="19" a="1"/>
  <c r="L1798" i="19" s="1"/>
  <c r="L1799" i="19" a="1"/>
  <c r="L1799" i="19" s="1"/>
  <c r="L1800" i="19" a="1"/>
  <c r="L1800" i="19" s="1"/>
  <c r="L1801" i="19" a="1"/>
  <c r="L1801" i="19" s="1"/>
  <c r="L1802" i="19" a="1"/>
  <c r="L1802" i="19" s="1"/>
  <c r="L1803" i="19" a="1"/>
  <c r="L1803" i="19" s="1"/>
  <c r="L1804" i="19" a="1"/>
  <c r="L1804" i="19" s="1"/>
  <c r="L1805" i="19" a="1"/>
  <c r="L1805" i="19" s="1"/>
  <c r="L1806" i="19" a="1"/>
  <c r="L1806" i="19" s="1"/>
  <c r="L1807" i="19" a="1"/>
  <c r="L1807" i="19" s="1"/>
  <c r="L1808" i="19" a="1"/>
  <c r="L1808" i="19" s="1"/>
  <c r="L1809" i="19" a="1"/>
  <c r="L1809" i="19" s="1"/>
  <c r="L1810" i="19" a="1"/>
  <c r="L1810" i="19" s="1"/>
  <c r="L1811" i="19" a="1"/>
  <c r="L1811" i="19" s="1"/>
  <c r="L1812" i="19" a="1"/>
  <c r="L1812" i="19" s="1"/>
  <c r="L1813" i="19" a="1"/>
  <c r="L1813" i="19" s="1"/>
  <c r="L1814" i="19" a="1"/>
  <c r="L1814" i="19" s="1"/>
  <c r="L1815" i="19" a="1"/>
  <c r="L1815" i="19" s="1"/>
  <c r="L1816" i="19" a="1"/>
  <c r="L1816" i="19" s="1"/>
  <c r="L1817" i="19" a="1"/>
  <c r="L1817" i="19" s="1"/>
  <c r="L1818" i="19" a="1"/>
  <c r="L1818" i="19" s="1"/>
  <c r="L1819" i="19" a="1"/>
  <c r="L1819" i="19" s="1"/>
  <c r="L1820" i="19" a="1"/>
  <c r="L1820" i="19" s="1"/>
  <c r="L1821" i="19" a="1"/>
  <c r="L1821" i="19" s="1"/>
  <c r="L1822" i="19" a="1"/>
  <c r="L1822" i="19" s="1"/>
  <c r="L1823" i="19" a="1"/>
  <c r="L1823" i="19" s="1"/>
  <c r="L1824" i="19" a="1"/>
  <c r="L1824" i="19" s="1"/>
  <c r="L1825" i="19" a="1"/>
  <c r="L1825" i="19" s="1"/>
  <c r="L1826" i="19" a="1"/>
  <c r="L1826" i="19" s="1"/>
  <c r="L1827" i="19" a="1"/>
  <c r="L1827" i="19" s="1"/>
  <c r="L1828" i="19" a="1"/>
  <c r="L1828" i="19" s="1"/>
  <c r="L1829" i="19" a="1"/>
  <c r="L1829" i="19" s="1"/>
  <c r="L1830" i="19" a="1"/>
  <c r="L1830" i="19" s="1"/>
  <c r="L1831" i="19" a="1"/>
  <c r="L1831" i="19" s="1"/>
  <c r="L1832" i="19" a="1"/>
  <c r="L1832" i="19" s="1"/>
  <c r="L1833" i="19" a="1"/>
  <c r="L1833" i="19" s="1"/>
  <c r="L1834" i="19" a="1"/>
  <c r="L1834" i="19" s="1"/>
  <c r="L1835" i="19" a="1"/>
  <c r="L1835" i="19" s="1"/>
  <c r="L1836" i="19" a="1"/>
  <c r="L1836" i="19" s="1"/>
  <c r="L1837" i="19" a="1"/>
  <c r="L1837" i="19" s="1"/>
  <c r="L1838" i="19" a="1"/>
  <c r="L1838" i="19" s="1"/>
  <c r="L1839" i="19" a="1"/>
  <c r="L1839" i="19" s="1"/>
  <c r="L1840" i="19" a="1"/>
  <c r="L1840" i="19" s="1"/>
  <c r="L1841" i="19" a="1"/>
  <c r="L1841" i="19" s="1"/>
  <c r="L1842" i="19" a="1"/>
  <c r="L1842" i="19" s="1"/>
  <c r="L1843" i="19" a="1"/>
  <c r="L1843" i="19" s="1"/>
  <c r="L1844" i="19" a="1"/>
  <c r="L1844" i="19" s="1"/>
  <c r="L1845" i="19" a="1"/>
  <c r="L1845" i="19" s="1"/>
  <c r="L1846" i="19" a="1"/>
  <c r="L1846" i="19" s="1"/>
  <c r="L1847" i="19" a="1"/>
  <c r="L1847" i="19" s="1"/>
  <c r="L1848" i="19" a="1"/>
  <c r="L1848" i="19" s="1"/>
  <c r="L1849" i="19" a="1"/>
  <c r="L1849" i="19" s="1"/>
  <c r="L1850" i="19" a="1"/>
  <c r="L1850" i="19" s="1"/>
  <c r="L1851" i="19" a="1"/>
  <c r="L1851" i="19" s="1"/>
  <c r="L1852" i="19" a="1"/>
  <c r="L1852" i="19" s="1"/>
  <c r="L1853" i="19" a="1"/>
  <c r="L1853" i="19" s="1"/>
  <c r="L1854" i="19" a="1"/>
  <c r="L1854" i="19" s="1"/>
  <c r="L1855" i="19" a="1"/>
  <c r="L1855" i="19" s="1"/>
  <c r="L1856" i="19" a="1"/>
  <c r="L1856" i="19" s="1"/>
  <c r="L1857" i="19" a="1"/>
  <c r="L1857" i="19" s="1"/>
  <c r="L1858" i="19" a="1"/>
  <c r="L1858" i="19" s="1"/>
  <c r="L1859" i="19" a="1"/>
  <c r="L1859" i="19" s="1"/>
  <c r="L1860" i="19" a="1"/>
  <c r="L1860" i="19" s="1"/>
  <c r="L1861" i="19" a="1"/>
  <c r="L1861" i="19" s="1"/>
  <c r="L1862" i="19" a="1"/>
  <c r="L1862" i="19" s="1"/>
  <c r="L1863" i="19" a="1"/>
  <c r="L1863" i="19" s="1"/>
  <c r="L1864" i="19" a="1"/>
  <c r="L1864" i="19" s="1"/>
  <c r="L1865" i="19" a="1"/>
  <c r="L1865" i="19" s="1"/>
  <c r="L1866" i="19" a="1"/>
  <c r="L1866" i="19" s="1"/>
  <c r="L1867" i="19" a="1"/>
  <c r="L1867" i="19" s="1"/>
  <c r="L1868" i="19" a="1"/>
  <c r="L1868" i="19" s="1"/>
  <c r="L1869" i="19" a="1"/>
  <c r="L1869" i="19" s="1"/>
  <c r="L1870" i="19" a="1"/>
  <c r="L1870" i="19" s="1"/>
  <c r="L1871" i="19" a="1"/>
  <c r="L1871" i="19" s="1"/>
  <c r="L1872" i="19" a="1"/>
  <c r="L1872" i="19" s="1"/>
  <c r="L1873" i="19" a="1"/>
  <c r="L1873" i="19" s="1"/>
  <c r="L1874" i="19" a="1"/>
  <c r="L1874" i="19" s="1"/>
  <c r="L1875" i="19" a="1"/>
  <c r="L1875" i="19" s="1"/>
  <c r="L1876" i="19" a="1"/>
  <c r="L1876" i="19" s="1"/>
  <c r="L1877" i="19" a="1"/>
  <c r="L1877" i="19" s="1"/>
  <c r="L1878" i="19" a="1"/>
  <c r="L1878" i="19" s="1"/>
  <c r="L1879" i="19" a="1"/>
  <c r="L1879" i="19" s="1"/>
  <c r="L1880" i="19" a="1"/>
  <c r="L1880" i="19" s="1"/>
  <c r="L1881" i="19" a="1"/>
  <c r="L1881" i="19" s="1"/>
  <c r="L1882" i="19" a="1"/>
  <c r="L1882" i="19" s="1"/>
  <c r="L1883" i="19" a="1"/>
  <c r="L1883" i="19" s="1"/>
  <c r="L1884" i="19" a="1"/>
  <c r="L1884" i="19" s="1"/>
  <c r="L1885" i="19" a="1"/>
  <c r="L1885" i="19" s="1"/>
  <c r="L1886" i="19" a="1"/>
  <c r="L1886" i="19" s="1"/>
  <c r="L1887" i="19" a="1"/>
  <c r="L1887" i="19" s="1"/>
  <c r="L1888" i="19" a="1"/>
  <c r="L1888" i="19" s="1"/>
  <c r="L1889" i="19" a="1"/>
  <c r="L1889" i="19" s="1"/>
  <c r="L1890" i="19" a="1"/>
  <c r="L1890" i="19" s="1"/>
  <c r="L1891" i="19" a="1"/>
  <c r="L1891" i="19" s="1"/>
  <c r="L1892" i="19" a="1"/>
  <c r="L1892" i="19" s="1"/>
  <c r="L1893" i="19" a="1"/>
  <c r="L1893" i="19" s="1"/>
  <c r="L1894" i="19" a="1"/>
  <c r="L1894" i="19" s="1"/>
  <c r="L1895" i="19" a="1"/>
  <c r="L1895" i="19" s="1"/>
  <c r="L1896" i="19" a="1"/>
  <c r="L1896" i="19" s="1"/>
  <c r="L1897" i="19" a="1"/>
  <c r="L1897" i="19" s="1"/>
  <c r="L1898" i="19" a="1"/>
  <c r="L1898" i="19" s="1"/>
  <c r="L1899" i="19" a="1"/>
  <c r="L1899" i="19" s="1"/>
  <c r="L1900" i="19" a="1"/>
  <c r="L1900" i="19" s="1"/>
  <c r="L1901" i="19" a="1"/>
  <c r="L1901" i="19" s="1"/>
  <c r="L1902" i="19" a="1"/>
  <c r="L1902" i="19" s="1"/>
  <c r="L1903" i="19" a="1"/>
  <c r="L1903" i="19" s="1"/>
  <c r="L1904" i="19" a="1"/>
  <c r="L1904" i="19" s="1"/>
  <c r="L1905" i="19" a="1"/>
  <c r="L1905" i="19" s="1"/>
  <c r="L1906" i="19" a="1"/>
  <c r="L1906" i="19" s="1"/>
  <c r="L1907" i="19" a="1"/>
  <c r="L1907" i="19" s="1"/>
  <c r="L1908" i="19" a="1"/>
  <c r="L1908" i="19" s="1"/>
  <c r="L1909" i="19" a="1"/>
  <c r="L1909" i="19" s="1"/>
  <c r="L1910" i="19" a="1"/>
  <c r="L1910" i="19" s="1"/>
  <c r="L1911" i="19" a="1"/>
  <c r="L1911" i="19" s="1"/>
  <c r="L1912" i="19" a="1"/>
  <c r="L1912" i="19" s="1"/>
  <c r="L1913" i="19" a="1"/>
  <c r="L1913" i="19" s="1"/>
  <c r="L1914" i="19" a="1"/>
  <c r="L1914" i="19" s="1"/>
  <c r="L1915" i="19" a="1"/>
  <c r="L1915" i="19" s="1"/>
  <c r="L1916" i="19" a="1"/>
  <c r="L1916" i="19" s="1"/>
  <c r="L1917" i="19" a="1"/>
  <c r="L1917" i="19" s="1"/>
  <c r="L1918" i="19" a="1"/>
  <c r="L1918" i="19" s="1"/>
  <c r="L1919" i="19" a="1"/>
  <c r="L1919" i="19" s="1"/>
  <c r="L1920" i="19" a="1"/>
  <c r="L1920" i="19" s="1"/>
  <c r="L1921" i="19" a="1"/>
  <c r="L1921" i="19" s="1"/>
  <c r="L1922" i="19" a="1"/>
  <c r="L1922" i="19" s="1"/>
  <c r="L1923" i="19" a="1"/>
  <c r="L1923" i="19" s="1"/>
  <c r="L1924" i="19" a="1"/>
  <c r="L1924" i="19" s="1"/>
  <c r="L1925" i="19" a="1"/>
  <c r="L1925" i="19" s="1"/>
  <c r="L1926" i="19" a="1"/>
  <c r="L1926" i="19" s="1"/>
  <c r="L1927" i="19" a="1"/>
  <c r="L1927" i="19" s="1"/>
  <c r="L1928" i="19" a="1"/>
  <c r="L1928" i="19" s="1"/>
  <c r="L1929" i="19" a="1"/>
  <c r="L1929" i="19" s="1"/>
  <c r="L1930" i="19" a="1"/>
  <c r="L1930" i="19" s="1"/>
  <c r="L1931" i="19" a="1"/>
  <c r="L1931" i="19" s="1"/>
  <c r="L1932" i="19" a="1"/>
  <c r="L1932" i="19" s="1"/>
  <c r="L1933" i="19" a="1"/>
  <c r="L1933" i="19" s="1"/>
  <c r="L1934" i="19" a="1"/>
  <c r="L1934" i="19" s="1"/>
  <c r="L1935" i="19" a="1"/>
  <c r="L1935" i="19" s="1"/>
  <c r="L1936" i="19" a="1"/>
  <c r="L1936" i="19" s="1"/>
  <c r="L1937" i="19" a="1"/>
  <c r="L1937" i="19" s="1"/>
  <c r="L1938" i="19" a="1"/>
  <c r="L1938" i="19" s="1"/>
  <c r="L1939" i="19" a="1"/>
  <c r="L1939" i="19" s="1"/>
  <c r="L1940" i="19" a="1"/>
  <c r="L1940" i="19" s="1"/>
  <c r="L1941" i="19" a="1"/>
  <c r="L1941" i="19" s="1"/>
  <c r="L1942" i="19" a="1"/>
  <c r="L1942" i="19" s="1"/>
  <c r="L1943" i="19" a="1"/>
  <c r="L1943" i="19" s="1"/>
  <c r="L1944" i="19" a="1"/>
  <c r="L1944" i="19" s="1"/>
  <c r="L1945" i="19" a="1"/>
  <c r="L1945" i="19" s="1"/>
  <c r="L1946" i="19" a="1"/>
  <c r="L1946" i="19" s="1"/>
  <c r="L1947" i="19" a="1"/>
  <c r="L1947" i="19" s="1"/>
  <c r="L1948" i="19" a="1"/>
  <c r="L1948" i="19" s="1"/>
  <c r="L1949" i="19" a="1"/>
  <c r="L1949" i="19" s="1"/>
  <c r="L1950" i="19" a="1"/>
  <c r="L1950" i="19" s="1"/>
  <c r="L1951" i="19" a="1"/>
  <c r="L1951" i="19" s="1"/>
  <c r="L1952" i="19" a="1"/>
  <c r="L1952" i="19" s="1"/>
  <c r="L1953" i="19" a="1"/>
  <c r="L1953" i="19" s="1"/>
  <c r="L1954" i="19" a="1"/>
  <c r="L1954" i="19" s="1"/>
  <c r="L1955" i="19" a="1"/>
  <c r="L1955" i="19" s="1"/>
  <c r="L1956" i="19" a="1"/>
  <c r="L1956" i="19" s="1"/>
  <c r="L1957" i="19" a="1"/>
  <c r="L1957" i="19" s="1"/>
  <c r="L1958" i="19" a="1"/>
  <c r="L1958" i="19" s="1"/>
  <c r="L1959" i="19" a="1"/>
  <c r="L1959" i="19" s="1"/>
  <c r="L1960" i="19" a="1"/>
  <c r="L1960" i="19" s="1"/>
  <c r="L1961" i="19" a="1"/>
  <c r="L1961" i="19" s="1"/>
  <c r="L1962" i="19" a="1"/>
  <c r="L1962" i="19" s="1"/>
  <c r="L1963" i="19" a="1"/>
  <c r="L1963" i="19" s="1"/>
  <c r="L1964" i="19" a="1"/>
  <c r="L1964" i="19" s="1"/>
  <c r="L1965" i="19" a="1"/>
  <c r="L1965" i="19" s="1"/>
  <c r="L1966" i="19" a="1"/>
  <c r="L1966" i="19" s="1"/>
  <c r="L1967" i="19" a="1"/>
  <c r="L1967" i="19" s="1"/>
  <c r="L1968" i="19" a="1"/>
  <c r="L1968" i="19" s="1"/>
  <c r="L1969" i="19" a="1"/>
  <c r="L1969" i="19" s="1"/>
  <c r="L1970" i="19" a="1"/>
  <c r="L1970" i="19" s="1"/>
  <c r="L1971" i="19" a="1"/>
  <c r="L1971" i="19" s="1"/>
  <c r="L1972" i="19" a="1"/>
  <c r="L1972" i="19" s="1"/>
  <c r="L1973" i="19" a="1"/>
  <c r="L1973" i="19" s="1"/>
  <c r="L1974" i="19" a="1"/>
  <c r="L1974" i="19" s="1"/>
  <c r="L1975" i="19" a="1"/>
  <c r="L1975" i="19" s="1"/>
  <c r="L1976" i="19" a="1"/>
  <c r="L1976" i="19" s="1"/>
  <c r="L1977" i="19" a="1"/>
  <c r="L1977" i="19" s="1"/>
  <c r="L1978" i="19" a="1"/>
  <c r="L1978" i="19" s="1"/>
  <c r="L1979" i="19" a="1"/>
  <c r="L1979" i="19" s="1"/>
  <c r="L1980" i="19" a="1"/>
  <c r="L1980" i="19" s="1"/>
  <c r="L1981" i="19" a="1"/>
  <c r="L1981" i="19" s="1"/>
  <c r="L1982" i="19" a="1"/>
  <c r="L1982" i="19" s="1"/>
  <c r="L1983" i="19" a="1"/>
  <c r="L1983" i="19" s="1"/>
  <c r="L1984" i="19" a="1"/>
  <c r="L1984" i="19" s="1"/>
  <c r="L1985" i="19" a="1"/>
  <c r="L1985" i="19" s="1"/>
  <c r="L1986" i="19" a="1"/>
  <c r="L1986" i="19" s="1"/>
  <c r="L1987" i="19" a="1"/>
  <c r="L1987" i="19" s="1"/>
  <c r="L1988" i="19" a="1"/>
  <c r="L1988" i="19" s="1"/>
  <c r="L1989" i="19" a="1"/>
  <c r="L1989" i="19" s="1"/>
  <c r="L1990" i="19" a="1"/>
  <c r="L1990" i="19" s="1"/>
  <c r="L1991" i="19" a="1"/>
  <c r="L1991" i="19" s="1"/>
  <c r="L1992" i="19" a="1"/>
  <c r="L1992" i="19" s="1"/>
  <c r="L1993" i="19" a="1"/>
  <c r="L1993" i="19" s="1"/>
  <c r="L1994" i="19" a="1"/>
  <c r="L1994" i="19" s="1"/>
  <c r="L1995" i="19" a="1"/>
  <c r="L1995" i="19" s="1"/>
  <c r="L1996" i="19" a="1"/>
  <c r="L1996" i="19" s="1"/>
  <c r="L1997" i="19" a="1"/>
  <c r="L1997" i="19" s="1"/>
  <c r="L1998" i="19" a="1"/>
  <c r="L1998" i="19" s="1"/>
  <c r="L1999" i="19" a="1"/>
  <c r="L1999" i="19" s="1"/>
  <c r="L2000" i="19" a="1"/>
  <c r="L2000" i="19" s="1"/>
  <c r="L2001" i="19" a="1"/>
  <c r="L2001" i="19" s="1"/>
  <c r="L2002" i="19" a="1"/>
  <c r="L2002" i="19" s="1"/>
  <c r="L2003" i="19" a="1"/>
  <c r="L2003" i="19" s="1"/>
  <c r="L2004" i="19" a="1"/>
  <c r="L2004" i="19" s="1"/>
  <c r="L2005" i="19" a="1"/>
  <c r="L2005" i="19" s="1"/>
  <c r="L2006" i="19" a="1"/>
  <c r="L2006" i="19" s="1"/>
  <c r="L2007" i="19" a="1"/>
  <c r="L2007" i="19" s="1"/>
  <c r="L2008" i="19" a="1"/>
  <c r="L2008" i="19" s="1"/>
  <c r="L2009" i="19" a="1"/>
  <c r="L2009" i="19" s="1"/>
  <c r="L2010" i="19" a="1"/>
  <c r="L2010" i="19" s="1"/>
  <c r="L2011" i="19" a="1"/>
  <c r="L2011" i="19" s="1"/>
  <c r="L2012" i="19" a="1"/>
  <c r="L2012" i="19" s="1"/>
  <c r="L2013" i="19" a="1"/>
  <c r="L2013" i="19" s="1"/>
  <c r="L2014" i="19" a="1"/>
  <c r="L2014" i="19" s="1"/>
  <c r="L2015" i="19" a="1"/>
  <c r="L2015" i="19" s="1"/>
  <c r="L2016" i="19" a="1"/>
  <c r="L2016" i="19" s="1"/>
  <c r="L2017" i="19" a="1"/>
  <c r="L2017" i="19" s="1"/>
  <c r="L2018" i="19" a="1"/>
  <c r="L2018" i="19" s="1"/>
  <c r="L2019" i="19" a="1"/>
  <c r="L2019" i="19" s="1"/>
  <c r="L2020" i="19" a="1"/>
  <c r="L2020" i="19" s="1"/>
  <c r="L2021" i="19" a="1"/>
  <c r="L2021" i="19" s="1"/>
  <c r="L2022" i="19" a="1"/>
  <c r="L2022" i="19" s="1"/>
  <c r="L2023" i="19" a="1"/>
  <c r="L2023" i="19" s="1"/>
  <c r="L2024" i="19" a="1"/>
  <c r="L2024" i="19" s="1"/>
  <c r="L2025" i="19" a="1"/>
  <c r="L2025" i="19" s="1"/>
  <c r="L2026" i="19" a="1"/>
  <c r="L2026" i="19" s="1"/>
  <c r="L2027" i="19" a="1"/>
  <c r="L2027" i="19" s="1"/>
  <c r="L2028" i="19" a="1"/>
  <c r="L2028" i="19" s="1"/>
  <c r="L2029" i="19" a="1"/>
  <c r="L2029" i="19" s="1"/>
  <c r="L2030" i="19" a="1"/>
  <c r="L2030" i="19" s="1"/>
  <c r="L2031" i="19" a="1"/>
  <c r="L2031" i="19" s="1"/>
  <c r="L2032" i="19" a="1"/>
  <c r="L2032" i="19" s="1"/>
  <c r="L2033" i="19" a="1"/>
  <c r="L2033" i="19" s="1"/>
  <c r="L2034" i="19" a="1"/>
  <c r="L2034" i="19" s="1"/>
  <c r="L2035" i="19" a="1"/>
  <c r="L2035" i="19" s="1"/>
  <c r="L2036" i="19" a="1"/>
  <c r="L2036" i="19" s="1"/>
  <c r="L2037" i="19" a="1"/>
  <c r="L2037" i="19" s="1"/>
  <c r="L2038" i="19" a="1"/>
  <c r="L2038" i="19" s="1"/>
  <c r="L2039" i="19" a="1"/>
  <c r="L2039" i="19" s="1"/>
  <c r="L2040" i="19" a="1"/>
  <c r="L2040" i="19" s="1"/>
  <c r="L2041" i="19" a="1"/>
  <c r="L2041" i="19" s="1"/>
  <c r="L2042" i="19" a="1"/>
  <c r="L2042" i="19" s="1"/>
  <c r="L2043" i="19" a="1"/>
  <c r="L2043" i="19" s="1"/>
  <c r="L2044" i="19" a="1"/>
  <c r="L2044" i="19" s="1"/>
  <c r="L2045" i="19" a="1"/>
  <c r="L2045" i="19" s="1"/>
  <c r="L2046" i="19" a="1"/>
  <c r="L2046" i="19" s="1"/>
  <c r="L2047" i="19" a="1"/>
  <c r="L2047" i="19" s="1"/>
  <c r="L2048" i="19" a="1"/>
  <c r="L2048" i="19" s="1"/>
  <c r="L2049" i="19" a="1"/>
  <c r="L2049" i="19" s="1"/>
  <c r="L2050" i="19" a="1"/>
  <c r="L2050" i="19" s="1"/>
  <c r="L2051" i="19" a="1"/>
  <c r="L2051" i="19" s="1"/>
  <c r="L2052" i="19" a="1"/>
  <c r="L2052" i="19" s="1"/>
  <c r="L2053" i="19" a="1"/>
  <c r="L2053" i="19" s="1"/>
  <c r="L2054" i="19" a="1"/>
  <c r="L2054" i="19" s="1"/>
  <c r="L2055" i="19" a="1"/>
  <c r="L2055" i="19" s="1"/>
  <c r="L2056" i="19" a="1"/>
  <c r="L2056" i="19" s="1"/>
  <c r="L2057" i="19" a="1"/>
  <c r="L2057" i="19" s="1"/>
  <c r="L2058" i="19" a="1"/>
  <c r="L2058" i="19" s="1"/>
  <c r="L2059" i="19" a="1"/>
  <c r="L2059" i="19" s="1"/>
  <c r="L2060" i="19" a="1"/>
  <c r="L2060" i="19" s="1"/>
  <c r="L2061" i="19" a="1"/>
  <c r="L2061" i="19" s="1"/>
  <c r="L2062" i="19" a="1"/>
  <c r="L2062" i="19" s="1"/>
  <c r="L2063" i="19" a="1"/>
  <c r="L2063" i="19" s="1"/>
  <c r="L2064" i="19" a="1"/>
  <c r="L2064" i="19" s="1"/>
  <c r="L2065" i="19" a="1"/>
  <c r="L2065" i="19" s="1"/>
  <c r="L2066" i="19" a="1"/>
  <c r="L2066" i="19" s="1"/>
  <c r="L2067" i="19" a="1"/>
  <c r="L2067" i="19" s="1"/>
  <c r="L2068" i="19" a="1"/>
  <c r="L2068" i="19" s="1"/>
  <c r="L2069" i="19" a="1"/>
  <c r="L2069" i="19" s="1"/>
  <c r="L2070" i="19" a="1"/>
  <c r="L2070" i="19" s="1"/>
  <c r="L2071" i="19" a="1"/>
  <c r="L2071" i="19" s="1"/>
  <c r="L2072" i="19" a="1"/>
  <c r="L2072" i="19" s="1"/>
  <c r="L2073" i="19" a="1"/>
  <c r="L2073" i="19" s="1"/>
  <c r="L2074" i="19" a="1"/>
  <c r="L2074" i="19" s="1"/>
  <c r="L2075" i="19" a="1"/>
  <c r="L2075" i="19" s="1"/>
  <c r="L2076" i="19" a="1"/>
  <c r="L2076" i="19" s="1"/>
  <c r="L2077" i="19" a="1"/>
  <c r="L2077" i="19" s="1"/>
  <c r="L2078" i="19" a="1"/>
  <c r="L2078" i="19" s="1"/>
  <c r="L2079" i="19" a="1"/>
  <c r="L2079" i="19" s="1"/>
  <c r="L2080" i="19" a="1"/>
  <c r="L2080" i="19" s="1"/>
  <c r="L2081" i="19" a="1"/>
  <c r="L2081" i="19" s="1"/>
  <c r="L2082" i="19" a="1"/>
  <c r="L2082" i="19" s="1"/>
  <c r="L2083" i="19" a="1"/>
  <c r="L2083" i="19" s="1"/>
  <c r="L2084" i="19" a="1"/>
  <c r="L2084" i="19" s="1"/>
  <c r="L2085" i="19" a="1"/>
  <c r="L2085" i="19" s="1"/>
  <c r="L2086" i="19" a="1"/>
  <c r="L2086" i="19" s="1"/>
  <c r="L2087" i="19" a="1"/>
  <c r="L2087" i="19" s="1"/>
  <c r="L2088" i="19" a="1"/>
  <c r="L2088" i="19" s="1"/>
  <c r="L2089" i="19" a="1"/>
  <c r="L2089" i="19" s="1"/>
  <c r="L2090" i="19" a="1"/>
  <c r="L2090" i="19" s="1"/>
  <c r="L2091" i="19" a="1"/>
  <c r="L2091" i="19" s="1"/>
  <c r="L2092" i="19" a="1"/>
  <c r="L2092" i="19" s="1"/>
  <c r="L2093" i="19" a="1"/>
  <c r="L2093" i="19" s="1"/>
  <c r="L2094" i="19" a="1"/>
  <c r="L2094" i="19" s="1"/>
  <c r="L2095" i="19" a="1"/>
  <c r="L2095" i="19" s="1"/>
  <c r="L2096" i="19" a="1"/>
  <c r="L2096" i="19" s="1"/>
  <c r="L2097" i="19" a="1"/>
  <c r="L2097" i="19" s="1"/>
  <c r="L2098" i="19" a="1"/>
  <c r="L2098" i="19" s="1"/>
  <c r="L2099" i="19" a="1"/>
  <c r="L2099" i="19" s="1"/>
  <c r="L2100" i="19" a="1"/>
  <c r="L2100" i="19" s="1"/>
  <c r="L2101" i="19" a="1"/>
  <c r="L2101" i="19" s="1"/>
  <c r="L2102" i="19" a="1"/>
  <c r="L2102" i="19" s="1"/>
  <c r="L2103" i="19" a="1"/>
  <c r="L2103" i="19" s="1"/>
  <c r="L2104" i="19" a="1"/>
  <c r="L2104" i="19" s="1"/>
  <c r="L2105" i="19" a="1"/>
  <c r="L2105" i="19" s="1"/>
  <c r="L2106" i="19" a="1"/>
  <c r="L2106" i="19" s="1"/>
  <c r="L2107" i="19" a="1"/>
  <c r="L2107" i="19" s="1"/>
  <c r="L2108" i="19" a="1"/>
  <c r="L2108" i="19" s="1"/>
  <c r="L2109" i="19" a="1"/>
  <c r="L2109" i="19" s="1"/>
  <c r="L2110" i="19" a="1"/>
  <c r="L2110" i="19" s="1"/>
  <c r="L2111" i="19" a="1"/>
  <c r="L2111" i="19" s="1"/>
  <c r="L2112" i="19" a="1"/>
  <c r="L2112" i="19" s="1"/>
  <c r="L2113" i="19" a="1"/>
  <c r="L2113" i="19" s="1"/>
  <c r="L2114" i="19" a="1"/>
  <c r="L2114" i="19" s="1"/>
  <c r="L2115" i="19" a="1"/>
  <c r="L2115" i="19" s="1"/>
  <c r="L2116" i="19" a="1"/>
  <c r="L2116" i="19" s="1"/>
  <c r="L2117" i="19" a="1"/>
  <c r="L2117" i="19" s="1"/>
  <c r="L2118" i="19" a="1"/>
  <c r="L2118" i="19" s="1"/>
  <c r="L2119" i="19" a="1"/>
  <c r="L2119" i="19" s="1"/>
  <c r="L2120" i="19" a="1"/>
  <c r="L2120" i="19" s="1"/>
  <c r="L2121" i="19" a="1"/>
  <c r="L2121" i="19" s="1"/>
  <c r="L2122" i="19" a="1"/>
  <c r="L2122" i="19" s="1"/>
  <c r="L2123" i="19" a="1"/>
  <c r="L2123" i="19" s="1"/>
  <c r="L2124" i="19" a="1"/>
  <c r="L2124" i="19" s="1"/>
  <c r="L2125" i="19" a="1"/>
  <c r="L2125" i="19" s="1"/>
  <c r="L2126" i="19" a="1"/>
  <c r="L2126" i="19" s="1"/>
  <c r="L2127" i="19" a="1"/>
  <c r="L2127" i="19" s="1"/>
  <c r="L2128" i="19" a="1"/>
  <c r="L2128" i="19" s="1"/>
  <c r="L2129" i="19" a="1"/>
  <c r="L2129" i="19" s="1"/>
  <c r="L2130" i="19" a="1"/>
  <c r="L2130" i="19" s="1"/>
  <c r="L2131" i="19" a="1"/>
  <c r="L2131" i="19" s="1"/>
  <c r="L2132" i="19" a="1"/>
  <c r="L2132" i="19" s="1"/>
  <c r="L2133" i="19" a="1"/>
  <c r="L2133" i="19" s="1"/>
  <c r="L2134" i="19" a="1"/>
  <c r="L2134" i="19" s="1"/>
  <c r="L2135" i="19" a="1"/>
  <c r="L2135" i="19" s="1"/>
  <c r="L2136" i="19" a="1"/>
  <c r="L2136" i="19" s="1"/>
  <c r="L2137" i="19" a="1"/>
  <c r="L2137" i="19" s="1"/>
  <c r="L2138" i="19" a="1"/>
  <c r="L2138" i="19" s="1"/>
  <c r="L2139" i="19" a="1"/>
  <c r="L2139" i="19" s="1"/>
  <c r="L2140" i="19" a="1"/>
  <c r="L2140" i="19" s="1"/>
  <c r="L2141" i="19" a="1"/>
  <c r="L2141" i="19" s="1"/>
  <c r="L2142" i="19" a="1"/>
  <c r="L2142" i="19" s="1"/>
  <c r="L2143" i="19" a="1"/>
  <c r="L2143" i="19" s="1"/>
  <c r="L2144" i="19" a="1"/>
  <c r="L2144" i="19" s="1"/>
  <c r="L2145" i="19" a="1"/>
  <c r="L2145" i="19" s="1"/>
  <c r="L2146" i="19" a="1"/>
  <c r="L2146" i="19" s="1"/>
  <c r="L2147" i="19" a="1"/>
  <c r="L2147" i="19" s="1"/>
  <c r="L2148" i="19" a="1"/>
  <c r="L2148" i="19" s="1"/>
  <c r="L2149" i="19" a="1"/>
  <c r="L2149" i="19" s="1"/>
  <c r="L2150" i="19" a="1"/>
  <c r="L2150" i="19" s="1"/>
  <c r="L2151" i="19" a="1"/>
  <c r="L2151" i="19" s="1"/>
  <c r="L2152" i="19" a="1"/>
  <c r="L2152" i="19" s="1"/>
  <c r="L2153" i="19" a="1"/>
  <c r="L2153" i="19" s="1"/>
  <c r="L2154" i="19" a="1"/>
  <c r="L2154" i="19" s="1"/>
  <c r="L2155" i="19" a="1"/>
  <c r="L2155" i="19" s="1"/>
  <c r="L2156" i="19" a="1"/>
  <c r="L2156" i="19" s="1"/>
  <c r="L2157" i="19" a="1"/>
  <c r="L2157" i="19" s="1"/>
  <c r="L2158" i="19" a="1"/>
  <c r="L2158" i="19" s="1"/>
  <c r="L2159" i="19" a="1"/>
  <c r="L2159" i="19" s="1"/>
  <c r="L2160" i="19" a="1"/>
  <c r="L2160" i="19" s="1"/>
  <c r="L2161" i="19" a="1"/>
  <c r="L2161" i="19" s="1"/>
  <c r="L2162" i="19" a="1"/>
  <c r="L2162" i="19" s="1"/>
  <c r="L2163" i="19" a="1"/>
  <c r="L2163" i="19" s="1"/>
  <c r="L2164" i="19" a="1"/>
  <c r="L2164" i="19" s="1"/>
  <c r="L2165" i="19" a="1"/>
  <c r="L2165" i="19" s="1"/>
  <c r="L2166" i="19" a="1"/>
  <c r="L2166" i="19" s="1"/>
  <c r="L2167" i="19" a="1"/>
  <c r="L2167" i="19" s="1"/>
  <c r="L2168" i="19" a="1"/>
  <c r="L2168" i="19" s="1"/>
  <c r="L2169" i="19" a="1"/>
  <c r="L2169" i="19" s="1"/>
  <c r="L2170" i="19" a="1"/>
  <c r="L2170" i="19" s="1"/>
  <c r="L2171" i="19" a="1"/>
  <c r="L2171" i="19" s="1"/>
  <c r="L2172" i="19" a="1"/>
  <c r="L2172" i="19" s="1"/>
  <c r="L2173" i="19" a="1"/>
  <c r="L2173" i="19" s="1"/>
  <c r="L2174" i="19" a="1"/>
  <c r="L2174" i="19" s="1"/>
  <c r="L2175" i="19" a="1"/>
  <c r="L2175" i="19" s="1"/>
  <c r="L2176" i="19" a="1"/>
  <c r="L2176" i="19" s="1"/>
  <c r="L2177" i="19" a="1"/>
  <c r="L2177" i="19" s="1"/>
  <c r="L2178" i="19" a="1"/>
  <c r="L2178" i="19" s="1"/>
  <c r="L2179" i="19" a="1"/>
  <c r="L2179" i="19" s="1"/>
  <c r="L2180" i="19" a="1"/>
  <c r="L2180" i="19" s="1"/>
  <c r="L2181" i="19" a="1"/>
  <c r="L2181" i="19" s="1"/>
  <c r="L2182" i="19" a="1"/>
  <c r="L2182" i="19" s="1"/>
  <c r="L2183" i="19" a="1"/>
  <c r="L2183" i="19" s="1"/>
  <c r="L2184" i="19" a="1"/>
  <c r="L2184" i="19" s="1"/>
  <c r="L2185" i="19" a="1"/>
  <c r="L2185" i="19" s="1"/>
  <c r="L2186" i="19" a="1"/>
  <c r="L2186" i="19" s="1"/>
  <c r="L2187" i="19" a="1"/>
  <c r="L2187" i="19" s="1"/>
  <c r="L2188" i="19" a="1"/>
  <c r="L2188" i="19" s="1"/>
  <c r="L2189" i="19" a="1"/>
  <c r="L2189" i="19" s="1"/>
  <c r="L2190" i="19" a="1"/>
  <c r="L2190" i="19" s="1"/>
  <c r="L2191" i="19" a="1"/>
  <c r="L2191" i="19" s="1"/>
  <c r="L2192" i="19" a="1"/>
  <c r="L2192" i="19" s="1"/>
  <c r="L2193" i="19" a="1"/>
  <c r="L2193" i="19" s="1"/>
  <c r="L2194" i="19" a="1"/>
  <c r="L2194" i="19" s="1"/>
  <c r="L2195" i="19" a="1"/>
  <c r="L2195" i="19" s="1"/>
  <c r="L2196" i="19" a="1"/>
  <c r="L2196" i="19" s="1"/>
  <c r="L2197" i="19" a="1"/>
  <c r="L2197" i="19" s="1"/>
  <c r="L2198" i="19" a="1"/>
  <c r="L2198" i="19" s="1"/>
  <c r="L2199" i="19" a="1"/>
  <c r="L2199" i="19" s="1"/>
  <c r="L2200" i="19" a="1"/>
  <c r="L2200" i="19" s="1"/>
  <c r="L2201" i="19" a="1"/>
  <c r="L2201" i="19" s="1"/>
  <c r="L2202" i="19" a="1"/>
  <c r="L2202" i="19" s="1"/>
  <c r="L2203" i="19" a="1"/>
  <c r="L2203" i="19" s="1"/>
  <c r="L2204" i="19" a="1"/>
  <c r="L2204" i="19" s="1"/>
  <c r="L2205" i="19" a="1"/>
  <c r="L2205" i="19" s="1"/>
  <c r="L2206" i="19" a="1"/>
  <c r="L2206" i="19" s="1"/>
  <c r="L2207" i="19" a="1"/>
  <c r="L2207" i="19" s="1"/>
  <c r="L2208" i="19" a="1"/>
  <c r="L2208" i="19" s="1"/>
  <c r="L2209" i="19" a="1"/>
  <c r="L2209" i="19" s="1"/>
  <c r="L2210" i="19" a="1"/>
  <c r="L2210" i="19" s="1"/>
  <c r="L2211" i="19" a="1"/>
  <c r="L2211" i="19" s="1"/>
  <c r="L2212" i="19" a="1"/>
  <c r="L2212" i="19" s="1"/>
  <c r="L2213" i="19" a="1"/>
  <c r="L2213" i="19" s="1"/>
  <c r="L2214" i="19" a="1"/>
  <c r="L2214" i="19" s="1"/>
  <c r="L2215" i="19" a="1"/>
  <c r="L2215" i="19" s="1"/>
  <c r="L2216" i="19" a="1"/>
  <c r="L2216" i="19" s="1"/>
  <c r="L2217" i="19" a="1"/>
  <c r="L2217" i="19" s="1"/>
  <c r="L2218" i="19" a="1"/>
  <c r="L2218" i="19" s="1"/>
  <c r="L2219" i="19" a="1"/>
  <c r="L2219" i="19" s="1"/>
  <c r="L2220" i="19" a="1"/>
  <c r="L2220" i="19" s="1"/>
  <c r="L2221" i="19" a="1"/>
  <c r="L2221" i="19" s="1"/>
  <c r="L2222" i="19" a="1"/>
  <c r="L2222" i="19" s="1"/>
  <c r="L2223" i="19" a="1"/>
  <c r="L2223" i="19" s="1"/>
  <c r="L2224" i="19" a="1"/>
  <c r="L2224" i="19" s="1"/>
  <c r="L2225" i="19" a="1"/>
  <c r="L2225" i="19" s="1"/>
  <c r="L2226" i="19" a="1"/>
  <c r="L2226" i="19" s="1"/>
  <c r="L2227" i="19" a="1"/>
  <c r="L2227" i="19" s="1"/>
  <c r="L2228" i="19" a="1"/>
  <c r="L2228" i="19" s="1"/>
  <c r="L2229" i="19" a="1"/>
  <c r="L2229" i="19" s="1"/>
  <c r="L2230" i="19" a="1"/>
  <c r="L2230" i="19" s="1"/>
  <c r="L2231" i="19" a="1"/>
  <c r="L2231" i="19" s="1"/>
  <c r="L2232" i="19" a="1"/>
  <c r="L2232" i="19" s="1"/>
  <c r="L2233" i="19" a="1"/>
  <c r="L2233" i="19" s="1"/>
  <c r="L2234" i="19" a="1"/>
  <c r="L2234" i="19" s="1"/>
  <c r="L2235" i="19" a="1"/>
  <c r="L2235" i="19" s="1"/>
  <c r="L2236" i="19" a="1"/>
  <c r="L2236" i="19" s="1"/>
  <c r="L2237" i="19" a="1"/>
  <c r="L2237" i="19" s="1"/>
  <c r="L2238" i="19" a="1"/>
  <c r="L2238" i="19" s="1"/>
  <c r="L2239" i="19" a="1"/>
  <c r="L2239" i="19" s="1"/>
  <c r="L2240" i="19" a="1"/>
  <c r="L2240" i="19" s="1"/>
  <c r="L2241" i="19" a="1"/>
  <c r="L2241" i="19" s="1"/>
  <c r="L2242" i="19" a="1"/>
  <c r="L2242" i="19" s="1"/>
  <c r="L2243" i="19" a="1"/>
  <c r="L2243" i="19" s="1"/>
  <c r="L2244" i="19" a="1"/>
  <c r="L2244" i="19" s="1"/>
  <c r="L2245" i="19" a="1"/>
  <c r="L2245" i="19" s="1"/>
  <c r="L2246" i="19" a="1"/>
  <c r="L2246" i="19" s="1"/>
  <c r="L2247" i="19" a="1"/>
  <c r="L2247" i="19" s="1"/>
  <c r="L2248" i="19" a="1"/>
  <c r="L2248" i="19" s="1"/>
  <c r="L2249" i="19" a="1"/>
  <c r="L2249" i="19" s="1"/>
  <c r="L2250" i="19" a="1"/>
  <c r="L2250" i="19" s="1"/>
  <c r="L2251" i="19" a="1"/>
  <c r="L2251" i="19" s="1"/>
  <c r="L2252" i="19" a="1"/>
  <c r="L2252" i="19" s="1"/>
  <c r="L2253" i="19" a="1"/>
  <c r="L2253" i="19" s="1"/>
  <c r="L2254" i="19" a="1"/>
  <c r="L2254" i="19" s="1"/>
  <c r="L2255" i="19" a="1"/>
  <c r="L2255" i="19" s="1"/>
  <c r="L2256" i="19" a="1"/>
  <c r="L2256" i="19" s="1"/>
  <c r="L2257" i="19" a="1"/>
  <c r="L2257" i="19" s="1"/>
  <c r="L2258" i="19" a="1"/>
  <c r="L2258" i="19" s="1"/>
  <c r="L2259" i="19" a="1"/>
  <c r="L2259" i="19" s="1"/>
  <c r="L2260" i="19" a="1"/>
  <c r="L2260" i="19" s="1"/>
  <c r="L2261" i="19" a="1"/>
  <c r="L2261" i="19" s="1"/>
  <c r="L2262" i="19" a="1"/>
  <c r="L2262" i="19" s="1"/>
  <c r="L2263" i="19" a="1"/>
  <c r="L2263" i="19" s="1"/>
  <c r="L2264" i="19" a="1"/>
  <c r="L2264" i="19" s="1"/>
  <c r="L2265" i="19" a="1"/>
  <c r="L2265" i="19" s="1"/>
  <c r="L2266" i="19" a="1"/>
  <c r="L2266" i="19" s="1"/>
  <c r="L2267" i="19" a="1"/>
  <c r="L2267" i="19" s="1"/>
  <c r="L2268" i="19" a="1"/>
  <c r="L2268" i="19" s="1"/>
  <c r="L2269" i="19" a="1"/>
  <c r="L2269" i="19" s="1"/>
  <c r="L2270" i="19" a="1"/>
  <c r="L2270" i="19" s="1"/>
  <c r="L2271" i="19" a="1"/>
  <c r="L2271" i="19" s="1"/>
  <c r="L2272" i="19" a="1"/>
  <c r="L2272" i="19" s="1"/>
  <c r="L2273" i="19" a="1"/>
  <c r="L2273" i="19" s="1"/>
  <c r="L2274" i="19" a="1"/>
  <c r="L2274" i="19" s="1"/>
  <c r="L2275" i="19" a="1"/>
  <c r="L2275" i="19" s="1"/>
  <c r="L2276" i="19" a="1"/>
  <c r="L2276" i="19" s="1"/>
  <c r="L2277" i="19" a="1"/>
  <c r="L2277" i="19" s="1"/>
  <c r="L2278" i="19" a="1"/>
  <c r="L2278" i="19" s="1"/>
  <c r="L2279" i="19" a="1"/>
  <c r="L2279" i="19" s="1"/>
  <c r="L2280" i="19" a="1"/>
  <c r="L2280" i="19" s="1"/>
  <c r="L2281" i="19" a="1"/>
  <c r="L2281" i="19" s="1"/>
  <c r="L2282" i="19" a="1"/>
  <c r="L2282" i="19" s="1"/>
  <c r="L2283" i="19" a="1"/>
  <c r="L2283" i="19" s="1"/>
  <c r="L2284" i="19" a="1"/>
  <c r="L2284" i="19" s="1"/>
  <c r="L2285" i="19" a="1"/>
  <c r="L2285" i="19" s="1"/>
  <c r="L2286" i="19" a="1"/>
  <c r="L2286" i="19" s="1"/>
  <c r="L2287" i="19" a="1"/>
  <c r="L2287" i="19" s="1"/>
  <c r="L2288" i="19" a="1"/>
  <c r="L2288" i="19" s="1"/>
  <c r="L2289" i="19" a="1"/>
  <c r="L2289" i="19" s="1"/>
  <c r="L2290" i="19" a="1"/>
  <c r="L2290" i="19" s="1"/>
  <c r="L2291" i="19" a="1"/>
  <c r="L2291" i="19" s="1"/>
  <c r="L2292" i="19" a="1"/>
  <c r="L2292" i="19" s="1"/>
  <c r="L2293" i="19" a="1"/>
  <c r="L2293" i="19" s="1"/>
  <c r="L2294" i="19" a="1"/>
  <c r="L2294" i="19" s="1"/>
  <c r="L2295" i="19" a="1"/>
  <c r="L2295" i="19" s="1"/>
  <c r="L2296" i="19" a="1"/>
  <c r="L2296" i="19" s="1"/>
  <c r="L2297" i="19" a="1"/>
  <c r="L2297" i="19" s="1"/>
  <c r="L2298" i="19" a="1"/>
  <c r="L2298" i="19" s="1"/>
  <c r="F17" i="6"/>
  <c r="E22" i="6"/>
  <c r="B22" i="6"/>
  <c r="F22" i="6" s="1"/>
  <c r="G22" i="6" s="1"/>
  <c r="D1389" i="19" a="1"/>
  <c r="D1353" i="19" a="1"/>
  <c r="D579" i="19" a="1"/>
  <c r="D1925" i="19" a="1"/>
  <c r="D1808" i="19" a="1"/>
  <c r="D246" i="19" a="1"/>
  <c r="D1368" i="19" a="1"/>
  <c r="D938" i="19" a="1"/>
  <c r="D1575" i="19" a="1"/>
  <c r="D1497" i="19" a="1"/>
  <c r="D247" i="19" a="1"/>
  <c r="D1839" i="19" a="1"/>
  <c r="D408" i="19" a="1"/>
  <c r="D829" i="19" a="1"/>
  <c r="D1640" i="19" a="1"/>
  <c r="D1302" i="19" a="1"/>
  <c r="D1306" i="19" a="1"/>
  <c r="D794" i="19" a="1"/>
  <c r="D2259" i="19" a="1"/>
  <c r="D1672" i="19" a="1"/>
  <c r="D2265" i="19" a="1"/>
  <c r="D219" i="19" a="1"/>
  <c r="D386" i="19" a="1"/>
  <c r="D2180" i="19" a="1"/>
  <c r="D1053" i="19" a="1"/>
  <c r="D715" i="19" a="1"/>
  <c r="D2004" i="19" a="1"/>
  <c r="D1193" i="19" a="1"/>
  <c r="D1101" i="19" a="1"/>
  <c r="D2201" i="19" a="1"/>
  <c r="D2298" i="19" a="1"/>
  <c r="D294" i="19" a="1"/>
  <c r="D585" i="19" a="1"/>
  <c r="D724" i="19" a="1"/>
  <c r="D1817" i="19" a="1"/>
  <c r="D1922" i="19" a="1"/>
  <c r="D242" i="19" a="1"/>
  <c r="D1209" i="19" a="1"/>
  <c r="D522" i="19" a="1"/>
  <c r="D1826" i="19" a="1"/>
  <c r="D1015" i="19" a="1"/>
  <c r="D1585" i="19" a="1"/>
  <c r="D670" i="19" a="1"/>
  <c r="D619" i="19" a="1"/>
  <c r="D2174" i="19" a="1"/>
  <c r="D1579" i="19" a="1"/>
  <c r="D1549" i="19" a="1"/>
  <c r="D1043" i="19" a="1"/>
  <c r="D1998" i="19" a="1"/>
  <c r="D523" i="19" a="1"/>
  <c r="D580" i="19" a="1"/>
  <c r="D2134" i="19" a="1"/>
  <c r="D2268" i="19" a="1"/>
  <c r="D1682" i="19" a="1"/>
  <c r="D2182" i="19" a="1"/>
  <c r="D283" i="19" a="1"/>
  <c r="D1992" i="19" a="1"/>
  <c r="D547" i="19" a="1"/>
  <c r="D1568" i="19" a="1"/>
  <c r="D1466" i="19" a="1"/>
  <c r="D1055" i="19" a="1"/>
  <c r="D1090" i="19" a="1"/>
  <c r="D2216" i="19" a="1"/>
  <c r="D1880" i="19" a="1"/>
  <c r="D885" i="19" a="1"/>
  <c r="D557" i="19" a="1"/>
  <c r="D612" i="19" a="1"/>
  <c r="D2167" i="19" a="1"/>
  <c r="D1333" i="19" a="1"/>
  <c r="D2219" i="19" a="1"/>
  <c r="D1377" i="19" a="1"/>
  <c r="D935" i="19" a="1"/>
  <c r="D855" i="19" a="1"/>
  <c r="D1223" i="19" a="1"/>
  <c r="D1030" i="19" a="1"/>
  <c r="D1447" i="19" a="1"/>
  <c r="D1008" i="19" a="1"/>
  <c r="D2042" i="19" a="1"/>
  <c r="D1646" i="19" a="1"/>
  <c r="D1264" i="19" a="1"/>
  <c r="D1478" i="19" a="1"/>
  <c r="D1895" i="19" a="1"/>
  <c r="D434" i="19" a="1"/>
  <c r="D1178" i="19" a="1"/>
  <c r="D1638" i="19" a="1"/>
  <c r="D1318" i="19" a="1"/>
  <c r="D1720" i="19" a="1"/>
  <c r="D1151" i="19" a="1"/>
  <c r="D1340" i="19" a="1"/>
  <c r="D962" i="19" a="1"/>
  <c r="D2101" i="19" a="1"/>
  <c r="D1547" i="19" a="1"/>
  <c r="D1581" i="19" a="1"/>
  <c r="D767" i="19" a="1"/>
  <c r="D1974" i="19" a="1"/>
  <c r="D2041" i="19" a="1"/>
  <c r="D1344" i="19" a="1"/>
  <c r="D1243" i="19" a="1"/>
  <c r="D498" i="19" a="1"/>
  <c r="D1562" i="19" a="1"/>
  <c r="D414" i="19" a="1"/>
  <c r="D167" i="19" a="1"/>
  <c r="D986" i="19" a="1"/>
  <c r="D1652" i="19" a="1"/>
  <c r="D1536" i="19" a="1"/>
  <c r="D1071" i="19" a="1"/>
  <c r="D769" i="19" a="1"/>
  <c r="D1888" i="19" a="1"/>
  <c r="D1106" i="19" a="1"/>
  <c r="D255" i="19" a="1"/>
  <c r="D2287" i="19" a="1"/>
  <c r="D693" i="19" a="1"/>
  <c r="D1034" i="19" a="1"/>
  <c r="D267" i="19" a="1"/>
  <c r="D1083" i="19" a="1"/>
  <c r="D1251" i="19" a="1"/>
  <c r="D549" i="19" a="1"/>
  <c r="D1023" i="19" a="1"/>
  <c r="D1800" i="19" a="1"/>
  <c r="D1930" i="19" a="1"/>
  <c r="D1850" i="19" a="1"/>
  <c r="D605" i="19" a="1"/>
  <c r="D1176" i="19" a="1"/>
  <c r="D2145" i="19" a="1"/>
  <c r="D1518" i="19" a="1"/>
  <c r="D2098" i="19" a="1"/>
  <c r="D1373" i="19" a="1"/>
  <c r="D1848" i="19" a="1"/>
  <c r="D950" i="19" a="1"/>
  <c r="D1550" i="19" a="1"/>
  <c r="D1566" i="19" a="1"/>
  <c r="D1329" i="19" a="1"/>
  <c r="D2113" i="19" a="1"/>
  <c r="D2046" i="19" a="1"/>
  <c r="D1712" i="19" a="1"/>
  <c r="D1722" i="19" a="1"/>
  <c r="D212" i="19" a="1"/>
  <c r="D560" i="19" a="1"/>
  <c r="D2122" i="19" a="1"/>
  <c r="D1334" i="19" a="1"/>
  <c r="D1131" i="19" a="1"/>
  <c r="D1673" i="19" a="1"/>
  <c r="D866" i="19" a="1"/>
  <c r="D706" i="19" a="1"/>
  <c r="D233" i="19" a="1"/>
  <c r="D771" i="19" a="1"/>
  <c r="D1203" i="19" a="1"/>
  <c r="D898" i="19" a="1"/>
  <c r="D879" i="19" a="1"/>
  <c r="D1309" i="19" a="1"/>
  <c r="D1128" i="19" a="1"/>
  <c r="D621" i="19" a="1"/>
  <c r="D928" i="19" a="1"/>
  <c r="D1473" i="19" a="1"/>
  <c r="D1267" i="19" a="1"/>
  <c r="D1216" i="19" a="1"/>
  <c r="D1135" i="19" a="1"/>
  <c r="D474" i="19" a="1"/>
  <c r="D1714" i="19" a="1"/>
  <c r="D800" i="19" a="1"/>
  <c r="D1911" i="19" a="1"/>
  <c r="D1387" i="19" a="1"/>
  <c r="D942" i="19" a="1"/>
  <c r="D1237" i="19" a="1"/>
  <c r="D1614" i="19" a="1"/>
  <c r="D1157" i="19" a="1"/>
  <c r="D2154" i="19" a="1"/>
  <c r="D1390" i="19" a="1"/>
  <c r="D222" i="19" a="1"/>
  <c r="D1184" i="19" a="1"/>
  <c r="D1082" i="19" a="1"/>
  <c r="D943" i="19" a="1"/>
  <c r="D229" i="19" a="1"/>
  <c r="D577" i="19" a="1"/>
  <c r="D524" i="19" a="1"/>
  <c r="D1559" i="19" a="1"/>
  <c r="D2036" i="19" a="1"/>
  <c r="D1921" i="19" a="1"/>
  <c r="D2023" i="19" a="1"/>
  <c r="D1288" i="19" a="1"/>
  <c r="D1134" i="19" a="1"/>
  <c r="D836" i="19" a="1"/>
  <c r="D1545" i="19" a="1"/>
  <c r="D1597" i="19" a="1"/>
  <c r="D1010" i="19" a="1"/>
  <c r="D1601" i="19" a="1"/>
  <c r="D918" i="19" a="1"/>
  <c r="D649" i="19" a="1"/>
  <c r="D664" i="19" a="1"/>
  <c r="D2249" i="19" a="1"/>
  <c r="D591" i="19" a="1"/>
  <c r="D729" i="19" a="1"/>
  <c r="D1259" i="19" a="1"/>
  <c r="D904" i="19" a="1"/>
  <c r="D445" i="19" a="1"/>
  <c r="D1641" i="19" a="1"/>
  <c r="D2002" i="19" a="1"/>
  <c r="D2271" i="19" a="1"/>
  <c r="D1561" i="19" a="1"/>
  <c r="D997" i="19" a="1"/>
  <c r="D1258" i="19" a="1"/>
  <c r="D755" i="19" a="1"/>
  <c r="D797" i="19" a="1"/>
  <c r="D1035" i="19" a="1"/>
  <c r="D1100" i="19" a="1"/>
  <c r="D1446" i="19" a="1"/>
  <c r="D1160" i="19" a="1"/>
  <c r="D2205" i="19" a="1"/>
  <c r="D2238" i="19" a="1"/>
  <c r="D893" i="19" a="1"/>
  <c r="D766" i="19" a="1"/>
  <c r="D949" i="19" a="1"/>
  <c r="D1434" i="19" a="1"/>
  <c r="D947" i="19" a="1"/>
  <c r="D1186" i="19" a="1"/>
  <c r="D301" i="19" a="1"/>
  <c r="D550" i="19" a="1"/>
  <c r="D595" i="19" a="1"/>
  <c r="D1984" i="19" a="1"/>
  <c r="D2239" i="19" a="1"/>
  <c r="D1540" i="19" a="1"/>
  <c r="D592" i="19" a="1"/>
  <c r="D872" i="19" a="1"/>
  <c r="D1587" i="19" a="1"/>
  <c r="D1218" i="19" a="1"/>
  <c r="D1076" i="19" a="1"/>
  <c r="D2011" i="19" a="1"/>
  <c r="D1846" i="19" a="1"/>
  <c r="D1852" i="19" a="1"/>
  <c r="D363" i="19" a="1"/>
  <c r="D525" i="19" a="1"/>
  <c r="D828" i="19" a="1"/>
  <c r="D433" i="19" a="1"/>
  <c r="D1232" i="19" a="1"/>
  <c r="D2285" i="19" a="1"/>
  <c r="D2194" i="19" a="1"/>
  <c r="D582" i="19" a="1"/>
  <c r="D1198" i="19" a="1"/>
  <c r="D788" i="19" a="1"/>
  <c r="D252" i="19" a="1"/>
  <c r="D1096" i="19" a="1"/>
  <c r="D689" i="19" a="1"/>
  <c r="D448" i="19" a="1"/>
  <c r="D237" i="19" a="1"/>
  <c r="D2264" i="19" a="1"/>
  <c r="D2076" i="19" a="1"/>
  <c r="D932" i="19" a="1"/>
  <c r="D1462" i="19" a="1"/>
  <c r="D482" i="19" a="1"/>
  <c r="D1890" i="19" a="1"/>
  <c r="D1743" i="19" a="1"/>
  <c r="D1530" i="19" a="1"/>
  <c r="D1985" i="19" a="1"/>
  <c r="D1563" i="19" a="1"/>
  <c r="D1875" i="19" a="1"/>
  <c r="D1778" i="19" a="1"/>
  <c r="D2196" i="19" a="1"/>
  <c r="D293" i="19" a="1"/>
  <c r="D1738" i="19" a="1"/>
  <c r="D952" i="19" a="1"/>
  <c r="D1659" i="19" a="1"/>
  <c r="D1219" i="19" a="1"/>
  <c r="D1631" i="19" a="1"/>
  <c r="D1077" i="19" a="1"/>
  <c r="D1330" i="19" a="1"/>
  <c r="D1412" i="19" a="1"/>
  <c r="D443" i="19" a="1"/>
  <c r="D239" i="19" a="1"/>
  <c r="D1525" i="19" a="1"/>
  <c r="D967" i="19" a="1"/>
  <c r="D1886" i="19" a="1"/>
  <c r="D815" i="19" a="1"/>
  <c r="D562" i="19" a="1"/>
  <c r="D1754" i="19" a="1"/>
  <c r="D634" i="19" a="1"/>
  <c r="D2250" i="19" a="1"/>
  <c r="D820" i="19" a="1"/>
  <c r="D558" i="19" a="1"/>
  <c r="D1011" i="19" a="1"/>
  <c r="D1341" i="19" a="1"/>
  <c r="D289" i="19" a="1"/>
  <c r="D2118" i="19" a="1"/>
  <c r="D2032" i="19" a="1"/>
  <c r="D1062" i="19" a="1"/>
  <c r="D1736" i="19" a="1"/>
  <c r="D2077" i="19" a="1"/>
  <c r="D1271" i="19" a="1"/>
  <c r="D340" i="19" a="1"/>
  <c r="D731" i="19" a="1"/>
  <c r="D1960" i="19" a="1"/>
  <c r="D676" i="19" a="1"/>
  <c r="D914" i="19" a="1"/>
  <c r="D1645" i="19" a="1"/>
  <c r="D1940" i="19" a="1"/>
  <c r="D2213" i="19" a="1"/>
  <c r="D481" i="19" a="1"/>
  <c r="D2073" i="19" a="1"/>
  <c r="D251" i="19" a="1"/>
  <c r="D393" i="19" a="1"/>
  <c r="D1442" i="19" a="1"/>
  <c r="D1112" i="19" a="1"/>
  <c r="D1325" i="19" a="1"/>
  <c r="D1290" i="19" a="1"/>
  <c r="D2109" i="19" a="1"/>
  <c r="D504" i="19" a="1"/>
  <c r="D489" i="19" a="1"/>
  <c r="D1902" i="19" a="1"/>
  <c r="D2071" i="19" a="1"/>
  <c r="D1973" i="19" a="1"/>
  <c r="D870" i="19" a="1"/>
  <c r="D1448" i="19" a="1"/>
  <c r="D464" i="19" a="1"/>
  <c r="D1332" i="19" a="1"/>
  <c r="D1019" i="19" a="1"/>
  <c r="D1728" i="19" a="1"/>
  <c r="D2064" i="19" a="1"/>
  <c r="D1769" i="19" a="1"/>
  <c r="D1244" i="19" a="1"/>
  <c r="D318" i="19" a="1"/>
  <c r="D258" i="19" a="1"/>
  <c r="D467" i="19" a="1"/>
  <c r="D256" i="19" a="1"/>
  <c r="D2096" i="19" a="1"/>
  <c r="D334" i="19" a="1"/>
  <c r="D356" i="19" a="1"/>
  <c r="D1358" i="19" a="1"/>
  <c r="D494" i="19" a="1"/>
  <c r="D172" i="19" a="1"/>
  <c r="D314" i="19" a="1"/>
  <c r="D736" i="19" a="1"/>
  <c r="D1032" i="19" a="1"/>
  <c r="D1464" i="19" a="1"/>
  <c r="D201" i="19" a="1"/>
  <c r="D1546" i="19" a="1"/>
  <c r="D1879" i="19" a="1"/>
  <c r="D1649" i="19" a="1"/>
  <c r="D1231" i="19" a="1"/>
  <c r="D2039" i="19" a="1"/>
  <c r="D1576" i="19" a="1"/>
  <c r="D1404" i="19" a="1"/>
  <c r="D390" i="19" a="1"/>
  <c r="D805" i="19" a="1"/>
  <c r="D459" i="19" a="1"/>
  <c r="D1679" i="19" a="1"/>
  <c r="D1752" i="19" a="1"/>
  <c r="D846" i="19" a="1"/>
  <c r="D1402" i="19" a="1"/>
  <c r="D1054" i="19" a="1"/>
  <c r="D306" i="19" a="1"/>
  <c r="D280" i="19" a="1"/>
  <c r="D791" i="19" a="1"/>
  <c r="D537" i="19" a="1"/>
  <c r="D858" i="19" a="1"/>
  <c r="D2089" i="19" a="1"/>
  <c r="D2222" i="19" a="1"/>
  <c r="D262" i="19" a="1"/>
  <c r="D1088" i="19" a="1"/>
  <c r="D608" i="19" a="1"/>
  <c r="D1863" i="19" a="1"/>
  <c r="D1036" i="19" a="1"/>
  <c r="D1734" i="19" a="1"/>
  <c r="D1129" i="19" a="1"/>
  <c r="D368" i="19" a="1"/>
  <c r="D658" i="19" a="1"/>
  <c r="D1347" i="19" a="1"/>
  <c r="D624" i="19" a="1"/>
  <c r="D385" i="19" a="1"/>
  <c r="D566" i="19" a="1"/>
  <c r="D823" i="19" a="1"/>
  <c r="D424" i="19" a="1"/>
  <c r="D276" i="19" a="1"/>
  <c r="D1278" i="19" a="1"/>
  <c r="D2237" i="19" a="1"/>
  <c r="D1137" i="19" a="1"/>
  <c r="D588" i="19" a="1"/>
  <c r="D2065" i="19" a="1"/>
  <c r="D1944" i="19" a="1"/>
  <c r="D278" i="19" a="1"/>
  <c r="D862" i="19" a="1"/>
  <c r="D1247" i="19" a="1"/>
  <c r="D2241" i="19" a="1"/>
  <c r="D2236" i="19" a="1"/>
  <c r="D1796" i="19" a="1"/>
  <c r="D1486" i="19" a="1"/>
  <c r="D176" i="19" a="1"/>
  <c r="D1210" i="19" a="1"/>
  <c r="D285" i="19" a="1"/>
  <c r="D953" i="19" a="1"/>
  <c r="D2040" i="19" a="1"/>
  <c r="D352" i="19" a="1"/>
  <c r="D644" i="19" a="1"/>
  <c r="D994" i="19" a="1"/>
  <c r="D802" i="19" a="1"/>
  <c r="D1489" i="19" a="1"/>
  <c r="D1004" i="19" a="1"/>
  <c r="D2151" i="19" a="1"/>
  <c r="D785" i="19" a="1"/>
  <c r="D281" i="19" a="1"/>
  <c r="D565" i="19" a="1"/>
  <c r="D323" i="19" a="1"/>
  <c r="D503" i="19" a="1"/>
  <c r="D1009" i="19" a="1"/>
  <c r="D1666" i="19" a="1"/>
  <c r="D2234" i="19" a="1"/>
  <c r="D674" i="19" a="1"/>
  <c r="D1774" i="19" a="1"/>
  <c r="D2173" i="19" a="1"/>
  <c r="D610" i="19" a="1"/>
  <c r="D669" i="19" a="1"/>
  <c r="D1205" i="19" a="1"/>
  <c r="D1383" i="19" a="1"/>
  <c r="D1105" i="19" a="1"/>
  <c r="D916" i="19" a="1"/>
  <c r="D468" i="19" a="1"/>
  <c r="D1065" i="19" a="1"/>
  <c r="D957" i="19" a="1"/>
  <c r="D1350" i="19" a="1"/>
  <c r="D982" i="19" a="1"/>
  <c r="D642" i="19" a="1"/>
  <c r="D315" i="19" a="1"/>
  <c r="D1686" i="19" a="1"/>
  <c r="D538" i="19" a="1"/>
  <c r="D790" i="19" a="1"/>
  <c r="D389" i="19" a="1"/>
  <c r="D1284" i="19" a="1"/>
  <c r="D2233" i="19" a="1"/>
  <c r="D429" i="19" a="1"/>
  <c r="D1275" i="19" a="1"/>
  <c r="D1933" i="19" a="1"/>
  <c r="D1831" i="19" a="1"/>
  <c r="D2110" i="19" a="1"/>
  <c r="D643" i="19" a="1"/>
  <c r="D1627" i="19" a="1"/>
  <c r="D1618" i="19" a="1"/>
  <c r="D455" i="19" a="1"/>
  <c r="D1516" i="19" a="1"/>
  <c r="D1964" i="19" a="1"/>
  <c r="D1049" i="19" a="1"/>
  <c r="D1872" i="19" a="1"/>
  <c r="D1337" i="19" a="1"/>
  <c r="D2146" i="19" a="1"/>
  <c r="D1369" i="19" a="1"/>
  <c r="D1820" i="19" a="1"/>
  <c r="D939" i="19" a="1"/>
  <c r="D1452" i="19" a="1"/>
  <c r="D1860" i="19" a="1"/>
  <c r="D1741" i="19" a="1"/>
  <c r="D1670" i="19" a="1"/>
  <c r="D1841" i="19" a="1"/>
  <c r="D2215" i="19" a="1"/>
  <c r="D2185" i="19" a="1"/>
  <c r="D264" i="19" a="1"/>
  <c r="D1477" i="19" a="1"/>
  <c r="D851" i="19" a="1"/>
  <c r="D806" i="19" a="1"/>
  <c r="D1421" i="19" a="1"/>
  <c r="D1942" i="19" a="1"/>
  <c r="D850" i="19" a="1"/>
  <c r="D518" i="19" a="1"/>
  <c r="D509" i="19" a="1"/>
  <c r="D447" i="19" a="1"/>
  <c r="D1384" i="19" a="1"/>
  <c r="D472" i="19" a="1"/>
  <c r="D1041" i="19" a="1"/>
  <c r="D2156" i="19" a="1"/>
  <c r="D1103" i="19" a="1"/>
  <c r="D1535" i="19" a="1"/>
  <c r="D864" i="19" a="1"/>
  <c r="D487" i="19" a="1"/>
  <c r="D833" i="19" a="1"/>
  <c r="D2178" i="19" a="1"/>
  <c r="D1425" i="19" a="1"/>
  <c r="D2176" i="19" a="1"/>
  <c r="D1832" i="19" a="1"/>
  <c r="D321" i="19" a="1"/>
  <c r="D568" i="19" a="1"/>
  <c r="D2220" i="19" a="1"/>
  <c r="D2133" i="19" a="1"/>
  <c r="D397" i="19" a="1"/>
  <c r="D700" i="19" a="1"/>
  <c r="D840" i="19" a="1"/>
  <c r="D1441" i="19" a="1"/>
  <c r="D1830" i="19" a="1"/>
  <c r="D2091" i="19" a="1"/>
  <c r="D290" i="19" a="1"/>
  <c r="D1156" i="19" a="1"/>
  <c r="D2033" i="19" a="1"/>
  <c r="D358" i="19" a="1"/>
  <c r="D462" i="19" a="1"/>
  <c r="D822" i="19" a="1"/>
  <c r="D1326" i="19" a="1"/>
  <c r="D587" i="19" a="1"/>
  <c r="D1513" i="19" a="1"/>
  <c r="D1523" i="19" a="1"/>
  <c r="D1987" i="19" a="1"/>
  <c r="D319" i="19" a="1"/>
  <c r="D583" i="19" a="1"/>
  <c r="D553" i="19" a="1"/>
  <c r="D2247" i="19" a="1"/>
  <c r="D1757" i="19" a="1"/>
  <c r="D221" i="19" a="1"/>
  <c r="D1616" i="19" a="1"/>
  <c r="D837" i="19" a="1"/>
  <c r="D824" i="19" a="1"/>
  <c r="D1764" i="19" a="1"/>
  <c r="D225" i="19" a="1"/>
  <c r="D1456" i="19" a="1"/>
  <c r="D576" i="19" a="1"/>
  <c r="D721" i="19" a="1"/>
  <c r="D2204" i="19" a="1"/>
  <c r="D1517" i="19" a="1"/>
  <c r="D1716" i="19" a="1"/>
  <c r="D161" i="19" a="1"/>
  <c r="D2029" i="19" a="1"/>
  <c r="D813" i="19" a="1"/>
  <c r="D690" i="19" a="1"/>
  <c r="D765" i="19" a="1"/>
  <c r="D865" i="19" a="1"/>
  <c r="D835" i="19" a="1"/>
  <c r="D1336" i="19" a="1"/>
  <c r="D1634" i="19" a="1"/>
  <c r="D531" i="19" a="1"/>
  <c r="D260" i="19" a="1"/>
  <c r="D1351" i="19" a="1"/>
  <c r="D1750" i="19" a="1"/>
  <c r="D1028" i="19" a="1"/>
  <c r="D1221" i="19" a="1"/>
  <c r="D1502" i="19" a="1"/>
  <c r="D651" i="19" a="1"/>
  <c r="D1548" i="19" a="1"/>
  <c r="D1480" i="19" a="1"/>
  <c r="D919" i="19" a="1"/>
  <c r="D1939" i="19" a="1"/>
  <c r="D510" i="19" a="1"/>
  <c r="D1928" i="19" a="1"/>
  <c r="D668" i="19" a="1"/>
  <c r="D641" i="19" a="1"/>
  <c r="D1633" i="19" a="1"/>
  <c r="D1915" i="19" a="1"/>
  <c r="D220" i="19" a="1"/>
  <c r="D322" i="19" a="1"/>
  <c r="D473" i="19" a="1"/>
  <c r="D1165" i="19" a="1"/>
  <c r="D2170" i="19" a="1"/>
  <c r="D925" i="19" a="1"/>
  <c r="D979" i="19" a="1"/>
  <c r="D881" i="19" a="1"/>
  <c r="D1479" i="19" a="1"/>
  <c r="D1784" i="19" a="1"/>
  <c r="D2252" i="19" a="1"/>
  <c r="D1172" i="19" a="1"/>
  <c r="D660" i="19" a="1"/>
  <c r="D2139" i="19" a="1"/>
  <c r="D883" i="19" a="1"/>
  <c r="D1297" i="19" a="1"/>
  <c r="D1954" i="19" a="1"/>
  <c r="D1246" i="19" a="1"/>
  <c r="D764" i="19" a="1"/>
  <c r="D302" i="19" a="1"/>
  <c r="D535" i="19" a="1"/>
  <c r="D544" i="19" a="1"/>
  <c r="D1533" i="19" a="1"/>
  <c r="D1755" i="19" a="1"/>
  <c r="D912" i="19" a="1"/>
  <c r="D1612" i="19" a="1"/>
  <c r="D413" i="19" a="1"/>
  <c r="D406" i="19" a="1"/>
  <c r="D444" i="19" a="1"/>
  <c r="D774" i="19" a="1"/>
  <c r="D1289" i="19" a="1"/>
  <c r="D923" i="19" a="1"/>
  <c r="D1823" i="19" a="1"/>
  <c r="D2257" i="19" a="1"/>
  <c r="D728" i="19" a="1"/>
  <c r="D2245" i="19" a="1"/>
  <c r="D217" i="19" a="1"/>
  <c r="D1126" i="19" a="1"/>
  <c r="D1024" i="19" a="1"/>
  <c r="D1468" i="19" a="1"/>
  <c r="D476" i="19" a="1"/>
  <c r="D435" i="19" a="1"/>
  <c r="D2129" i="19" a="1"/>
  <c r="D1932" i="19" a="1"/>
  <c r="D1996" i="19" a="1"/>
  <c r="D2030" i="19" a="1"/>
  <c r="D1435" i="19" a="1"/>
  <c r="D974" i="19" a="1"/>
  <c r="D944" i="19" a="1"/>
  <c r="D778" i="19" a="1"/>
  <c r="D2164" i="19" a="1"/>
  <c r="D1851" i="19" a="1"/>
  <c r="D1200" i="19" a="1"/>
  <c r="D989" i="19" a="1"/>
  <c r="D1250" i="19" a="1"/>
  <c r="D993" i="19" a="1"/>
  <c r="D783" i="19" a="1"/>
  <c r="D313" i="19" a="1"/>
  <c r="D2093" i="19" a="1"/>
  <c r="D1093" i="19" a="1"/>
  <c r="D601" i="19" a="1"/>
  <c r="D780" i="19" a="1"/>
  <c r="D1598" i="19" a="1"/>
  <c r="D810" i="19" a="1"/>
  <c r="D311" i="19" a="1"/>
  <c r="D1683" i="19" a="1"/>
  <c r="D387" i="19" a="1"/>
  <c r="D1304" i="19" a="1"/>
  <c r="D2043" i="19" a="1"/>
  <c r="D1222" i="19" a="1"/>
  <c r="D488" i="19" a="1"/>
  <c r="D2103" i="19" a="1"/>
  <c r="D388" i="19" a="1"/>
  <c r="D1370" i="19" a="1"/>
  <c r="D454" i="19" a="1"/>
  <c r="D613" i="19" a="1"/>
  <c r="D1927" i="19" a="1"/>
  <c r="D208" i="19" a="1"/>
  <c r="D1201" i="19" a="1"/>
  <c r="D1261" i="19" a="1"/>
  <c r="D2044" i="19" a="1"/>
  <c r="D1495" i="19" a="1"/>
  <c r="D1662" i="19" a="1"/>
  <c r="D1118" i="19" a="1"/>
  <c r="D410" i="19" a="1"/>
  <c r="D2052" i="19" a="1"/>
  <c r="D2270" i="19" a="1"/>
  <c r="D1995" i="19" a="1"/>
  <c r="D1068" i="19" a="1"/>
  <c r="D999" i="19" a="1"/>
  <c r="D1819" i="19" a="1"/>
  <c r="D907" i="19" a="1"/>
  <c r="D1544" i="19" a="1"/>
  <c r="D2031" i="19" a="1"/>
  <c r="D1619" i="19" a="1"/>
  <c r="D848" i="19" a="1"/>
  <c r="D871" i="19" a="1"/>
  <c r="D1451" i="19" a="1"/>
  <c r="D954" i="19" a="1"/>
  <c r="D398" i="19" a="1"/>
  <c r="D2189" i="19" a="1"/>
  <c r="D1924" i="19" a="1"/>
  <c r="D1180" i="19" a="1"/>
  <c r="D1335" i="19" a="1"/>
  <c r="D528" i="19" a="1"/>
  <c r="D804" i="19" a="1"/>
  <c r="D1859" i="19" a="1"/>
  <c r="D1767" i="19" a="1"/>
  <c r="D1116" i="19" a="1"/>
  <c r="D1343" i="19" a="1"/>
  <c r="D1658" i="19" a="1"/>
  <c r="D2095" i="19" a="1"/>
  <c r="D1189" i="19" a="1"/>
  <c r="D1159" i="19" a="1"/>
  <c r="D2117" i="19" a="1"/>
  <c r="D555" i="19" a="1"/>
  <c r="D1444" i="19" a="1"/>
  <c r="D703" i="19" a="1"/>
  <c r="D2169" i="19" a="1"/>
  <c r="D156" i="19" a="1"/>
  <c r="D1609" i="19" a="1"/>
  <c r="D1961" i="19" a="1"/>
  <c r="D1398" i="19" a="1"/>
  <c r="D682" i="19" a="1"/>
  <c r="D1586" i="19" a="1"/>
  <c r="D1423" i="19" a="1"/>
  <c r="D1393" i="19" a="1"/>
  <c r="D1745" i="19" a="1"/>
  <c r="D1782" i="19" a="1"/>
  <c r="D1430" i="19" a="1"/>
  <c r="D852" i="19" a="1"/>
  <c r="D422" i="19" a="1"/>
  <c r="D1440" i="19" a="1"/>
  <c r="D890" i="19" a="1"/>
  <c r="D654" i="19" a="1"/>
  <c r="D1889" i="19" a="1"/>
  <c r="D1472" i="19" a="1"/>
  <c r="D620" i="19" a="1"/>
  <c r="D1308" i="19" a="1"/>
  <c r="D1458" i="19" a="1"/>
  <c r="D310" i="19" a="1"/>
  <c r="D308" i="19" a="1"/>
  <c r="D699" i="19" a="1"/>
  <c r="D348" i="19" a="1"/>
  <c r="D1969" i="19" a="1"/>
  <c r="D266" i="19" a="1"/>
  <c r="D181" i="19" a="1"/>
  <c r="D2007" i="19" a="1"/>
  <c r="D886" i="19" a="1"/>
  <c r="D1731" i="19" a="1"/>
  <c r="D663" i="19" a="1"/>
  <c r="D2107" i="19" a="1"/>
  <c r="D1039" i="19" a="1"/>
  <c r="D1617" i="19" a="1"/>
  <c r="D166" i="19" a="1"/>
  <c r="D1816" i="19" a="1"/>
  <c r="D379" i="19" a="1"/>
  <c r="D1348" i="19" a="1"/>
  <c r="D1301" i="19" a="1"/>
  <c r="D799" i="19" a="1"/>
  <c r="D905" i="19" a="1"/>
  <c r="D2099" i="19" a="1"/>
  <c r="D586" i="19" a="1"/>
  <c r="D2060" i="19" a="1"/>
  <c r="D209" i="19" a="1"/>
  <c r="D1127" i="19" a="1"/>
  <c r="D1040" i="19" a="1"/>
  <c r="D1978" i="19" a="1"/>
  <c r="D607" i="19" a="1"/>
  <c r="D2227" i="19" a="1"/>
  <c r="D1746" i="19" a="1"/>
  <c r="D564" i="19" a="1"/>
  <c r="D1109" i="19" a="1"/>
  <c r="D811" i="19" a="1"/>
  <c r="D1249" i="19" a="1"/>
  <c r="D617" i="19" a="1"/>
  <c r="D1937" i="19" a="1"/>
  <c r="D1122" i="19" a="1"/>
  <c r="D1870" i="19" a="1"/>
  <c r="D446" i="19" a="1"/>
  <c r="D1896" i="19" a="1"/>
  <c r="D2225" i="19" a="1"/>
  <c r="D1914" i="19" a="1"/>
  <c r="D2094" i="19" a="1"/>
  <c r="D1608" i="19" a="1"/>
  <c r="D532" i="19" a="1"/>
  <c r="D1070" i="19" a="1"/>
  <c r="D936" i="19" a="1"/>
  <c r="D2263" i="19" a="1"/>
  <c r="D1656" i="19" a="1"/>
  <c r="D418" i="19" a="1"/>
  <c r="D1705" i="19" a="1"/>
  <c r="D1693" i="19" a="1"/>
  <c r="D2137" i="19" a="1"/>
  <c r="D1876" i="19" a="1"/>
  <c r="D1833" i="19" a="1"/>
  <c r="D484" i="19" a="1"/>
  <c r="D2070" i="19" a="1"/>
  <c r="D1154" i="19" a="1"/>
  <c r="D1013" i="19" a="1"/>
  <c r="D2087" i="19" a="1"/>
  <c r="D655" i="19" a="1"/>
  <c r="D1989" i="19" a="1"/>
  <c r="D667" i="19" a="1"/>
  <c r="D1962" i="19" a="1"/>
  <c r="D960" i="19" a="1"/>
  <c r="D261" i="19" a="1"/>
  <c r="D1110" i="19" a="1"/>
  <c r="D623" i="19" a="1"/>
  <c r="D1240" i="19" a="1"/>
  <c r="D530" i="19" a="1"/>
  <c r="D1321" i="19" a="1"/>
  <c r="D243" i="19" a="1"/>
  <c r="D1504" i="19" a="1"/>
  <c r="D1061" i="19" a="1"/>
  <c r="D1169" i="19" a="1"/>
  <c r="D1067" i="19" a="1"/>
  <c r="D946" i="19" a="1"/>
  <c r="D1797" i="19" a="1"/>
  <c r="D257" i="19" a="1"/>
  <c r="D1623" i="19" a="1"/>
  <c r="D1025" i="19" a="1"/>
  <c r="D1625" i="19" a="1"/>
  <c r="D1339" i="19" a="1"/>
  <c r="D1577" i="19" a="1"/>
  <c r="D1999" i="19" a="1"/>
  <c r="D1238" i="19" a="1"/>
  <c r="D1052" i="19" a="1"/>
  <c r="D991" i="19" a="1"/>
  <c r="D360" i="19" a="1"/>
  <c r="D995" i="19" a="1"/>
  <c r="D2289" i="19" a="1"/>
  <c r="D671" i="19" a="1"/>
  <c r="D2061" i="19" a="1"/>
  <c r="D351" i="19" a="1"/>
  <c r="D2124" i="19" a="1"/>
  <c r="D930" i="19" a="1"/>
  <c r="D900" i="19" a="1"/>
  <c r="D1228" i="19" a="1"/>
  <c r="D1569" i="19" a="1"/>
  <c r="D878" i="19" a="1"/>
  <c r="D355" i="19" a="1"/>
  <c r="D908" i="19" a="1"/>
  <c r="D574" i="19" a="1"/>
  <c r="D1798" i="19" a="1"/>
  <c r="D1678" i="19" a="1"/>
  <c r="D1865" i="19" a="1"/>
  <c r="D665" i="19" a="1"/>
  <c r="D477" i="19" a="1"/>
  <c r="D1401" i="19" a="1"/>
  <c r="D1239" i="19" a="1"/>
  <c r="D887" i="19" a="1"/>
  <c r="D551" i="19" a="1"/>
  <c r="D383" i="19" a="1"/>
  <c r="D369" i="19" a="1"/>
  <c r="D1265" i="19" a="1"/>
  <c r="D1144" i="19" a="1"/>
  <c r="D1527" i="19" a="1"/>
  <c r="D966" i="19" a="1"/>
  <c r="D1294" i="19" a="1"/>
  <c r="D441" i="19" a="1"/>
  <c r="D381" i="19" a="1"/>
  <c r="D338" i="19" a="1"/>
  <c r="D924" i="19" a="1"/>
  <c r="D404" i="19" a="1"/>
  <c r="D371" i="19" a="1"/>
  <c r="D2034" i="19" a="1"/>
  <c r="D1443" i="19" a="1"/>
  <c r="D1910" i="19" a="1"/>
  <c r="D705" i="19" a="1"/>
  <c r="D370" i="19" a="1"/>
  <c r="D1696" i="19" a="1"/>
  <c r="D712" i="19" a="1"/>
  <c r="D1681" i="19" a="1"/>
  <c r="D1644" i="19" a="1"/>
  <c r="D1279" i="19" a="1"/>
  <c r="D1878" i="19" a="1"/>
  <c r="D330" i="19" a="1"/>
  <c r="D1234" i="19" a="1"/>
  <c r="D1379" i="19" a="1"/>
  <c r="D1916" i="19" a="1"/>
  <c r="D1371" i="19" a="1"/>
  <c r="D179" i="19" a="1"/>
  <c r="D734" i="19" a="1"/>
  <c r="D650" i="19" a="1"/>
  <c r="D501" i="19" a="1"/>
  <c r="D2062" i="19" a="1"/>
  <c r="D1532" i="19" a="1"/>
  <c r="D327" i="19" a="1"/>
  <c r="D1760" i="19" a="1"/>
  <c r="D392" i="19" a="1"/>
  <c r="D727" i="19" a="1"/>
  <c r="D1162" i="19" a="1"/>
  <c r="D1929" i="19" a="1"/>
  <c r="D781" i="19" a="1"/>
  <c r="D1873" i="19" a="1"/>
  <c r="D354" i="19" a="1"/>
  <c r="D812" i="19" a="1"/>
  <c r="D320" i="19" a="1"/>
  <c r="D1026" i="19" a="1"/>
  <c r="D1735" i="19" a="1"/>
  <c r="D877" i="19" a="1"/>
  <c r="D1787" i="19" a="1"/>
  <c r="D1029" i="19" a="1"/>
  <c r="D801" i="19" a="1"/>
  <c r="D1765" i="19" a="1"/>
  <c r="D1066" i="19" a="1"/>
  <c r="D1909" i="19" a="1"/>
  <c r="D1958" i="19" a="1"/>
  <c r="D2275" i="19" a="1"/>
  <c r="D572" i="19" a="1"/>
  <c r="D922" i="19" a="1"/>
  <c r="D819" i="19" a="1"/>
  <c r="D298" i="19" a="1"/>
  <c r="D816" i="19" a="1"/>
  <c r="D1079" i="19" a="1"/>
  <c r="D2106" i="19" a="1"/>
  <c r="D1968" i="19" a="1"/>
  <c r="D1906" i="19" a="1"/>
  <c r="D798" i="19" a="1"/>
  <c r="D1266" i="19" a="1"/>
  <c r="D628" i="19" a="1"/>
  <c r="D210" i="19" a="1"/>
  <c r="D1667" i="19" a="1"/>
  <c r="D2115" i="19" a="1"/>
  <c r="D749" i="19" a="1"/>
  <c r="D1799" i="19" a="1"/>
  <c r="D638" i="19" a="1"/>
  <c r="D1956" i="19" a="1"/>
  <c r="D2105" i="19" a="1"/>
  <c r="D2209" i="19" a="1"/>
  <c r="D2037" i="19" a="1"/>
  <c r="D1912" i="19" a="1"/>
  <c r="D675" i="19" a="1"/>
  <c r="D573" i="19" a="1"/>
  <c r="D2244" i="19" a="1"/>
  <c r="D578" i="19" a="1"/>
  <c r="D1807" i="19" a="1"/>
  <c r="D1663" i="19" a="1"/>
  <c r="D1416" i="19" a="1"/>
  <c r="D1483" i="19" a="1"/>
  <c r="D1636" i="19" a="1"/>
  <c r="D948" i="19" a="1"/>
  <c r="D438" i="19" a="1"/>
  <c r="D180" i="19" a="1"/>
  <c r="D625" i="19" a="1"/>
  <c r="D1836" i="19" a="1"/>
  <c r="D430" i="19" a="1"/>
  <c r="D1132" i="19" a="1"/>
  <c r="D1114" i="19" a="1"/>
  <c r="D376" i="19" a="1"/>
  <c r="D1252" i="19" a="1"/>
  <c r="D193" i="19" a="1"/>
  <c r="D2187" i="19" a="1"/>
  <c r="D2003" i="19" a="1"/>
  <c r="D284" i="19" a="1"/>
  <c r="D570" i="19" a="1"/>
  <c r="D860" i="19" a="1"/>
  <c r="D1307" i="19" a="1"/>
  <c r="D1183" i="19" a="1"/>
  <c r="D1991" i="19" a="1"/>
  <c r="D1287" i="19" a="1"/>
  <c r="D296" i="19" a="1"/>
  <c r="D198" i="19" a="1"/>
  <c r="D782" i="19" a="1"/>
  <c r="D847" i="19" a="1"/>
  <c r="D1794" i="19" a="1"/>
  <c r="D630" i="19" a="1"/>
  <c r="D1629" i="19" a="1"/>
  <c r="D2290" i="19" a="1"/>
  <c r="D1943" i="19" a="1"/>
  <c r="D1233" i="19" a="1"/>
  <c r="D1352" i="19" a="1"/>
  <c r="D1737" i="19" a="1"/>
  <c r="D263" i="19" a="1"/>
  <c r="D741" i="19" a="1"/>
  <c r="D2025" i="19" a="1"/>
  <c r="D661" i="19" a="1"/>
  <c r="D710" i="19" a="1"/>
  <c r="D2184" i="19" a="1"/>
  <c r="D195" i="19" a="1"/>
  <c r="D2175" i="19" a="1"/>
  <c r="D702" i="19" a="1"/>
  <c r="D1903" i="19" a="1"/>
  <c r="D2097" i="19" a="1"/>
  <c r="D343" i="19" a="1"/>
  <c r="D317" i="19" a="1"/>
  <c r="D1391" i="19" a="1"/>
  <c r="D2126" i="19" a="1"/>
  <c r="D1291" i="19" a="1"/>
  <c r="D779" i="19" a="1"/>
  <c r="D679" i="19" a="1"/>
  <c r="D1282" i="19" a="1"/>
  <c r="D680" i="19" a="1"/>
  <c r="D2138" i="19" a="1"/>
  <c r="D1490" i="19" a="1"/>
  <c r="D270" i="19" a="1"/>
  <c r="D1359" i="19" a="1"/>
  <c r="D1048" i="19" a="1"/>
  <c r="D536" i="19" a="1"/>
  <c r="D2162" i="19" a="1"/>
  <c r="D2141" i="19" a="1"/>
  <c r="D888" i="19" a="1"/>
  <c r="D696" i="19" a="1"/>
  <c r="D772" i="19" a="1"/>
  <c r="D1419" i="19" a="1"/>
  <c r="D412" i="19" a="1"/>
  <c r="D399" i="19" a="1"/>
  <c r="D2066" i="19" a="1"/>
  <c r="D2246" i="19" a="1"/>
  <c r="D1723" i="19" a="1"/>
  <c r="D1381" i="19" a="1"/>
  <c r="D2153" i="19" a="1"/>
  <c r="D1522" i="19" a="1"/>
  <c r="D1310" i="19" a="1"/>
  <c r="D880" i="19" a="1"/>
  <c r="D1212" i="19" a="1"/>
  <c r="D1526" i="19" a="1"/>
  <c r="D1190" i="19" a="1"/>
  <c r="D480" i="19" a="1"/>
  <c r="D1365" i="19" a="1"/>
  <c r="D2262" i="19" a="1"/>
  <c r="D171" i="19" a="1"/>
  <c r="D1437" i="19" a="1"/>
  <c r="D420" i="19" a="1"/>
  <c r="D391" i="19" a="1"/>
  <c r="D471" i="19" a="1"/>
  <c r="D750" i="19" a="1"/>
  <c r="D1111" i="19" a="1"/>
  <c r="D1269" i="19" a="1"/>
  <c r="D2261" i="19" a="1"/>
  <c r="D460" i="19" a="1"/>
  <c r="D784" i="19" a="1"/>
  <c r="D1166" i="19" a="1"/>
  <c r="D1729" i="19" a="1"/>
  <c r="D1717" i="19" a="1"/>
  <c r="D602" i="19" a="1"/>
  <c r="D793" i="19" a="1"/>
  <c r="D763" i="19" a="1"/>
  <c r="D1674" i="19" a="1"/>
  <c r="D2120" i="19" a="1"/>
  <c r="D1121" i="19" a="1"/>
  <c r="D1806" i="19" a="1"/>
  <c r="D584" i="19" a="1"/>
  <c r="D1319" i="19" a="1"/>
  <c r="D892" i="19" a="1"/>
  <c r="D1688" i="19" a="1"/>
  <c r="D423" i="19" a="1"/>
  <c r="D1630" i="19" a="1"/>
  <c r="D325" i="19" a="1"/>
  <c r="D342" i="19" a="1"/>
  <c r="D683" i="19" a="1"/>
  <c r="D1214" i="19" a="1"/>
  <c r="D1107" i="19" a="1"/>
  <c r="D695" i="19" a="1"/>
  <c r="D2199" i="19" a="1"/>
  <c r="D1047" i="19" a="1"/>
  <c r="D1675" i="19" a="1"/>
  <c r="D921" i="19" a="1"/>
  <c r="D1862" i="19" a="1"/>
  <c r="D1257" i="19" a="1"/>
  <c r="D2197" i="19" a="1"/>
  <c r="D512" i="19" a="1"/>
  <c r="D761" i="19" a="1"/>
  <c r="D1713" i="19" a="1"/>
  <c r="D2021" i="19" a="1"/>
  <c r="D164" i="19" a="1"/>
  <c r="D1926" i="19" a="1"/>
  <c r="D1531" i="19" a="1"/>
  <c r="D1685" i="19" a="1"/>
  <c r="D511" i="19" a="1"/>
  <c r="D275" i="19" a="1"/>
  <c r="D1367" i="19" a="1"/>
  <c r="D1000" i="19" a="1"/>
  <c r="D2186" i="19" a="1"/>
  <c r="D1541" i="19" a="1"/>
  <c r="D1396" i="19" a="1"/>
  <c r="D1255" i="19" a="1"/>
  <c r="D1966" i="19" a="1"/>
  <c r="D713" i="19" a="1"/>
  <c r="D2278" i="19" a="1"/>
  <c r="D1496" i="19" a="1"/>
  <c r="D1394" i="19" a="1"/>
  <c r="D1894" i="19" a="1"/>
  <c r="D365" i="19" a="1"/>
  <c r="D1006" i="19" a="1"/>
  <c r="D224" i="19" a="1"/>
  <c r="D1454" i="19" a="1"/>
  <c r="D968" i="19" a="1"/>
  <c r="D1512" i="19" a="1"/>
  <c r="D1791" i="19" a="1"/>
  <c r="D2203" i="19" a="1"/>
  <c r="D1555" i="19" a="1"/>
  <c r="D347" i="19" a="1"/>
  <c r="D697" i="19" a="1"/>
  <c r="D374" i="19" a="1"/>
  <c r="D1485" i="19" a="1"/>
  <c r="D174" i="19" a="1"/>
  <c r="D559" i="19" a="1"/>
  <c r="D773" i="19" a="1"/>
  <c r="D2147" i="19" a="1"/>
  <c r="D688" i="19" a="1"/>
  <c r="D1492" i="19" a="1"/>
  <c r="D1748" i="19" a="1"/>
  <c r="D189" i="19" a="1"/>
  <c r="D2131" i="19" a="1"/>
  <c r="D366" i="19" a="1"/>
  <c r="D1360" i="19" a="1"/>
  <c r="D1064" i="19" a="1"/>
  <c r="D328" i="19" a="1"/>
  <c r="D1405" i="19" a="1"/>
  <c r="D2155" i="19" a="1"/>
  <c r="D2053" i="19" a="1"/>
  <c r="D1263" i="19" a="1"/>
  <c r="D196" i="19" a="1"/>
  <c r="D403" i="19" a="1"/>
  <c r="D2082" i="19" a="1"/>
  <c r="D1510" i="19" a="1"/>
  <c r="D437" i="19" a="1"/>
  <c r="D1680" i="19" a="1"/>
  <c r="D1603" i="19" a="1"/>
  <c r="D1158" i="19" a="1"/>
  <c r="D1031" i="19" a="1"/>
  <c r="D1837" i="19" a="1"/>
  <c r="D606" i="19" a="1"/>
  <c r="D1938" i="19" a="1"/>
  <c r="D1459" i="19" a="1"/>
  <c r="D1117" i="19" a="1"/>
  <c r="D213" i="19" a="1"/>
  <c r="D185" i="19" a="1"/>
  <c r="D1058" i="19" a="1"/>
  <c r="D1179" i="19" a="1"/>
  <c r="D1719" i="19" a="1"/>
  <c r="D533" i="19" a="1"/>
  <c r="D926" i="19" a="1"/>
  <c r="D1086" i="19" a="1"/>
  <c r="D1087" i="19" a="1"/>
  <c r="D1196" i="19" a="1"/>
  <c r="D717" i="19" a="1"/>
  <c r="D1908" i="19" a="1"/>
  <c r="D1775" i="19" a="1"/>
  <c r="D1951" i="19" a="1"/>
  <c r="D1045" i="19" a="1"/>
  <c r="D552" i="19" a="1"/>
  <c r="D1283" i="19" a="1"/>
  <c r="D1534" i="19" a="1"/>
  <c r="D2230" i="19" a="1"/>
  <c r="D1582" i="19" a="1"/>
  <c r="D1676" i="19" a="1"/>
  <c r="D2224" i="19" a="1"/>
  <c r="D959" i="19" a="1"/>
  <c r="D849" i="19" a="1"/>
  <c r="D2221" i="19" a="1"/>
  <c r="D329" i="19" a="1"/>
  <c r="D2069" i="19" a="1"/>
  <c r="D307" i="19" a="1"/>
  <c r="D720" i="19" a="1"/>
  <c r="D1407" i="19" a="1"/>
  <c r="D2005" i="19" a="1"/>
  <c r="D704" i="19" a="1"/>
  <c r="D1313" i="19" a="1"/>
  <c r="D1897" i="19" a="1"/>
  <c r="D2020" i="19" a="1"/>
  <c r="D1789" i="19" a="1"/>
  <c r="D1328" i="19" a="1"/>
  <c r="D1226" i="19" a="1"/>
  <c r="D1491" i="19" a="1"/>
  <c r="D200" i="19" a="1"/>
  <c r="D743" i="19" a="1"/>
  <c r="D1620" i="19" a="1"/>
  <c r="D859" i="19" a="1"/>
  <c r="D863" i="19" a="1"/>
  <c r="D539" i="19" a="1"/>
  <c r="D1753" i="19" a="1"/>
  <c r="D1141" i="19" a="1"/>
  <c r="D272" i="19" a="1"/>
  <c r="D1795" i="19" a="1"/>
  <c r="D1626" i="19" a="1"/>
  <c r="D1624" i="19" a="1"/>
  <c r="D1814" i="19" a="1"/>
  <c r="D497" i="19" a="1"/>
  <c r="D626" i="19" a="1"/>
  <c r="D775" i="19" a="1"/>
  <c r="D1842" i="19" a="1"/>
  <c r="D636" i="19" a="1"/>
  <c r="D1474" i="19" a="1"/>
  <c r="D1543" i="19" a="1"/>
  <c r="D2013" i="19" a="1"/>
  <c r="D2084" i="19" a="1"/>
  <c r="D1085" i="19" a="1"/>
  <c r="D554" i="19" a="1"/>
  <c r="D1467" i="19" a="1"/>
  <c r="D745" i="19" a="1"/>
  <c r="D1971" i="19" a="1"/>
  <c r="D427" i="19" a="1"/>
  <c r="D375" i="19" a="1"/>
  <c r="D183" i="19" a="1"/>
  <c r="D2090" i="19" a="1"/>
  <c r="D517" i="19" a="1"/>
  <c r="D796" i="19" a="1"/>
  <c r="D594" i="19" a="1"/>
  <c r="D1941" i="19" a="1"/>
  <c r="D1171" i="19" a="1"/>
  <c r="D1874" i="19" a="1"/>
  <c r="D341" i="19" a="1"/>
  <c r="D1317" i="19" a="1"/>
  <c r="D312" i="19" a="1"/>
  <c r="D686" i="19" a="1"/>
  <c r="D1589" i="19" a="1"/>
  <c r="D1529" i="19" a="1"/>
  <c r="D466" i="19" a="1"/>
  <c r="D1470" i="19" a="1"/>
  <c r="D1429" i="19" a="1"/>
  <c r="D841" i="19" a="1"/>
  <c r="D1785" i="19" a="1"/>
  <c r="D1215" i="19" a="1"/>
  <c r="D432" i="19" a="1"/>
  <c r="D1400" i="19" a="1"/>
  <c r="D2260" i="19" a="1"/>
  <c r="D1783" i="19" a="1"/>
  <c r="D158" i="19" a="1"/>
  <c r="D1403" i="19" a="1"/>
  <c r="D1439" i="19" a="1"/>
  <c r="D1021" i="19" a="1"/>
  <c r="D2116" i="19" a="1"/>
  <c r="D1596" i="19" a="1"/>
  <c r="D694" i="19" a="1"/>
  <c r="D175" i="19" a="1"/>
  <c r="D789" i="19" a="1"/>
  <c r="D722" i="19" a="1"/>
  <c r="D1016" i="19" a="1"/>
  <c r="D1217" i="19" a="1"/>
  <c r="D1167" i="19" a="1"/>
  <c r="D1639" i="19" a="1"/>
  <c r="D1891" i="19" a="1"/>
  <c r="D1718" i="19" a="1"/>
  <c r="D1632" i="19" a="1"/>
  <c r="D1213" i="19" a="1"/>
  <c r="D1835" i="19" a="1"/>
  <c r="D1508" i="19" a="1"/>
  <c r="D762" i="19" a="1"/>
  <c r="D336" i="19" a="1"/>
  <c r="D291" i="19" a="1"/>
  <c r="D2083" i="19" a="1"/>
  <c r="D1139" i="19" a="1"/>
  <c r="D2243" i="19" a="1"/>
  <c r="D1779" i="19" a="1"/>
  <c r="D1413" i="19" a="1"/>
  <c r="D300" i="19" a="1"/>
  <c r="D1463" i="19" a="1"/>
  <c r="D1801" i="19" a="1"/>
  <c r="D2159" i="19" a="1"/>
  <c r="D2063" i="19" a="1"/>
  <c r="D216" i="19" a="1"/>
  <c r="D803" i="19" a="1"/>
  <c r="D529" i="19" a="1"/>
  <c r="D1091" i="19" a="1"/>
  <c r="D903" i="19" a="1"/>
  <c r="D569" i="19" a="1"/>
  <c r="D479" i="19" a="1"/>
  <c r="D1115" i="19" a="1"/>
  <c r="D832" i="19" a="1"/>
  <c r="D730" i="19" a="1"/>
  <c r="D2248" i="19" a="1"/>
  <c r="D526" i="19" a="1"/>
  <c r="D1514" i="19" a="1"/>
  <c r="D1751" i="19" a="1"/>
  <c r="D1781" i="19" a="1"/>
  <c r="D2274" i="19" a="1"/>
  <c r="D1084" i="19" a="1"/>
  <c r="D1346" i="19" a="1"/>
  <c r="D1136" i="19" a="1"/>
  <c r="D1007" i="19" a="1"/>
  <c r="D1018" i="19" a="1"/>
  <c r="D1868" i="19" a="1"/>
  <c r="D940" i="19" a="1"/>
  <c r="D206" i="19" a="1"/>
  <c r="D723" i="19" a="1"/>
  <c r="D1856" i="19" a="1"/>
  <c r="D2286" i="19" a="1"/>
  <c r="D2242" i="19" a="1"/>
  <c r="D1843" i="19" a="1"/>
  <c r="D889" i="19" a="1"/>
  <c r="D1274" i="19" a="1"/>
  <c r="D973" i="19" a="1"/>
  <c r="D361" i="19" a="1"/>
  <c r="D2026" i="19" a="1"/>
  <c r="D692" i="19" a="1"/>
  <c r="D1988" i="19" a="1"/>
  <c r="D1354" i="19" a="1"/>
  <c r="D1153" i="19" a="1"/>
  <c r="D1810" i="19" a="1"/>
  <c r="D2217" i="19" a="1"/>
  <c r="D599" i="19" a="1"/>
  <c r="D1374" i="19" a="1"/>
  <c r="D1424" i="19" a="1"/>
  <c r="D1804" i="19" a="1"/>
  <c r="D845" i="19" a="1"/>
  <c r="D1773" i="19" a="1"/>
  <c r="D1392" i="19" a="1"/>
  <c r="D2177" i="19" a="1"/>
  <c r="D2142" i="19" a="1"/>
  <c r="D515" i="19" a="1"/>
  <c r="D2158" i="19" a="1"/>
  <c r="D543" i="19" a="1"/>
  <c r="D382" i="19" a="1"/>
  <c r="D2171" i="19" a="1"/>
  <c r="D1260" i="19" a="1"/>
  <c r="D1840" i="19" a="1"/>
  <c r="D1965" i="19" a="1"/>
  <c r="D1428" i="19" a="1"/>
  <c r="D415" i="19" a="1"/>
  <c r="D1818" i="19" a="1"/>
  <c r="D2136" i="19" a="1"/>
  <c r="D575" i="19" a="1"/>
  <c r="D401" i="19" a="1"/>
  <c r="D740" i="19" a="1"/>
  <c r="D1740" i="19" a="1"/>
  <c r="D1418" i="19" a="1"/>
  <c r="D2108" i="19" a="1"/>
  <c r="D1262" i="19" a="1"/>
  <c r="D809" i="19" a="1"/>
  <c r="D475" i="19" a="1"/>
  <c r="D1855" i="19" a="1"/>
  <c r="D1829" i="19" a="1"/>
  <c r="D1983" i="19" a="1"/>
  <c r="D1432" i="19" a="1"/>
  <c r="D486" i="19" a="1"/>
  <c r="D1854" i="19" a="1"/>
  <c r="D1119" i="19" a="1"/>
  <c r="D269" i="19" a="1"/>
  <c r="D2276" i="19" a="1"/>
  <c r="D1621" i="19" a="1"/>
  <c r="D159" i="19" a="1"/>
  <c r="D844" i="19" a="1"/>
  <c r="D1281" i="19" a="1"/>
  <c r="D581" i="19" a="1"/>
  <c r="D1980" i="19" a="1"/>
  <c r="D2269" i="19" a="1"/>
  <c r="D305" i="19" a="1"/>
  <c r="D168" i="19" a="1"/>
  <c r="D1449" i="19" a="1"/>
  <c r="D747" i="19" a="1"/>
  <c r="D396" i="19" a="1"/>
  <c r="D1253" i="19" a="1"/>
  <c r="D1857" i="19" a="1"/>
  <c r="D253" i="19" a="1"/>
  <c r="D1822" i="19" a="1"/>
  <c r="D1363" i="19" a="1"/>
  <c r="D1138" i="19" a="1"/>
  <c r="D416" i="19" a="1"/>
  <c r="D711" i="19" a="1"/>
  <c r="D2258" i="19" a="1"/>
  <c r="D1124" i="19" a="1"/>
  <c r="D1539" i="19" a="1"/>
  <c r="D1395" i="19" a="1"/>
  <c r="D873" i="19" a="1"/>
  <c r="D1538" i="19" a="1"/>
  <c r="D1907" i="19" a="1"/>
  <c r="D998" i="19" a="1"/>
  <c r="D1494" i="19" a="1"/>
  <c r="D1476" i="19" a="1"/>
  <c r="D1057" i="19" a="1"/>
  <c r="D2038" i="19" a="1"/>
  <c r="D742" i="19" a="1"/>
  <c r="D395" i="19" a="1"/>
  <c r="D1975" i="19" a="1"/>
  <c r="D333" i="19" a="1"/>
  <c r="D1503" i="19" a="1"/>
  <c r="D2212" i="19" a="1"/>
  <c r="D304" i="19" a="1"/>
  <c r="D1417" i="19" a="1"/>
  <c r="D177" i="19" a="1"/>
  <c r="D2277" i="19" a="1"/>
  <c r="D1342" i="19" a="1"/>
  <c r="D2088" i="19" a="1"/>
  <c r="D1089" i="19" a="1"/>
  <c r="D1204" i="19" a="1"/>
  <c r="D882" i="19" a="1"/>
  <c r="D2057" i="19" a="1"/>
  <c r="D874" i="19" a="1"/>
  <c r="D1322" i="19" a="1"/>
  <c r="D1695" i="19" a="1"/>
  <c r="D2000" i="19" a="1"/>
  <c r="D1292" i="19" a="1"/>
  <c r="D1866" i="19" a="1"/>
  <c r="D1415" i="19" a="1"/>
  <c r="D1388" i="19" a="1"/>
  <c r="D1650" i="19" a="1"/>
  <c r="D1206" i="19" a="1"/>
  <c r="D2100" i="19" a="1"/>
  <c r="D598" i="19" a="1"/>
  <c r="D2086" i="19" a="1"/>
  <c r="D980" i="19" a="1"/>
  <c r="D277" i="19" a="1"/>
  <c r="D1338" i="19" a="1"/>
  <c r="D1959" i="19" a="1"/>
  <c r="D972" i="19" a="1"/>
  <c r="D1963" i="19" a="1"/>
  <c r="D1482" i="19" a="1"/>
  <c r="D2119" i="19" a="1"/>
  <c r="D1431" i="19" a="1"/>
  <c r="D1145" i="19" a="1"/>
  <c r="D971" i="19" a="1"/>
  <c r="D1780" i="19" a="1"/>
  <c r="D1703" i="19" a="1"/>
  <c r="D1438" i="19" a="1"/>
  <c r="D1037" i="19" a="1"/>
  <c r="D1715" i="19" a="1"/>
  <c r="D698" i="19" a="1"/>
  <c r="D937" i="19" a="1"/>
  <c r="D450" i="19" a="1"/>
  <c r="D1450" i="19" a="1"/>
  <c r="D868" i="19" a="1"/>
  <c r="D1113" i="19" a="1"/>
  <c r="D1506" i="19" a="1"/>
  <c r="D2229" i="19" a="1"/>
  <c r="D792" i="19" a="1"/>
  <c r="D2027" i="19" a="1"/>
  <c r="D1345" i="19" a="1"/>
  <c r="D1917" i="19" a="1"/>
  <c r="D1710" i="19" a="1"/>
  <c r="D2143" i="19" a="1"/>
  <c r="D1706" i="19" a="1"/>
  <c r="D500" i="19" a="1"/>
  <c r="D508" i="19" a="1"/>
  <c r="D1871" i="19" a="1"/>
  <c r="D1869" i="19" a="1"/>
  <c r="D1592" i="19" a="1"/>
  <c r="D1861" i="19" a="1"/>
  <c r="D409" i="19" a="1"/>
  <c r="D1813" i="19" a="1"/>
  <c r="D1542" i="19" a="1"/>
  <c r="D186" i="19" a="1"/>
  <c r="D339" i="19" a="1"/>
  <c r="D373" i="19" a="1"/>
  <c r="D2273" i="19" a="1"/>
  <c r="D178" i="19" a="1"/>
  <c r="D1426" i="19" a="1"/>
  <c r="D751" i="19" a="1"/>
  <c r="D931" i="19" a="1"/>
  <c r="D1182" i="19" a="1"/>
  <c r="D1600" i="19" a="1"/>
  <c r="D708" i="19" a="1"/>
  <c r="D726" i="19" a="1"/>
  <c r="D853" i="19" a="1"/>
  <c r="D637" i="19" a="1"/>
  <c r="D770" i="19" a="1"/>
  <c r="D1821" i="19" a="1"/>
  <c r="D1042" i="19" a="1"/>
  <c r="D495" i="19" a="1"/>
  <c r="D2024" i="19" a="1"/>
  <c r="D795" i="19" a="1"/>
  <c r="D776" i="19" a="1"/>
  <c r="D992" i="19" a="1"/>
  <c r="D1947" i="19" a="1"/>
  <c r="D1657" i="19" a="1"/>
  <c r="D1408" i="19" a="1"/>
  <c r="D910" i="19" a="1"/>
  <c r="D2051" i="19" a="1"/>
  <c r="D996" i="19" a="1"/>
  <c r="D153" i="19" a="1"/>
  <c r="D757" i="19" a="1"/>
  <c r="D1017" i="19" a="1"/>
  <c r="D1744" i="19" a="1"/>
  <c r="D155" i="19" a="1"/>
  <c r="D451" i="19" a="1"/>
  <c r="D1349" i="19" a="1"/>
  <c r="D1931" i="19" a="1"/>
  <c r="D1236" i="19" a="1"/>
  <c r="D2016" i="19" a="1"/>
  <c r="D2140" i="19" a="1"/>
  <c r="D1509" i="19" a="1"/>
  <c r="D1075" i="19" a="1"/>
  <c r="D1946" i="19" a="1"/>
  <c r="D1935" i="19" a="1"/>
  <c r="D1102" i="19" a="1"/>
  <c r="D1811" i="19" a="1"/>
  <c r="D818" i="19" a="1"/>
  <c r="D1605" i="19" a="1"/>
  <c r="D350" i="19" a="1"/>
  <c r="D1668" i="19" a="1"/>
  <c r="D1704" i="19" a="1"/>
  <c r="D1069" i="19" a="1"/>
  <c r="D571" i="19" a="1"/>
  <c r="D2254" i="19" a="1"/>
  <c r="D965" i="19" a="1"/>
  <c r="D1918" i="19" a="1"/>
  <c r="D1761" i="19" a="1"/>
  <c r="D2056" i="19" a="1"/>
  <c r="D496" i="19" a="1"/>
  <c r="D1256" i="19" a="1"/>
  <c r="D593" i="19" a="1"/>
  <c r="D1556" i="19" a="1"/>
  <c r="D899" i="19" a="1"/>
  <c r="D590" i="19" a="1"/>
  <c r="D906" i="19" a="1"/>
  <c r="D1164" i="19" a="1"/>
  <c r="D1224" i="19" a="1"/>
  <c r="D1588" i="19" a="1"/>
  <c r="D1161" i="19" a="1"/>
  <c r="D194" i="19" a="1"/>
  <c r="D469" i="19" a="1"/>
  <c r="D2022" i="19" a="1"/>
  <c r="D332" i="19" a="1"/>
  <c r="D913" i="19" a="1"/>
  <c r="D337" i="19" a="1"/>
  <c r="D1776" i="19" a="1"/>
  <c r="D622" i="19" a="1"/>
  <c r="D1724" i="19" a="1"/>
  <c r="D1702" i="19" a="1"/>
  <c r="D1952" i="19" a="1"/>
  <c r="D211" i="19" a="1"/>
  <c r="D357" i="19" a="1"/>
  <c r="D1296" i="19" a="1"/>
  <c r="D684" i="19" a="1"/>
  <c r="D1883" i="19" a="1"/>
  <c r="D687" i="19" a="1"/>
  <c r="D1303" i="19" a="1"/>
  <c r="D685" i="19" a="1"/>
  <c r="D240" i="19" a="1"/>
  <c r="D1078" i="19" a="1"/>
  <c r="D1505" i="19" a="1"/>
  <c r="D1059" i="19" a="1"/>
  <c r="D1552" i="19" a="1"/>
  <c r="D2253" i="19" a="1"/>
  <c r="D1298" i="19" a="1"/>
  <c r="D876" i="19" a="1"/>
  <c r="D1838" i="19" a="1"/>
  <c r="D1610" i="19" a="1"/>
  <c r="D1455" i="19" a="1"/>
  <c r="D1573" i="19" a="1"/>
  <c r="D1583" i="19" a="1"/>
  <c r="D546" i="19" a="1"/>
  <c r="D1756" i="19" a="1"/>
  <c r="D1726" i="19" a="1"/>
  <c r="D2181" i="19" a="1"/>
  <c r="D652" i="19" a="1"/>
  <c r="D1694" i="19" a="1"/>
  <c r="D273" i="19" a="1"/>
  <c r="D231" i="19" a="1"/>
  <c r="D2235" i="19" a="1"/>
  <c r="D861" i="19" a="1"/>
  <c r="D645" i="19" a="1"/>
  <c r="D394" i="19" a="1"/>
  <c r="D2202" i="19" a="1"/>
  <c r="D2074" i="19" a="1"/>
  <c r="D207" i="19" a="1"/>
  <c r="D154" i="19" a="1"/>
  <c r="D1687" i="19" a="1"/>
  <c r="D2123" i="19" a="1"/>
  <c r="D1220" i="19" a="1"/>
  <c r="D604" i="19" a="1"/>
  <c r="D2190" i="19" a="1"/>
  <c r="D1766" i="19" a="1"/>
  <c r="D1622" i="19" a="1"/>
  <c r="D1845" i="19" a="1"/>
  <c r="D1945" i="19" a="1"/>
  <c r="D2012" i="19" a="1"/>
  <c r="D2019" i="19" a="1"/>
  <c r="D1123" i="19" a="1"/>
  <c r="D2035" i="19" a="1"/>
  <c r="D1613" i="19" a="1"/>
  <c r="D1003" i="19" a="1"/>
  <c r="D1607" i="19" a="1"/>
  <c r="D1979" i="19" a="1"/>
  <c r="D1885" i="19" a="1"/>
  <c r="D1786" i="19" a="1"/>
  <c r="D1293" i="19" a="1"/>
  <c r="D170" i="19" a="1"/>
  <c r="D929" i="19" a="1"/>
  <c r="D2284" i="19" a="1"/>
  <c r="D1095" i="19" a="1"/>
  <c r="D1143" i="19" a="1"/>
  <c r="D359" i="19" a="1"/>
  <c r="D1827" i="19" a="1"/>
  <c r="D1276" i="19" a="1"/>
  <c r="D188" i="19" a="1"/>
  <c r="D1519" i="19" a="1"/>
  <c r="D1152" i="19" a="1"/>
  <c r="D2256" i="19" a="1"/>
  <c r="D633" i="19" a="1"/>
  <c r="D786" i="19" a="1"/>
  <c r="D1771" i="19" a="1"/>
  <c r="D364" i="19" a="1"/>
  <c r="D527" i="19" a="1"/>
  <c r="D1948" i="19" a="1"/>
  <c r="D1097" i="19" a="1"/>
  <c r="D478" i="19" a="1"/>
  <c r="D2293" i="19" a="1"/>
  <c r="D677" i="19" a="1"/>
  <c r="D1507" i="19" a="1"/>
  <c r="D2080" i="19" a="1"/>
  <c r="D1422" i="19" a="1"/>
  <c r="D1790" i="19" a="1"/>
  <c r="D2210" i="19" a="1"/>
  <c r="D2228" i="19" a="1"/>
  <c r="D483" i="19" a="1"/>
  <c r="D681" i="19" a="1"/>
  <c r="D169" i="19" a="1"/>
  <c r="D1554" i="19" a="1"/>
  <c r="D232" i="19" a="1"/>
  <c r="D502" i="19" a="1"/>
  <c r="D2283" i="19" a="1"/>
  <c r="D1324" i="19" a="1"/>
  <c r="D1877" i="19" a="1"/>
  <c r="D1194" i="19" a="1"/>
  <c r="D1420" i="19" a="1"/>
  <c r="D1611" i="19" a="1"/>
  <c r="D1972" i="19" a="1"/>
  <c r="D236" i="19" a="1"/>
  <c r="D758" i="19" a="1"/>
  <c r="D2282" i="19" a="1"/>
  <c r="D1606" i="19" a="1"/>
  <c r="D825" i="19" a="1"/>
  <c r="D349" i="19" a="1"/>
  <c r="D470" i="19" a="1"/>
  <c r="D378" i="19" a="1"/>
  <c r="D440" i="19" a="1"/>
  <c r="D226" i="19" a="1"/>
  <c r="D718" i="19" a="1"/>
  <c r="D2297" i="19" a="1"/>
  <c r="D1572" i="19" a="1"/>
  <c r="D516" i="19" a="1"/>
  <c r="D345" i="19" a="1"/>
  <c r="D1299" i="19" a="1"/>
  <c r="D1654" i="19" a="1"/>
  <c r="D402" i="19" a="1"/>
  <c r="D857" i="19" a="1"/>
  <c r="D1315" i="19" a="1"/>
  <c r="D2294" i="19" a="1"/>
  <c r="D519" i="19" a="1"/>
  <c r="D2191" i="19" a="1"/>
  <c r="D1493" i="19" a="1"/>
  <c r="D1986" i="19" a="1"/>
  <c r="D1192" i="19" a="1"/>
  <c r="D1698" i="19" a="1"/>
  <c r="D744" i="19" a="1"/>
  <c r="D567" i="19" a="1"/>
  <c r="D701" i="19" a="1"/>
  <c r="D228" i="19" a="1"/>
  <c r="D436" i="19" a="1"/>
  <c r="D235" i="19" a="1"/>
  <c r="D1815" i="19" a="1"/>
  <c r="D1475" i="19" a="1"/>
  <c r="D1130" i="19" a="1"/>
  <c r="D2048" i="19" a="1"/>
  <c r="D2006" i="19" a="1"/>
  <c r="D1225" i="19" a="1"/>
  <c r="D2231" i="19" a="1"/>
  <c r="D2296" i="19" a="1"/>
  <c r="D452" i="19" a="1"/>
  <c r="D542" i="19" a="1"/>
  <c r="D1227" i="19" a="1"/>
  <c r="D2208" i="19" a="1"/>
  <c r="D173" i="19" a="1"/>
  <c r="D945" i="19" a="1"/>
  <c r="D2211" i="19" a="1"/>
  <c r="D1285" i="19" a="1"/>
  <c r="D1245" i="19" a="1"/>
  <c r="D1001" i="19" a="1"/>
  <c r="D1727" i="19" a="1"/>
  <c r="D1027" i="19" a="1"/>
  <c r="D377" i="19" a="1"/>
  <c r="D1643" i="19" a="1"/>
  <c r="D1142" i="19" a="1"/>
  <c r="D431" i="19" a="1"/>
  <c r="D1574" i="19" a="1"/>
  <c r="D274" i="19" a="1"/>
  <c r="D1721" i="19" a="1"/>
  <c r="D344" i="19" a="1"/>
  <c r="D316" i="19" a="1"/>
  <c r="D895" i="19" a="1"/>
  <c r="D1481" i="19" a="1"/>
  <c r="D1615" i="19" a="1"/>
  <c r="D326" i="19" a="1"/>
  <c r="D1602" i="19" a="1"/>
  <c r="D934" i="19" a="1"/>
  <c r="D362" i="19" a="1"/>
  <c r="D756" i="19" a="1"/>
  <c r="D1445" i="19" a="1"/>
  <c r="D1406" i="19" a="1"/>
  <c r="D1691" i="19" a="1"/>
  <c r="D901" i="19" a="1"/>
  <c r="D1457" i="19" a="1"/>
  <c r="D2018" i="19" a="1"/>
  <c r="D1571" i="19" a="1"/>
  <c r="D1689" i="19" a="1"/>
  <c r="D987" i="19" a="1"/>
  <c r="D978" i="19" a="1"/>
  <c r="D1191" i="19" a="1"/>
  <c r="D1120" i="19" a="1"/>
  <c r="D1884" i="19" a="1"/>
  <c r="D2072" i="19" a="1"/>
  <c r="D1108" i="19" a="1"/>
  <c r="D521" i="19" a="1"/>
  <c r="D1099" i="19" a="1"/>
  <c r="D1357" i="19" a="1"/>
  <c r="D609" i="19" a="1"/>
  <c r="D615" i="19" a="1"/>
  <c r="D1565" i="19" a="1"/>
  <c r="D453" i="19" a="1"/>
  <c r="D1893" i="19" a="1"/>
  <c r="D1150" i="19" a="1"/>
  <c r="D739" i="19" a="1"/>
  <c r="D738" i="19" a="1"/>
  <c r="D1825" i="19" a="1"/>
  <c r="D1268" i="19" a="1"/>
  <c r="D1072" i="19" a="1"/>
  <c r="D1591" i="19" a="1"/>
  <c r="D1073" i="19" a="1"/>
  <c r="D485" i="19" a="1"/>
  <c r="D1699" i="19" a="1"/>
  <c r="D1763" i="19" a="1"/>
  <c r="D1520" i="19" a="1"/>
  <c r="D1300" i="19" a="1"/>
  <c r="D1286" i="19" a="1"/>
  <c r="D1002" i="19" a="1"/>
  <c r="D1997" i="19" a="1"/>
  <c r="D1528" i="19" a="1"/>
  <c r="D1665" i="19" a="1"/>
  <c r="D1397" i="19" a="1"/>
  <c r="D1584" i="19" a="1"/>
  <c r="D666" i="19" a="1"/>
  <c r="D2102" i="19" a="1"/>
  <c r="D1595" i="19" a="1"/>
  <c r="D897" i="19" a="1"/>
  <c r="D854" i="19" a="1"/>
  <c r="D545" i="19" a="1"/>
  <c r="D1320" i="19" a="1"/>
  <c r="D984" i="19" a="1"/>
  <c r="D958" i="19" a="1"/>
  <c r="D2111" i="19" a="1"/>
  <c r="D1155" i="19" a="1"/>
  <c r="D1594" i="19" a="1"/>
  <c r="D1905" i="19" a="1"/>
  <c r="D506" i="19" a="1"/>
  <c r="D787" i="19" a="1"/>
  <c r="D1230" i="19" a="1"/>
  <c r="D309" i="19" a="1"/>
  <c r="D2163" i="19" a="1"/>
  <c r="D662" i="19" a="1"/>
  <c r="D2183" i="19" a="1"/>
  <c r="D1409" i="19" a="1"/>
  <c r="D286" i="19" a="1"/>
  <c r="D1385" i="19" a="1"/>
  <c r="D2157" i="19" a="1"/>
  <c r="D202" i="19" a="1"/>
  <c r="D777" i="19" a="1"/>
  <c r="D894" i="19" a="1"/>
  <c r="D2054" i="19" a="1"/>
  <c r="D461" i="19" a="1"/>
  <c r="D380" i="19" a="1"/>
  <c r="D909" i="19" a="1"/>
  <c r="D1867" i="19" a="1"/>
  <c r="D2121" i="19" a="1"/>
  <c r="D2014" i="19" a="1"/>
  <c r="D1637" i="19" a="1"/>
  <c r="D1235" i="19" a="1"/>
  <c r="D2218" i="19" a="1"/>
  <c r="D2295" i="19" a="1"/>
  <c r="D2288" i="19" a="1"/>
  <c r="D842" i="19" a="1"/>
  <c r="D896" i="19" a="1"/>
  <c r="D254" i="19" a="1"/>
  <c r="D1936" i="19" a="1"/>
  <c r="D1364" i="19" a="1"/>
  <c r="D197" i="19" a="1"/>
  <c r="D1094" i="19" a="1"/>
  <c r="D1305" i="19" a="1"/>
  <c r="D2179" i="19" a="1"/>
  <c r="D1199" i="19" a="1"/>
  <c r="D1899" i="19" a="1"/>
  <c r="D1570" i="19" a="1"/>
  <c r="D1375" i="19" a="1"/>
  <c r="D2049" i="19" a="1"/>
  <c r="D1849" i="19" a="1"/>
  <c r="D867" i="19" a="1"/>
  <c r="D556" i="19" a="1"/>
  <c r="D725" i="19" a="1"/>
  <c r="D265" i="19" a="1"/>
  <c r="D157" i="19" a="1"/>
  <c r="D2281" i="19" a="1"/>
  <c r="D2132" i="19" a="1"/>
  <c r="D162" i="19" a="1"/>
  <c r="D2085" i="19" a="1"/>
  <c r="D1732" i="19" a="1"/>
  <c r="D1990" i="19" a="1"/>
  <c r="D561" i="19" a="1"/>
  <c r="D691" i="19" a="1"/>
  <c r="D768" i="19" a="1"/>
  <c r="D985" i="19" a="1"/>
  <c r="D1711" i="19" a="1"/>
  <c r="D165" i="19" a="1"/>
  <c r="D657" i="19" a="1"/>
  <c r="D1802" i="19" a="1"/>
  <c r="D1005" i="19" a="1"/>
  <c r="D191" i="19" a="1"/>
  <c r="D2200" i="19" a="1"/>
  <c r="D1242" i="19" a="1"/>
  <c r="D1628" i="19" a="1"/>
  <c r="D259" i="19" a="1"/>
  <c r="D513" i="19" a="1"/>
  <c r="D248" i="19" a="1"/>
  <c r="D2104" i="19" a="1"/>
  <c r="D1331" i="19" a="1"/>
  <c r="D1730" i="19" a="1"/>
  <c r="D1272" i="19" a="1"/>
  <c r="D2280" i="19" a="1"/>
  <c r="D988" i="19" a="1"/>
  <c r="D428" i="19" a="1"/>
  <c r="D746" i="19" a="1"/>
  <c r="D1792" i="19" a="1"/>
  <c r="D1558" i="19" a="1"/>
  <c r="D1671" i="19" a="1"/>
  <c r="D2292" i="19" a="1"/>
  <c r="D640" i="19" a="1"/>
  <c r="D1847" i="19" a="1"/>
  <c r="D1316" i="19" a="1"/>
  <c r="D190" i="19" a="1"/>
  <c r="D2152" i="19" a="1"/>
  <c r="D1241" i="19" a="1"/>
  <c r="D814" i="19" a="1"/>
  <c r="D1386" i="19" a="1"/>
  <c r="D808" i="19" a="1"/>
  <c r="D2144" i="19" a="1"/>
  <c r="D2009" i="19" a="1"/>
  <c r="D917" i="19" a="1"/>
  <c r="D1901" i="19" a="1"/>
  <c r="D214" i="19" a="1"/>
  <c r="D1564" i="19" a="1"/>
  <c r="D1709" i="19" a="1"/>
  <c r="D1372" i="19" a="1"/>
  <c r="D1140" i="19" a="1"/>
  <c r="D1950" i="19" a="1"/>
  <c r="D1471" i="19" a="1"/>
  <c r="D2028" i="19" a="1"/>
  <c r="D1146" i="19" a="1"/>
  <c r="D1323" i="19" a="1"/>
  <c r="D1747" i="19" a="1"/>
  <c r="D1195" i="19" a="1"/>
  <c r="D1501" i="19" a="1"/>
  <c r="D911" i="19" a="1"/>
  <c r="D1977" i="19" a="1"/>
  <c r="D1653" i="19" a="1"/>
  <c r="D1148" i="19" a="1"/>
  <c r="D1580" i="19" a="1"/>
  <c r="D1904" i="19" a="1"/>
  <c r="D1690" i="19" a="1"/>
  <c r="D2055" i="19" a="1"/>
  <c r="D1900" i="19" a="1"/>
  <c r="D856" i="19" a="1"/>
  <c r="D1749" i="19" a="1"/>
  <c r="D2017" i="19" a="1"/>
  <c r="D673" i="19" a="1"/>
  <c r="D969" i="19" a="1"/>
  <c r="D187" i="19" a="1"/>
  <c r="D505" i="19" a="1"/>
  <c r="D2092" i="19" a="1"/>
  <c r="D1994" i="19" a="1"/>
  <c r="D1498" i="19" a="1"/>
  <c r="D2130" i="19" a="1"/>
  <c r="D678" i="19" a="1"/>
  <c r="D2078" i="19" a="1"/>
  <c r="D1669" i="19" a="1"/>
  <c r="D1056" i="19" a="1"/>
  <c r="D1882" i="19" a="1"/>
  <c r="D714" i="19" a="1"/>
  <c r="D1074" i="19" a="1"/>
  <c r="D975" i="19" a="1"/>
  <c r="D2251" i="19" a="1"/>
  <c r="D1803" i="19" a="1"/>
  <c r="D1312" i="19" a="1"/>
  <c r="D1967" i="19" a="1"/>
  <c r="D831" i="19" a="1"/>
  <c r="D1955" i="19" a="1"/>
  <c r="D1022" i="19" a="1"/>
  <c r="D514" i="19" a="1"/>
  <c r="D2150" i="19" a="1"/>
  <c r="D1487" i="19" a="1"/>
  <c r="D184" i="19" a="1"/>
  <c r="D1567" i="19" a="1"/>
  <c r="D1181" i="19" a="1"/>
  <c r="D1647" i="19" a="1"/>
  <c r="D941" i="19" a="1"/>
  <c r="D1511" i="19" a="1"/>
  <c r="D1499" i="19" a="1"/>
  <c r="D1133" i="19" a="1"/>
  <c r="D2192" i="19" a="1"/>
  <c r="D2114" i="19" a="1"/>
  <c r="D754" i="19" a="1"/>
  <c r="D540" i="19" a="1"/>
  <c r="D367" i="19" a="1"/>
  <c r="D268" i="19" a="1"/>
  <c r="D760" i="19" a="1"/>
  <c r="D163" i="19" a="1"/>
  <c r="D1197" i="19" a="1"/>
  <c r="D1692" i="19" a="1"/>
  <c r="D1812" i="19" a="1"/>
  <c r="D1590" i="19" a="1"/>
  <c r="D541" i="19" a="1"/>
  <c r="D596" i="19" a="1"/>
  <c r="D2010" i="19" a="1"/>
  <c r="D491" i="19" a="1"/>
  <c r="D223" i="19" a="1"/>
  <c r="D1970" i="19" a="1"/>
  <c r="D1788" i="19" a="1"/>
  <c r="D830" i="19" a="1"/>
  <c r="D205" i="19" a="1"/>
  <c r="D1177" i="19" a="1"/>
  <c r="D1051" i="19" a="1"/>
  <c r="D299" i="19" a="1"/>
  <c r="D600" i="19" a="1"/>
  <c r="D2059" i="19" a="1"/>
  <c r="D331" i="19" a="1"/>
  <c r="D603" i="19" a="1"/>
  <c r="D449" i="19" a="1"/>
  <c r="D1599" i="19" a="1"/>
  <c r="D1920" i="19" a="1"/>
  <c r="D534" i="19" a="1"/>
  <c r="D204" i="19" a="1"/>
  <c r="D1560" i="19" a="1"/>
  <c r="D1793" i="19" a="1"/>
  <c r="D2207" i="19" a="1"/>
  <c r="D271" i="19" a="1"/>
  <c r="D647" i="19" a="1"/>
  <c r="D507" i="19" a="1"/>
  <c r="D2045" i="19" a="1"/>
  <c r="D1700" i="19" a="1"/>
  <c r="D632" i="19" a="1"/>
  <c r="D1844" i="19" a="1"/>
  <c r="D493" i="19" a="1"/>
  <c r="D1648" i="19" a="1"/>
  <c r="D753" i="19" a="1"/>
  <c r="D961" i="19" a="1"/>
  <c r="D465" i="19" a="1"/>
  <c r="D234" i="19" a="1"/>
  <c r="D1229" i="19" a="1"/>
  <c r="D875" i="19" a="1"/>
  <c r="D548" i="19" a="1"/>
  <c r="D1378" i="19" a="1"/>
  <c r="D2267" i="19" a="1"/>
  <c r="D1020" i="19" a="1"/>
  <c r="D244" i="19" a="1"/>
  <c r="D442" i="19" a="1"/>
  <c r="D1382" i="19" a="1"/>
  <c r="D563" i="19" a="1"/>
  <c r="D2075" i="19" a="1"/>
  <c r="D2195" i="19" a="1"/>
  <c r="D1809" i="19" a="1"/>
  <c r="D1033" i="19" a="1"/>
  <c r="D1453" i="19" a="1"/>
  <c r="D192" i="19" a="1"/>
  <c r="D1551" i="19" a="1"/>
  <c r="D990" i="19" a="1"/>
  <c r="D1521" i="19" a="1"/>
  <c r="D1460" i="19" a="1"/>
  <c r="D1362" i="19" a="1"/>
  <c r="D629" i="19" a="1"/>
  <c r="D748" i="19" a="1"/>
  <c r="D933" i="19" a="1"/>
  <c r="D2161" i="19" a="1"/>
  <c r="D1725" i="19" a="1"/>
  <c r="D920" i="19" a="1"/>
  <c r="D1104" i="19" a="1"/>
  <c r="D732" i="19" a="1"/>
  <c r="D1361" i="19" a="1"/>
  <c r="D282" i="19" a="1"/>
  <c r="D719" i="19" a="1"/>
  <c r="D1295" i="19" a="1"/>
  <c r="D1484" i="19" a="1"/>
  <c r="D1014" i="19" a="1"/>
  <c r="D891" i="19" a="1"/>
  <c r="D2279" i="19" a="1"/>
  <c r="D1762" i="19" a="1"/>
  <c r="D1092" i="19" a="1"/>
  <c r="D1469" i="19" a="1"/>
  <c r="D707" i="19" a="1"/>
  <c r="D2112" i="19" a="1"/>
  <c r="D238" i="19" a="1"/>
  <c r="D1707" i="19" a="1"/>
  <c r="D759" i="19" a="1"/>
  <c r="D1410" i="19" a="1"/>
  <c r="D2047" i="19" a="1"/>
  <c r="D1982" i="19" a="1"/>
  <c r="D1635" i="19" a="1"/>
  <c r="D2226" i="19" a="1"/>
  <c r="D1168" i="19" a="1"/>
  <c r="D1327" i="19" a="1"/>
  <c r="D1411" i="19" a="1"/>
  <c r="D426" i="19" a="1"/>
  <c r="D1175" i="19" a="1"/>
  <c r="D1280" i="19" a="1"/>
  <c r="D2165" i="19" a="1"/>
  <c r="D421" i="19" a="1"/>
  <c r="D1642" i="19" a="1"/>
  <c r="D1864" i="19" a="1"/>
  <c r="D981" i="19" a="1"/>
  <c r="D1465" i="19" a="1"/>
  <c r="D1772" i="19" a="1"/>
  <c r="D1060" i="19" a="1"/>
  <c r="D182" i="19" a="1"/>
  <c r="D417" i="19" a="1"/>
  <c r="D2193" i="19" a="1"/>
  <c r="D2272" i="19" a="1"/>
  <c r="D1515" i="19" a="1"/>
  <c r="D2172" i="19" a="1"/>
  <c r="D407" i="19" a="1"/>
  <c r="D203" i="19" a="1"/>
  <c r="D1173" i="19" a="1"/>
  <c r="D843" i="19" a="1"/>
  <c r="D1314" i="19" a="1"/>
  <c r="D405" i="19" a="1"/>
  <c r="D215" i="19" a="1"/>
  <c r="D1953" i="19" a="1"/>
  <c r="D384" i="19" a="1"/>
  <c r="D1661" i="19" a="1"/>
  <c r="D1436" i="19" a="1"/>
  <c r="D1311" i="19" a="1"/>
  <c r="D1768" i="19" a="1"/>
  <c r="D927" i="19" a="1"/>
  <c r="D1604" i="19" a="1"/>
  <c r="D1188" i="19" a="1"/>
  <c r="D1208" i="19" a="1"/>
  <c r="D902" i="19" a="1"/>
  <c r="D653" i="19" a="1"/>
  <c r="D490" i="19" a="1"/>
  <c r="D839" i="19" a="1"/>
  <c r="D1207" i="19" a="1"/>
  <c r="D1063" i="19" a="1"/>
  <c r="D1677" i="19" a="1"/>
  <c r="D520" i="19" a="1"/>
  <c r="D635" i="19" a="1"/>
  <c r="D631" i="19" a="1"/>
  <c r="D458" i="19" a="1"/>
  <c r="D2068" i="19" a="1"/>
  <c r="D1898" i="19" a="1"/>
  <c r="D826" i="19" a="1"/>
  <c r="D2008" i="19" a="1"/>
  <c r="D614" i="19" a="1"/>
  <c r="D2081" i="19" a="1"/>
  <c r="D1380" i="19" a="1"/>
  <c r="D1050" i="19" a="1"/>
  <c r="D970" i="19" a="1"/>
  <c r="D955" i="19" a="1"/>
  <c r="D1163" i="19" a="1"/>
  <c r="D1488" i="19" a="1"/>
  <c r="D1853" i="19" a="1"/>
  <c r="D1858" i="19" a="1"/>
  <c r="D295" i="19" a="1"/>
  <c r="D2001" i="19" a="1"/>
  <c r="D618" i="19" a="1"/>
  <c r="D1934" i="19" a="1"/>
  <c r="D492" i="19" a="1"/>
  <c r="D1524" i="19" a="1"/>
  <c r="D1759" i="19" a="1"/>
  <c r="D2015" i="19" a="1"/>
  <c r="D2206" i="19" a="1"/>
  <c r="D303" i="19" a="1"/>
  <c r="D2058" i="19" a="1"/>
  <c r="D1248" i="19" a="1"/>
  <c r="D372" i="19" a="1"/>
  <c r="D2125" i="19" a="1"/>
  <c r="D1913" i="19" a="1"/>
  <c r="D2168" i="19" a="1"/>
  <c r="D597" i="19" a="1"/>
  <c r="D1701" i="19" a="1"/>
  <c r="D1376" i="19" a="1"/>
  <c r="D1211" i="19" a="1"/>
  <c r="D230" i="19" a="1"/>
  <c r="D1170" i="19" a="1"/>
  <c r="D1461" i="19" a="1"/>
  <c r="D249" i="19" a="1"/>
  <c r="D1993" i="19" a="1"/>
  <c r="D292" i="19" a="1"/>
  <c r="D1355" i="19" a="1"/>
  <c r="D346" i="19" a="1"/>
  <c r="D656" i="19" a="1"/>
  <c r="D2067" i="19" a="1"/>
  <c r="D951" i="19" a="1"/>
  <c r="D1957" i="19" a="1"/>
  <c r="D2255" i="19" a="1"/>
  <c r="D463" i="19" a="1"/>
  <c r="D227" i="19" a="1"/>
  <c r="D1919" i="19" a="1"/>
  <c r="D915" i="19" a="1"/>
  <c r="D646" i="19" a="1"/>
  <c r="D977" i="19" a="1"/>
  <c r="D1012" i="19" a="1"/>
  <c r="D1254" i="19" a="1"/>
  <c r="D735" i="19" a="1"/>
  <c r="D589" i="19" a="1"/>
  <c r="D1887" i="19" a="1"/>
  <c r="D2079" i="19" a="1"/>
  <c r="D733" i="19" a="1"/>
  <c r="D1187" i="19" a="1"/>
  <c r="D1739" i="19" a="1"/>
  <c r="D1758" i="19" a="1"/>
  <c r="D2240" i="19" a="1"/>
  <c r="D1277" i="19" a="1"/>
  <c r="D1414" i="19" a="1"/>
  <c r="D2166" i="19" a="1"/>
  <c r="D1578" i="19" a="1"/>
  <c r="D1174" i="19" a="1"/>
  <c r="D737" i="19" a="1"/>
  <c r="D218" i="19" a="1"/>
  <c r="D884" i="19" a="1"/>
  <c r="D160" i="19" a="1"/>
  <c r="D425" i="19" a="1"/>
  <c r="D335" i="19" a="1"/>
  <c r="D834" i="19" a="1"/>
  <c r="D1660" i="19" a="1"/>
  <c r="D1651" i="19" a="1"/>
  <c r="D1684" i="19" a="1"/>
  <c r="D1399" i="19" a="1"/>
  <c r="D976" i="19" a="1"/>
  <c r="D956" i="19" a="1"/>
  <c r="D199" i="19" a="1"/>
  <c r="D2266" i="19" a="1"/>
  <c r="D456" i="19" a="1"/>
  <c r="D1770" i="19" a="1"/>
  <c r="D2214" i="19" a="1"/>
  <c r="D1593" i="19" a="1"/>
  <c r="D1708" i="19" a="1"/>
  <c r="D1081" i="19" a="1"/>
  <c r="D807" i="19" a="1"/>
  <c r="D2160" i="19" a="1"/>
  <c r="D1185" i="19" a="1"/>
  <c r="D1881" i="19" a="1"/>
  <c r="D1777" i="19" a="1"/>
  <c r="D2127" i="19" a="1"/>
  <c r="D287" i="19" a="1"/>
  <c r="D821" i="19" a="1"/>
  <c r="D1202" i="19" a="1"/>
  <c r="D250" i="19" a="1"/>
  <c r="D1046" i="19" a="1"/>
  <c r="D869" i="19" a="1"/>
  <c r="D616" i="19" a="1"/>
  <c r="D1356" i="19" a="1"/>
  <c r="D499" i="19" a="1"/>
  <c r="D2128" i="19" a="1"/>
  <c r="D1949" i="19" a="1"/>
  <c r="D2050" i="19" a="1"/>
  <c r="D353" i="19" a="1"/>
  <c r="D241" i="19" a="1"/>
  <c r="D963" i="19" a="1"/>
  <c r="D672" i="19" a="1"/>
  <c r="D1742" i="19" a="1"/>
  <c r="D817" i="19" a="1"/>
  <c r="D627" i="19" a="1"/>
  <c r="D1923" i="19" a="1"/>
  <c r="D752" i="19" a="1"/>
  <c r="D983" i="19" a="1"/>
  <c r="D1655" i="19" a="1"/>
  <c r="D716" i="19" a="1"/>
  <c r="D2232" i="19" a="1"/>
  <c r="D288" i="19" a="1"/>
  <c r="D639" i="19" a="1"/>
  <c r="D1147" i="19" a="1"/>
  <c r="D1044" i="19" a="1"/>
  <c r="D1273" i="19" a="1"/>
  <c r="D457" i="19" a="1"/>
  <c r="D838" i="19" a="1"/>
  <c r="D2291" i="19" a="1"/>
  <c r="D439" i="19" a="1"/>
  <c r="D1834" i="19" a="1"/>
  <c r="D2223" i="19" a="1"/>
  <c r="D1125" i="19" a="1"/>
  <c r="D648" i="19" a="1"/>
  <c r="D1553" i="19" a="1"/>
  <c r="D1038" i="19" a="1"/>
  <c r="D411" i="19" a="1"/>
  <c r="D1149" i="19" a="1"/>
  <c r="D297" i="19" a="1"/>
  <c r="D709" i="19" a="1"/>
  <c r="D1805" i="19" a="1"/>
  <c r="D1557" i="19" a="1"/>
  <c r="D964" i="19" a="1"/>
  <c r="D400" i="19" a="1"/>
  <c r="D2148" i="19" a="1"/>
  <c r="D1366" i="19" a="1"/>
  <c r="D611" i="19" a="1"/>
  <c r="D419" i="19" a="1"/>
  <c r="D1824" i="19" a="1"/>
  <c r="D245" i="19" a="1"/>
  <c r="D1500" i="19" a="1"/>
  <c r="D1080" i="19" a="1"/>
  <c r="D324" i="19" a="1"/>
  <c r="D1981" i="19" a="1"/>
  <c r="D279" i="19" a="1"/>
  <c r="D1537" i="19" a="1"/>
  <c r="D827" i="19" a="1"/>
  <c r="D659" i="19" a="1"/>
  <c r="D1733" i="19" a="1"/>
  <c r="D1697" i="19" a="1"/>
  <c r="D1976" i="19" a="1"/>
  <c r="D2149" i="19" a="1"/>
  <c r="D1892" i="19" a="1"/>
  <c r="D1427" i="19" a="1"/>
  <c r="D2188" i="19" a="1"/>
  <c r="D1270" i="19" a="1"/>
  <c r="D2135" i="19" a="1"/>
  <c r="D1828" i="19" a="1"/>
  <c r="D1664" i="19" a="1"/>
  <c r="D1433" i="19" a="1"/>
  <c r="D1098" i="19" a="1"/>
  <c r="D2198" i="19" a="1"/>
  <c r="D2256" i="19" l="1"/>
  <c r="D2184" i="19"/>
  <c r="D2112" i="19"/>
  <c r="D2040" i="19"/>
  <c r="D1968" i="19"/>
  <c r="D1896" i="19"/>
  <c r="D1824" i="19"/>
  <c r="D1818" i="19"/>
  <c r="D2244" i="19"/>
  <c r="D2172" i="19"/>
  <c r="D2100" i="19"/>
  <c r="D2028" i="19"/>
  <c r="D1812" i="19"/>
  <c r="D2238" i="19"/>
  <c r="D2166" i="19"/>
  <c r="D2094" i="19"/>
  <c r="D2022" i="19"/>
  <c r="D1950" i="19"/>
  <c r="D1878" i="19"/>
  <c r="D1806" i="19"/>
  <c r="D1956" i="19"/>
  <c r="D2232" i="19"/>
  <c r="D2160" i="19"/>
  <c r="D2088" i="19"/>
  <c r="D2016" i="19"/>
  <c r="D1944" i="19"/>
  <c r="D1872" i="19"/>
  <c r="D1800" i="19"/>
  <c r="D1884" i="19"/>
  <c r="D2298" i="19"/>
  <c r="D2226" i="19"/>
  <c r="D2154" i="19"/>
  <c r="D2082" i="19"/>
  <c r="D2010" i="19"/>
  <c r="D1938" i="19"/>
  <c r="D1866" i="19"/>
  <c r="D1794" i="19"/>
  <c r="D2250" i="19"/>
  <c r="D2292" i="19"/>
  <c r="D2220" i="19"/>
  <c r="D2148" i="19"/>
  <c r="D2076" i="19"/>
  <c r="D2004" i="19"/>
  <c r="D1932" i="19"/>
  <c r="D1860" i="19"/>
  <c r="D1788" i="19"/>
  <c r="D2178" i="19"/>
  <c r="D2286" i="19"/>
  <c r="D2214" i="19"/>
  <c r="D2142" i="19"/>
  <c r="D2070" i="19"/>
  <c r="D1998" i="19"/>
  <c r="D1926" i="19"/>
  <c r="D1854" i="19"/>
  <c r="D1782" i="19"/>
  <c r="D2106" i="19"/>
  <c r="D2280" i="19"/>
  <c r="D2208" i="19"/>
  <c r="D2136" i="19"/>
  <c r="D2064" i="19"/>
  <c r="D1992" i="19"/>
  <c r="D1920" i="19"/>
  <c r="D1848" i="19"/>
  <c r="D1776" i="19"/>
  <c r="D1962" i="19"/>
  <c r="D2274" i="19"/>
  <c r="D2202" i="19"/>
  <c r="D2130" i="19"/>
  <c r="D2058" i="19"/>
  <c r="D1986" i="19"/>
  <c r="D1914" i="19"/>
  <c r="D1842" i="19"/>
  <c r="D1770" i="19"/>
  <c r="D2034" i="19"/>
  <c r="D2268" i="19"/>
  <c r="D2196" i="19"/>
  <c r="D2124" i="19"/>
  <c r="D2052" i="19"/>
  <c r="D1980" i="19"/>
  <c r="D1908" i="19"/>
  <c r="D1836" i="19"/>
  <c r="D1758" i="19"/>
  <c r="D1890" i="19"/>
  <c r="D2262" i="19"/>
  <c r="D2190" i="19"/>
  <c r="D2118" i="19"/>
  <c r="D2046" i="19"/>
  <c r="D1974" i="19"/>
  <c r="D1902" i="19"/>
  <c r="D1830" i="19"/>
  <c r="D1746" i="19"/>
  <c r="D1752" i="19"/>
  <c r="D1692" i="19"/>
  <c r="D1620" i="19"/>
  <c r="D1560" i="19"/>
  <c r="D1464" i="19"/>
  <c r="D903" i="19"/>
  <c r="D1359" i="19"/>
  <c r="D1344" i="19"/>
  <c r="D1330" i="19"/>
  <c r="D1312" i="19"/>
  <c r="D1290" i="19"/>
  <c r="D1254" i="19"/>
  <c r="D1185" i="19"/>
  <c r="D1113" i="19"/>
  <c r="D1041" i="19"/>
  <c r="D969" i="19"/>
  <c r="D897" i="19"/>
  <c r="D1686" i="19"/>
  <c r="D1608" i="19"/>
  <c r="D1518" i="19"/>
  <c r="D1446" i="19"/>
  <c r="D1386" i="19"/>
  <c r="D1313" i="19"/>
  <c r="D2297" i="19"/>
  <c r="D2291" i="19"/>
  <c r="D2285" i="19"/>
  <c r="D2279" i="19"/>
  <c r="D2273" i="19"/>
  <c r="D2267" i="19"/>
  <c r="D2261" i="19"/>
  <c r="D2255" i="19"/>
  <c r="D2249" i="19"/>
  <c r="D2243" i="19"/>
  <c r="D2237" i="19"/>
  <c r="D2231" i="19"/>
  <c r="D2225" i="19"/>
  <c r="D2219" i="19"/>
  <c r="D2213" i="19"/>
  <c r="D2207" i="19"/>
  <c r="D2201" i="19"/>
  <c r="D2195" i="19"/>
  <c r="D2189" i="19"/>
  <c r="D2183" i="19"/>
  <c r="D2177" i="19"/>
  <c r="D2171" i="19"/>
  <c r="D2165" i="19"/>
  <c r="D2159" i="19"/>
  <c r="D2153" i="19"/>
  <c r="D2147" i="19"/>
  <c r="D2141" i="19"/>
  <c r="D2135" i="19"/>
  <c r="D2129" i="19"/>
  <c r="D2123" i="19"/>
  <c r="D2117" i="19"/>
  <c r="D2111" i="19"/>
  <c r="D2105" i="19"/>
  <c r="D2099" i="19"/>
  <c r="D2093" i="19"/>
  <c r="D2087" i="19"/>
  <c r="D2081" i="19"/>
  <c r="D2075" i="19"/>
  <c r="D2069" i="19"/>
  <c r="D2063" i="19"/>
  <c r="D2057" i="19"/>
  <c r="D2051" i="19"/>
  <c r="D2045" i="19"/>
  <c r="D2039" i="19"/>
  <c r="D2033" i="19"/>
  <c r="D2027" i="19"/>
  <c r="D2021" i="19"/>
  <c r="D2015" i="19"/>
  <c r="D2009" i="19"/>
  <c r="D2003" i="19"/>
  <c r="D1997" i="19"/>
  <c r="D1991" i="19"/>
  <c r="D1985" i="19"/>
  <c r="D1979" i="19"/>
  <c r="D1973" i="19"/>
  <c r="D1967" i="19"/>
  <c r="D1961" i="19"/>
  <c r="D1955" i="19"/>
  <c r="D1949" i="19"/>
  <c r="D1943" i="19"/>
  <c r="D1937" i="19"/>
  <c r="D1931" i="19"/>
  <c r="D1925" i="19"/>
  <c r="D1919" i="19"/>
  <c r="D1913" i="19"/>
  <c r="D1907" i="19"/>
  <c r="D1901" i="19"/>
  <c r="D1895" i="19"/>
  <c r="D1889" i="19"/>
  <c r="D1883" i="19"/>
  <c r="D1877" i="19"/>
  <c r="D1871" i="19"/>
  <c r="D1865" i="19"/>
  <c r="D1859" i="19"/>
  <c r="D1853" i="19"/>
  <c r="D1847" i="19"/>
  <c r="D1841" i="19"/>
  <c r="D1835" i="19"/>
  <c r="D1829" i="19"/>
  <c r="D1823" i="19"/>
  <c r="D1817" i="19"/>
  <c r="D1811" i="19"/>
  <c r="D1805" i="19"/>
  <c r="D1799" i="19"/>
  <c r="D1793" i="19"/>
  <c r="D1787" i="19"/>
  <c r="D1781" i="19"/>
  <c r="D1775" i="19"/>
  <c r="D1769" i="19"/>
  <c r="D1763" i="19"/>
  <c r="D1757" i="19"/>
  <c r="D1751" i="19"/>
  <c r="D1745" i="19"/>
  <c r="D1739" i="19"/>
  <c r="D1733" i="19"/>
  <c r="D1727" i="19"/>
  <c r="D1721" i="19"/>
  <c r="D1715" i="19"/>
  <c r="D1709" i="19"/>
  <c r="D1703" i="19"/>
  <c r="D1697" i="19"/>
  <c r="D1691" i="19"/>
  <c r="D1685" i="19"/>
  <c r="D1679" i="19"/>
  <c r="D1673" i="19"/>
  <c r="D1667" i="19"/>
  <c r="D1661" i="19"/>
  <c r="D1655" i="19"/>
  <c r="D1649" i="19"/>
  <c r="D1643" i="19"/>
  <c r="D1637" i="19"/>
  <c r="D1631" i="19"/>
  <c r="D1625" i="19"/>
  <c r="D1619" i="19"/>
  <c r="D1613" i="19"/>
  <c r="D1607" i="19"/>
  <c r="D1601" i="19"/>
  <c r="D1595" i="19"/>
  <c r="D1589" i="19"/>
  <c r="D1583" i="19"/>
  <c r="D1577" i="19"/>
  <c r="D1571" i="19"/>
  <c r="D1565" i="19"/>
  <c r="D1559" i="19"/>
  <c r="D1553" i="19"/>
  <c r="D1547" i="19"/>
  <c r="D1541" i="19"/>
  <c r="D1535" i="19"/>
  <c r="D1529" i="19"/>
  <c r="D1523" i="19"/>
  <c r="D1517" i="19"/>
  <c r="D1511" i="19"/>
  <c r="D1505" i="19"/>
  <c r="D1499" i="19"/>
  <c r="D1493" i="19"/>
  <c r="D1487" i="19"/>
  <c r="D1481" i="19"/>
  <c r="D1475" i="19"/>
  <c r="D1469" i="19"/>
  <c r="D1463" i="19"/>
  <c r="D1457" i="19"/>
  <c r="D1451" i="19"/>
  <c r="D1445" i="19"/>
  <c r="D1439" i="19"/>
  <c r="D1433" i="19"/>
  <c r="D1427" i="19"/>
  <c r="D1421" i="19"/>
  <c r="D1415" i="19"/>
  <c r="D1409" i="19"/>
  <c r="D1403" i="19"/>
  <c r="D1397" i="19"/>
  <c r="D1391" i="19"/>
  <c r="D1385" i="19"/>
  <c r="D1379" i="19"/>
  <c r="D1373" i="19"/>
  <c r="D1367" i="19"/>
  <c r="D1358" i="19"/>
  <c r="D1343" i="19"/>
  <c r="D1329" i="19"/>
  <c r="D1311" i="19"/>
  <c r="D1287" i="19"/>
  <c r="D1251" i="19"/>
  <c r="D1179" i="19"/>
  <c r="D1107" i="19"/>
  <c r="D1035" i="19"/>
  <c r="D963" i="19"/>
  <c r="D891" i="19"/>
  <c r="D1734" i="19"/>
  <c r="D1656" i="19"/>
  <c r="D1578" i="19"/>
  <c r="D1512" i="19"/>
  <c r="D1428" i="19"/>
  <c r="D975" i="19"/>
  <c r="D1356" i="19"/>
  <c r="D1342" i="19"/>
  <c r="D1326" i="19"/>
  <c r="D1308" i="19"/>
  <c r="D1284" i="19"/>
  <c r="D1245" i="19"/>
  <c r="D1173" i="19"/>
  <c r="D1101" i="19"/>
  <c r="D1029" i="19"/>
  <c r="D957" i="19"/>
  <c r="D882" i="19"/>
  <c r="D1710" i="19"/>
  <c r="D1650" i="19"/>
  <c r="D1590" i="19"/>
  <c r="D1524" i="19"/>
  <c r="D1476" i="19"/>
  <c r="D1416" i="19"/>
  <c r="D1119" i="19"/>
  <c r="D2296" i="19"/>
  <c r="D2290" i="19"/>
  <c r="D2284" i="19"/>
  <c r="D2278" i="19"/>
  <c r="D2272" i="19"/>
  <c r="D2266" i="19"/>
  <c r="D2260" i="19"/>
  <c r="D2254" i="19"/>
  <c r="D2248" i="19"/>
  <c r="D2242" i="19"/>
  <c r="D2236" i="19"/>
  <c r="D2230" i="19"/>
  <c r="D2224" i="19"/>
  <c r="D2218" i="19"/>
  <c r="D2212" i="19"/>
  <c r="D2206" i="19"/>
  <c r="D2200" i="19"/>
  <c r="D2194" i="19"/>
  <c r="D2188" i="19"/>
  <c r="D2182" i="19"/>
  <c r="D2176" i="19"/>
  <c r="D2170" i="19"/>
  <c r="D2164" i="19"/>
  <c r="D2158" i="19"/>
  <c r="D2152" i="19"/>
  <c r="D2146" i="19"/>
  <c r="D2140" i="19"/>
  <c r="D2134" i="19"/>
  <c r="D2128" i="19"/>
  <c r="D2122" i="19"/>
  <c r="D2116" i="19"/>
  <c r="D2110" i="19"/>
  <c r="D2104" i="19"/>
  <c r="D2098" i="19"/>
  <c r="D2092" i="19"/>
  <c r="D2086" i="19"/>
  <c r="D2080" i="19"/>
  <c r="D2074" i="19"/>
  <c r="D2068" i="19"/>
  <c r="D2062" i="19"/>
  <c r="D2056" i="19"/>
  <c r="D2050" i="19"/>
  <c r="D2044" i="19"/>
  <c r="D2038" i="19"/>
  <c r="D2032" i="19"/>
  <c r="D2026" i="19"/>
  <c r="D2020" i="19"/>
  <c r="D2014" i="19"/>
  <c r="D2008" i="19"/>
  <c r="D2002" i="19"/>
  <c r="D1996" i="19"/>
  <c r="D1990" i="19"/>
  <c r="D1984" i="19"/>
  <c r="D1978" i="19"/>
  <c r="D1972" i="19"/>
  <c r="D1966" i="19"/>
  <c r="D1960" i="19"/>
  <c r="D1954" i="19"/>
  <c r="D1948" i="19"/>
  <c r="D1942" i="19"/>
  <c r="D1936" i="19"/>
  <c r="D1930" i="19"/>
  <c r="D1924" i="19"/>
  <c r="D1918" i="19"/>
  <c r="D1912" i="19"/>
  <c r="D1906" i="19"/>
  <c r="D1900" i="19"/>
  <c r="D1894" i="19"/>
  <c r="D1888" i="19"/>
  <c r="D1882" i="19"/>
  <c r="D1876" i="19"/>
  <c r="D1870" i="19"/>
  <c r="D1864" i="19"/>
  <c r="D1858" i="19"/>
  <c r="D1852" i="19"/>
  <c r="D1846" i="19"/>
  <c r="D1840" i="19"/>
  <c r="D1834" i="19"/>
  <c r="D1828" i="19"/>
  <c r="D1822" i="19"/>
  <c r="D1816" i="19"/>
  <c r="D1810" i="19"/>
  <c r="D1804" i="19"/>
  <c r="D1798" i="19"/>
  <c r="D1792" i="19"/>
  <c r="D1786" i="19"/>
  <c r="D1780" i="19"/>
  <c r="D1774" i="19"/>
  <c r="D1768" i="19"/>
  <c r="D1762" i="19"/>
  <c r="D1756" i="19"/>
  <c r="D1750" i="19"/>
  <c r="D1744" i="19"/>
  <c r="D1738" i="19"/>
  <c r="D1732" i="19"/>
  <c r="D1726" i="19"/>
  <c r="D1720" i="19"/>
  <c r="D1714" i="19"/>
  <c r="D1708" i="19"/>
  <c r="D1702" i="19"/>
  <c r="D1696" i="19"/>
  <c r="D1690" i="19"/>
  <c r="D1684" i="19"/>
  <c r="D1678" i="19"/>
  <c r="D1672" i="19"/>
  <c r="D1666" i="19"/>
  <c r="D1660" i="19"/>
  <c r="D1654" i="19"/>
  <c r="D1648" i="19"/>
  <c r="D1642" i="19"/>
  <c r="D1636" i="19"/>
  <c r="D1630" i="19"/>
  <c r="D1624" i="19"/>
  <c r="D1618" i="19"/>
  <c r="D1612" i="19"/>
  <c r="D1606" i="19"/>
  <c r="D1600" i="19"/>
  <c r="D1594" i="19"/>
  <c r="D1588" i="19"/>
  <c r="D1582" i="19"/>
  <c r="D1576" i="19"/>
  <c r="D1570" i="19"/>
  <c r="D1564" i="19"/>
  <c r="D1558" i="19"/>
  <c r="D1552" i="19"/>
  <c r="D1546" i="19"/>
  <c r="D1540" i="19"/>
  <c r="D1534" i="19"/>
  <c r="D1528" i="19"/>
  <c r="D1522" i="19"/>
  <c r="D1516" i="19"/>
  <c r="D1510" i="19"/>
  <c r="D1504" i="19"/>
  <c r="D1498" i="19"/>
  <c r="D1492" i="19"/>
  <c r="D1486" i="19"/>
  <c r="D1480" i="19"/>
  <c r="D1474" i="19"/>
  <c r="D1468" i="19"/>
  <c r="D1462" i="19"/>
  <c r="D1456" i="19"/>
  <c r="D1450" i="19"/>
  <c r="D1444" i="19"/>
  <c r="D1438" i="19"/>
  <c r="D1432" i="19"/>
  <c r="D1426" i="19"/>
  <c r="D1420" i="19"/>
  <c r="D1414" i="19"/>
  <c r="D1408" i="19"/>
  <c r="D1402" i="19"/>
  <c r="D1396" i="19"/>
  <c r="D1390" i="19"/>
  <c r="D1384" i="19"/>
  <c r="D1378" i="19"/>
  <c r="D1372" i="19"/>
  <c r="D1366" i="19"/>
  <c r="D1355" i="19"/>
  <c r="D1341" i="19"/>
  <c r="D1325" i="19"/>
  <c r="D1307" i="19"/>
  <c r="D1281" i="19"/>
  <c r="D1239" i="19"/>
  <c r="D1167" i="19"/>
  <c r="D1095" i="19"/>
  <c r="D1023" i="19"/>
  <c r="D951" i="19"/>
  <c r="D870" i="19"/>
  <c r="D1698" i="19"/>
  <c r="D1626" i="19"/>
  <c r="D1566" i="19"/>
  <c r="D1488" i="19"/>
  <c r="D1422" i="19"/>
  <c r="D1047" i="19"/>
  <c r="D1354" i="19"/>
  <c r="D1340" i="19"/>
  <c r="D1324" i="19"/>
  <c r="D1306" i="19"/>
  <c r="D1278" i="19"/>
  <c r="D1233" i="19"/>
  <c r="D1161" i="19"/>
  <c r="D1089" i="19"/>
  <c r="D1017" i="19"/>
  <c r="D945" i="19"/>
  <c r="D810" i="19"/>
  <c r="D1644" i="19"/>
  <c r="D1548" i="19"/>
  <c r="D1440" i="19"/>
  <c r="D1331" i="19"/>
  <c r="D2295" i="19"/>
  <c r="D2289" i="19"/>
  <c r="D2283" i="19"/>
  <c r="D2277" i="19"/>
  <c r="D2271" i="19"/>
  <c r="D2265" i="19"/>
  <c r="D2259" i="19"/>
  <c r="D2253" i="19"/>
  <c r="D2247" i="19"/>
  <c r="D2241" i="19"/>
  <c r="D2235" i="19"/>
  <c r="D2229" i="19"/>
  <c r="D2223" i="19"/>
  <c r="D2217" i="19"/>
  <c r="D2211" i="19"/>
  <c r="D2205" i="19"/>
  <c r="D2199" i="19"/>
  <c r="D2193" i="19"/>
  <c r="D2187" i="19"/>
  <c r="D2181" i="19"/>
  <c r="D2175" i="19"/>
  <c r="D2169" i="19"/>
  <c r="D2163" i="19"/>
  <c r="D2157" i="19"/>
  <c r="D2151" i="19"/>
  <c r="D2145" i="19"/>
  <c r="D2139" i="19"/>
  <c r="D2133" i="19"/>
  <c r="D2127" i="19"/>
  <c r="D2121" i="19"/>
  <c r="D2115" i="19"/>
  <c r="D2109" i="19"/>
  <c r="D2103" i="19"/>
  <c r="D2097" i="19"/>
  <c r="D2091" i="19"/>
  <c r="D2085" i="19"/>
  <c r="D2079" i="19"/>
  <c r="D2073" i="19"/>
  <c r="D2067" i="19"/>
  <c r="D2061" i="19"/>
  <c r="D2055" i="19"/>
  <c r="D2049" i="19"/>
  <c r="D2043" i="19"/>
  <c r="D2037" i="19"/>
  <c r="D2031" i="19"/>
  <c r="D2025" i="19"/>
  <c r="D2019" i="19"/>
  <c r="D2013" i="19"/>
  <c r="D2007" i="19"/>
  <c r="D2001" i="19"/>
  <c r="D1995" i="19"/>
  <c r="D1989" i="19"/>
  <c r="D1983" i="19"/>
  <c r="D1977" i="19"/>
  <c r="D1971" i="19"/>
  <c r="D1965" i="19"/>
  <c r="D1959" i="19"/>
  <c r="D1953" i="19"/>
  <c r="D1947" i="19"/>
  <c r="D1941" i="19"/>
  <c r="D1935" i="19"/>
  <c r="D1929" i="19"/>
  <c r="D1923" i="19"/>
  <c r="D1917" i="19"/>
  <c r="D1911" i="19"/>
  <c r="D1905" i="19"/>
  <c r="D1899" i="19"/>
  <c r="D1893" i="19"/>
  <c r="D1887" i="19"/>
  <c r="D1881" i="19"/>
  <c r="D1875" i="19"/>
  <c r="D1869" i="19"/>
  <c r="D1863" i="19"/>
  <c r="D1857" i="19"/>
  <c r="D1851" i="19"/>
  <c r="D1845" i="19"/>
  <c r="D1839" i="19"/>
  <c r="D1833" i="19"/>
  <c r="D1827" i="19"/>
  <c r="D1821" i="19"/>
  <c r="D1815" i="19"/>
  <c r="D1809" i="19"/>
  <c r="D1803" i="19"/>
  <c r="D1797" i="19"/>
  <c r="D1791" i="19"/>
  <c r="D1785" i="19"/>
  <c r="D1779" i="19"/>
  <c r="D1773" i="19"/>
  <c r="D1767" i="19"/>
  <c r="D1761" i="19"/>
  <c r="D1755" i="19"/>
  <c r="D1749" i="19"/>
  <c r="D1743" i="19"/>
  <c r="D1737" i="19"/>
  <c r="D1731" i="19"/>
  <c r="D1725" i="19"/>
  <c r="D1719" i="19"/>
  <c r="D1713" i="19"/>
  <c r="D1707" i="19"/>
  <c r="D1701" i="19"/>
  <c r="D1695" i="19"/>
  <c r="D1689" i="19"/>
  <c r="D1683" i="19"/>
  <c r="D1677" i="19"/>
  <c r="D1671" i="19"/>
  <c r="D1665" i="19"/>
  <c r="D1659" i="19"/>
  <c r="D1653" i="19"/>
  <c r="D1647" i="19"/>
  <c r="D1641" i="19"/>
  <c r="D1635" i="19"/>
  <c r="D1629" i="19"/>
  <c r="D1623" i="19"/>
  <c r="D1617" i="19"/>
  <c r="D1611" i="19"/>
  <c r="D1605" i="19"/>
  <c r="D1599" i="19"/>
  <c r="D1593" i="19"/>
  <c r="D1587" i="19"/>
  <c r="D1581" i="19"/>
  <c r="D1575" i="19"/>
  <c r="D1569" i="19"/>
  <c r="D1563" i="19"/>
  <c r="D1557" i="19"/>
  <c r="D1551" i="19"/>
  <c r="D1545" i="19"/>
  <c r="D1539" i="19"/>
  <c r="D1533" i="19"/>
  <c r="D1527" i="19"/>
  <c r="D1521" i="19"/>
  <c r="D1515" i="19"/>
  <c r="D1509" i="19"/>
  <c r="D1503" i="19"/>
  <c r="D1497" i="19"/>
  <c r="D1491" i="19"/>
  <c r="D1485" i="19"/>
  <c r="D1479" i="19"/>
  <c r="D1473" i="19"/>
  <c r="D1467" i="19"/>
  <c r="D1461" i="19"/>
  <c r="D1455" i="19"/>
  <c r="D1449" i="19"/>
  <c r="D1443" i="19"/>
  <c r="D1437" i="19"/>
  <c r="D1431" i="19"/>
  <c r="D1425" i="19"/>
  <c r="D1419" i="19"/>
  <c r="D1413" i="19"/>
  <c r="D1407" i="19"/>
  <c r="D1401" i="19"/>
  <c r="D1395" i="19"/>
  <c r="D1389" i="19"/>
  <c r="D1383" i="19"/>
  <c r="D1377" i="19"/>
  <c r="D1371" i="19"/>
  <c r="D1365" i="19"/>
  <c r="D1353" i="19"/>
  <c r="D1338" i="19"/>
  <c r="D1323" i="19"/>
  <c r="D1305" i="19"/>
  <c r="D1275" i="19"/>
  <c r="D1227" i="19"/>
  <c r="D1155" i="19"/>
  <c r="D1083" i="19"/>
  <c r="D1011" i="19"/>
  <c r="D939" i="19"/>
  <c r="D738" i="19"/>
  <c r="D1728" i="19"/>
  <c r="D1680" i="19"/>
  <c r="D1638" i="19"/>
  <c r="D1584" i="19"/>
  <c r="D1542" i="19"/>
  <c r="D1500" i="19"/>
  <c r="D1458" i="19"/>
  <c r="D1404" i="19"/>
  <c r="D1368" i="19"/>
  <c r="D1360" i="19"/>
  <c r="D1352" i="19"/>
  <c r="D1337" i="19"/>
  <c r="D1320" i="19"/>
  <c r="D1302" i="19"/>
  <c r="D1272" i="19"/>
  <c r="D1221" i="19"/>
  <c r="D1149" i="19"/>
  <c r="D1077" i="19"/>
  <c r="D1005" i="19"/>
  <c r="D933" i="19"/>
  <c r="D666" i="19"/>
  <c r="D1764" i="19"/>
  <c r="D1716" i="19"/>
  <c r="D1668" i="19"/>
  <c r="D1614" i="19"/>
  <c r="D1554" i="19"/>
  <c r="D1494" i="19"/>
  <c r="D1434" i="19"/>
  <c r="D1398" i="19"/>
  <c r="D1374" i="19"/>
  <c r="D1346" i="19"/>
  <c r="D2294" i="19"/>
  <c r="D2288" i="19"/>
  <c r="D2282" i="19"/>
  <c r="D2276" i="19"/>
  <c r="D2270" i="19"/>
  <c r="D2264" i="19"/>
  <c r="D2258" i="19"/>
  <c r="D2252" i="19"/>
  <c r="D2246" i="19"/>
  <c r="D2240" i="19"/>
  <c r="D2234" i="19"/>
  <c r="D2228" i="19"/>
  <c r="D2222" i="19"/>
  <c r="D2216" i="19"/>
  <c r="D2210" i="19"/>
  <c r="D2204" i="19"/>
  <c r="D2198" i="19"/>
  <c r="D2192" i="19"/>
  <c r="D2186" i="19"/>
  <c r="D2180" i="19"/>
  <c r="D2174" i="19"/>
  <c r="D2168" i="19"/>
  <c r="D2162" i="19"/>
  <c r="D2156" i="19"/>
  <c r="D2150" i="19"/>
  <c r="D2144" i="19"/>
  <c r="D2138" i="19"/>
  <c r="D2132" i="19"/>
  <c r="D2126" i="19"/>
  <c r="D2120" i="19"/>
  <c r="D2114" i="19"/>
  <c r="D2108" i="19"/>
  <c r="D2102" i="19"/>
  <c r="D2096" i="19"/>
  <c r="D2090" i="19"/>
  <c r="D2084" i="19"/>
  <c r="D2078" i="19"/>
  <c r="D2072" i="19"/>
  <c r="D2066" i="19"/>
  <c r="D2060" i="19"/>
  <c r="D2054" i="19"/>
  <c r="D2048" i="19"/>
  <c r="D2042" i="19"/>
  <c r="D2036" i="19"/>
  <c r="D2030" i="19"/>
  <c r="D2024" i="19"/>
  <c r="D2018" i="19"/>
  <c r="D2012" i="19"/>
  <c r="D2006" i="19"/>
  <c r="D2000" i="19"/>
  <c r="D1994" i="19"/>
  <c r="D1988" i="19"/>
  <c r="D1982" i="19"/>
  <c r="D1976" i="19"/>
  <c r="D1970" i="19"/>
  <c r="D1964" i="19"/>
  <c r="D1958" i="19"/>
  <c r="D1952" i="19"/>
  <c r="D1946" i="19"/>
  <c r="D1940" i="19"/>
  <c r="D1934" i="19"/>
  <c r="D1928" i="19"/>
  <c r="D1922" i="19"/>
  <c r="D1916" i="19"/>
  <c r="D1910" i="19"/>
  <c r="D1904" i="19"/>
  <c r="D1898" i="19"/>
  <c r="D1892" i="19"/>
  <c r="D1886" i="19"/>
  <c r="D1880" i="19"/>
  <c r="D1874" i="19"/>
  <c r="D1868" i="19"/>
  <c r="D1862" i="19"/>
  <c r="D1856" i="19"/>
  <c r="D1850" i="19"/>
  <c r="D1844" i="19"/>
  <c r="D1838" i="19"/>
  <c r="D1832" i="19"/>
  <c r="D1826" i="19"/>
  <c r="D1820" i="19"/>
  <c r="D1814" i="19"/>
  <c r="D1808" i="19"/>
  <c r="D1802" i="19"/>
  <c r="D1796" i="19"/>
  <c r="D1790" i="19"/>
  <c r="D1784" i="19"/>
  <c r="D1778" i="19"/>
  <c r="D1772" i="19"/>
  <c r="D1766" i="19"/>
  <c r="D1760" i="19"/>
  <c r="D1754" i="19"/>
  <c r="D1748" i="19"/>
  <c r="D1742" i="19"/>
  <c r="D1736" i="19"/>
  <c r="D1730" i="19"/>
  <c r="D1724" i="19"/>
  <c r="D1718" i="19"/>
  <c r="D1712" i="19"/>
  <c r="D1706" i="19"/>
  <c r="D1700" i="19"/>
  <c r="D1694" i="19"/>
  <c r="D1688" i="19"/>
  <c r="D1682" i="19"/>
  <c r="D1676" i="19"/>
  <c r="D1670" i="19"/>
  <c r="D1664" i="19"/>
  <c r="D1658" i="19"/>
  <c r="D1652" i="19"/>
  <c r="D1646" i="19"/>
  <c r="D1640" i="19"/>
  <c r="D1634" i="19"/>
  <c r="D1628" i="19"/>
  <c r="D1622" i="19"/>
  <c r="D1616" i="19"/>
  <c r="D1610" i="19"/>
  <c r="D1604" i="19"/>
  <c r="D1598" i="19"/>
  <c r="D1592" i="19"/>
  <c r="D1586" i="19"/>
  <c r="D1580" i="19"/>
  <c r="D1574" i="19"/>
  <c r="D1568" i="19"/>
  <c r="D1562" i="19"/>
  <c r="D1556" i="19"/>
  <c r="D1550" i="19"/>
  <c r="D1544" i="19"/>
  <c r="D1538" i="19"/>
  <c r="D1532" i="19"/>
  <c r="D1526" i="19"/>
  <c r="D1520" i="19"/>
  <c r="D1514" i="19"/>
  <c r="D1508" i="19"/>
  <c r="D1502" i="19"/>
  <c r="D1496" i="19"/>
  <c r="D1490" i="19"/>
  <c r="D1484" i="19"/>
  <c r="D1478" i="19"/>
  <c r="D1472" i="19"/>
  <c r="D1466" i="19"/>
  <c r="D1460" i="19"/>
  <c r="D1454" i="19"/>
  <c r="D1448" i="19"/>
  <c r="D1442" i="19"/>
  <c r="D1436" i="19"/>
  <c r="D1430" i="19"/>
  <c r="D1424" i="19"/>
  <c r="D1418" i="19"/>
  <c r="D1412" i="19"/>
  <c r="D1406" i="19"/>
  <c r="D1400" i="19"/>
  <c r="D1394" i="19"/>
  <c r="D1388" i="19"/>
  <c r="D1382" i="19"/>
  <c r="D1376" i="19"/>
  <c r="D1370" i="19"/>
  <c r="D1364" i="19"/>
  <c r="D1350" i="19"/>
  <c r="D1336" i="19"/>
  <c r="D1319" i="19"/>
  <c r="D1301" i="19"/>
  <c r="D1269" i="19"/>
  <c r="D1215" i="19"/>
  <c r="D1143" i="19"/>
  <c r="D1071" i="19"/>
  <c r="D999" i="19"/>
  <c r="D927" i="19"/>
  <c r="D594" i="19"/>
  <c r="D1740" i="19"/>
  <c r="D1674" i="19"/>
  <c r="D1602" i="19"/>
  <c r="D1536" i="19"/>
  <c r="D1482" i="19"/>
  <c r="D1410" i="19"/>
  <c r="D1191" i="19"/>
  <c r="D1363" i="19"/>
  <c r="D1349" i="19"/>
  <c r="D1335" i="19"/>
  <c r="D1318" i="19"/>
  <c r="D1299" i="19"/>
  <c r="D1266" i="19"/>
  <c r="D1209" i="19"/>
  <c r="D1137" i="19"/>
  <c r="D1065" i="19"/>
  <c r="D993" i="19"/>
  <c r="D921" i="19"/>
  <c r="D522" i="19"/>
  <c r="D1722" i="19"/>
  <c r="D1662" i="19"/>
  <c r="D1596" i="19"/>
  <c r="D1530" i="19"/>
  <c r="D1470" i="19"/>
  <c r="D1392" i="19"/>
  <c r="D1257" i="19"/>
  <c r="D2293" i="19"/>
  <c r="D2287" i="19"/>
  <c r="D2281" i="19"/>
  <c r="D2275" i="19"/>
  <c r="D2269" i="19"/>
  <c r="D2263" i="19"/>
  <c r="D2257" i="19"/>
  <c r="D2251" i="19"/>
  <c r="D2245" i="19"/>
  <c r="D2239" i="19"/>
  <c r="D2233" i="19"/>
  <c r="D2227" i="19"/>
  <c r="D2221" i="19"/>
  <c r="D2215" i="19"/>
  <c r="D2209" i="19"/>
  <c r="D2203" i="19"/>
  <c r="D2197" i="19"/>
  <c r="D2191" i="19"/>
  <c r="D2185" i="19"/>
  <c r="D2179" i="19"/>
  <c r="D2173" i="19"/>
  <c r="D2167" i="19"/>
  <c r="D2161" i="19"/>
  <c r="D2155" i="19"/>
  <c r="D2149" i="19"/>
  <c r="D2143" i="19"/>
  <c r="D2137" i="19"/>
  <c r="D2131" i="19"/>
  <c r="D2125" i="19"/>
  <c r="D2119" i="19"/>
  <c r="D2113" i="19"/>
  <c r="D2107" i="19"/>
  <c r="D2101" i="19"/>
  <c r="D2095" i="19"/>
  <c r="D2089" i="19"/>
  <c r="D2083" i="19"/>
  <c r="D2077" i="19"/>
  <c r="D2071" i="19"/>
  <c r="D2065" i="19"/>
  <c r="D2059" i="19"/>
  <c r="D2053" i="19"/>
  <c r="D2047" i="19"/>
  <c r="D2041" i="19"/>
  <c r="D2035" i="19"/>
  <c r="D2029" i="19"/>
  <c r="D2023" i="19"/>
  <c r="D2017" i="19"/>
  <c r="D2011" i="19"/>
  <c r="D2005" i="19"/>
  <c r="D1999" i="19"/>
  <c r="D1993" i="19"/>
  <c r="D1987" i="19"/>
  <c r="D1981" i="19"/>
  <c r="D1975" i="19"/>
  <c r="D1969" i="19"/>
  <c r="D1963" i="19"/>
  <c r="D1957" i="19"/>
  <c r="D1951" i="19"/>
  <c r="D1945" i="19"/>
  <c r="D1939" i="19"/>
  <c r="D1933" i="19"/>
  <c r="D1927" i="19"/>
  <c r="D1921" i="19"/>
  <c r="D1915" i="19"/>
  <c r="D1909" i="19"/>
  <c r="D1903" i="19"/>
  <c r="D1897" i="19"/>
  <c r="D1891" i="19"/>
  <c r="D1885" i="19"/>
  <c r="D1879" i="19"/>
  <c r="D1873" i="19"/>
  <c r="D1867" i="19"/>
  <c r="D1861" i="19"/>
  <c r="D1855" i="19"/>
  <c r="D1849" i="19"/>
  <c r="D1843" i="19"/>
  <c r="D1837" i="19"/>
  <c r="D1831" i="19"/>
  <c r="D1825" i="19"/>
  <c r="D1819" i="19"/>
  <c r="D1813" i="19"/>
  <c r="D1807" i="19"/>
  <c r="D1801" i="19"/>
  <c r="D1795" i="19"/>
  <c r="D1789" i="19"/>
  <c r="D1783" i="19"/>
  <c r="D1777" i="19"/>
  <c r="D1771" i="19"/>
  <c r="D1765" i="19"/>
  <c r="D1759" i="19"/>
  <c r="D1753" i="19"/>
  <c r="D1747" i="19"/>
  <c r="D1741" i="19"/>
  <c r="D1735" i="19"/>
  <c r="D1729" i="19"/>
  <c r="D1723" i="19"/>
  <c r="D1717" i="19"/>
  <c r="D1711" i="19"/>
  <c r="D1705" i="19"/>
  <c r="D1699" i="19"/>
  <c r="D1693" i="19"/>
  <c r="D1687" i="19"/>
  <c r="D1681" i="19"/>
  <c r="D1675" i="19"/>
  <c r="D1669" i="19"/>
  <c r="D1663" i="19"/>
  <c r="D1657" i="19"/>
  <c r="D1651" i="19"/>
  <c r="D1645" i="19"/>
  <c r="D1639" i="19"/>
  <c r="D1633" i="19"/>
  <c r="D1627" i="19"/>
  <c r="D1621" i="19"/>
  <c r="D1615" i="19"/>
  <c r="D1609" i="19"/>
  <c r="D1603" i="19"/>
  <c r="D1597" i="19"/>
  <c r="D1591" i="19"/>
  <c r="D1585" i="19"/>
  <c r="D1579" i="19"/>
  <c r="D1573" i="19"/>
  <c r="D1567" i="19"/>
  <c r="D1561" i="19"/>
  <c r="D1555" i="19"/>
  <c r="D1549" i="19"/>
  <c r="D1543" i="19"/>
  <c r="D1537" i="19"/>
  <c r="D1531" i="19"/>
  <c r="D1525" i="19"/>
  <c r="D1519" i="19"/>
  <c r="D1513" i="19"/>
  <c r="D1507" i="19"/>
  <c r="D1501" i="19"/>
  <c r="D1495" i="19"/>
  <c r="D1489" i="19"/>
  <c r="D1483" i="19"/>
  <c r="D1477" i="19"/>
  <c r="D1471" i="19"/>
  <c r="D1465" i="19"/>
  <c r="D1459" i="19"/>
  <c r="D1453" i="19"/>
  <c r="D1447" i="19"/>
  <c r="D1441" i="19"/>
  <c r="D1435" i="19"/>
  <c r="D1429" i="19"/>
  <c r="D1423" i="19"/>
  <c r="D1417" i="19"/>
  <c r="D1411" i="19"/>
  <c r="D1405" i="19"/>
  <c r="D1399" i="19"/>
  <c r="D1393" i="19"/>
  <c r="D1387" i="19"/>
  <c r="D1381" i="19"/>
  <c r="D1375" i="19"/>
  <c r="D1369" i="19"/>
  <c r="D1362" i="19"/>
  <c r="D1348" i="19"/>
  <c r="D1334" i="19"/>
  <c r="D1317" i="19"/>
  <c r="D1296" i="19"/>
  <c r="D1263" i="19"/>
  <c r="D1203" i="19"/>
  <c r="D1131" i="19"/>
  <c r="D1059" i="19"/>
  <c r="D987" i="19"/>
  <c r="D915" i="19"/>
  <c r="D397" i="19"/>
  <c r="D1704" i="19"/>
  <c r="D1632" i="19"/>
  <c r="D1572" i="19"/>
  <c r="D1506" i="19"/>
  <c r="D1452" i="19"/>
  <c r="D1380" i="19"/>
  <c r="D1293" i="19"/>
  <c r="D1361" i="19"/>
  <c r="D1347" i="19"/>
  <c r="D1332" i="19"/>
  <c r="D1314" i="19"/>
  <c r="D1295" i="19"/>
  <c r="D1260" i="19"/>
  <c r="D1197" i="19"/>
  <c r="D1125" i="19"/>
  <c r="D1053" i="19"/>
  <c r="D981" i="19"/>
  <c r="D909" i="19"/>
  <c r="D253" i="19"/>
  <c r="D883" i="19"/>
  <c r="D871" i="19"/>
  <c r="D816" i="19"/>
  <c r="D744" i="19"/>
  <c r="D672" i="19"/>
  <c r="D600" i="19"/>
  <c r="D528" i="19"/>
  <c r="D409" i="19"/>
  <c r="D265" i="19"/>
  <c r="D881" i="19"/>
  <c r="D867" i="19"/>
  <c r="D804" i="19"/>
  <c r="D732" i="19"/>
  <c r="D660" i="19"/>
  <c r="D588" i="19"/>
  <c r="D516" i="19"/>
  <c r="D385" i="19"/>
  <c r="D241" i="19"/>
  <c r="D1328" i="19"/>
  <c r="D1322" i="19"/>
  <c r="D1316" i="19"/>
  <c r="D1310" i="19"/>
  <c r="D1304" i="19"/>
  <c r="D1298" i="19"/>
  <c r="D1292" i="19"/>
  <c r="D1286" i="19"/>
  <c r="D1280" i="19"/>
  <c r="D1274" i="19"/>
  <c r="D1268" i="19"/>
  <c r="D1262" i="19"/>
  <c r="D1256" i="19"/>
  <c r="D1250" i="19"/>
  <c r="D1244" i="19"/>
  <c r="D1238" i="19"/>
  <c r="D1232" i="19"/>
  <c r="D1226" i="19"/>
  <c r="D1220" i="19"/>
  <c r="D1214" i="19"/>
  <c r="D1208" i="19"/>
  <c r="D1202" i="19"/>
  <c r="D1196" i="19"/>
  <c r="D1190" i="19"/>
  <c r="D1184" i="19"/>
  <c r="D1178" i="19"/>
  <c r="D1172" i="19"/>
  <c r="D1166" i="19"/>
  <c r="D1160" i="19"/>
  <c r="D1154" i="19"/>
  <c r="D1148" i="19"/>
  <c r="D1142" i="19"/>
  <c r="D1136" i="19"/>
  <c r="D1130" i="19"/>
  <c r="D1124" i="19"/>
  <c r="D1118" i="19"/>
  <c r="D1112" i="19"/>
  <c r="D1106" i="19"/>
  <c r="D1100" i="19"/>
  <c r="D1094" i="19"/>
  <c r="D1088" i="19"/>
  <c r="D1082" i="19"/>
  <c r="D1076" i="19"/>
  <c r="D1070" i="19"/>
  <c r="D1064" i="19"/>
  <c r="D1058" i="19"/>
  <c r="D1052" i="19"/>
  <c r="D1046" i="19"/>
  <c r="D1040" i="19"/>
  <c r="D1034" i="19"/>
  <c r="D1028" i="19"/>
  <c r="D1022" i="19"/>
  <c r="D1016" i="19"/>
  <c r="D1010" i="19"/>
  <c r="D1004" i="19"/>
  <c r="D998" i="19"/>
  <c r="D992" i="19"/>
  <c r="D986" i="19"/>
  <c r="D980" i="19"/>
  <c r="D974" i="19"/>
  <c r="D968" i="19"/>
  <c r="D962" i="19"/>
  <c r="D956" i="19"/>
  <c r="D950" i="19"/>
  <c r="D944" i="19"/>
  <c r="D938" i="19"/>
  <c r="D932" i="19"/>
  <c r="D926" i="19"/>
  <c r="D920" i="19"/>
  <c r="D914" i="19"/>
  <c r="D908" i="19"/>
  <c r="D902" i="19"/>
  <c r="D896" i="19"/>
  <c r="D890" i="19"/>
  <c r="D880" i="19"/>
  <c r="D866" i="19"/>
  <c r="D798" i="19"/>
  <c r="D726" i="19"/>
  <c r="D654" i="19"/>
  <c r="D582" i="19"/>
  <c r="D507" i="19"/>
  <c r="D373" i="19"/>
  <c r="D229" i="19"/>
  <c r="D879" i="19"/>
  <c r="D864" i="19"/>
  <c r="D792" i="19"/>
  <c r="D720" i="19"/>
  <c r="D648" i="19"/>
  <c r="D576" i="19"/>
  <c r="D497" i="19"/>
  <c r="D361" i="19"/>
  <c r="D217" i="19"/>
  <c r="D1357" i="19"/>
  <c r="D1351" i="19"/>
  <c r="D1345" i="19"/>
  <c r="D1339" i="19"/>
  <c r="D1333" i="19"/>
  <c r="D1327" i="19"/>
  <c r="D1321" i="19"/>
  <c r="D1315" i="19"/>
  <c r="D1309" i="19"/>
  <c r="D1303" i="19"/>
  <c r="D1297" i="19"/>
  <c r="D1291" i="19"/>
  <c r="D1285" i="19"/>
  <c r="D1279" i="19"/>
  <c r="D1273" i="19"/>
  <c r="D1267" i="19"/>
  <c r="D1261" i="19"/>
  <c r="D1255" i="19"/>
  <c r="D1249" i="19"/>
  <c r="D1243" i="19"/>
  <c r="D1237" i="19"/>
  <c r="D1231" i="19"/>
  <c r="D1225" i="19"/>
  <c r="D1219" i="19"/>
  <c r="D1213" i="19"/>
  <c r="D1207" i="19"/>
  <c r="D1201" i="19"/>
  <c r="D1195" i="19"/>
  <c r="D1189" i="19"/>
  <c r="D1183" i="19"/>
  <c r="D1177" i="19"/>
  <c r="D1171" i="19"/>
  <c r="D1165" i="19"/>
  <c r="D1159" i="19"/>
  <c r="D1153" i="19"/>
  <c r="D1147" i="19"/>
  <c r="D1141" i="19"/>
  <c r="D1135" i="19"/>
  <c r="D1129" i="19"/>
  <c r="D1123" i="19"/>
  <c r="D1117" i="19"/>
  <c r="D1111" i="19"/>
  <c r="D1105" i="19"/>
  <c r="D1099" i="19"/>
  <c r="D1093" i="19"/>
  <c r="D1087" i="19"/>
  <c r="D1081" i="19"/>
  <c r="D1075" i="19"/>
  <c r="D1069" i="19"/>
  <c r="D1063" i="19"/>
  <c r="D1057" i="19"/>
  <c r="D1051" i="19"/>
  <c r="D1045" i="19"/>
  <c r="D1039" i="19"/>
  <c r="D1033" i="19"/>
  <c r="D1027" i="19"/>
  <c r="D1021" i="19"/>
  <c r="D1015" i="19"/>
  <c r="D1009" i="19"/>
  <c r="D1003" i="19"/>
  <c r="D997" i="19"/>
  <c r="D991" i="19"/>
  <c r="D985" i="19"/>
  <c r="D979" i="19"/>
  <c r="D973" i="19"/>
  <c r="D967" i="19"/>
  <c r="D961" i="19"/>
  <c r="D955" i="19"/>
  <c r="D949" i="19"/>
  <c r="D943" i="19"/>
  <c r="D937" i="19"/>
  <c r="D931" i="19"/>
  <c r="D925" i="19"/>
  <c r="D919" i="19"/>
  <c r="D913" i="19"/>
  <c r="D907" i="19"/>
  <c r="D901" i="19"/>
  <c r="D895" i="19"/>
  <c r="D889" i="19"/>
  <c r="D878" i="19"/>
  <c r="D858" i="19"/>
  <c r="D786" i="19"/>
  <c r="D714" i="19"/>
  <c r="D642" i="19"/>
  <c r="D570" i="19"/>
  <c r="D487" i="19"/>
  <c r="D349" i="19"/>
  <c r="D205" i="19"/>
  <c r="D877" i="19"/>
  <c r="D852" i="19"/>
  <c r="D780" i="19"/>
  <c r="D708" i="19"/>
  <c r="D636" i="19"/>
  <c r="D564" i="19"/>
  <c r="D337" i="19"/>
  <c r="D193" i="19"/>
  <c r="D1248" i="19"/>
  <c r="D1242" i="19"/>
  <c r="D1236" i="19"/>
  <c r="D1230" i="19"/>
  <c r="D1224" i="19"/>
  <c r="D1218" i="19"/>
  <c r="D1212" i="19"/>
  <c r="D1206" i="19"/>
  <c r="D1200" i="19"/>
  <c r="D1194" i="19"/>
  <c r="D1188" i="19"/>
  <c r="D1182" i="19"/>
  <c r="D1176" i="19"/>
  <c r="D1170" i="19"/>
  <c r="D1164" i="19"/>
  <c r="D1158" i="19"/>
  <c r="D1152" i="19"/>
  <c r="D1146" i="19"/>
  <c r="D1140" i="19"/>
  <c r="D1134" i="19"/>
  <c r="D1128" i="19"/>
  <c r="D1122" i="19"/>
  <c r="D1116" i="19"/>
  <c r="D1110" i="19"/>
  <c r="D1104" i="19"/>
  <c r="D1098" i="19"/>
  <c r="D1092" i="19"/>
  <c r="D1086" i="19"/>
  <c r="D1080" i="19"/>
  <c r="D1074" i="19"/>
  <c r="D1068" i="19"/>
  <c r="D1062" i="19"/>
  <c r="D1056" i="19"/>
  <c r="D1050" i="19"/>
  <c r="D1044" i="19"/>
  <c r="D1038" i="19"/>
  <c r="D1032" i="19"/>
  <c r="D1026" i="19"/>
  <c r="D1020" i="19"/>
  <c r="D1014" i="19"/>
  <c r="D1008" i="19"/>
  <c r="D1002" i="19"/>
  <c r="D996" i="19"/>
  <c r="D990" i="19"/>
  <c r="D984" i="19"/>
  <c r="D978" i="19"/>
  <c r="D972" i="19"/>
  <c r="D966" i="19"/>
  <c r="D960" i="19"/>
  <c r="D954" i="19"/>
  <c r="D948" i="19"/>
  <c r="D942" i="19"/>
  <c r="D936" i="19"/>
  <c r="D930" i="19"/>
  <c r="D924" i="19"/>
  <c r="D918" i="19"/>
  <c r="D912" i="19"/>
  <c r="D906" i="19"/>
  <c r="D900" i="19"/>
  <c r="D894" i="19"/>
  <c r="D888" i="19"/>
  <c r="D876" i="19"/>
  <c r="D846" i="19"/>
  <c r="D774" i="19"/>
  <c r="D702" i="19"/>
  <c r="D630" i="19"/>
  <c r="D558" i="19"/>
  <c r="D466" i="19"/>
  <c r="D325" i="19"/>
  <c r="D181" i="19"/>
  <c r="D887" i="19"/>
  <c r="D875" i="19"/>
  <c r="D840" i="19"/>
  <c r="D768" i="19"/>
  <c r="D696" i="19"/>
  <c r="D624" i="19"/>
  <c r="D552" i="19"/>
  <c r="D456" i="19"/>
  <c r="D313" i="19"/>
  <c r="D169" i="19"/>
  <c r="D1289" i="19"/>
  <c r="D1283" i="19"/>
  <c r="D1277" i="19"/>
  <c r="D1271" i="19"/>
  <c r="D1265" i="19"/>
  <c r="D1259" i="19"/>
  <c r="D1253" i="19"/>
  <c r="D1247" i="19"/>
  <c r="D1241" i="19"/>
  <c r="D1235" i="19"/>
  <c r="D1229" i="19"/>
  <c r="D1223" i="19"/>
  <c r="D1217" i="19"/>
  <c r="D1211" i="19"/>
  <c r="D1205" i="19"/>
  <c r="D1199" i="19"/>
  <c r="D1193" i="19"/>
  <c r="D1187" i="19"/>
  <c r="D1181" i="19"/>
  <c r="D1175" i="19"/>
  <c r="D1169" i="19"/>
  <c r="D1163" i="19"/>
  <c r="D1157" i="19"/>
  <c r="D1151" i="19"/>
  <c r="D1145" i="19"/>
  <c r="D1139" i="19"/>
  <c r="D1133" i="19"/>
  <c r="D1127" i="19"/>
  <c r="D1121" i="19"/>
  <c r="D1115" i="19"/>
  <c r="D1109" i="19"/>
  <c r="D1103" i="19"/>
  <c r="D1097" i="19"/>
  <c r="D1091" i="19"/>
  <c r="D1085" i="19"/>
  <c r="D1079" i="19"/>
  <c r="D1073" i="19"/>
  <c r="D1067" i="19"/>
  <c r="D1061" i="19"/>
  <c r="D1055" i="19"/>
  <c r="D1049" i="19"/>
  <c r="D1043" i="19"/>
  <c r="D1037" i="19"/>
  <c r="D1031" i="19"/>
  <c r="D1025" i="19"/>
  <c r="D1019" i="19"/>
  <c r="D1013" i="19"/>
  <c r="D1007" i="19"/>
  <c r="D1001" i="19"/>
  <c r="D995" i="19"/>
  <c r="D989" i="19"/>
  <c r="D983" i="19"/>
  <c r="D977" i="19"/>
  <c r="D971" i="19"/>
  <c r="D965" i="19"/>
  <c r="D959" i="19"/>
  <c r="D953" i="19"/>
  <c r="D947" i="19"/>
  <c r="D941" i="19"/>
  <c r="D935" i="19"/>
  <c r="D929" i="19"/>
  <c r="D923" i="19"/>
  <c r="D917" i="19"/>
  <c r="D911" i="19"/>
  <c r="D905" i="19"/>
  <c r="D899" i="19"/>
  <c r="D893" i="19"/>
  <c r="D886" i="19"/>
  <c r="D874" i="19"/>
  <c r="D834" i="19"/>
  <c r="D762" i="19"/>
  <c r="D690" i="19"/>
  <c r="D618" i="19"/>
  <c r="D546" i="19"/>
  <c r="D445" i="19"/>
  <c r="D301" i="19"/>
  <c r="D157" i="19"/>
  <c r="D885" i="19"/>
  <c r="D873" i="19"/>
  <c r="D828" i="19"/>
  <c r="D756" i="19"/>
  <c r="D684" i="19"/>
  <c r="D612" i="19"/>
  <c r="D540" i="19"/>
  <c r="D433" i="19"/>
  <c r="D289" i="19"/>
  <c r="D1300" i="19"/>
  <c r="D1294" i="19"/>
  <c r="D1288" i="19"/>
  <c r="D1282" i="19"/>
  <c r="D1276" i="19"/>
  <c r="D1270" i="19"/>
  <c r="D1264" i="19"/>
  <c r="D1258" i="19"/>
  <c r="D1252" i="19"/>
  <c r="D1246" i="19"/>
  <c r="D1240" i="19"/>
  <c r="D1234" i="19"/>
  <c r="D1228" i="19"/>
  <c r="D1222" i="19"/>
  <c r="D1216" i="19"/>
  <c r="D1210" i="19"/>
  <c r="D1204" i="19"/>
  <c r="D1198" i="19"/>
  <c r="D1192" i="19"/>
  <c r="D1186" i="19"/>
  <c r="D1180" i="19"/>
  <c r="D1174" i="19"/>
  <c r="D1168" i="19"/>
  <c r="D1162" i="19"/>
  <c r="D1156" i="19"/>
  <c r="D1150" i="19"/>
  <c r="D1144" i="19"/>
  <c r="D1138" i="19"/>
  <c r="D1132" i="19"/>
  <c r="D1126" i="19"/>
  <c r="D1120" i="19"/>
  <c r="D1114" i="19"/>
  <c r="D1108" i="19"/>
  <c r="D1102" i="19"/>
  <c r="D1096" i="19"/>
  <c r="D1090" i="19"/>
  <c r="D1084" i="19"/>
  <c r="D1078" i="19"/>
  <c r="D1072" i="19"/>
  <c r="D1066" i="19"/>
  <c r="D1060" i="19"/>
  <c r="D1054" i="19"/>
  <c r="D1048" i="19"/>
  <c r="D1042" i="19"/>
  <c r="D1036" i="19"/>
  <c r="D1030" i="19"/>
  <c r="D1024" i="19"/>
  <c r="D1018" i="19"/>
  <c r="D1012" i="19"/>
  <c r="D1006" i="19"/>
  <c r="D1000" i="19"/>
  <c r="D994" i="19"/>
  <c r="D988" i="19"/>
  <c r="D982" i="19"/>
  <c r="D976" i="19"/>
  <c r="D970" i="19"/>
  <c r="D964" i="19"/>
  <c r="D958" i="19"/>
  <c r="D952" i="19"/>
  <c r="D946" i="19"/>
  <c r="D940" i="19"/>
  <c r="D934" i="19"/>
  <c r="D928" i="19"/>
  <c r="D922" i="19"/>
  <c r="D916" i="19"/>
  <c r="D910" i="19"/>
  <c r="D904" i="19"/>
  <c r="D898" i="19"/>
  <c r="D892" i="19"/>
  <c r="D884" i="19"/>
  <c r="D872" i="19"/>
  <c r="D822" i="19"/>
  <c r="D750" i="19"/>
  <c r="D678" i="19"/>
  <c r="D606" i="19"/>
  <c r="D534" i="19"/>
  <c r="D421" i="19"/>
  <c r="D277" i="19"/>
  <c r="D496" i="19"/>
  <c r="D486" i="19"/>
  <c r="D476" i="19"/>
  <c r="D465" i="19"/>
  <c r="D455" i="19"/>
  <c r="D444" i="19"/>
  <c r="D432" i="19"/>
  <c r="D420" i="19"/>
  <c r="D408" i="19"/>
  <c r="D396" i="19"/>
  <c r="D384" i="19"/>
  <c r="D372" i="19"/>
  <c r="D360" i="19"/>
  <c r="D348" i="19"/>
  <c r="D336" i="19"/>
  <c r="D324" i="19"/>
  <c r="D312" i="19"/>
  <c r="D300" i="19"/>
  <c r="D288" i="19"/>
  <c r="D276" i="19"/>
  <c r="D264" i="19"/>
  <c r="D252" i="19"/>
  <c r="D240" i="19"/>
  <c r="D228" i="19"/>
  <c r="D216" i="19"/>
  <c r="D204" i="19"/>
  <c r="D192" i="19"/>
  <c r="D180" i="19"/>
  <c r="D168" i="19"/>
  <c r="D156" i="19"/>
  <c r="D869" i="19"/>
  <c r="D863" i="19"/>
  <c r="D857" i="19"/>
  <c r="D851" i="19"/>
  <c r="D845" i="19"/>
  <c r="D839" i="19"/>
  <c r="D833" i="19"/>
  <c r="D827" i="19"/>
  <c r="D821" i="19"/>
  <c r="D815" i="19"/>
  <c r="D809" i="19"/>
  <c r="D803" i="19"/>
  <c r="D797" i="19"/>
  <c r="D791" i="19"/>
  <c r="D785" i="19"/>
  <c r="D779" i="19"/>
  <c r="D773" i="19"/>
  <c r="D767" i="19"/>
  <c r="D761" i="19"/>
  <c r="D755" i="19"/>
  <c r="D749" i="19"/>
  <c r="D743" i="19"/>
  <c r="D737" i="19"/>
  <c r="D731" i="19"/>
  <c r="D725" i="19"/>
  <c r="D719" i="19"/>
  <c r="D713" i="19"/>
  <c r="D707" i="19"/>
  <c r="D701" i="19"/>
  <c r="D695" i="19"/>
  <c r="D689" i="19"/>
  <c r="D683" i="19"/>
  <c r="D677" i="19"/>
  <c r="D671" i="19"/>
  <c r="D665" i="19"/>
  <c r="D659" i="19"/>
  <c r="D653" i="19"/>
  <c r="D647" i="19"/>
  <c r="D641" i="19"/>
  <c r="D635" i="19"/>
  <c r="D629" i="19"/>
  <c r="D623" i="19"/>
  <c r="D617" i="19"/>
  <c r="D611" i="19"/>
  <c r="D605" i="19"/>
  <c r="D599" i="19"/>
  <c r="D593" i="19"/>
  <c r="D587" i="19"/>
  <c r="D581" i="19"/>
  <c r="D575" i="19"/>
  <c r="D569" i="19"/>
  <c r="D563" i="19"/>
  <c r="D557" i="19"/>
  <c r="D551" i="19"/>
  <c r="D545" i="19"/>
  <c r="D539" i="19"/>
  <c r="D533" i="19"/>
  <c r="D527" i="19"/>
  <c r="D521" i="19"/>
  <c r="D515" i="19"/>
  <c r="D506" i="19"/>
  <c r="D495" i="19"/>
  <c r="D485" i="19"/>
  <c r="D475" i="19"/>
  <c r="D454" i="19"/>
  <c r="D443" i="19"/>
  <c r="D431" i="19"/>
  <c r="D419" i="19"/>
  <c r="D407" i="19"/>
  <c r="D395" i="19"/>
  <c r="D383" i="19"/>
  <c r="D371" i="19"/>
  <c r="D359" i="19"/>
  <c r="D347" i="19"/>
  <c r="D335" i="19"/>
  <c r="D323" i="19"/>
  <c r="D311" i="19"/>
  <c r="D299" i="19"/>
  <c r="D287" i="19"/>
  <c r="D275" i="19"/>
  <c r="D263" i="19"/>
  <c r="D251" i="19"/>
  <c r="D239" i="19"/>
  <c r="D227" i="19"/>
  <c r="D215" i="19"/>
  <c r="D203" i="19"/>
  <c r="D191" i="19"/>
  <c r="D179" i="19"/>
  <c r="D167" i="19"/>
  <c r="D155" i="19"/>
  <c r="D505" i="19"/>
  <c r="D484" i="19"/>
  <c r="D474" i="19"/>
  <c r="D464" i="19"/>
  <c r="D453" i="19"/>
  <c r="D442" i="19"/>
  <c r="D430" i="19"/>
  <c r="D418" i="19"/>
  <c r="D406" i="19"/>
  <c r="D394" i="19"/>
  <c r="D382" i="19"/>
  <c r="D370" i="19"/>
  <c r="D358" i="19"/>
  <c r="D346" i="19"/>
  <c r="D334" i="19"/>
  <c r="D322" i="19"/>
  <c r="D310" i="19"/>
  <c r="D298" i="19"/>
  <c r="D286" i="19"/>
  <c r="D274" i="19"/>
  <c r="D262" i="19"/>
  <c r="D250" i="19"/>
  <c r="D238" i="19"/>
  <c r="D226" i="19"/>
  <c r="D214" i="19"/>
  <c r="D202" i="19"/>
  <c r="D190" i="19"/>
  <c r="D178" i="19"/>
  <c r="D166" i="19"/>
  <c r="D153" i="19"/>
  <c r="D868" i="19"/>
  <c r="D862" i="19"/>
  <c r="D856" i="19"/>
  <c r="D850" i="19"/>
  <c r="D844" i="19"/>
  <c r="D838" i="19"/>
  <c r="D832" i="19"/>
  <c r="D826" i="19"/>
  <c r="D820" i="19"/>
  <c r="D814" i="19"/>
  <c r="D808" i="19"/>
  <c r="D802" i="19"/>
  <c r="D796" i="19"/>
  <c r="D790" i="19"/>
  <c r="D784" i="19"/>
  <c r="D778" i="19"/>
  <c r="D772" i="19"/>
  <c r="D766" i="19"/>
  <c r="D760" i="19"/>
  <c r="D754" i="19"/>
  <c r="D748" i="19"/>
  <c r="D742" i="19"/>
  <c r="D736" i="19"/>
  <c r="D730" i="19"/>
  <c r="D724" i="19"/>
  <c r="D718" i="19"/>
  <c r="D712" i="19"/>
  <c r="D706" i="19"/>
  <c r="D700" i="19"/>
  <c r="D694" i="19"/>
  <c r="D688" i="19"/>
  <c r="D682" i="19"/>
  <c r="D676" i="19"/>
  <c r="D670" i="19"/>
  <c r="D664" i="19"/>
  <c r="D658" i="19"/>
  <c r="D652" i="19"/>
  <c r="D646" i="19"/>
  <c r="D640" i="19"/>
  <c r="D634" i="19"/>
  <c r="D628" i="19"/>
  <c r="D622" i="19"/>
  <c r="D616" i="19"/>
  <c r="D610" i="19"/>
  <c r="D604" i="19"/>
  <c r="D598" i="19"/>
  <c r="D592" i="19"/>
  <c r="D586" i="19"/>
  <c r="D580" i="19"/>
  <c r="D574" i="19"/>
  <c r="D568" i="19"/>
  <c r="D562" i="19"/>
  <c r="D556" i="19"/>
  <c r="D550" i="19"/>
  <c r="D544" i="19"/>
  <c r="D538" i="19"/>
  <c r="D532" i="19"/>
  <c r="D526" i="19"/>
  <c r="D520" i="19"/>
  <c r="D514" i="19"/>
  <c r="D504" i="19"/>
  <c r="D494" i="19"/>
  <c r="D483" i="19"/>
  <c r="D473" i="19"/>
  <c r="D463" i="19"/>
  <c r="D441" i="19"/>
  <c r="D429" i="19"/>
  <c r="D417" i="19"/>
  <c r="D405" i="19"/>
  <c r="D393" i="19"/>
  <c r="D381" i="19"/>
  <c r="D369" i="19"/>
  <c r="D357" i="19"/>
  <c r="D345" i="19"/>
  <c r="D333" i="19"/>
  <c r="D321" i="19"/>
  <c r="D309" i="19"/>
  <c r="D297" i="19"/>
  <c r="D285" i="19"/>
  <c r="D273" i="19"/>
  <c r="D261" i="19"/>
  <c r="D249" i="19"/>
  <c r="D237" i="19"/>
  <c r="D225" i="19"/>
  <c r="D213" i="19"/>
  <c r="D201" i="19"/>
  <c r="D189" i="19"/>
  <c r="D177" i="19"/>
  <c r="D165" i="19"/>
  <c r="D513" i="19"/>
  <c r="D503" i="19"/>
  <c r="D493" i="19"/>
  <c r="D472" i="19"/>
  <c r="D462" i="19"/>
  <c r="D452" i="19"/>
  <c r="D440" i="19"/>
  <c r="D428" i="19"/>
  <c r="D416" i="19"/>
  <c r="D404" i="19"/>
  <c r="D392" i="19"/>
  <c r="D380" i="19"/>
  <c r="D368" i="19"/>
  <c r="D356" i="19"/>
  <c r="D344" i="19"/>
  <c r="D332" i="19"/>
  <c r="D320" i="19"/>
  <c r="D308" i="19"/>
  <c r="D296" i="19"/>
  <c r="D284" i="19"/>
  <c r="D272" i="19"/>
  <c r="D260" i="19"/>
  <c r="D248" i="19"/>
  <c r="D236" i="19"/>
  <c r="D224" i="19"/>
  <c r="D212" i="19"/>
  <c r="D200" i="19"/>
  <c r="D188" i="19"/>
  <c r="D176" i="19"/>
  <c r="D164" i="19"/>
  <c r="D861" i="19"/>
  <c r="D855" i="19"/>
  <c r="D849" i="19"/>
  <c r="D843" i="19"/>
  <c r="D837" i="19"/>
  <c r="D831" i="19"/>
  <c r="D825" i="19"/>
  <c r="D819" i="19"/>
  <c r="D813" i="19"/>
  <c r="D807" i="19"/>
  <c r="D801" i="19"/>
  <c r="D795" i="19"/>
  <c r="D789" i="19"/>
  <c r="D783" i="19"/>
  <c r="D777" i="19"/>
  <c r="D771" i="19"/>
  <c r="D765" i="19"/>
  <c r="D759" i="19"/>
  <c r="D753" i="19"/>
  <c r="D747" i="19"/>
  <c r="D741" i="19"/>
  <c r="D735" i="19"/>
  <c r="D729" i="19"/>
  <c r="D723" i="19"/>
  <c r="D717" i="19"/>
  <c r="D711" i="19"/>
  <c r="D705" i="19"/>
  <c r="D699" i="19"/>
  <c r="D693" i="19"/>
  <c r="D687" i="19"/>
  <c r="D681" i="19"/>
  <c r="D675" i="19"/>
  <c r="D669" i="19"/>
  <c r="D663" i="19"/>
  <c r="D657" i="19"/>
  <c r="D651" i="19"/>
  <c r="D645" i="19"/>
  <c r="D639" i="19"/>
  <c r="D633" i="19"/>
  <c r="D627" i="19"/>
  <c r="D621" i="19"/>
  <c r="D615" i="19"/>
  <c r="D609" i="19"/>
  <c r="D603" i="19"/>
  <c r="D597" i="19"/>
  <c r="D591" i="19"/>
  <c r="D585" i="19"/>
  <c r="D579" i="19"/>
  <c r="D573" i="19"/>
  <c r="D567" i="19"/>
  <c r="D561" i="19"/>
  <c r="D555" i="19"/>
  <c r="D549" i="19"/>
  <c r="D543" i="19"/>
  <c r="D537" i="19"/>
  <c r="D531" i="19"/>
  <c r="D525" i="19"/>
  <c r="D519" i="19"/>
  <c r="D502" i="19"/>
  <c r="D492" i="19"/>
  <c r="D482" i="19"/>
  <c r="D471" i="19"/>
  <c r="D461" i="19"/>
  <c r="D451" i="19"/>
  <c r="D439" i="19"/>
  <c r="D427" i="19"/>
  <c r="D415" i="19"/>
  <c r="D403" i="19"/>
  <c r="D391" i="19"/>
  <c r="D379" i="19"/>
  <c r="D367" i="19"/>
  <c r="D355" i="19"/>
  <c r="D343" i="19"/>
  <c r="D331" i="19"/>
  <c r="D319" i="19"/>
  <c r="D307" i="19"/>
  <c r="D295" i="19"/>
  <c r="D283" i="19"/>
  <c r="D271" i="19"/>
  <c r="D259" i="19"/>
  <c r="D247" i="19"/>
  <c r="D235" i="19"/>
  <c r="D223" i="19"/>
  <c r="D211" i="19"/>
  <c r="D199" i="19"/>
  <c r="D187" i="19"/>
  <c r="D175" i="19"/>
  <c r="D163" i="19"/>
  <c r="D512" i="19"/>
  <c r="D501" i="19"/>
  <c r="D491" i="19"/>
  <c r="D481" i="19"/>
  <c r="D460" i="19"/>
  <c r="D450" i="19"/>
  <c r="D438" i="19"/>
  <c r="D426" i="19"/>
  <c r="D414" i="19"/>
  <c r="D402" i="19"/>
  <c r="D390" i="19"/>
  <c r="D378" i="19"/>
  <c r="D366" i="19"/>
  <c r="D354" i="19"/>
  <c r="D342" i="19"/>
  <c r="D330" i="19"/>
  <c r="D318" i="19"/>
  <c r="D306" i="19"/>
  <c r="D294" i="19"/>
  <c r="D282" i="19"/>
  <c r="D270" i="19"/>
  <c r="D258" i="19"/>
  <c r="D246" i="19"/>
  <c r="D234" i="19"/>
  <c r="D222" i="19"/>
  <c r="D210" i="19"/>
  <c r="D198" i="19"/>
  <c r="D186" i="19"/>
  <c r="D174" i="19"/>
  <c r="D162" i="19"/>
  <c r="D860" i="19"/>
  <c r="D854" i="19"/>
  <c r="D848" i="19"/>
  <c r="D842" i="19"/>
  <c r="D836" i="19"/>
  <c r="D830" i="19"/>
  <c r="D824" i="19"/>
  <c r="D818" i="19"/>
  <c r="D812" i="19"/>
  <c r="D806" i="19"/>
  <c r="D800" i="19"/>
  <c r="D794" i="19"/>
  <c r="D788" i="19"/>
  <c r="D782" i="19"/>
  <c r="D776" i="19"/>
  <c r="D770" i="19"/>
  <c r="D764" i="19"/>
  <c r="D758" i="19"/>
  <c r="D752" i="19"/>
  <c r="D746" i="19"/>
  <c r="D740" i="19"/>
  <c r="D734" i="19"/>
  <c r="D728" i="19"/>
  <c r="D722" i="19"/>
  <c r="D716" i="19"/>
  <c r="D710" i="19"/>
  <c r="D704" i="19"/>
  <c r="D698" i="19"/>
  <c r="D692" i="19"/>
  <c r="D686" i="19"/>
  <c r="D680" i="19"/>
  <c r="D674" i="19"/>
  <c r="D668" i="19"/>
  <c r="D662" i="19"/>
  <c r="D656" i="19"/>
  <c r="D650" i="19"/>
  <c r="D644" i="19"/>
  <c r="D638" i="19"/>
  <c r="D632" i="19"/>
  <c r="D626" i="19"/>
  <c r="D620" i="19"/>
  <c r="D614" i="19"/>
  <c r="D608" i="19"/>
  <c r="D602" i="19"/>
  <c r="D596" i="19"/>
  <c r="D590" i="19"/>
  <c r="D584" i="19"/>
  <c r="D578" i="19"/>
  <c r="D572" i="19"/>
  <c r="D566" i="19"/>
  <c r="D560" i="19"/>
  <c r="D554" i="19"/>
  <c r="D548" i="19"/>
  <c r="D542" i="19"/>
  <c r="D536" i="19"/>
  <c r="D530" i="19"/>
  <c r="D524" i="19"/>
  <c r="D518" i="19"/>
  <c r="D511" i="19"/>
  <c r="D490" i="19"/>
  <c r="D480" i="19"/>
  <c r="D470" i="19"/>
  <c r="D459" i="19"/>
  <c r="D449" i="19"/>
  <c r="D437" i="19"/>
  <c r="D425" i="19"/>
  <c r="D413" i="19"/>
  <c r="D401" i="19"/>
  <c r="D389" i="19"/>
  <c r="D377" i="19"/>
  <c r="D365" i="19"/>
  <c r="D353" i="19"/>
  <c r="D341" i="19"/>
  <c r="D329" i="19"/>
  <c r="D317" i="19"/>
  <c r="D305" i="19"/>
  <c r="D293" i="19"/>
  <c r="D281" i="19"/>
  <c r="D269" i="19"/>
  <c r="D257" i="19"/>
  <c r="D245" i="19"/>
  <c r="D233" i="19"/>
  <c r="D221" i="19"/>
  <c r="D209" i="19"/>
  <c r="D197" i="19"/>
  <c r="D185" i="19"/>
  <c r="D173" i="19"/>
  <c r="D161" i="19"/>
  <c r="D510" i="19"/>
  <c r="D500" i="19"/>
  <c r="D489" i="19"/>
  <c r="D479" i="19"/>
  <c r="D469" i="19"/>
  <c r="D448" i="19"/>
  <c r="D436" i="19"/>
  <c r="D424" i="19"/>
  <c r="D412" i="19"/>
  <c r="D400" i="19"/>
  <c r="D388" i="19"/>
  <c r="D376" i="19"/>
  <c r="D364" i="19"/>
  <c r="D352" i="19"/>
  <c r="D340" i="19"/>
  <c r="D328" i="19"/>
  <c r="D316" i="19"/>
  <c r="D304" i="19"/>
  <c r="D292" i="19"/>
  <c r="D280" i="19"/>
  <c r="D268" i="19"/>
  <c r="D256" i="19"/>
  <c r="D244" i="19"/>
  <c r="D232" i="19"/>
  <c r="D220" i="19"/>
  <c r="D208" i="19"/>
  <c r="D196" i="19"/>
  <c r="D184" i="19"/>
  <c r="D172" i="19"/>
  <c r="D160" i="19"/>
  <c r="D865" i="19"/>
  <c r="D859" i="19"/>
  <c r="D853" i="19"/>
  <c r="D847" i="19"/>
  <c r="D841" i="19"/>
  <c r="D835" i="19"/>
  <c r="D829" i="19"/>
  <c r="D823" i="19"/>
  <c r="D817" i="19"/>
  <c r="D811" i="19"/>
  <c r="D805" i="19"/>
  <c r="D799" i="19"/>
  <c r="D793" i="19"/>
  <c r="D787" i="19"/>
  <c r="D781" i="19"/>
  <c r="D775" i="19"/>
  <c r="D769" i="19"/>
  <c r="D763" i="19"/>
  <c r="D757" i="19"/>
  <c r="D751" i="19"/>
  <c r="D745" i="19"/>
  <c r="D739" i="19"/>
  <c r="D733" i="19"/>
  <c r="D727" i="19"/>
  <c r="D721" i="19"/>
  <c r="D715" i="19"/>
  <c r="D709" i="19"/>
  <c r="D703" i="19"/>
  <c r="D697" i="19"/>
  <c r="D691" i="19"/>
  <c r="D685" i="19"/>
  <c r="D679" i="19"/>
  <c r="D673" i="19"/>
  <c r="D667" i="19"/>
  <c r="D661" i="19"/>
  <c r="D655" i="19"/>
  <c r="D649" i="19"/>
  <c r="D643" i="19"/>
  <c r="D637" i="19"/>
  <c r="D631" i="19"/>
  <c r="D625" i="19"/>
  <c r="D619" i="19"/>
  <c r="D613" i="19"/>
  <c r="D607" i="19"/>
  <c r="D601" i="19"/>
  <c r="D595" i="19"/>
  <c r="D589" i="19"/>
  <c r="D583" i="19"/>
  <c r="D577" i="19"/>
  <c r="D571" i="19"/>
  <c r="D565" i="19"/>
  <c r="D559" i="19"/>
  <c r="D553" i="19"/>
  <c r="D547" i="19"/>
  <c r="D541" i="19"/>
  <c r="D535" i="19"/>
  <c r="D529" i="19"/>
  <c r="D523" i="19"/>
  <c r="D517" i="19"/>
  <c r="D509" i="19"/>
  <c r="D499" i="19"/>
  <c r="D478" i="19"/>
  <c r="D468" i="19"/>
  <c r="D458" i="19"/>
  <c r="D447" i="19"/>
  <c r="D435" i="19"/>
  <c r="D423" i="19"/>
  <c r="D411" i="19"/>
  <c r="D399" i="19"/>
  <c r="D387" i="19"/>
  <c r="D375" i="19"/>
  <c r="D363" i="19"/>
  <c r="D351" i="19"/>
  <c r="D339" i="19"/>
  <c r="D327" i="19"/>
  <c r="D315" i="19"/>
  <c r="D303" i="19"/>
  <c r="D291" i="19"/>
  <c r="D279" i="19"/>
  <c r="D267" i="19"/>
  <c r="D255" i="19"/>
  <c r="D243" i="19"/>
  <c r="D231" i="19"/>
  <c r="D219" i="19"/>
  <c r="D207" i="19"/>
  <c r="D195" i="19"/>
  <c r="D183" i="19"/>
  <c r="D171" i="19"/>
  <c r="D159" i="19"/>
  <c r="D508" i="19"/>
  <c r="D498" i="19"/>
  <c r="D488" i="19"/>
  <c r="D477" i="19"/>
  <c r="D467" i="19"/>
  <c r="D457" i="19"/>
  <c r="D446" i="19"/>
  <c r="D434" i="19"/>
  <c r="D422" i="19"/>
  <c r="D410" i="19"/>
  <c r="D398" i="19"/>
  <c r="D386" i="19"/>
  <c r="D374" i="19"/>
  <c r="D362" i="19"/>
  <c r="D350" i="19"/>
  <c r="D338" i="19"/>
  <c r="D326" i="19"/>
  <c r="D314" i="19"/>
  <c r="D302" i="19"/>
  <c r="D290" i="19"/>
  <c r="D278" i="19"/>
  <c r="D266" i="19"/>
  <c r="D254" i="19"/>
  <c r="D242" i="19"/>
  <c r="D230" i="19"/>
  <c r="D218" i="19"/>
  <c r="D206" i="19"/>
  <c r="D194" i="19"/>
  <c r="D182" i="19"/>
  <c r="D170" i="19"/>
  <c r="D158" i="19"/>
  <c r="D154" i="19"/>
  <c r="D22" i="6"/>
  <c r="C22" i="6" s="1"/>
  <c r="B23" i="6"/>
  <c r="B24" i="6" l="1"/>
  <c r="F23" i="6"/>
  <c r="G23" i="6" s="1"/>
  <c r="E23" i="6"/>
  <c r="B25" i="6" l="1"/>
  <c r="F24" i="6"/>
  <c r="G24" i="6" s="1"/>
  <c r="E24" i="6"/>
  <c r="D23" i="6"/>
  <c r="C23" i="6" s="1"/>
  <c r="D24" i="6" l="1"/>
  <c r="C24" i="6" s="1"/>
  <c r="B26" i="6"/>
  <c r="F25" i="6"/>
  <c r="G25" i="6" s="1"/>
  <c r="E25" i="6"/>
  <c r="D25" i="6" l="1"/>
  <c r="C25" i="6" s="1"/>
  <c r="B27" i="6"/>
  <c r="F26" i="6"/>
  <c r="G26" i="6" s="1"/>
  <c r="E26" i="6"/>
  <c r="D26" i="6" l="1"/>
  <c r="C26" i="6" s="1"/>
  <c r="E27" i="6"/>
  <c r="B28" i="6"/>
  <c r="F27" i="6"/>
  <c r="G27" i="6" s="1"/>
  <c r="P1719" i="130"/>
  <c r="P1718" i="130"/>
  <c r="P1717" i="130"/>
  <c r="P1716" i="130"/>
  <c r="P1715" i="130"/>
  <c r="P1714" i="130"/>
  <c r="P1713" i="130"/>
  <c r="P1712" i="130"/>
  <c r="P1711" i="130"/>
  <c r="P1710" i="130"/>
  <c r="P1709" i="130"/>
  <c r="P1708" i="130"/>
  <c r="P1707" i="130"/>
  <c r="P1706" i="130"/>
  <c r="P1705" i="130"/>
  <c r="P1704" i="130"/>
  <c r="P1703" i="130"/>
  <c r="P1702" i="130"/>
  <c r="P1701" i="130"/>
  <c r="P1700" i="130"/>
  <c r="P1699" i="130"/>
  <c r="P1698" i="130"/>
  <c r="P1697" i="130"/>
  <c r="P1696" i="130"/>
  <c r="P1695" i="130"/>
  <c r="P1694" i="130"/>
  <c r="P1693" i="130"/>
  <c r="P1692" i="130"/>
  <c r="P1691" i="130"/>
  <c r="P1690" i="130"/>
  <c r="P1689" i="130"/>
  <c r="P1688" i="130"/>
  <c r="P1687" i="130"/>
  <c r="P1686" i="130"/>
  <c r="P1685" i="130"/>
  <c r="P1684" i="130"/>
  <c r="P1683" i="130"/>
  <c r="P1682" i="130"/>
  <c r="P1681" i="130"/>
  <c r="P1680" i="130"/>
  <c r="P1679" i="130"/>
  <c r="P1678" i="130"/>
  <c r="P1677" i="130"/>
  <c r="P1676" i="130"/>
  <c r="P1675" i="130"/>
  <c r="P1674" i="130"/>
  <c r="P1673" i="130"/>
  <c r="P1672" i="130"/>
  <c r="P1671" i="130"/>
  <c r="P1670" i="130"/>
  <c r="P1669" i="130"/>
  <c r="P1668" i="130"/>
  <c r="P1667" i="130"/>
  <c r="P1666" i="130"/>
  <c r="P1665" i="130"/>
  <c r="P1664" i="130"/>
  <c r="P1663" i="130"/>
  <c r="P1662" i="130"/>
  <c r="P1661" i="130"/>
  <c r="P1660" i="130"/>
  <c r="P1659" i="130"/>
  <c r="P1658" i="130"/>
  <c r="P1657" i="130"/>
  <c r="P1656" i="130"/>
  <c r="P1655" i="130"/>
  <c r="P1654" i="130"/>
  <c r="P1653" i="130"/>
  <c r="P1652" i="130"/>
  <c r="P1651" i="130"/>
  <c r="P1650" i="130"/>
  <c r="P1649" i="130"/>
  <c r="P1648" i="130"/>
  <c r="P1647" i="130"/>
  <c r="P1646" i="130"/>
  <c r="P1645" i="130"/>
  <c r="P1644" i="130"/>
  <c r="P1643" i="130"/>
  <c r="P1642" i="130"/>
  <c r="P1641" i="130"/>
  <c r="P1640" i="130"/>
  <c r="P1639" i="130"/>
  <c r="P1638" i="130"/>
  <c r="P1637" i="130"/>
  <c r="P1636" i="130"/>
  <c r="P1635" i="130"/>
  <c r="P1634" i="130"/>
  <c r="P1633" i="130"/>
  <c r="P1632" i="130"/>
  <c r="P1631" i="130"/>
  <c r="P1630" i="130"/>
  <c r="P1629" i="130"/>
  <c r="P1628" i="130"/>
  <c r="P1627" i="130"/>
  <c r="P1626" i="130"/>
  <c r="P1625" i="130"/>
  <c r="P1624" i="130"/>
  <c r="P1623" i="130"/>
  <c r="P1622" i="130"/>
  <c r="P1621" i="130"/>
  <c r="P1620" i="130"/>
  <c r="P1619" i="130"/>
  <c r="P1618" i="130"/>
  <c r="P1617" i="130"/>
  <c r="P1616" i="130"/>
  <c r="P1615" i="130"/>
  <c r="P1614" i="130"/>
  <c r="P1613" i="130"/>
  <c r="P1612" i="130"/>
  <c r="P1611" i="130"/>
  <c r="P1610" i="130"/>
  <c r="P1609" i="130"/>
  <c r="P1608" i="130"/>
  <c r="P1607" i="130"/>
  <c r="P1606" i="130"/>
  <c r="P1605" i="130"/>
  <c r="P1604" i="130"/>
  <c r="P1603" i="130"/>
  <c r="P1602" i="130"/>
  <c r="P1601" i="130"/>
  <c r="P1600" i="130"/>
  <c r="P1599" i="130"/>
  <c r="P1598" i="130"/>
  <c r="P1597" i="130"/>
  <c r="P1596" i="130"/>
  <c r="P1595" i="130"/>
  <c r="P1594" i="130"/>
  <c r="P1593" i="130"/>
  <c r="P1592" i="130"/>
  <c r="P1591" i="130"/>
  <c r="P1590" i="130"/>
  <c r="P1589" i="130"/>
  <c r="P1588" i="130"/>
  <c r="P1587" i="130"/>
  <c r="P1586" i="130"/>
  <c r="P1585" i="130"/>
  <c r="P1584" i="130"/>
  <c r="P1583" i="130"/>
  <c r="P1582" i="130"/>
  <c r="P1581" i="130"/>
  <c r="P1580" i="130"/>
  <c r="P1579" i="130"/>
  <c r="P1578" i="130"/>
  <c r="P1577" i="130"/>
  <c r="P1576" i="130"/>
  <c r="P1575" i="130"/>
  <c r="P1574" i="130"/>
  <c r="P1573" i="130"/>
  <c r="P1572" i="130"/>
  <c r="P1571" i="130"/>
  <c r="P1570" i="130"/>
  <c r="P1569" i="130"/>
  <c r="P1568" i="130"/>
  <c r="P1567" i="130"/>
  <c r="P1566" i="130"/>
  <c r="P1565" i="130"/>
  <c r="P1564" i="130"/>
  <c r="P1563" i="130"/>
  <c r="P1562" i="130"/>
  <c r="P1561" i="130"/>
  <c r="P1560" i="130"/>
  <c r="P1559" i="130"/>
  <c r="P1558" i="130"/>
  <c r="P1557" i="130"/>
  <c r="P1556" i="130"/>
  <c r="P1555" i="130"/>
  <c r="P1554" i="130"/>
  <c r="P1553" i="130"/>
  <c r="P1552" i="130"/>
  <c r="P1551" i="130"/>
  <c r="P1550" i="130"/>
  <c r="P1549" i="130"/>
  <c r="P1548" i="130"/>
  <c r="P1547" i="130"/>
  <c r="P1546" i="130"/>
  <c r="P1545" i="130"/>
  <c r="P1544" i="130"/>
  <c r="P1543" i="130"/>
  <c r="P1542" i="130"/>
  <c r="P1541" i="130"/>
  <c r="P1540" i="130"/>
  <c r="P1539" i="130"/>
  <c r="P1538" i="130"/>
  <c r="P1537" i="130"/>
  <c r="P1536" i="130"/>
  <c r="P1535" i="130"/>
  <c r="P1534" i="130"/>
  <c r="P1533" i="130"/>
  <c r="P1532" i="130"/>
  <c r="P1531" i="130"/>
  <c r="P1530" i="130"/>
  <c r="P1529" i="130"/>
  <c r="P1528" i="130"/>
  <c r="P1527" i="130"/>
  <c r="P1526" i="130"/>
  <c r="P1525" i="130"/>
  <c r="P1524" i="130"/>
  <c r="P1523" i="130"/>
  <c r="P1522" i="130"/>
  <c r="P1521" i="130"/>
  <c r="P1520" i="130"/>
  <c r="P1519" i="130"/>
  <c r="P1518" i="130"/>
  <c r="P1517" i="130"/>
  <c r="P1516" i="130"/>
  <c r="P1515" i="130"/>
  <c r="P1514" i="130"/>
  <c r="P1513" i="130"/>
  <c r="P1512" i="130"/>
  <c r="P1511" i="130"/>
  <c r="P1510" i="130"/>
  <c r="P1509" i="130"/>
  <c r="P1508" i="130"/>
  <c r="P1507" i="130"/>
  <c r="P1506" i="130"/>
  <c r="P1505" i="130"/>
  <c r="P1504" i="130"/>
  <c r="P1503" i="130"/>
  <c r="P1502" i="130"/>
  <c r="P1501" i="130"/>
  <c r="P1500" i="130"/>
  <c r="P1499" i="130"/>
  <c r="P1498" i="130"/>
  <c r="P1497" i="130"/>
  <c r="P1496" i="130"/>
  <c r="P1495" i="130"/>
  <c r="P1494" i="130"/>
  <c r="P1493" i="130"/>
  <c r="P1492" i="130"/>
  <c r="P1491" i="130"/>
  <c r="P1490" i="130"/>
  <c r="P1489" i="130"/>
  <c r="P1488" i="130"/>
  <c r="P1487" i="130"/>
  <c r="P1486" i="130"/>
  <c r="P1485" i="130"/>
  <c r="P1484" i="130"/>
  <c r="P1483" i="130"/>
  <c r="P1482" i="130"/>
  <c r="P1481" i="130"/>
  <c r="P1480" i="130"/>
  <c r="P1479" i="130"/>
  <c r="P1478" i="130"/>
  <c r="P1477" i="130"/>
  <c r="P1476" i="130"/>
  <c r="P1475" i="130"/>
  <c r="P1474" i="130"/>
  <c r="P1473" i="130"/>
  <c r="P1472" i="130"/>
  <c r="P1471" i="130"/>
  <c r="P1470" i="130"/>
  <c r="P1469" i="130"/>
  <c r="P1468" i="130"/>
  <c r="P1467" i="130"/>
  <c r="P1466" i="130"/>
  <c r="P1465" i="130"/>
  <c r="P1464" i="130"/>
  <c r="P1463" i="130"/>
  <c r="P1462" i="130"/>
  <c r="P1461" i="130"/>
  <c r="P1460" i="130"/>
  <c r="P1459" i="130"/>
  <c r="P1458" i="130"/>
  <c r="P1457" i="130"/>
  <c r="P1456" i="130"/>
  <c r="P1455" i="130"/>
  <c r="P1454" i="130"/>
  <c r="P1453" i="130"/>
  <c r="P1452" i="130"/>
  <c r="P1451" i="130"/>
  <c r="P1450" i="130"/>
  <c r="P1449" i="130"/>
  <c r="P1448" i="130"/>
  <c r="P1447" i="130"/>
  <c r="P1446" i="130"/>
  <c r="P1445" i="130"/>
  <c r="P1444" i="130"/>
  <c r="P1443" i="130"/>
  <c r="P1442" i="130"/>
  <c r="P1441" i="130"/>
  <c r="P1440" i="130"/>
  <c r="P1439" i="130"/>
  <c r="P1438" i="130"/>
  <c r="P1437" i="130"/>
  <c r="P1436" i="130"/>
  <c r="P1435" i="130"/>
  <c r="P1434" i="130"/>
  <c r="P1433" i="130"/>
  <c r="P1432" i="130"/>
  <c r="P1431" i="130"/>
  <c r="P1430" i="130"/>
  <c r="P1429" i="130"/>
  <c r="P1428" i="130"/>
  <c r="P1427" i="130"/>
  <c r="P1426" i="130"/>
  <c r="P1425" i="130"/>
  <c r="P1424" i="130"/>
  <c r="P1423" i="130"/>
  <c r="P1422" i="130"/>
  <c r="P1421" i="130"/>
  <c r="P1420" i="130"/>
  <c r="P1419" i="130"/>
  <c r="P1418" i="130"/>
  <c r="P1417" i="130"/>
  <c r="P1416" i="130"/>
  <c r="P1415" i="130"/>
  <c r="P1414" i="130"/>
  <c r="P1413" i="130"/>
  <c r="P1412" i="130"/>
  <c r="P1411" i="130"/>
  <c r="P1410" i="130"/>
  <c r="P1409" i="130"/>
  <c r="P1408" i="130"/>
  <c r="P1407" i="130"/>
  <c r="P1406" i="130"/>
  <c r="P1405" i="130"/>
  <c r="P1404" i="130"/>
  <c r="P1403" i="130"/>
  <c r="P1402" i="130"/>
  <c r="P1401" i="130"/>
  <c r="P1400" i="130"/>
  <c r="P1399" i="130"/>
  <c r="P1398" i="130"/>
  <c r="P1397" i="130"/>
  <c r="P1396" i="130"/>
  <c r="P1395" i="130"/>
  <c r="P1394" i="130"/>
  <c r="P1393" i="130"/>
  <c r="P1392" i="130"/>
  <c r="P1391" i="130"/>
  <c r="P1390" i="130"/>
  <c r="P1389" i="130"/>
  <c r="P1388" i="130"/>
  <c r="P1387" i="130"/>
  <c r="P1386" i="130"/>
  <c r="P1385" i="130"/>
  <c r="P1384" i="130"/>
  <c r="P1383" i="130"/>
  <c r="P1382" i="130"/>
  <c r="P1381" i="130"/>
  <c r="P1380" i="130"/>
  <c r="P1379" i="130"/>
  <c r="P1378" i="130"/>
  <c r="P1377" i="130"/>
  <c r="P1376" i="130"/>
  <c r="P1375" i="130"/>
  <c r="P1374" i="130"/>
  <c r="P1373" i="130"/>
  <c r="P1372" i="130"/>
  <c r="P1371" i="130"/>
  <c r="P1370" i="130"/>
  <c r="P1369" i="130"/>
  <c r="P1368" i="130"/>
  <c r="P1367" i="130"/>
  <c r="P1366" i="130"/>
  <c r="P1365" i="130"/>
  <c r="P1364" i="130"/>
  <c r="P1363" i="130"/>
  <c r="P1362" i="130"/>
  <c r="P1361" i="130"/>
  <c r="P1360" i="130"/>
  <c r="P1359" i="130"/>
  <c r="P1358" i="130"/>
  <c r="P1357" i="130"/>
  <c r="P1356" i="130"/>
  <c r="P1355" i="130"/>
  <c r="P1354" i="130"/>
  <c r="P1353" i="130"/>
  <c r="P1352" i="130"/>
  <c r="P1351" i="130"/>
  <c r="P1350" i="130"/>
  <c r="P1349" i="130"/>
  <c r="P1348" i="130"/>
  <c r="P1347" i="130"/>
  <c r="P1346" i="130"/>
  <c r="P1345" i="130"/>
  <c r="P1344" i="130"/>
  <c r="P1343" i="130"/>
  <c r="P1342" i="130"/>
  <c r="P1341" i="130"/>
  <c r="P1340" i="130"/>
  <c r="P1339" i="130"/>
  <c r="P1338" i="130"/>
  <c r="P1337" i="130"/>
  <c r="P1336" i="130"/>
  <c r="P1335" i="130"/>
  <c r="P1334" i="130"/>
  <c r="P1333" i="130"/>
  <c r="P1332" i="130"/>
  <c r="P1331" i="130"/>
  <c r="P1330" i="130"/>
  <c r="P1329" i="130"/>
  <c r="P1328" i="130"/>
  <c r="P1327" i="130"/>
  <c r="P1326" i="130"/>
  <c r="P1325" i="130"/>
  <c r="P1324" i="130"/>
  <c r="P1323" i="130"/>
  <c r="P1322" i="130"/>
  <c r="P1321" i="130"/>
  <c r="P1320" i="130"/>
  <c r="P1319" i="130"/>
  <c r="P1318" i="130"/>
  <c r="P1317" i="130"/>
  <c r="P1316" i="130"/>
  <c r="P1315" i="130"/>
  <c r="P1314" i="130"/>
  <c r="P1313" i="130"/>
  <c r="P1312" i="130"/>
  <c r="P1311" i="130"/>
  <c r="P1310" i="130"/>
  <c r="P1309" i="130"/>
  <c r="P1308" i="130"/>
  <c r="P1307" i="130"/>
  <c r="P1306" i="130"/>
  <c r="P1305" i="130"/>
  <c r="P1304" i="130"/>
  <c r="P1303" i="130"/>
  <c r="P1302" i="130"/>
  <c r="P1301" i="130"/>
  <c r="P1300" i="130"/>
  <c r="P1299" i="130"/>
  <c r="P1298" i="130"/>
  <c r="P1297" i="130"/>
  <c r="P1296" i="130"/>
  <c r="P1295" i="130"/>
  <c r="P1294" i="130"/>
  <c r="P1293" i="130"/>
  <c r="P1292" i="130"/>
  <c r="P1291" i="130"/>
  <c r="P1290" i="130"/>
  <c r="P1289" i="130"/>
  <c r="P1288" i="130"/>
  <c r="P1287" i="130"/>
  <c r="P1286" i="130"/>
  <c r="P1285" i="130"/>
  <c r="P1284" i="130"/>
  <c r="P1283" i="130"/>
  <c r="P1282" i="130"/>
  <c r="P1281" i="130"/>
  <c r="P1280" i="130"/>
  <c r="P1279" i="130"/>
  <c r="P1278" i="130"/>
  <c r="P1277" i="130"/>
  <c r="P1276" i="130"/>
  <c r="P1275" i="130"/>
  <c r="P1274" i="130"/>
  <c r="P1273" i="130"/>
  <c r="P1272" i="130"/>
  <c r="P1271" i="130"/>
  <c r="P1270" i="130"/>
  <c r="P1269" i="130"/>
  <c r="P1268" i="130"/>
  <c r="P1267" i="130"/>
  <c r="P1266" i="130"/>
  <c r="P1265" i="130"/>
  <c r="P1264" i="130"/>
  <c r="P1263" i="130"/>
  <c r="P1262" i="130"/>
  <c r="P1261" i="130"/>
  <c r="P1260" i="130"/>
  <c r="P1259" i="130"/>
  <c r="P1258" i="130"/>
  <c r="P1257" i="130"/>
  <c r="P1256" i="130"/>
  <c r="P1255" i="130"/>
  <c r="P1254" i="130"/>
  <c r="P1253" i="130"/>
  <c r="P1252" i="130"/>
  <c r="P1251" i="130"/>
  <c r="P1250" i="130"/>
  <c r="P1249" i="130"/>
  <c r="P1248" i="130"/>
  <c r="P1247" i="130"/>
  <c r="P1246" i="130"/>
  <c r="P1245" i="130"/>
  <c r="P1244" i="130"/>
  <c r="P1243" i="130"/>
  <c r="P1242" i="130"/>
  <c r="P1241" i="130"/>
  <c r="P1240" i="130"/>
  <c r="P1239" i="130"/>
  <c r="P1238" i="130"/>
  <c r="P1237" i="130"/>
  <c r="P1236" i="130"/>
  <c r="P1235" i="130"/>
  <c r="P1234" i="130"/>
  <c r="P1233" i="130"/>
  <c r="P1232" i="130"/>
  <c r="P1231" i="130"/>
  <c r="P1230" i="130"/>
  <c r="P1229" i="130"/>
  <c r="P1228" i="130"/>
  <c r="P1227" i="130"/>
  <c r="P1226" i="130"/>
  <c r="P1225" i="130"/>
  <c r="P1224" i="130"/>
  <c r="P1223" i="130"/>
  <c r="P1222" i="130"/>
  <c r="P1221" i="130"/>
  <c r="P1220" i="130"/>
  <c r="P1219" i="130"/>
  <c r="P1218" i="130"/>
  <c r="P1217" i="130"/>
  <c r="P1216" i="130"/>
  <c r="P1215" i="130"/>
  <c r="P1214" i="130"/>
  <c r="P1213" i="130"/>
  <c r="P1212" i="130"/>
  <c r="P1211" i="130"/>
  <c r="P1210" i="130"/>
  <c r="P1209" i="130"/>
  <c r="P1208" i="130"/>
  <c r="P1207" i="130"/>
  <c r="P1206" i="130"/>
  <c r="P1205" i="130"/>
  <c r="P1204" i="130"/>
  <c r="P1203" i="130"/>
  <c r="P1202" i="130"/>
  <c r="P1201" i="130"/>
  <c r="P1200" i="130"/>
  <c r="P1199" i="130"/>
  <c r="P1198" i="130"/>
  <c r="P1197" i="130"/>
  <c r="P1196" i="130"/>
  <c r="P1195" i="130"/>
  <c r="P1194" i="130"/>
  <c r="P1193" i="130"/>
  <c r="P1192" i="130"/>
  <c r="P1191" i="130"/>
  <c r="P1190" i="130"/>
  <c r="P1189" i="130"/>
  <c r="P1188" i="130"/>
  <c r="P1187" i="130"/>
  <c r="P1186" i="130"/>
  <c r="P1185" i="130"/>
  <c r="P1184" i="130"/>
  <c r="P1183" i="130"/>
  <c r="P1182" i="130"/>
  <c r="P1181" i="130"/>
  <c r="P1180" i="130"/>
  <c r="P1179" i="130"/>
  <c r="P1178" i="130"/>
  <c r="P1177" i="130"/>
  <c r="P1176" i="130"/>
  <c r="P1175" i="130"/>
  <c r="P1174" i="130"/>
  <c r="P1173" i="130"/>
  <c r="P1172" i="130"/>
  <c r="P1171" i="130"/>
  <c r="P1170" i="130"/>
  <c r="P1169" i="130"/>
  <c r="P1168" i="130"/>
  <c r="P1167" i="130"/>
  <c r="P1166" i="130"/>
  <c r="P1165" i="130"/>
  <c r="P1164" i="130"/>
  <c r="P1163" i="130"/>
  <c r="P1162" i="130"/>
  <c r="P1161" i="130"/>
  <c r="P1160" i="130"/>
  <c r="P1159" i="130"/>
  <c r="P1158" i="130"/>
  <c r="P1157" i="130"/>
  <c r="P1156" i="130"/>
  <c r="P1155" i="130"/>
  <c r="P1154" i="130"/>
  <c r="P1153" i="130"/>
  <c r="P1152" i="130"/>
  <c r="P1151" i="130"/>
  <c r="P1150" i="130"/>
  <c r="P1149" i="130"/>
  <c r="P1148" i="130"/>
  <c r="P1147" i="130"/>
  <c r="P1146" i="130"/>
  <c r="P1145" i="130"/>
  <c r="P1144" i="130"/>
  <c r="P1143" i="130"/>
  <c r="P1142" i="130"/>
  <c r="P1141" i="130"/>
  <c r="P1140" i="130"/>
  <c r="P1139" i="130"/>
  <c r="P1138" i="130"/>
  <c r="P1137" i="130"/>
  <c r="P1136" i="130"/>
  <c r="P1135" i="130"/>
  <c r="P1134" i="130"/>
  <c r="P1133" i="130"/>
  <c r="P1132" i="130"/>
  <c r="P1131" i="130"/>
  <c r="P1130" i="130"/>
  <c r="P1129" i="130"/>
  <c r="P1128" i="130"/>
  <c r="P1127" i="130"/>
  <c r="P1126" i="130"/>
  <c r="P1125" i="130"/>
  <c r="P1124" i="130"/>
  <c r="P1123" i="130"/>
  <c r="P1122" i="130"/>
  <c r="P1121" i="130"/>
  <c r="P1120" i="130"/>
  <c r="P1119" i="130"/>
  <c r="P1118" i="130"/>
  <c r="P1117" i="130"/>
  <c r="P1116" i="130"/>
  <c r="P1115" i="130"/>
  <c r="P1114" i="130"/>
  <c r="P1113" i="130"/>
  <c r="P1112" i="130"/>
  <c r="P1111" i="130"/>
  <c r="P1110" i="130"/>
  <c r="P1109" i="130"/>
  <c r="P1108" i="130"/>
  <c r="P1107" i="130"/>
  <c r="P1106" i="130"/>
  <c r="P1105" i="130"/>
  <c r="P1104" i="130"/>
  <c r="P1103" i="130"/>
  <c r="P1102" i="130"/>
  <c r="P1101" i="130"/>
  <c r="P1100" i="130"/>
  <c r="P1099" i="130"/>
  <c r="P1098" i="130"/>
  <c r="P1097" i="130"/>
  <c r="P1096" i="130"/>
  <c r="P1095" i="130"/>
  <c r="P1094" i="130"/>
  <c r="P1093" i="130"/>
  <c r="P1092" i="130"/>
  <c r="P1091" i="130"/>
  <c r="P1090" i="130"/>
  <c r="P1089" i="130"/>
  <c r="P1088" i="130"/>
  <c r="P1087" i="130"/>
  <c r="P1086" i="130"/>
  <c r="P1085" i="130"/>
  <c r="P1084" i="130"/>
  <c r="P1083" i="130"/>
  <c r="P1082" i="130"/>
  <c r="P1081" i="130"/>
  <c r="P1080" i="130"/>
  <c r="P1079" i="130"/>
  <c r="P1078" i="130"/>
  <c r="P1077" i="130"/>
  <c r="P1076" i="130"/>
  <c r="P1075" i="130"/>
  <c r="P1074" i="130"/>
  <c r="P1073" i="130"/>
  <c r="P1072" i="130"/>
  <c r="P1071" i="130"/>
  <c r="P1070" i="130"/>
  <c r="P1069" i="130"/>
  <c r="P1068" i="130"/>
  <c r="P1067" i="130"/>
  <c r="P1066" i="130"/>
  <c r="P1065" i="130"/>
  <c r="P1064" i="130"/>
  <c r="P1063" i="130"/>
  <c r="P1062" i="130"/>
  <c r="P1061" i="130"/>
  <c r="P1060" i="130"/>
  <c r="P1059" i="130"/>
  <c r="P1058" i="130"/>
  <c r="P1057" i="130"/>
  <c r="P1056" i="130"/>
  <c r="P1055" i="130"/>
  <c r="P1054" i="130"/>
  <c r="P1053" i="130"/>
  <c r="P1052" i="130"/>
  <c r="P1051" i="130"/>
  <c r="P1050" i="130"/>
  <c r="P1049" i="130"/>
  <c r="P1048" i="130"/>
  <c r="P1047" i="130"/>
  <c r="P1046" i="130"/>
  <c r="P1045" i="130"/>
  <c r="P1044" i="130"/>
  <c r="P1043" i="130"/>
  <c r="P1042" i="130"/>
  <c r="P1041" i="130"/>
  <c r="P1040" i="130"/>
  <c r="P1039" i="130"/>
  <c r="P1038" i="130"/>
  <c r="P1037" i="130"/>
  <c r="P1036" i="130"/>
  <c r="P1035" i="130"/>
  <c r="P1034" i="130"/>
  <c r="P1033" i="130"/>
  <c r="P1032" i="130"/>
  <c r="P1031" i="130"/>
  <c r="P1030" i="130"/>
  <c r="P1029" i="130"/>
  <c r="P1028" i="130"/>
  <c r="P1027" i="130"/>
  <c r="P1026" i="130"/>
  <c r="P1025" i="130"/>
  <c r="C2" i="130" s="1" a="1"/>
  <c r="C2" i="130" s="1"/>
  <c r="C10" i="130" s="1"/>
  <c r="P1024" i="130"/>
  <c r="P1023" i="130"/>
  <c r="P1022" i="130"/>
  <c r="P1021" i="130"/>
  <c r="P1020" i="130"/>
  <c r="P1019" i="130"/>
  <c r="P1018" i="130"/>
  <c r="P1017" i="130"/>
  <c r="P1016" i="130"/>
  <c r="P1015" i="130"/>
  <c r="P1014" i="130"/>
  <c r="P1013" i="130"/>
  <c r="P1012" i="130"/>
  <c r="P1011" i="130"/>
  <c r="P1010" i="130"/>
  <c r="P1009" i="130"/>
  <c r="P1008" i="130"/>
  <c r="P1007" i="130"/>
  <c r="P1006" i="130"/>
  <c r="P1005" i="130"/>
  <c r="P1004" i="130"/>
  <c r="P1003" i="130"/>
  <c r="P1002" i="130"/>
  <c r="P1001" i="130"/>
  <c r="P1000" i="130"/>
  <c r="P999" i="130"/>
  <c r="P998" i="130"/>
  <c r="P997" i="130"/>
  <c r="P996" i="130"/>
  <c r="P995" i="130"/>
  <c r="P994" i="130"/>
  <c r="P993" i="130"/>
  <c r="P992" i="130"/>
  <c r="P991" i="130"/>
  <c r="P990" i="130"/>
  <c r="P989" i="130"/>
  <c r="P988" i="130"/>
  <c r="P987" i="130"/>
  <c r="P986" i="130"/>
  <c r="P985" i="130"/>
  <c r="P984" i="130"/>
  <c r="P983" i="130"/>
  <c r="P982" i="130"/>
  <c r="P981" i="130"/>
  <c r="P980" i="130"/>
  <c r="P979" i="130"/>
  <c r="P978" i="130"/>
  <c r="P977" i="130"/>
  <c r="P976" i="130"/>
  <c r="P975" i="130"/>
  <c r="P974" i="130"/>
  <c r="P973" i="130"/>
  <c r="P972" i="130"/>
  <c r="P971" i="130"/>
  <c r="P970" i="130"/>
  <c r="P969" i="130"/>
  <c r="P968" i="130"/>
  <c r="P967" i="130"/>
  <c r="P966" i="130"/>
  <c r="P965" i="130"/>
  <c r="P964" i="130"/>
  <c r="P963" i="130"/>
  <c r="P962" i="130"/>
  <c r="P961" i="130"/>
  <c r="P960" i="130"/>
  <c r="P959" i="130"/>
  <c r="P958" i="130"/>
  <c r="P957" i="130"/>
  <c r="P956" i="130"/>
  <c r="P955" i="130"/>
  <c r="P954" i="130"/>
  <c r="P953" i="130"/>
  <c r="P952" i="130"/>
  <c r="P951" i="130"/>
  <c r="P950" i="130"/>
  <c r="P949" i="130"/>
  <c r="P948" i="130"/>
  <c r="P947" i="130"/>
  <c r="P946" i="130"/>
  <c r="P945" i="130"/>
  <c r="P944" i="130"/>
  <c r="P943" i="130"/>
  <c r="P942" i="130"/>
  <c r="P941" i="130"/>
  <c r="P940" i="130"/>
  <c r="P939" i="130"/>
  <c r="P938" i="130"/>
  <c r="P937" i="130"/>
  <c r="P936" i="130"/>
  <c r="P935" i="130"/>
  <c r="P934" i="130"/>
  <c r="P933" i="130"/>
  <c r="P932" i="130"/>
  <c r="P931" i="130"/>
  <c r="P930" i="130"/>
  <c r="P929" i="130"/>
  <c r="P928" i="130"/>
  <c r="P927" i="130"/>
  <c r="P926" i="130"/>
  <c r="P925" i="130"/>
  <c r="P924" i="130"/>
  <c r="P923" i="130"/>
  <c r="P922" i="130"/>
  <c r="P921" i="130"/>
  <c r="P920" i="130"/>
  <c r="P919" i="130"/>
  <c r="P918" i="130"/>
  <c r="P917" i="130"/>
  <c r="P916" i="130"/>
  <c r="P915" i="130"/>
  <c r="P914" i="130"/>
  <c r="P913" i="130"/>
  <c r="P912" i="130"/>
  <c r="P911" i="130"/>
  <c r="P910" i="130"/>
  <c r="P909" i="130"/>
  <c r="P908" i="130"/>
  <c r="P907" i="130"/>
  <c r="P906" i="130"/>
  <c r="P905" i="130"/>
  <c r="P904" i="130"/>
  <c r="P903" i="130"/>
  <c r="P902" i="130"/>
  <c r="P901" i="130"/>
  <c r="P900" i="130"/>
  <c r="P899" i="130"/>
  <c r="P898" i="130"/>
  <c r="P897" i="130"/>
  <c r="P896" i="130"/>
  <c r="P895" i="130"/>
  <c r="P894" i="130"/>
  <c r="P893" i="130"/>
  <c r="P892" i="130"/>
  <c r="P891" i="130"/>
  <c r="P890" i="130"/>
  <c r="P889" i="130"/>
  <c r="P888" i="130"/>
  <c r="P887" i="130"/>
  <c r="P886" i="130"/>
  <c r="P885" i="130"/>
  <c r="P884" i="130"/>
  <c r="P883" i="130"/>
  <c r="P882" i="130"/>
  <c r="P881" i="130"/>
  <c r="P880" i="130"/>
  <c r="P879" i="130"/>
  <c r="P878" i="130"/>
  <c r="P877" i="130"/>
  <c r="P876" i="130"/>
  <c r="P875" i="130"/>
  <c r="P874" i="130"/>
  <c r="P873" i="130"/>
  <c r="P872" i="130"/>
  <c r="P871" i="130"/>
  <c r="P870" i="130"/>
  <c r="P869" i="130"/>
  <c r="P868" i="130"/>
  <c r="P867" i="130"/>
  <c r="P866" i="130"/>
  <c r="P865" i="130"/>
  <c r="P864" i="130"/>
  <c r="P863" i="130"/>
  <c r="P862" i="130"/>
  <c r="P861" i="130"/>
  <c r="P860" i="130"/>
  <c r="P859" i="130"/>
  <c r="P858" i="130"/>
  <c r="P857" i="130"/>
  <c r="P856" i="130"/>
  <c r="P855" i="130"/>
  <c r="P854" i="130"/>
  <c r="P853" i="130"/>
  <c r="P852" i="130"/>
  <c r="P851" i="130"/>
  <c r="P850" i="130"/>
  <c r="P849" i="130"/>
  <c r="P848" i="130"/>
  <c r="P847" i="130"/>
  <c r="P846" i="130"/>
  <c r="P845" i="130"/>
  <c r="P844" i="130"/>
  <c r="P843" i="130"/>
  <c r="P842" i="130"/>
  <c r="P841" i="130"/>
  <c r="P840" i="130"/>
  <c r="P839" i="130"/>
  <c r="P838" i="130"/>
  <c r="P837" i="130"/>
  <c r="P836" i="130"/>
  <c r="P835" i="130"/>
  <c r="P834" i="130"/>
  <c r="P833" i="130"/>
  <c r="P832" i="130"/>
  <c r="P831" i="130"/>
  <c r="P830" i="130"/>
  <c r="P829" i="130"/>
  <c r="P828" i="130"/>
  <c r="P827" i="130"/>
  <c r="P826" i="130"/>
  <c r="P825" i="130"/>
  <c r="P824" i="130"/>
  <c r="P823" i="130"/>
  <c r="P822" i="130"/>
  <c r="P821" i="130"/>
  <c r="P820" i="130"/>
  <c r="P819" i="130"/>
  <c r="P818" i="130"/>
  <c r="P817" i="130"/>
  <c r="P816" i="130"/>
  <c r="P815" i="130"/>
  <c r="P814" i="130"/>
  <c r="P813" i="130"/>
  <c r="P812" i="130"/>
  <c r="P811" i="130"/>
  <c r="P810" i="130"/>
  <c r="P809" i="130"/>
  <c r="P808" i="130"/>
  <c r="P807" i="130"/>
  <c r="P806" i="130"/>
  <c r="P805" i="130"/>
  <c r="P804" i="130"/>
  <c r="P803" i="130"/>
  <c r="P802" i="130"/>
  <c r="P801" i="130"/>
  <c r="P800" i="130"/>
  <c r="P799" i="130"/>
  <c r="P798" i="130"/>
  <c r="P797" i="130"/>
  <c r="P796" i="130"/>
  <c r="P795" i="130"/>
  <c r="P794" i="130"/>
  <c r="P793" i="130"/>
  <c r="P792" i="130"/>
  <c r="P791" i="130"/>
  <c r="P790" i="130"/>
  <c r="P789" i="130"/>
  <c r="P788" i="130"/>
  <c r="P787" i="130"/>
  <c r="P786" i="130"/>
  <c r="P785" i="130"/>
  <c r="P784" i="130"/>
  <c r="P783" i="130"/>
  <c r="P782" i="130"/>
  <c r="P781" i="130"/>
  <c r="P780" i="130"/>
  <c r="P779" i="130"/>
  <c r="P778" i="130"/>
  <c r="P777" i="130"/>
  <c r="P776" i="130"/>
  <c r="P775" i="130"/>
  <c r="P774" i="130"/>
  <c r="P773" i="130"/>
  <c r="P772" i="130"/>
  <c r="P771" i="130"/>
  <c r="P770" i="130"/>
  <c r="P769" i="130"/>
  <c r="P768" i="130"/>
  <c r="P767" i="130"/>
  <c r="P766" i="130"/>
  <c r="P765" i="130"/>
  <c r="P764" i="130"/>
  <c r="P763" i="130"/>
  <c r="P762" i="130"/>
  <c r="P761" i="130"/>
  <c r="P760" i="130"/>
  <c r="P759" i="130"/>
  <c r="P758" i="130"/>
  <c r="P757" i="130"/>
  <c r="P756" i="130"/>
  <c r="P755" i="130"/>
  <c r="P754" i="130"/>
  <c r="P753" i="130"/>
  <c r="P752" i="130"/>
  <c r="P751" i="130"/>
  <c r="P750" i="130"/>
  <c r="P749" i="130"/>
  <c r="P748" i="130"/>
  <c r="P747" i="130"/>
  <c r="P746" i="130"/>
  <c r="P745" i="130"/>
  <c r="P744" i="130"/>
  <c r="P743" i="130"/>
  <c r="P742" i="130"/>
  <c r="P741" i="130"/>
  <c r="P740" i="130"/>
  <c r="P739" i="130"/>
  <c r="P738" i="130"/>
  <c r="P737" i="130"/>
  <c r="P736" i="130"/>
  <c r="P735" i="130"/>
  <c r="P734" i="130"/>
  <c r="P733" i="130"/>
  <c r="P732" i="130"/>
  <c r="P731" i="130"/>
  <c r="P730" i="130"/>
  <c r="P729" i="130"/>
  <c r="P728" i="130"/>
  <c r="P727" i="130"/>
  <c r="P726" i="130"/>
  <c r="P725" i="130"/>
  <c r="P724" i="130"/>
  <c r="P723" i="130"/>
  <c r="P722" i="130"/>
  <c r="P721" i="130"/>
  <c r="P720" i="130"/>
  <c r="P719" i="130"/>
  <c r="P718" i="130"/>
  <c r="P717" i="130"/>
  <c r="P716" i="130"/>
  <c r="P715" i="130"/>
  <c r="P714" i="130"/>
  <c r="P713" i="130"/>
  <c r="P712" i="130"/>
  <c r="P711" i="130"/>
  <c r="P710" i="130"/>
  <c r="P709" i="130"/>
  <c r="P708" i="130"/>
  <c r="P707" i="130"/>
  <c r="P706" i="130"/>
  <c r="P705" i="130"/>
  <c r="P704" i="130"/>
  <c r="P703" i="130"/>
  <c r="P702" i="130"/>
  <c r="P701" i="130"/>
  <c r="P700" i="130"/>
  <c r="P699" i="130"/>
  <c r="P698" i="130"/>
  <c r="P697" i="130"/>
  <c r="P696" i="130"/>
  <c r="P695" i="130"/>
  <c r="P694" i="130"/>
  <c r="P693" i="130"/>
  <c r="P692" i="130"/>
  <c r="P691" i="130"/>
  <c r="P690" i="130"/>
  <c r="P689" i="130"/>
  <c r="P688" i="130"/>
  <c r="P687" i="130"/>
  <c r="P686" i="130"/>
  <c r="P685" i="130"/>
  <c r="P684" i="130"/>
  <c r="P683" i="130"/>
  <c r="P682" i="130"/>
  <c r="P681" i="130"/>
  <c r="P680" i="130"/>
  <c r="P679" i="130"/>
  <c r="P678" i="130"/>
  <c r="P677" i="130"/>
  <c r="P676" i="130"/>
  <c r="P675" i="130"/>
  <c r="P674" i="130"/>
  <c r="P673" i="130"/>
  <c r="P672" i="130"/>
  <c r="P671" i="130"/>
  <c r="P670" i="130"/>
  <c r="P669" i="130"/>
  <c r="P668" i="130"/>
  <c r="P667" i="130"/>
  <c r="P666" i="130"/>
  <c r="P665" i="130"/>
  <c r="P664" i="130"/>
  <c r="P663" i="130"/>
  <c r="P662" i="130"/>
  <c r="P661" i="130"/>
  <c r="P660" i="130"/>
  <c r="P659" i="130"/>
  <c r="P658" i="130"/>
  <c r="P657" i="130"/>
  <c r="P656" i="130"/>
  <c r="P655" i="130"/>
  <c r="P654" i="130"/>
  <c r="P653" i="130"/>
  <c r="P652" i="130"/>
  <c r="P651" i="130"/>
  <c r="P650" i="130"/>
  <c r="P649" i="130"/>
  <c r="P648" i="130"/>
  <c r="P647" i="130"/>
  <c r="P646" i="130"/>
  <c r="P645" i="130"/>
  <c r="P644" i="130"/>
  <c r="P643" i="130"/>
  <c r="P642" i="130"/>
  <c r="P641" i="130"/>
  <c r="P640" i="130"/>
  <c r="P639" i="130"/>
  <c r="P638" i="130"/>
  <c r="P637" i="130"/>
  <c r="P636" i="130"/>
  <c r="P635" i="130"/>
  <c r="P634" i="130"/>
  <c r="P633" i="130"/>
  <c r="P632" i="130"/>
  <c r="P631" i="130"/>
  <c r="P630" i="130"/>
  <c r="P629" i="130"/>
  <c r="P628" i="130"/>
  <c r="P627" i="130"/>
  <c r="P626" i="130"/>
  <c r="P625" i="130"/>
  <c r="P624" i="130"/>
  <c r="P623" i="130"/>
  <c r="P622" i="130"/>
  <c r="P621" i="130"/>
  <c r="P620" i="130"/>
  <c r="P619" i="130"/>
  <c r="P618" i="130"/>
  <c r="P617" i="130"/>
  <c r="P616" i="130"/>
  <c r="P615" i="130"/>
  <c r="P614" i="130"/>
  <c r="P613" i="130"/>
  <c r="P612" i="130"/>
  <c r="P611" i="130"/>
  <c r="P610" i="130"/>
  <c r="P609" i="130"/>
  <c r="P608" i="130"/>
  <c r="P607" i="130"/>
  <c r="P606" i="130"/>
  <c r="P605" i="130"/>
  <c r="P604" i="130"/>
  <c r="P603" i="130"/>
  <c r="P602" i="130"/>
  <c r="P601" i="130"/>
  <c r="P600" i="130"/>
  <c r="P599" i="130"/>
  <c r="P598" i="130"/>
  <c r="P597" i="130"/>
  <c r="P596" i="130"/>
  <c r="P595" i="130"/>
  <c r="P594" i="130"/>
  <c r="P593" i="130"/>
  <c r="P592" i="130"/>
  <c r="P591" i="130"/>
  <c r="P590" i="130"/>
  <c r="P589" i="130"/>
  <c r="P588" i="130"/>
  <c r="P587" i="130"/>
  <c r="P586" i="130"/>
  <c r="P585" i="130"/>
  <c r="P584" i="130"/>
  <c r="P583" i="130"/>
  <c r="P582" i="130"/>
  <c r="P581" i="130"/>
  <c r="P580" i="130"/>
  <c r="P579" i="130"/>
  <c r="P578" i="130"/>
  <c r="P577" i="130"/>
  <c r="P576" i="130"/>
  <c r="P575" i="130"/>
  <c r="P574" i="130"/>
  <c r="P573" i="130"/>
  <c r="P572" i="130"/>
  <c r="P571" i="130"/>
  <c r="P570" i="130"/>
  <c r="P569" i="130"/>
  <c r="P568" i="130"/>
  <c r="P567" i="130"/>
  <c r="P566" i="130"/>
  <c r="P565" i="130"/>
  <c r="P564" i="130"/>
  <c r="P563" i="130"/>
  <c r="P562" i="130"/>
  <c r="P561" i="130"/>
  <c r="P560" i="130"/>
  <c r="P559" i="130"/>
  <c r="P558" i="130"/>
  <c r="P557" i="130"/>
  <c r="P556" i="130"/>
  <c r="P555" i="130"/>
  <c r="P554" i="130"/>
  <c r="P553" i="130"/>
  <c r="P552" i="130"/>
  <c r="P551" i="130"/>
  <c r="P550" i="130"/>
  <c r="P549" i="130"/>
  <c r="P548" i="130"/>
  <c r="P547" i="130"/>
  <c r="P546" i="130"/>
  <c r="P545" i="130"/>
  <c r="P544" i="130"/>
  <c r="P543" i="130"/>
  <c r="P542" i="130"/>
  <c r="P541" i="130"/>
  <c r="P540" i="130"/>
  <c r="P539" i="130"/>
  <c r="P538" i="130"/>
  <c r="P537" i="130"/>
  <c r="P536" i="130"/>
  <c r="P535" i="130"/>
  <c r="P534" i="130"/>
  <c r="P533" i="130"/>
  <c r="P532" i="130"/>
  <c r="P531" i="130"/>
  <c r="P530" i="130"/>
  <c r="P529" i="130"/>
  <c r="P528" i="130"/>
  <c r="P527" i="130"/>
  <c r="P526" i="130"/>
  <c r="P525" i="130"/>
  <c r="P524" i="130"/>
  <c r="P523" i="130"/>
  <c r="P522" i="130"/>
  <c r="P521" i="130"/>
  <c r="P520" i="130"/>
  <c r="P519" i="130"/>
  <c r="P518" i="130"/>
  <c r="P517" i="130"/>
  <c r="P516" i="130"/>
  <c r="P515" i="130"/>
  <c r="P514" i="130"/>
  <c r="P513" i="130"/>
  <c r="P512" i="130"/>
  <c r="P511" i="130"/>
  <c r="P510" i="130"/>
  <c r="P509" i="130"/>
  <c r="P508" i="130"/>
  <c r="P507" i="130"/>
  <c r="P506" i="130"/>
  <c r="P505" i="130"/>
  <c r="P504" i="130"/>
  <c r="P503" i="130"/>
  <c r="P502" i="130"/>
  <c r="P501" i="130"/>
  <c r="P500" i="130"/>
  <c r="P499" i="130"/>
  <c r="P498" i="130"/>
  <c r="P497" i="130"/>
  <c r="P496" i="130"/>
  <c r="P495" i="130"/>
  <c r="P494" i="130"/>
  <c r="P493" i="130"/>
  <c r="P492" i="130"/>
  <c r="P491" i="130"/>
  <c r="P490" i="130"/>
  <c r="P489" i="130"/>
  <c r="P488" i="130"/>
  <c r="P487" i="130"/>
  <c r="P486" i="130"/>
  <c r="P485" i="130"/>
  <c r="P484" i="130"/>
  <c r="P483" i="130"/>
  <c r="P482" i="130"/>
  <c r="P481" i="130"/>
  <c r="P480" i="130"/>
  <c r="P479" i="130"/>
  <c r="P478" i="130"/>
  <c r="P477" i="130"/>
  <c r="P476" i="130"/>
  <c r="P475" i="130"/>
  <c r="P474" i="130"/>
  <c r="P473" i="130"/>
  <c r="P472" i="130"/>
  <c r="P471" i="130"/>
  <c r="P470" i="130"/>
  <c r="P469" i="130"/>
  <c r="P468" i="130"/>
  <c r="P467" i="130"/>
  <c r="P466" i="130"/>
  <c r="P465" i="130"/>
  <c r="P464" i="130"/>
  <c r="P463" i="130"/>
  <c r="P462" i="130"/>
  <c r="P461" i="130"/>
  <c r="P460" i="130"/>
  <c r="P459" i="130"/>
  <c r="P458" i="130"/>
  <c r="P457" i="130"/>
  <c r="P456" i="130"/>
  <c r="P455" i="130"/>
  <c r="P454" i="130"/>
  <c r="P453" i="130"/>
  <c r="P452" i="130"/>
  <c r="P451" i="130"/>
  <c r="P450" i="130"/>
  <c r="P449" i="130"/>
  <c r="P448" i="130"/>
  <c r="P447" i="130"/>
  <c r="P446" i="130"/>
  <c r="P445" i="130"/>
  <c r="P444" i="130"/>
  <c r="P443" i="130"/>
  <c r="P442" i="130"/>
  <c r="P441" i="130"/>
  <c r="P440" i="130"/>
  <c r="P439" i="130"/>
  <c r="P438" i="130"/>
  <c r="P437" i="130"/>
  <c r="P436" i="130"/>
  <c r="P435" i="130"/>
  <c r="P434" i="130"/>
  <c r="P433" i="130"/>
  <c r="P432" i="130"/>
  <c r="P431" i="130"/>
  <c r="P430" i="130"/>
  <c r="P429" i="130"/>
  <c r="P428" i="130"/>
  <c r="P427" i="130"/>
  <c r="P426" i="130"/>
  <c r="P425" i="130"/>
  <c r="P424" i="130"/>
  <c r="P423" i="130"/>
  <c r="P422" i="130"/>
  <c r="P421" i="130"/>
  <c r="P420" i="130"/>
  <c r="P419" i="130"/>
  <c r="P418" i="130"/>
  <c r="P417" i="130"/>
  <c r="P416" i="130"/>
  <c r="P415" i="130"/>
  <c r="P414" i="130"/>
  <c r="P413" i="130"/>
  <c r="P412" i="130"/>
  <c r="P411" i="130"/>
  <c r="P410" i="130"/>
  <c r="P409" i="130"/>
  <c r="P408" i="130"/>
  <c r="P407" i="130"/>
  <c r="P406" i="130"/>
  <c r="P405" i="130"/>
  <c r="P404" i="130"/>
  <c r="P403" i="130"/>
  <c r="P402" i="130"/>
  <c r="P401" i="130"/>
  <c r="P400" i="130"/>
  <c r="P399" i="130"/>
  <c r="P398" i="130"/>
  <c r="P397" i="130"/>
  <c r="P396" i="130"/>
  <c r="P395" i="130"/>
  <c r="P394" i="130"/>
  <c r="P393" i="130"/>
  <c r="P392" i="130"/>
  <c r="P391" i="130"/>
  <c r="P390" i="130"/>
  <c r="P389" i="130"/>
  <c r="P388" i="130"/>
  <c r="P387" i="130"/>
  <c r="P386" i="130"/>
  <c r="P385" i="130"/>
  <c r="P384" i="130"/>
  <c r="P383" i="130"/>
  <c r="P382" i="130"/>
  <c r="P381" i="130"/>
  <c r="P380" i="130"/>
  <c r="P379" i="130"/>
  <c r="P378" i="130"/>
  <c r="P377" i="130"/>
  <c r="P376" i="130"/>
  <c r="P375" i="130"/>
  <c r="P374" i="130"/>
  <c r="P373" i="130"/>
  <c r="P372" i="130"/>
  <c r="P371" i="130"/>
  <c r="P370" i="130"/>
  <c r="P369" i="130"/>
  <c r="P368" i="130"/>
  <c r="P367" i="130"/>
  <c r="P366" i="130"/>
  <c r="P365" i="130"/>
  <c r="P364" i="130"/>
  <c r="P363" i="130"/>
  <c r="P362" i="130"/>
  <c r="P361" i="130"/>
  <c r="P360" i="130"/>
  <c r="P359" i="130"/>
  <c r="P358" i="130"/>
  <c r="P357" i="130"/>
  <c r="P356" i="130"/>
  <c r="P355" i="130"/>
  <c r="P354" i="130"/>
  <c r="P353" i="130"/>
  <c r="P352" i="130"/>
  <c r="P351" i="130"/>
  <c r="P350" i="130"/>
  <c r="P349" i="130"/>
  <c r="P348" i="130"/>
  <c r="P347" i="130"/>
  <c r="P346" i="130"/>
  <c r="P345" i="130"/>
  <c r="P344" i="130"/>
  <c r="P343" i="130"/>
  <c r="P342" i="130"/>
  <c r="P341" i="130"/>
  <c r="P340" i="130"/>
  <c r="P339" i="130"/>
  <c r="P338" i="130"/>
  <c r="P337" i="130"/>
  <c r="P336" i="130"/>
  <c r="P335" i="130"/>
  <c r="P334" i="130"/>
  <c r="P333" i="130"/>
  <c r="P332" i="130"/>
  <c r="P331" i="130"/>
  <c r="P330" i="130"/>
  <c r="P329" i="130"/>
  <c r="P328" i="130"/>
  <c r="P327" i="130"/>
  <c r="P326" i="130"/>
  <c r="P325" i="130"/>
  <c r="P324" i="130"/>
  <c r="P323" i="130"/>
  <c r="P322" i="130"/>
  <c r="P321" i="130"/>
  <c r="P320" i="130"/>
  <c r="P319" i="130"/>
  <c r="P318" i="130"/>
  <c r="P317" i="130"/>
  <c r="P316" i="130"/>
  <c r="P315" i="130"/>
  <c r="P314" i="130"/>
  <c r="P313" i="130"/>
  <c r="P312" i="130"/>
  <c r="P311" i="130"/>
  <c r="P310" i="130"/>
  <c r="P309" i="130"/>
  <c r="P308" i="130"/>
  <c r="P307" i="130"/>
  <c r="P306" i="130"/>
  <c r="P305" i="130"/>
  <c r="P304" i="130"/>
  <c r="P303" i="130"/>
  <c r="P302" i="130"/>
  <c r="P301" i="130"/>
  <c r="P300" i="130"/>
  <c r="P299" i="130"/>
  <c r="P298" i="130"/>
  <c r="P297" i="130"/>
  <c r="P296" i="130"/>
  <c r="P295" i="130"/>
  <c r="P294" i="130"/>
  <c r="P293" i="130"/>
  <c r="P292" i="130"/>
  <c r="P291" i="130"/>
  <c r="P290" i="130"/>
  <c r="P289" i="130"/>
  <c r="P288" i="130"/>
  <c r="P287" i="130"/>
  <c r="P286" i="130"/>
  <c r="P285" i="130"/>
  <c r="P284" i="130"/>
  <c r="P283" i="130"/>
  <c r="P282" i="130"/>
  <c r="P281" i="130"/>
  <c r="P280" i="130"/>
  <c r="P279" i="130"/>
  <c r="P278" i="130"/>
  <c r="P277" i="130"/>
  <c r="P276" i="130"/>
  <c r="P275" i="130"/>
  <c r="P274" i="130"/>
  <c r="P273" i="130"/>
  <c r="P272" i="130"/>
  <c r="P271" i="130"/>
  <c r="P270" i="130"/>
  <c r="P269" i="130"/>
  <c r="P268" i="130"/>
  <c r="P267" i="130"/>
  <c r="P266" i="130"/>
  <c r="P265" i="130"/>
  <c r="P264" i="130"/>
  <c r="P263" i="130"/>
  <c r="P262" i="130"/>
  <c r="P261" i="130"/>
  <c r="P260" i="130"/>
  <c r="P259" i="130"/>
  <c r="P258" i="130"/>
  <c r="P257" i="130"/>
  <c r="P256" i="130"/>
  <c r="P255" i="130"/>
  <c r="P254" i="130"/>
  <c r="P253" i="130"/>
  <c r="P252" i="130"/>
  <c r="P251" i="130"/>
  <c r="P250" i="130"/>
  <c r="P249" i="130"/>
  <c r="P248" i="130"/>
  <c r="P247" i="130"/>
  <c r="P246" i="130"/>
  <c r="P245" i="130"/>
  <c r="P244" i="130"/>
  <c r="P243" i="130"/>
  <c r="P242" i="130"/>
  <c r="P241" i="130"/>
  <c r="P240" i="130"/>
  <c r="P239" i="130"/>
  <c r="P238" i="130"/>
  <c r="P237" i="130"/>
  <c r="P236" i="130"/>
  <c r="P235" i="130"/>
  <c r="P234" i="130"/>
  <c r="P233" i="130"/>
  <c r="P232" i="130"/>
  <c r="P231" i="130"/>
  <c r="P230" i="130"/>
  <c r="P229" i="130"/>
  <c r="P228" i="130"/>
  <c r="P227" i="130"/>
  <c r="P226" i="130"/>
  <c r="P225" i="130"/>
  <c r="P224" i="130"/>
  <c r="P223" i="130"/>
  <c r="P222" i="130"/>
  <c r="P221" i="130"/>
  <c r="P220" i="130"/>
  <c r="P219" i="130"/>
  <c r="P218" i="130"/>
  <c r="P217" i="130"/>
  <c r="P216" i="130"/>
  <c r="P215" i="130"/>
  <c r="P214" i="130"/>
  <c r="P213" i="130"/>
  <c r="P212" i="130"/>
  <c r="P211" i="130"/>
  <c r="P210" i="130"/>
  <c r="P209" i="130"/>
  <c r="P208" i="130"/>
  <c r="P207" i="130"/>
  <c r="P206" i="130"/>
  <c r="P205" i="130"/>
  <c r="P204" i="130"/>
  <c r="P203" i="130"/>
  <c r="P202" i="130"/>
  <c r="P201" i="130"/>
  <c r="P200" i="130"/>
  <c r="P199" i="130"/>
  <c r="P198" i="130"/>
  <c r="P197" i="130"/>
  <c r="P196" i="130"/>
  <c r="P195" i="130"/>
  <c r="P194" i="130"/>
  <c r="P193" i="130"/>
  <c r="P192" i="130"/>
  <c r="P191" i="130"/>
  <c r="P190" i="130"/>
  <c r="P189" i="130"/>
  <c r="P188" i="130"/>
  <c r="P187" i="130"/>
  <c r="P186" i="130"/>
  <c r="P185" i="130"/>
  <c r="P184" i="130"/>
  <c r="P183" i="130"/>
  <c r="P182" i="130"/>
  <c r="P181" i="130"/>
  <c r="P180" i="130"/>
  <c r="P179" i="130"/>
  <c r="P178" i="130"/>
  <c r="P177" i="130"/>
  <c r="P176" i="130"/>
  <c r="P175" i="130"/>
  <c r="P174" i="130"/>
  <c r="P173" i="130"/>
  <c r="P172" i="130"/>
  <c r="P171" i="130"/>
  <c r="P170" i="130"/>
  <c r="P169" i="130"/>
  <c r="P168" i="130"/>
  <c r="P167" i="130"/>
  <c r="P166" i="130"/>
  <c r="P165" i="130"/>
  <c r="P164" i="130"/>
  <c r="P163" i="130"/>
  <c r="P162" i="130"/>
  <c r="P161" i="130"/>
  <c r="P160" i="130"/>
  <c r="P159" i="130"/>
  <c r="P158" i="130"/>
  <c r="P157" i="130"/>
  <c r="P156" i="130"/>
  <c r="P155" i="130"/>
  <c r="P154" i="130"/>
  <c r="P153" i="130"/>
  <c r="P152" i="130"/>
  <c r="P151" i="130"/>
  <c r="P150" i="130"/>
  <c r="P149" i="130"/>
  <c r="P148" i="130"/>
  <c r="P147" i="130"/>
  <c r="P146" i="130"/>
  <c r="P145" i="130"/>
  <c r="P144" i="130"/>
  <c r="P143" i="130"/>
  <c r="P142" i="130"/>
  <c r="P141" i="130"/>
  <c r="P140" i="130"/>
  <c r="P139" i="130"/>
  <c r="P138" i="130"/>
  <c r="P137" i="130"/>
  <c r="P136" i="130"/>
  <c r="P135" i="130"/>
  <c r="P134" i="130"/>
  <c r="P133" i="130"/>
  <c r="P132" i="130"/>
  <c r="P131" i="130"/>
  <c r="P130" i="130"/>
  <c r="P129" i="130"/>
  <c r="P128" i="130"/>
  <c r="P127" i="130"/>
  <c r="P126" i="130"/>
  <c r="P125" i="130"/>
  <c r="P124" i="130"/>
  <c r="P123" i="130"/>
  <c r="P122" i="130"/>
  <c r="P121" i="130"/>
  <c r="P120" i="130"/>
  <c r="P119" i="130"/>
  <c r="P118" i="130"/>
  <c r="P117" i="130"/>
  <c r="P116" i="130"/>
  <c r="P115" i="130"/>
  <c r="P114" i="130"/>
  <c r="P113" i="130"/>
  <c r="P112" i="130"/>
  <c r="P111" i="130"/>
  <c r="P110" i="130"/>
  <c r="P109" i="130"/>
  <c r="P108" i="130"/>
  <c r="P107" i="130"/>
  <c r="P106" i="130"/>
  <c r="P105" i="130"/>
  <c r="P104" i="130"/>
  <c r="P103" i="130"/>
  <c r="P102" i="130"/>
  <c r="P101" i="130"/>
  <c r="P100" i="130"/>
  <c r="P99" i="130"/>
  <c r="P98" i="130"/>
  <c r="P97" i="130"/>
  <c r="P96" i="130"/>
  <c r="P95" i="130"/>
  <c r="P94" i="130"/>
  <c r="P93" i="130"/>
  <c r="P92" i="130"/>
  <c r="P91" i="130"/>
  <c r="P90" i="130"/>
  <c r="P89" i="130"/>
  <c r="P88" i="130"/>
  <c r="P87" i="130"/>
  <c r="P86" i="130"/>
  <c r="P85" i="130"/>
  <c r="P84" i="130"/>
  <c r="P83" i="130"/>
  <c r="P82" i="130"/>
  <c r="P81" i="130"/>
  <c r="P80" i="130"/>
  <c r="P79" i="130"/>
  <c r="P78" i="130"/>
  <c r="P77" i="130"/>
  <c r="P76" i="130"/>
  <c r="P75" i="130"/>
  <c r="P74" i="130"/>
  <c r="P73" i="130"/>
  <c r="P72" i="130"/>
  <c r="P71" i="130"/>
  <c r="P70" i="130"/>
  <c r="P69" i="130"/>
  <c r="P68" i="130"/>
  <c r="P67" i="130"/>
  <c r="P66" i="130"/>
  <c r="P65" i="130"/>
  <c r="P64" i="130"/>
  <c r="P63" i="130"/>
  <c r="P62" i="130"/>
  <c r="P61" i="130"/>
  <c r="P60" i="130"/>
  <c r="P59" i="130"/>
  <c r="P58" i="130"/>
  <c r="P57" i="130"/>
  <c r="P56" i="130"/>
  <c r="P55" i="130"/>
  <c r="P54" i="130"/>
  <c r="P53" i="130"/>
  <c r="P52" i="130"/>
  <c r="P51" i="130"/>
  <c r="P50" i="130"/>
  <c r="P49" i="130"/>
  <c r="P48" i="130"/>
  <c r="P47" i="130"/>
  <c r="P46" i="130"/>
  <c r="P45" i="130"/>
  <c r="P44" i="130"/>
  <c r="P43" i="130"/>
  <c r="P42" i="130"/>
  <c r="P41" i="130"/>
  <c r="P40" i="130"/>
  <c r="P39" i="130"/>
  <c r="P38" i="130"/>
  <c r="P37" i="130"/>
  <c r="P36" i="130"/>
  <c r="P35" i="130"/>
  <c r="P34" i="130"/>
  <c r="P33" i="130"/>
  <c r="P32" i="130"/>
  <c r="P31" i="130"/>
  <c r="P30" i="130"/>
  <c r="P29" i="130"/>
  <c r="P28" i="130"/>
  <c r="P27" i="130"/>
  <c r="P26" i="130"/>
  <c r="P25" i="130"/>
  <c r="P24" i="130"/>
  <c r="P23" i="130"/>
  <c r="P22" i="130"/>
  <c r="P21" i="130"/>
  <c r="P20" i="130"/>
  <c r="P19" i="130"/>
  <c r="P18" i="130"/>
  <c r="P17" i="130"/>
  <c r="P16" i="130"/>
  <c r="P15" i="130"/>
  <c r="P14" i="130"/>
  <c r="P13" i="130"/>
  <c r="P12" i="130"/>
  <c r="P11" i="130"/>
  <c r="P10" i="130"/>
  <c r="P9" i="130"/>
  <c r="P8" i="130"/>
  <c r="P7" i="130"/>
  <c r="P6" i="130"/>
  <c r="P5" i="130"/>
  <c r="P4" i="130"/>
  <c r="P3" i="130"/>
  <c r="Q1719" i="6"/>
  <c r="Q1718" i="6"/>
  <c r="Q1717" i="6"/>
  <c r="Q1716" i="6"/>
  <c r="Q1715" i="6"/>
  <c r="Q1714" i="6"/>
  <c r="Q1713" i="6"/>
  <c r="Q1712" i="6"/>
  <c r="Q1711" i="6"/>
  <c r="Q1710" i="6"/>
  <c r="Q1709" i="6"/>
  <c r="Q1708" i="6"/>
  <c r="Q1707" i="6"/>
  <c r="Q1706" i="6"/>
  <c r="Q1705" i="6"/>
  <c r="Q1704" i="6"/>
  <c r="Q1703" i="6"/>
  <c r="Q1702" i="6"/>
  <c r="Q1701" i="6"/>
  <c r="Q1700" i="6"/>
  <c r="Q1699" i="6"/>
  <c r="Q1698" i="6"/>
  <c r="Q1697" i="6"/>
  <c r="Q1696" i="6"/>
  <c r="Q1695" i="6"/>
  <c r="Q1694" i="6"/>
  <c r="Q1693" i="6"/>
  <c r="Q1692" i="6"/>
  <c r="Q1691" i="6"/>
  <c r="Q1690" i="6"/>
  <c r="Q1689" i="6"/>
  <c r="Q1688" i="6"/>
  <c r="Q1687" i="6"/>
  <c r="Q1686" i="6"/>
  <c r="Q1685" i="6"/>
  <c r="Q1684" i="6"/>
  <c r="Q1683" i="6"/>
  <c r="Q1682" i="6"/>
  <c r="Q1681" i="6"/>
  <c r="Q1680" i="6"/>
  <c r="Q1679" i="6"/>
  <c r="Q1678" i="6"/>
  <c r="Q1677" i="6"/>
  <c r="Q1676" i="6"/>
  <c r="Q1675" i="6"/>
  <c r="Q1674" i="6"/>
  <c r="Q1673" i="6"/>
  <c r="Q1672" i="6"/>
  <c r="Q1671" i="6"/>
  <c r="Q1670" i="6"/>
  <c r="Q1669" i="6"/>
  <c r="Q1668" i="6"/>
  <c r="Q1667" i="6"/>
  <c r="Q1666" i="6"/>
  <c r="Q1665" i="6"/>
  <c r="Q1664" i="6"/>
  <c r="Q1663" i="6"/>
  <c r="Q1662" i="6"/>
  <c r="Q1661" i="6"/>
  <c r="Q1660" i="6"/>
  <c r="Q1659" i="6"/>
  <c r="Q1658" i="6"/>
  <c r="Q1657" i="6"/>
  <c r="Q1656" i="6"/>
  <c r="Q1655" i="6"/>
  <c r="Q1654" i="6"/>
  <c r="Q1653" i="6"/>
  <c r="Q1652" i="6"/>
  <c r="Q1651" i="6"/>
  <c r="Q1650" i="6"/>
  <c r="Q1649" i="6"/>
  <c r="Q1648" i="6"/>
  <c r="Q1647" i="6"/>
  <c r="Q1646" i="6"/>
  <c r="Q1645" i="6"/>
  <c r="Q1644" i="6"/>
  <c r="Q1643" i="6"/>
  <c r="Q1642" i="6"/>
  <c r="Q1641" i="6"/>
  <c r="Q1640" i="6"/>
  <c r="Q1639" i="6"/>
  <c r="Q1638" i="6"/>
  <c r="Q1637" i="6"/>
  <c r="Q1636" i="6"/>
  <c r="Q1635" i="6"/>
  <c r="Q1634" i="6"/>
  <c r="Q1633" i="6"/>
  <c r="Q1632" i="6"/>
  <c r="Q1631" i="6"/>
  <c r="Q1630" i="6"/>
  <c r="Q1629" i="6"/>
  <c r="Q1628" i="6"/>
  <c r="Q1627" i="6"/>
  <c r="Q1626" i="6"/>
  <c r="Q1625" i="6"/>
  <c r="Q1624" i="6"/>
  <c r="Q1623" i="6"/>
  <c r="Q1622" i="6"/>
  <c r="Q1621" i="6"/>
  <c r="Q1620" i="6"/>
  <c r="Q1619" i="6"/>
  <c r="Q1618" i="6"/>
  <c r="Q1617" i="6"/>
  <c r="Q1616" i="6"/>
  <c r="Q1615" i="6"/>
  <c r="Q1614" i="6"/>
  <c r="Q1613" i="6"/>
  <c r="Q1612" i="6"/>
  <c r="Q1611" i="6"/>
  <c r="Q1610" i="6"/>
  <c r="Q1609" i="6"/>
  <c r="Q1608" i="6"/>
  <c r="Q1607" i="6"/>
  <c r="Q1606" i="6"/>
  <c r="Q1605" i="6"/>
  <c r="Q1604" i="6"/>
  <c r="Q1603" i="6"/>
  <c r="Q1602" i="6"/>
  <c r="Q1601" i="6"/>
  <c r="Q1600" i="6"/>
  <c r="Q1599" i="6"/>
  <c r="Q1598" i="6"/>
  <c r="Q1597" i="6"/>
  <c r="Q1596" i="6"/>
  <c r="Q1595" i="6"/>
  <c r="Q1594" i="6"/>
  <c r="Q1593" i="6"/>
  <c r="Q1592" i="6"/>
  <c r="Q1591" i="6"/>
  <c r="Q1590" i="6"/>
  <c r="Q1589" i="6"/>
  <c r="Q1588" i="6"/>
  <c r="Q1587" i="6"/>
  <c r="Q1586" i="6"/>
  <c r="Q1585" i="6"/>
  <c r="Q1584" i="6"/>
  <c r="Q1583" i="6"/>
  <c r="Q1582" i="6"/>
  <c r="Q1581" i="6"/>
  <c r="Q1580" i="6"/>
  <c r="Q1579" i="6"/>
  <c r="Q1578" i="6"/>
  <c r="Q1577" i="6"/>
  <c r="Q1576" i="6"/>
  <c r="Q1575" i="6"/>
  <c r="Q1574" i="6"/>
  <c r="Q1573" i="6"/>
  <c r="Q1572" i="6"/>
  <c r="Q1571" i="6"/>
  <c r="Q1570" i="6"/>
  <c r="Q1569" i="6"/>
  <c r="Q1568" i="6"/>
  <c r="Q1567" i="6"/>
  <c r="Q1566" i="6"/>
  <c r="Q1565" i="6"/>
  <c r="Q1564" i="6"/>
  <c r="Q1563" i="6"/>
  <c r="Q1562" i="6"/>
  <c r="Q1561" i="6"/>
  <c r="Q1560" i="6"/>
  <c r="Q1559" i="6"/>
  <c r="Q1558" i="6"/>
  <c r="Q1557" i="6"/>
  <c r="Q1556" i="6"/>
  <c r="Q1555" i="6"/>
  <c r="Q1554" i="6"/>
  <c r="Q1553" i="6"/>
  <c r="Q1552" i="6"/>
  <c r="Q1551" i="6"/>
  <c r="Q1550" i="6"/>
  <c r="Q1549" i="6"/>
  <c r="Q1548" i="6"/>
  <c r="Q1547" i="6"/>
  <c r="Q1546" i="6"/>
  <c r="Q1545" i="6"/>
  <c r="Q1544" i="6"/>
  <c r="Q1543" i="6"/>
  <c r="Q1542" i="6"/>
  <c r="Q1541" i="6"/>
  <c r="Q1540" i="6"/>
  <c r="Q1539" i="6"/>
  <c r="Q1538" i="6"/>
  <c r="Q1537" i="6"/>
  <c r="Q1536" i="6"/>
  <c r="Q1535" i="6"/>
  <c r="Q1534" i="6"/>
  <c r="Q1533" i="6"/>
  <c r="Q1532" i="6"/>
  <c r="Q1531" i="6"/>
  <c r="Q1530" i="6"/>
  <c r="Q1529" i="6"/>
  <c r="Q1528" i="6"/>
  <c r="Q1527" i="6"/>
  <c r="Q1526" i="6"/>
  <c r="Q1525" i="6"/>
  <c r="Q1524" i="6"/>
  <c r="Q1523" i="6"/>
  <c r="Q1522" i="6"/>
  <c r="Q1521" i="6"/>
  <c r="Q1520" i="6"/>
  <c r="Q1519" i="6"/>
  <c r="Q1518" i="6"/>
  <c r="Q1517" i="6"/>
  <c r="Q1516" i="6"/>
  <c r="Q1515" i="6"/>
  <c r="Q1514" i="6"/>
  <c r="Q1513" i="6"/>
  <c r="Q1512" i="6"/>
  <c r="Q1511" i="6"/>
  <c r="Q1510" i="6"/>
  <c r="Q1509" i="6"/>
  <c r="Q1508" i="6"/>
  <c r="Q1507" i="6"/>
  <c r="Q1506" i="6"/>
  <c r="Q1505" i="6"/>
  <c r="Q1504" i="6"/>
  <c r="Q1503" i="6"/>
  <c r="Q1502" i="6"/>
  <c r="Q1501" i="6"/>
  <c r="Q1500" i="6"/>
  <c r="Q1499" i="6"/>
  <c r="Q1498" i="6"/>
  <c r="Q1497" i="6"/>
  <c r="Q1496" i="6"/>
  <c r="Q1495" i="6"/>
  <c r="Q1494" i="6"/>
  <c r="Q1493" i="6"/>
  <c r="Q1492" i="6"/>
  <c r="Q1491" i="6"/>
  <c r="Q1490" i="6"/>
  <c r="Q1489" i="6"/>
  <c r="Q1488" i="6"/>
  <c r="Q1487" i="6"/>
  <c r="Q1486" i="6"/>
  <c r="Q1485" i="6"/>
  <c r="Q1484" i="6"/>
  <c r="Q1483" i="6"/>
  <c r="Q1482" i="6"/>
  <c r="Q1481" i="6"/>
  <c r="Q1480" i="6"/>
  <c r="Q1479" i="6"/>
  <c r="Q1478" i="6"/>
  <c r="Q1477" i="6"/>
  <c r="Q1476" i="6"/>
  <c r="Q1475" i="6"/>
  <c r="Q1474" i="6"/>
  <c r="Q1473" i="6"/>
  <c r="Q1472" i="6"/>
  <c r="Q1471" i="6"/>
  <c r="Q1470" i="6"/>
  <c r="Q1469" i="6"/>
  <c r="Q1468" i="6"/>
  <c r="Q1467" i="6"/>
  <c r="Q1466" i="6"/>
  <c r="Q1465" i="6"/>
  <c r="Q1464" i="6"/>
  <c r="Q1463" i="6"/>
  <c r="Q1462" i="6"/>
  <c r="Q1461" i="6"/>
  <c r="Q1460" i="6"/>
  <c r="Q1459" i="6"/>
  <c r="Q1458" i="6"/>
  <c r="Q1457" i="6"/>
  <c r="Q1456" i="6"/>
  <c r="Q1455" i="6"/>
  <c r="Q1454" i="6"/>
  <c r="Q1453" i="6"/>
  <c r="Q1452" i="6"/>
  <c r="Q1451" i="6"/>
  <c r="Q1450" i="6"/>
  <c r="Q1449" i="6"/>
  <c r="Q1448" i="6"/>
  <c r="Q1447" i="6"/>
  <c r="Q1446" i="6"/>
  <c r="Q1445" i="6"/>
  <c r="Q1444" i="6"/>
  <c r="Q1443" i="6"/>
  <c r="Q1442" i="6"/>
  <c r="Q1441" i="6"/>
  <c r="Q1440" i="6"/>
  <c r="Q1439" i="6"/>
  <c r="Q1438" i="6"/>
  <c r="Q1437" i="6"/>
  <c r="Q1436" i="6"/>
  <c r="Q1435" i="6"/>
  <c r="Q1434" i="6"/>
  <c r="Q1433" i="6"/>
  <c r="Q1432" i="6"/>
  <c r="Q1431" i="6"/>
  <c r="Q1430" i="6"/>
  <c r="Q1429" i="6"/>
  <c r="Q1428" i="6"/>
  <c r="Q1427" i="6"/>
  <c r="Q1426" i="6"/>
  <c r="Q1425" i="6"/>
  <c r="Q1424" i="6"/>
  <c r="Q1423" i="6"/>
  <c r="Q1422" i="6"/>
  <c r="Q1421" i="6"/>
  <c r="Q1420" i="6"/>
  <c r="Q1419" i="6"/>
  <c r="Q1418" i="6"/>
  <c r="Q1417" i="6"/>
  <c r="Q1416" i="6"/>
  <c r="Q1415" i="6"/>
  <c r="Q1414" i="6"/>
  <c r="Q1413" i="6"/>
  <c r="Q1412" i="6"/>
  <c r="Q1411" i="6"/>
  <c r="Q1410" i="6"/>
  <c r="Q1409" i="6"/>
  <c r="Q1408" i="6"/>
  <c r="Q1407" i="6"/>
  <c r="Q1406" i="6"/>
  <c r="Q1405" i="6"/>
  <c r="Q1404" i="6"/>
  <c r="Q1403" i="6"/>
  <c r="Q1402" i="6"/>
  <c r="Q1401" i="6"/>
  <c r="Q1400" i="6"/>
  <c r="Q1399" i="6"/>
  <c r="Q1398" i="6"/>
  <c r="Q1397" i="6"/>
  <c r="Q1396" i="6"/>
  <c r="Q1395" i="6"/>
  <c r="Q1394" i="6"/>
  <c r="Q1393" i="6"/>
  <c r="Q1392" i="6"/>
  <c r="Q1391" i="6"/>
  <c r="Q1390" i="6"/>
  <c r="Q1389" i="6"/>
  <c r="Q1388" i="6"/>
  <c r="Q1387" i="6"/>
  <c r="Q1386" i="6"/>
  <c r="Q1385" i="6"/>
  <c r="Q1384" i="6"/>
  <c r="Q1383" i="6"/>
  <c r="Q1382" i="6"/>
  <c r="Q1381" i="6"/>
  <c r="Q1380" i="6"/>
  <c r="Q1379" i="6"/>
  <c r="Q1378" i="6"/>
  <c r="Q1377" i="6"/>
  <c r="Q1376" i="6"/>
  <c r="Q1375" i="6"/>
  <c r="Q1374" i="6"/>
  <c r="Q1373" i="6"/>
  <c r="Q1372" i="6"/>
  <c r="Q1371" i="6"/>
  <c r="Q1370" i="6"/>
  <c r="Q1369" i="6"/>
  <c r="Q1368" i="6"/>
  <c r="Q1367" i="6"/>
  <c r="Q1366" i="6"/>
  <c r="Q1365" i="6"/>
  <c r="Q1364" i="6"/>
  <c r="Q1363" i="6"/>
  <c r="Q1362" i="6"/>
  <c r="Q1361" i="6"/>
  <c r="Q1360" i="6"/>
  <c r="Q1359" i="6"/>
  <c r="Q1358" i="6"/>
  <c r="Q1357" i="6"/>
  <c r="Q1356" i="6"/>
  <c r="Q1355" i="6"/>
  <c r="Q1354" i="6"/>
  <c r="Q1353" i="6"/>
  <c r="Q1352" i="6"/>
  <c r="Q1351" i="6"/>
  <c r="Q1350" i="6"/>
  <c r="Q1349" i="6"/>
  <c r="Q1348" i="6"/>
  <c r="Q1347" i="6"/>
  <c r="Q1346" i="6"/>
  <c r="Q1345" i="6"/>
  <c r="Q1344" i="6"/>
  <c r="Q1343" i="6"/>
  <c r="Q1342" i="6"/>
  <c r="Q1341" i="6"/>
  <c r="Q1340" i="6"/>
  <c r="Q1339" i="6"/>
  <c r="Q1338" i="6"/>
  <c r="Q1337" i="6"/>
  <c r="Q1336" i="6"/>
  <c r="Q1335" i="6"/>
  <c r="Q1334" i="6"/>
  <c r="Q1333" i="6"/>
  <c r="Q1332" i="6"/>
  <c r="Q1331" i="6"/>
  <c r="Q1330" i="6"/>
  <c r="Q1329" i="6"/>
  <c r="Q1328" i="6"/>
  <c r="Q1327" i="6"/>
  <c r="Q1326" i="6"/>
  <c r="Q1325" i="6"/>
  <c r="Q1324" i="6"/>
  <c r="Q1323" i="6"/>
  <c r="Q1322" i="6"/>
  <c r="Q1321" i="6"/>
  <c r="Q1320" i="6"/>
  <c r="Q1319" i="6"/>
  <c r="Q1318" i="6"/>
  <c r="Q1317" i="6"/>
  <c r="Q1316" i="6"/>
  <c r="Q1315" i="6"/>
  <c r="Q1314" i="6"/>
  <c r="Q1313" i="6"/>
  <c r="Q1312" i="6"/>
  <c r="Q1311" i="6"/>
  <c r="Q1310" i="6"/>
  <c r="Q1309" i="6"/>
  <c r="Q1308" i="6"/>
  <c r="Q1307" i="6"/>
  <c r="Q1306" i="6"/>
  <c r="Q1305" i="6"/>
  <c r="Q1304" i="6"/>
  <c r="Q1303" i="6"/>
  <c r="Q1302" i="6"/>
  <c r="Q1301" i="6"/>
  <c r="Q1300" i="6"/>
  <c r="Q1299" i="6"/>
  <c r="Q1298" i="6"/>
  <c r="Q1297" i="6"/>
  <c r="Q1296" i="6"/>
  <c r="Q1295" i="6"/>
  <c r="Q1294" i="6"/>
  <c r="Q1293" i="6"/>
  <c r="Q1292" i="6"/>
  <c r="Q1291" i="6"/>
  <c r="Q1290" i="6"/>
  <c r="Q1289" i="6"/>
  <c r="Q1288" i="6"/>
  <c r="Q1287" i="6"/>
  <c r="Q1286" i="6"/>
  <c r="Q1285" i="6"/>
  <c r="Q1284" i="6"/>
  <c r="Q1283" i="6"/>
  <c r="Q1282" i="6"/>
  <c r="Q1281" i="6"/>
  <c r="Q1280" i="6"/>
  <c r="Q1279" i="6"/>
  <c r="Q1278" i="6"/>
  <c r="Q1277" i="6"/>
  <c r="Q1276" i="6"/>
  <c r="Q1275" i="6"/>
  <c r="Q1274" i="6"/>
  <c r="Q1273" i="6"/>
  <c r="Q1272" i="6"/>
  <c r="Q1271" i="6"/>
  <c r="Q1270" i="6"/>
  <c r="Q1269" i="6"/>
  <c r="Q1268" i="6"/>
  <c r="Q1267" i="6"/>
  <c r="Q1266" i="6"/>
  <c r="Q1265" i="6"/>
  <c r="Q1264" i="6"/>
  <c r="Q1263" i="6"/>
  <c r="Q1262" i="6"/>
  <c r="Q1261" i="6"/>
  <c r="Q1260" i="6"/>
  <c r="Q1259" i="6"/>
  <c r="Q1258" i="6"/>
  <c r="Q1257" i="6"/>
  <c r="Q1256" i="6"/>
  <c r="Q1255" i="6"/>
  <c r="Q1254" i="6"/>
  <c r="Q1253" i="6"/>
  <c r="Q1252" i="6"/>
  <c r="Q1251" i="6"/>
  <c r="Q1250" i="6"/>
  <c r="Q1249" i="6"/>
  <c r="Q1248" i="6"/>
  <c r="Q1247" i="6"/>
  <c r="Q1246" i="6"/>
  <c r="Q1245" i="6"/>
  <c r="Q1244" i="6"/>
  <c r="Q1243" i="6"/>
  <c r="Q1242" i="6"/>
  <c r="Q1241" i="6"/>
  <c r="Q1240" i="6"/>
  <c r="Q1239" i="6"/>
  <c r="Q1238" i="6"/>
  <c r="Q1237" i="6"/>
  <c r="Q1236" i="6"/>
  <c r="Q1235" i="6"/>
  <c r="Q1234" i="6"/>
  <c r="Q1233" i="6"/>
  <c r="Q1232" i="6"/>
  <c r="Q1231" i="6"/>
  <c r="Q1230" i="6"/>
  <c r="Q1229" i="6"/>
  <c r="Q1228" i="6"/>
  <c r="Q1227" i="6"/>
  <c r="Q1226" i="6"/>
  <c r="Q1225" i="6"/>
  <c r="Q1224" i="6"/>
  <c r="Q1223" i="6"/>
  <c r="Q1222" i="6"/>
  <c r="Q1221" i="6"/>
  <c r="Q1220" i="6"/>
  <c r="Q1219" i="6"/>
  <c r="Q1218" i="6"/>
  <c r="Q1217" i="6"/>
  <c r="Q1216" i="6"/>
  <c r="Q1215" i="6"/>
  <c r="Q1214" i="6"/>
  <c r="Q1213" i="6"/>
  <c r="Q1212" i="6"/>
  <c r="Q1211" i="6"/>
  <c r="Q1210" i="6"/>
  <c r="Q1209" i="6"/>
  <c r="Q1208" i="6"/>
  <c r="Q1207" i="6"/>
  <c r="Q1206" i="6"/>
  <c r="Q1205" i="6"/>
  <c r="Q1204" i="6"/>
  <c r="Q1203" i="6"/>
  <c r="Q1202" i="6"/>
  <c r="Q1201" i="6"/>
  <c r="Q1200" i="6"/>
  <c r="Q1199" i="6"/>
  <c r="Q1198" i="6"/>
  <c r="Q1197" i="6"/>
  <c r="Q1196" i="6"/>
  <c r="Q1195" i="6"/>
  <c r="Q1194" i="6"/>
  <c r="Q1193" i="6"/>
  <c r="Q1192" i="6"/>
  <c r="Q1191" i="6"/>
  <c r="Q1190" i="6"/>
  <c r="Q1189" i="6"/>
  <c r="Q1188" i="6"/>
  <c r="Q1187" i="6"/>
  <c r="Q1186" i="6"/>
  <c r="Q1185" i="6"/>
  <c r="Q1184" i="6"/>
  <c r="Q1183" i="6"/>
  <c r="Q1182" i="6"/>
  <c r="Q1181" i="6"/>
  <c r="Q1180" i="6"/>
  <c r="Q1179" i="6"/>
  <c r="Q1178" i="6"/>
  <c r="Q1177" i="6"/>
  <c r="Q1176" i="6"/>
  <c r="Q1175" i="6"/>
  <c r="Q1174" i="6"/>
  <c r="Q1173" i="6"/>
  <c r="Q1172" i="6"/>
  <c r="Q1171" i="6"/>
  <c r="Q1170" i="6"/>
  <c r="Q1169" i="6"/>
  <c r="Q1168" i="6"/>
  <c r="Q1167" i="6"/>
  <c r="Q1166" i="6"/>
  <c r="Q1165" i="6"/>
  <c r="Q1164" i="6"/>
  <c r="Q1163" i="6"/>
  <c r="Q1162" i="6"/>
  <c r="Q1161" i="6"/>
  <c r="Q1160" i="6"/>
  <c r="Q1159" i="6"/>
  <c r="Q1158" i="6"/>
  <c r="Q1157" i="6"/>
  <c r="Q1156" i="6"/>
  <c r="Q1155" i="6"/>
  <c r="Q1154" i="6"/>
  <c r="Q1153" i="6"/>
  <c r="Q1152" i="6"/>
  <c r="Q1151" i="6"/>
  <c r="Q1150" i="6"/>
  <c r="Q1149" i="6"/>
  <c r="Q1148" i="6"/>
  <c r="Q1147" i="6"/>
  <c r="Q1146" i="6"/>
  <c r="Q1145" i="6"/>
  <c r="Q1144" i="6"/>
  <c r="Q1143" i="6"/>
  <c r="Q1142" i="6"/>
  <c r="Q1141" i="6"/>
  <c r="Q1140" i="6"/>
  <c r="Q1139" i="6"/>
  <c r="Q1138" i="6"/>
  <c r="Q1137" i="6"/>
  <c r="Q1136" i="6"/>
  <c r="Q1135" i="6"/>
  <c r="Q1134" i="6"/>
  <c r="Q1133" i="6"/>
  <c r="Q1132" i="6"/>
  <c r="Q1131" i="6"/>
  <c r="Q1130" i="6"/>
  <c r="Q1129" i="6"/>
  <c r="Q1128" i="6"/>
  <c r="Q1127" i="6"/>
  <c r="Q1126" i="6"/>
  <c r="Q1125" i="6"/>
  <c r="Q1124" i="6"/>
  <c r="Q1123" i="6"/>
  <c r="Q1122" i="6"/>
  <c r="Q1121" i="6"/>
  <c r="Q1120" i="6"/>
  <c r="Q1119" i="6"/>
  <c r="Q1118" i="6"/>
  <c r="Q1117" i="6"/>
  <c r="Q1116" i="6"/>
  <c r="Q1115" i="6"/>
  <c r="Q1114" i="6"/>
  <c r="Q1113" i="6"/>
  <c r="Q1112" i="6"/>
  <c r="Q1111" i="6"/>
  <c r="Q1110" i="6"/>
  <c r="Q1109" i="6"/>
  <c r="Q1108" i="6"/>
  <c r="Q1107" i="6"/>
  <c r="Q1106" i="6"/>
  <c r="Q1105" i="6"/>
  <c r="Q1104" i="6"/>
  <c r="Q1103" i="6"/>
  <c r="Q1102" i="6"/>
  <c r="Q1101" i="6"/>
  <c r="Q1100" i="6"/>
  <c r="Q1099" i="6"/>
  <c r="Q1098" i="6"/>
  <c r="Q1097" i="6"/>
  <c r="Q1096" i="6"/>
  <c r="Q1095" i="6"/>
  <c r="Q1094" i="6"/>
  <c r="Q1093" i="6"/>
  <c r="Q1092" i="6"/>
  <c r="Q1091" i="6"/>
  <c r="Q1090" i="6"/>
  <c r="Q1089" i="6"/>
  <c r="Q1088" i="6"/>
  <c r="Q1087" i="6"/>
  <c r="Q1086" i="6"/>
  <c r="Q1085" i="6"/>
  <c r="Q1084" i="6"/>
  <c r="Q1083" i="6"/>
  <c r="Q1082" i="6"/>
  <c r="Q1081" i="6"/>
  <c r="Q1080" i="6"/>
  <c r="Q1079" i="6"/>
  <c r="Q1078" i="6"/>
  <c r="Q1077" i="6"/>
  <c r="Q1076" i="6"/>
  <c r="Q1075" i="6"/>
  <c r="Q1074" i="6"/>
  <c r="Q1073" i="6"/>
  <c r="Q1072" i="6"/>
  <c r="Q1071" i="6"/>
  <c r="Q1070" i="6"/>
  <c r="Q1069" i="6"/>
  <c r="Q1068" i="6"/>
  <c r="Q1067" i="6"/>
  <c r="Q1066" i="6"/>
  <c r="Q1065" i="6"/>
  <c r="Q1064" i="6"/>
  <c r="Q1063" i="6"/>
  <c r="Q1062" i="6"/>
  <c r="Q1061" i="6"/>
  <c r="Q1060" i="6"/>
  <c r="Q1059" i="6"/>
  <c r="Q1058" i="6"/>
  <c r="Q1057" i="6"/>
  <c r="Q1056" i="6"/>
  <c r="Q1055" i="6"/>
  <c r="Q1054" i="6"/>
  <c r="Q1053" i="6"/>
  <c r="Q1052" i="6"/>
  <c r="Q1051" i="6"/>
  <c r="Q1050" i="6"/>
  <c r="Q1049" i="6"/>
  <c r="Q1048" i="6"/>
  <c r="Q1047" i="6"/>
  <c r="Q1046" i="6"/>
  <c r="Q1045" i="6"/>
  <c r="Q1044" i="6"/>
  <c r="Q1043" i="6"/>
  <c r="Q1042" i="6"/>
  <c r="Q1041" i="6"/>
  <c r="Q1040" i="6"/>
  <c r="Q1039" i="6"/>
  <c r="Q1038" i="6"/>
  <c r="Q1037" i="6"/>
  <c r="Q1036" i="6"/>
  <c r="Q1035" i="6"/>
  <c r="Q1034" i="6"/>
  <c r="Q1033" i="6"/>
  <c r="Q1032" i="6"/>
  <c r="Q1031" i="6"/>
  <c r="Q1030" i="6"/>
  <c r="Q1029" i="6"/>
  <c r="Q1028" i="6"/>
  <c r="Q1027" i="6"/>
  <c r="Q1026" i="6"/>
  <c r="Q1025" i="6"/>
  <c r="Q1024" i="6"/>
  <c r="Q1023" i="6"/>
  <c r="Q1022" i="6"/>
  <c r="Q1021" i="6"/>
  <c r="Q1020" i="6"/>
  <c r="Q1019" i="6"/>
  <c r="Q1018" i="6"/>
  <c r="Q1017" i="6"/>
  <c r="Q1016" i="6"/>
  <c r="Q1015" i="6"/>
  <c r="Q1014" i="6"/>
  <c r="Q1013" i="6"/>
  <c r="Q1012" i="6"/>
  <c r="Q1011" i="6"/>
  <c r="Q1010" i="6"/>
  <c r="Q1009" i="6"/>
  <c r="Q1008" i="6"/>
  <c r="Q1007" i="6"/>
  <c r="Q1006" i="6"/>
  <c r="Q1005" i="6"/>
  <c r="Q1004" i="6"/>
  <c r="Q1003" i="6"/>
  <c r="Q1002" i="6"/>
  <c r="Q1001" i="6"/>
  <c r="Q1000" i="6"/>
  <c r="Q999" i="6"/>
  <c r="Q998" i="6"/>
  <c r="Q997" i="6"/>
  <c r="Q996" i="6"/>
  <c r="Q995" i="6"/>
  <c r="Q994" i="6"/>
  <c r="Q993" i="6"/>
  <c r="Q992" i="6"/>
  <c r="Q991" i="6"/>
  <c r="Q990" i="6"/>
  <c r="Q989" i="6"/>
  <c r="Q988" i="6"/>
  <c r="Q987" i="6"/>
  <c r="Q986" i="6"/>
  <c r="Q985" i="6"/>
  <c r="Q984" i="6"/>
  <c r="Q983" i="6"/>
  <c r="Q982" i="6"/>
  <c r="Q981" i="6"/>
  <c r="Q980" i="6"/>
  <c r="Q979" i="6"/>
  <c r="Q978" i="6"/>
  <c r="Q977" i="6"/>
  <c r="Q976" i="6"/>
  <c r="Q975" i="6"/>
  <c r="Q974" i="6"/>
  <c r="Q973" i="6"/>
  <c r="Q972" i="6"/>
  <c r="Q971" i="6"/>
  <c r="Q970" i="6"/>
  <c r="Q969" i="6"/>
  <c r="Q968" i="6"/>
  <c r="Q967" i="6"/>
  <c r="Q966" i="6"/>
  <c r="Q965" i="6"/>
  <c r="Q964" i="6"/>
  <c r="Q963" i="6"/>
  <c r="Q962" i="6"/>
  <c r="Q961" i="6"/>
  <c r="Q960" i="6"/>
  <c r="Q959" i="6"/>
  <c r="Q958" i="6"/>
  <c r="Q957" i="6"/>
  <c r="Q956" i="6"/>
  <c r="Q955" i="6"/>
  <c r="Q954" i="6"/>
  <c r="Q953" i="6"/>
  <c r="Q952" i="6"/>
  <c r="Q951" i="6"/>
  <c r="Q950" i="6"/>
  <c r="Q949" i="6"/>
  <c r="Q948" i="6"/>
  <c r="Q947" i="6"/>
  <c r="Q946" i="6"/>
  <c r="Q945" i="6"/>
  <c r="Q944" i="6"/>
  <c r="Q943" i="6"/>
  <c r="Q942" i="6"/>
  <c r="Q941" i="6"/>
  <c r="Q940" i="6"/>
  <c r="Q939" i="6"/>
  <c r="Q938" i="6"/>
  <c r="Q937" i="6"/>
  <c r="Q936" i="6"/>
  <c r="Q935" i="6"/>
  <c r="Q934" i="6"/>
  <c r="Q933" i="6"/>
  <c r="Q932" i="6"/>
  <c r="Q931" i="6"/>
  <c r="Q930" i="6"/>
  <c r="Q929" i="6"/>
  <c r="Q928" i="6"/>
  <c r="Q927" i="6"/>
  <c r="Q926" i="6"/>
  <c r="Q925" i="6"/>
  <c r="Q924" i="6"/>
  <c r="Q923" i="6"/>
  <c r="Q922" i="6"/>
  <c r="Q921" i="6"/>
  <c r="Q920" i="6"/>
  <c r="Q919" i="6"/>
  <c r="Q918" i="6"/>
  <c r="Q917" i="6"/>
  <c r="Q916" i="6"/>
  <c r="Q915" i="6"/>
  <c r="Q914" i="6"/>
  <c r="Q913" i="6"/>
  <c r="Q912" i="6"/>
  <c r="Q911" i="6"/>
  <c r="Q910" i="6"/>
  <c r="Q909" i="6"/>
  <c r="Q908" i="6"/>
  <c r="Q907" i="6"/>
  <c r="Q906" i="6"/>
  <c r="Q905" i="6"/>
  <c r="Q904" i="6"/>
  <c r="Q903" i="6"/>
  <c r="Q902" i="6"/>
  <c r="Q901" i="6"/>
  <c r="Q900" i="6"/>
  <c r="Q899" i="6"/>
  <c r="Q898" i="6"/>
  <c r="Q897" i="6"/>
  <c r="Q896" i="6"/>
  <c r="Q895" i="6"/>
  <c r="Q894" i="6"/>
  <c r="Q893" i="6"/>
  <c r="Q892" i="6"/>
  <c r="Q891" i="6"/>
  <c r="Q890" i="6"/>
  <c r="Q889" i="6"/>
  <c r="Q888" i="6"/>
  <c r="Q887" i="6"/>
  <c r="Q886" i="6"/>
  <c r="Q885" i="6"/>
  <c r="Q884" i="6"/>
  <c r="Q883" i="6"/>
  <c r="Q882" i="6"/>
  <c r="Q881" i="6"/>
  <c r="Q880" i="6"/>
  <c r="Q879" i="6"/>
  <c r="Q878" i="6"/>
  <c r="Q877" i="6"/>
  <c r="Q876" i="6"/>
  <c r="Q875" i="6"/>
  <c r="Q874" i="6"/>
  <c r="Q873" i="6"/>
  <c r="Q872" i="6"/>
  <c r="Q871" i="6"/>
  <c r="Q870" i="6"/>
  <c r="Q869" i="6"/>
  <c r="Q868" i="6"/>
  <c r="Q867" i="6"/>
  <c r="Q866" i="6"/>
  <c r="Q865" i="6"/>
  <c r="Q864" i="6"/>
  <c r="Q863" i="6"/>
  <c r="Q862" i="6"/>
  <c r="Q861" i="6"/>
  <c r="Q860" i="6"/>
  <c r="Q859" i="6"/>
  <c r="Q858" i="6"/>
  <c r="Q857" i="6"/>
  <c r="Q856" i="6"/>
  <c r="Q855" i="6"/>
  <c r="Q854" i="6"/>
  <c r="Q853" i="6"/>
  <c r="Q852" i="6"/>
  <c r="Q851" i="6"/>
  <c r="Q850" i="6"/>
  <c r="Q849" i="6"/>
  <c r="Q848" i="6"/>
  <c r="Q847" i="6"/>
  <c r="Q846" i="6"/>
  <c r="Q845" i="6"/>
  <c r="Q844" i="6"/>
  <c r="Q843" i="6"/>
  <c r="Q842" i="6"/>
  <c r="Q841" i="6"/>
  <c r="Q840" i="6"/>
  <c r="Q839" i="6"/>
  <c r="Q838" i="6"/>
  <c r="Q837" i="6"/>
  <c r="Q836" i="6"/>
  <c r="Q835" i="6"/>
  <c r="Q834" i="6"/>
  <c r="Q833" i="6"/>
  <c r="Q832" i="6"/>
  <c r="Q831" i="6"/>
  <c r="Q830" i="6"/>
  <c r="Q829" i="6"/>
  <c r="Q828" i="6"/>
  <c r="Q827" i="6"/>
  <c r="Q826" i="6"/>
  <c r="Q825" i="6"/>
  <c r="Q824" i="6"/>
  <c r="Q823" i="6"/>
  <c r="Q822" i="6"/>
  <c r="Q821" i="6"/>
  <c r="Q820" i="6"/>
  <c r="Q819" i="6"/>
  <c r="Q818" i="6"/>
  <c r="Q817" i="6"/>
  <c r="Q816" i="6"/>
  <c r="Q815" i="6"/>
  <c r="Q814" i="6"/>
  <c r="Q813" i="6"/>
  <c r="Q812" i="6"/>
  <c r="Q811" i="6"/>
  <c r="Q810" i="6"/>
  <c r="Q809" i="6"/>
  <c r="Q808" i="6"/>
  <c r="Q807" i="6"/>
  <c r="Q806" i="6"/>
  <c r="Q805" i="6"/>
  <c r="Q804" i="6"/>
  <c r="Q803" i="6"/>
  <c r="Q802" i="6"/>
  <c r="Q801" i="6"/>
  <c r="Q800" i="6"/>
  <c r="Q799" i="6"/>
  <c r="Q798" i="6"/>
  <c r="Q797" i="6"/>
  <c r="Q796" i="6"/>
  <c r="Q795" i="6"/>
  <c r="Q794" i="6"/>
  <c r="Q793" i="6"/>
  <c r="Q792" i="6"/>
  <c r="Q791" i="6"/>
  <c r="Q790" i="6"/>
  <c r="Q789" i="6"/>
  <c r="Q788" i="6"/>
  <c r="Q787" i="6"/>
  <c r="Q786" i="6"/>
  <c r="Q785" i="6"/>
  <c r="Q784" i="6"/>
  <c r="Q783" i="6"/>
  <c r="Q782" i="6"/>
  <c r="Q781" i="6"/>
  <c r="Q780" i="6"/>
  <c r="Q779" i="6"/>
  <c r="Q778" i="6"/>
  <c r="Q777" i="6"/>
  <c r="Q776" i="6"/>
  <c r="Q775" i="6"/>
  <c r="Q774" i="6"/>
  <c r="Q773" i="6"/>
  <c r="Q772" i="6"/>
  <c r="Q771" i="6"/>
  <c r="Q770" i="6"/>
  <c r="Q769" i="6"/>
  <c r="Q768" i="6"/>
  <c r="Q767" i="6"/>
  <c r="Q766" i="6"/>
  <c r="Q765" i="6"/>
  <c r="Q764" i="6"/>
  <c r="Q763" i="6"/>
  <c r="Q762" i="6"/>
  <c r="Q761" i="6"/>
  <c r="Q760" i="6"/>
  <c r="Q759" i="6"/>
  <c r="Q758" i="6"/>
  <c r="Q757" i="6"/>
  <c r="Q756" i="6"/>
  <c r="Q755" i="6"/>
  <c r="Q754" i="6"/>
  <c r="Q753" i="6"/>
  <c r="Q752" i="6"/>
  <c r="Q751" i="6"/>
  <c r="Q750" i="6"/>
  <c r="Q749" i="6"/>
  <c r="Q748" i="6"/>
  <c r="Q747" i="6"/>
  <c r="Q746" i="6"/>
  <c r="Q745" i="6"/>
  <c r="Q744" i="6"/>
  <c r="Q743" i="6"/>
  <c r="Q742" i="6"/>
  <c r="Q741" i="6"/>
  <c r="Q740" i="6"/>
  <c r="Q739" i="6"/>
  <c r="Q738" i="6"/>
  <c r="Q737" i="6"/>
  <c r="Q736" i="6"/>
  <c r="Q735" i="6"/>
  <c r="Q734" i="6"/>
  <c r="Q733" i="6"/>
  <c r="Q732" i="6"/>
  <c r="Q731" i="6"/>
  <c r="Q730" i="6"/>
  <c r="Q729" i="6"/>
  <c r="Q728" i="6"/>
  <c r="Q727" i="6"/>
  <c r="Q726" i="6"/>
  <c r="Q725" i="6"/>
  <c r="Q724" i="6"/>
  <c r="Q723" i="6"/>
  <c r="Q722" i="6"/>
  <c r="Q721" i="6"/>
  <c r="Q720" i="6"/>
  <c r="Q719" i="6"/>
  <c r="Q718" i="6"/>
  <c r="Q717" i="6"/>
  <c r="Q716" i="6"/>
  <c r="Q715" i="6"/>
  <c r="Q714" i="6"/>
  <c r="Q713" i="6"/>
  <c r="Q712" i="6"/>
  <c r="Q711" i="6"/>
  <c r="Q710" i="6"/>
  <c r="Q709" i="6"/>
  <c r="Q708" i="6"/>
  <c r="Q707" i="6"/>
  <c r="Q706" i="6"/>
  <c r="Q705" i="6"/>
  <c r="Q704" i="6"/>
  <c r="Q703" i="6"/>
  <c r="Q702" i="6"/>
  <c r="Q701" i="6"/>
  <c r="Q700" i="6"/>
  <c r="Q699" i="6"/>
  <c r="Q698" i="6"/>
  <c r="Q697" i="6"/>
  <c r="Q696" i="6"/>
  <c r="Q695" i="6"/>
  <c r="Q694" i="6"/>
  <c r="Q693" i="6"/>
  <c r="Q692" i="6"/>
  <c r="Q691" i="6"/>
  <c r="Q690" i="6"/>
  <c r="Q689" i="6"/>
  <c r="Q688" i="6"/>
  <c r="Q687" i="6"/>
  <c r="Q686" i="6"/>
  <c r="Q685" i="6"/>
  <c r="Q684" i="6"/>
  <c r="Q683" i="6"/>
  <c r="Q682" i="6"/>
  <c r="Q681" i="6"/>
  <c r="Q680" i="6"/>
  <c r="Q679" i="6"/>
  <c r="Q678" i="6"/>
  <c r="Q677" i="6"/>
  <c r="Q676" i="6"/>
  <c r="Q675" i="6"/>
  <c r="Q674" i="6"/>
  <c r="Q673" i="6"/>
  <c r="Q672" i="6"/>
  <c r="Q671" i="6"/>
  <c r="Q670" i="6"/>
  <c r="Q669" i="6"/>
  <c r="Q668" i="6"/>
  <c r="Q667" i="6"/>
  <c r="Q666" i="6"/>
  <c r="Q665" i="6"/>
  <c r="Q664" i="6"/>
  <c r="Q663" i="6"/>
  <c r="Q662" i="6"/>
  <c r="Q661" i="6"/>
  <c r="Q660" i="6"/>
  <c r="Q659" i="6"/>
  <c r="Q658" i="6"/>
  <c r="Q657" i="6"/>
  <c r="Q656" i="6"/>
  <c r="Q655" i="6"/>
  <c r="Q654" i="6"/>
  <c r="Q653" i="6"/>
  <c r="Q652" i="6"/>
  <c r="Q651" i="6"/>
  <c r="Q650" i="6"/>
  <c r="Q649" i="6"/>
  <c r="Q648" i="6"/>
  <c r="Q647" i="6"/>
  <c r="Q646" i="6"/>
  <c r="Q645" i="6"/>
  <c r="Q644" i="6"/>
  <c r="Q643" i="6"/>
  <c r="Q642" i="6"/>
  <c r="Q641" i="6"/>
  <c r="Q640" i="6"/>
  <c r="Q639" i="6"/>
  <c r="Q638" i="6"/>
  <c r="Q637" i="6"/>
  <c r="Q636" i="6"/>
  <c r="Q635" i="6"/>
  <c r="Q634" i="6"/>
  <c r="Q633" i="6"/>
  <c r="Q632" i="6"/>
  <c r="Q631" i="6"/>
  <c r="Q630" i="6"/>
  <c r="Q629" i="6"/>
  <c r="Q628" i="6"/>
  <c r="Q627" i="6"/>
  <c r="Q626" i="6"/>
  <c r="Q625" i="6"/>
  <c r="Q624" i="6"/>
  <c r="Q623" i="6"/>
  <c r="Q622" i="6"/>
  <c r="Q621" i="6"/>
  <c r="Q620" i="6"/>
  <c r="Q619" i="6"/>
  <c r="Q618" i="6"/>
  <c r="Q617" i="6"/>
  <c r="Q616" i="6"/>
  <c r="Q615" i="6"/>
  <c r="Q614" i="6"/>
  <c r="Q613" i="6"/>
  <c r="Q612" i="6"/>
  <c r="Q611" i="6"/>
  <c r="Q610" i="6"/>
  <c r="Q609" i="6"/>
  <c r="Q608" i="6"/>
  <c r="Q607" i="6"/>
  <c r="Q606" i="6"/>
  <c r="Q605" i="6"/>
  <c r="Q604" i="6"/>
  <c r="Q603" i="6"/>
  <c r="Q602" i="6"/>
  <c r="Q601" i="6"/>
  <c r="Q600" i="6"/>
  <c r="Q599" i="6"/>
  <c r="Q598" i="6"/>
  <c r="Q597" i="6"/>
  <c r="Q596" i="6"/>
  <c r="Q595" i="6"/>
  <c r="Q594" i="6"/>
  <c r="Q593" i="6"/>
  <c r="Q592" i="6"/>
  <c r="Q591" i="6"/>
  <c r="Q590" i="6"/>
  <c r="Q589" i="6"/>
  <c r="Q588" i="6"/>
  <c r="Q587" i="6"/>
  <c r="Q586" i="6"/>
  <c r="Q585" i="6"/>
  <c r="Q584" i="6"/>
  <c r="Q583" i="6"/>
  <c r="Q582" i="6"/>
  <c r="Q581" i="6"/>
  <c r="Q580" i="6"/>
  <c r="Q579" i="6"/>
  <c r="Q578" i="6"/>
  <c r="Q577" i="6"/>
  <c r="Q576" i="6"/>
  <c r="Q575" i="6"/>
  <c r="Q574" i="6"/>
  <c r="Q573" i="6"/>
  <c r="Q572" i="6"/>
  <c r="Q571" i="6"/>
  <c r="Q570" i="6"/>
  <c r="Q569" i="6"/>
  <c r="Q568" i="6"/>
  <c r="Q567" i="6"/>
  <c r="Q566" i="6"/>
  <c r="Q565" i="6"/>
  <c r="Q564" i="6"/>
  <c r="Q563" i="6"/>
  <c r="Q562" i="6"/>
  <c r="Q561" i="6"/>
  <c r="Q560" i="6"/>
  <c r="Q559" i="6"/>
  <c r="Q558" i="6"/>
  <c r="Q557" i="6"/>
  <c r="Q556" i="6"/>
  <c r="Q555" i="6"/>
  <c r="Q554" i="6"/>
  <c r="Q553" i="6"/>
  <c r="Q552" i="6"/>
  <c r="Q551" i="6"/>
  <c r="Q550" i="6"/>
  <c r="Q549" i="6"/>
  <c r="Q548" i="6"/>
  <c r="Q547" i="6"/>
  <c r="Q546" i="6"/>
  <c r="Q545" i="6"/>
  <c r="Q544" i="6"/>
  <c r="Q543" i="6"/>
  <c r="Q542" i="6"/>
  <c r="Q541" i="6"/>
  <c r="Q540" i="6"/>
  <c r="Q539" i="6"/>
  <c r="Q538" i="6"/>
  <c r="Q537" i="6"/>
  <c r="Q536" i="6"/>
  <c r="Q535" i="6"/>
  <c r="Q534" i="6"/>
  <c r="Q533" i="6"/>
  <c r="Q532" i="6"/>
  <c r="Q531" i="6"/>
  <c r="Q530" i="6"/>
  <c r="Q529" i="6"/>
  <c r="Q528" i="6"/>
  <c r="Q527" i="6"/>
  <c r="Q526" i="6"/>
  <c r="Q525" i="6"/>
  <c r="Q524" i="6"/>
  <c r="Q523" i="6"/>
  <c r="Q522" i="6"/>
  <c r="Q521" i="6"/>
  <c r="Q520" i="6"/>
  <c r="Q519" i="6"/>
  <c r="Q518" i="6"/>
  <c r="Q517" i="6"/>
  <c r="Q516" i="6"/>
  <c r="Q515" i="6"/>
  <c r="Q514" i="6"/>
  <c r="Q513" i="6"/>
  <c r="Q512" i="6"/>
  <c r="Q511" i="6"/>
  <c r="Q510" i="6"/>
  <c r="Q509" i="6"/>
  <c r="Q508" i="6"/>
  <c r="Q507" i="6"/>
  <c r="Q506" i="6"/>
  <c r="Q505" i="6"/>
  <c r="Q504" i="6"/>
  <c r="Q503" i="6"/>
  <c r="Q502" i="6"/>
  <c r="Q501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P1719" i="53"/>
  <c r="P1718" i="53"/>
  <c r="P1717" i="53"/>
  <c r="P1716" i="53"/>
  <c r="P1715" i="53"/>
  <c r="P1714" i="53"/>
  <c r="P1713" i="53"/>
  <c r="P1712" i="53"/>
  <c r="P1711" i="53"/>
  <c r="P1710" i="53"/>
  <c r="P1709" i="53"/>
  <c r="P1708" i="53"/>
  <c r="P1707" i="53"/>
  <c r="P1706" i="53"/>
  <c r="P1705" i="53"/>
  <c r="P1704" i="53"/>
  <c r="P1703" i="53"/>
  <c r="P1702" i="53"/>
  <c r="P1701" i="53"/>
  <c r="P1700" i="53"/>
  <c r="P1699" i="53"/>
  <c r="P1698" i="53"/>
  <c r="P1697" i="53"/>
  <c r="P1696" i="53"/>
  <c r="P1695" i="53"/>
  <c r="P1694" i="53"/>
  <c r="P1693" i="53"/>
  <c r="P1692" i="53"/>
  <c r="P1691" i="53"/>
  <c r="P1690" i="53"/>
  <c r="P1689" i="53"/>
  <c r="P1688" i="53"/>
  <c r="P1687" i="53"/>
  <c r="P1686" i="53"/>
  <c r="P1685" i="53"/>
  <c r="P1684" i="53"/>
  <c r="P1683" i="53"/>
  <c r="P1682" i="53"/>
  <c r="P1681" i="53"/>
  <c r="P1680" i="53"/>
  <c r="P1679" i="53"/>
  <c r="P1678" i="53"/>
  <c r="P1677" i="53"/>
  <c r="P1676" i="53"/>
  <c r="P1675" i="53"/>
  <c r="P1674" i="53"/>
  <c r="P1673" i="53"/>
  <c r="P1672" i="53"/>
  <c r="P1671" i="53"/>
  <c r="P1670" i="53"/>
  <c r="P1669" i="53"/>
  <c r="P1668" i="53"/>
  <c r="P1667" i="53"/>
  <c r="P1666" i="53"/>
  <c r="P1665" i="53"/>
  <c r="P1664" i="53"/>
  <c r="P1663" i="53"/>
  <c r="P1662" i="53"/>
  <c r="P1661" i="53"/>
  <c r="P1660" i="53"/>
  <c r="P1659" i="53"/>
  <c r="P1658" i="53"/>
  <c r="P1657" i="53"/>
  <c r="P1656" i="53"/>
  <c r="P1655" i="53"/>
  <c r="P1654" i="53"/>
  <c r="P1653" i="53"/>
  <c r="P1652" i="53"/>
  <c r="P1651" i="53"/>
  <c r="P1650" i="53"/>
  <c r="P1649" i="53"/>
  <c r="P1648" i="53"/>
  <c r="P1647" i="53"/>
  <c r="P1646" i="53"/>
  <c r="P1645" i="53"/>
  <c r="P1644" i="53"/>
  <c r="P1643" i="53"/>
  <c r="P1642" i="53"/>
  <c r="P1641" i="53"/>
  <c r="P1640" i="53"/>
  <c r="P1639" i="53"/>
  <c r="P1638" i="53"/>
  <c r="P1637" i="53"/>
  <c r="P1636" i="53"/>
  <c r="P1635" i="53"/>
  <c r="P1634" i="53"/>
  <c r="P1633" i="53"/>
  <c r="P1632" i="53"/>
  <c r="P1631" i="53"/>
  <c r="P1630" i="53"/>
  <c r="P1629" i="53"/>
  <c r="P1628" i="53"/>
  <c r="P1627" i="53"/>
  <c r="P1626" i="53"/>
  <c r="P1625" i="53"/>
  <c r="P1624" i="53"/>
  <c r="P1623" i="53"/>
  <c r="P1622" i="53"/>
  <c r="P1621" i="53"/>
  <c r="P1620" i="53"/>
  <c r="P1619" i="53"/>
  <c r="P1618" i="53"/>
  <c r="P1617" i="53"/>
  <c r="P1616" i="53"/>
  <c r="P1615" i="53"/>
  <c r="P1614" i="53"/>
  <c r="P1613" i="53"/>
  <c r="P1612" i="53"/>
  <c r="P1611" i="53"/>
  <c r="P1610" i="53"/>
  <c r="P1609" i="53"/>
  <c r="P1608" i="53"/>
  <c r="P1607" i="53"/>
  <c r="P1606" i="53"/>
  <c r="P1605" i="53"/>
  <c r="P1604" i="53"/>
  <c r="P1603" i="53"/>
  <c r="P1602" i="53"/>
  <c r="P1601" i="53"/>
  <c r="P1600" i="53"/>
  <c r="P1599" i="53"/>
  <c r="P1598" i="53"/>
  <c r="P1597" i="53"/>
  <c r="P1596" i="53"/>
  <c r="P1595" i="53"/>
  <c r="P1594" i="53"/>
  <c r="P1593" i="53"/>
  <c r="P1592" i="53"/>
  <c r="P1591" i="53"/>
  <c r="P1590" i="53"/>
  <c r="P1589" i="53"/>
  <c r="P1588" i="53"/>
  <c r="P1587" i="53"/>
  <c r="P1586" i="53"/>
  <c r="P1585" i="53"/>
  <c r="P1584" i="53"/>
  <c r="P1583" i="53"/>
  <c r="P1582" i="53"/>
  <c r="P1581" i="53"/>
  <c r="P1580" i="53"/>
  <c r="P1579" i="53"/>
  <c r="P1578" i="53"/>
  <c r="P1577" i="53"/>
  <c r="P1576" i="53"/>
  <c r="P1575" i="53"/>
  <c r="P1574" i="53"/>
  <c r="P1573" i="53"/>
  <c r="P1572" i="53"/>
  <c r="P1571" i="53"/>
  <c r="P1570" i="53"/>
  <c r="P1569" i="53"/>
  <c r="P1568" i="53"/>
  <c r="P1567" i="53"/>
  <c r="P1566" i="53"/>
  <c r="P1565" i="53"/>
  <c r="P1564" i="53"/>
  <c r="P1563" i="53"/>
  <c r="P1562" i="53"/>
  <c r="P1561" i="53"/>
  <c r="P1560" i="53"/>
  <c r="P1559" i="53"/>
  <c r="P1558" i="53"/>
  <c r="P1557" i="53"/>
  <c r="P1556" i="53"/>
  <c r="P1555" i="53"/>
  <c r="P1554" i="53"/>
  <c r="P1553" i="53"/>
  <c r="P1552" i="53"/>
  <c r="P1551" i="53"/>
  <c r="P1550" i="53"/>
  <c r="P1549" i="53"/>
  <c r="P1548" i="53"/>
  <c r="P1547" i="53"/>
  <c r="P1546" i="53"/>
  <c r="P1545" i="53"/>
  <c r="P1544" i="53"/>
  <c r="P1543" i="53"/>
  <c r="P1542" i="53"/>
  <c r="P1541" i="53"/>
  <c r="P1540" i="53"/>
  <c r="P1539" i="53"/>
  <c r="P1538" i="53"/>
  <c r="P1537" i="53"/>
  <c r="P1536" i="53"/>
  <c r="P1535" i="53"/>
  <c r="P1534" i="53"/>
  <c r="P1533" i="53"/>
  <c r="P1532" i="53"/>
  <c r="P1531" i="53"/>
  <c r="P1530" i="53"/>
  <c r="P1529" i="53"/>
  <c r="P1528" i="53"/>
  <c r="P1527" i="53"/>
  <c r="P1526" i="53"/>
  <c r="P1525" i="53"/>
  <c r="P1524" i="53"/>
  <c r="P1523" i="53"/>
  <c r="P1522" i="53"/>
  <c r="P1521" i="53"/>
  <c r="P1520" i="53"/>
  <c r="P1519" i="53"/>
  <c r="P1518" i="53"/>
  <c r="P1517" i="53"/>
  <c r="P1516" i="53"/>
  <c r="P1515" i="53"/>
  <c r="P1514" i="53"/>
  <c r="P1513" i="53"/>
  <c r="P1512" i="53"/>
  <c r="P1511" i="53"/>
  <c r="P1510" i="53"/>
  <c r="P1509" i="53"/>
  <c r="P1508" i="53"/>
  <c r="P1507" i="53"/>
  <c r="P1506" i="53"/>
  <c r="P1505" i="53"/>
  <c r="P1504" i="53"/>
  <c r="P1503" i="53"/>
  <c r="P1502" i="53"/>
  <c r="P1501" i="53"/>
  <c r="P1500" i="53"/>
  <c r="P1499" i="53"/>
  <c r="P1498" i="53"/>
  <c r="P1497" i="53"/>
  <c r="P1496" i="53"/>
  <c r="P1495" i="53"/>
  <c r="P1494" i="53"/>
  <c r="P1493" i="53"/>
  <c r="P1492" i="53"/>
  <c r="P1491" i="53"/>
  <c r="P1490" i="53"/>
  <c r="P1489" i="53"/>
  <c r="P1488" i="53"/>
  <c r="P1487" i="53"/>
  <c r="P1486" i="53"/>
  <c r="P1485" i="53"/>
  <c r="P1484" i="53"/>
  <c r="P1483" i="53"/>
  <c r="P1482" i="53"/>
  <c r="P1481" i="53"/>
  <c r="P1480" i="53"/>
  <c r="P1479" i="53"/>
  <c r="P1478" i="53"/>
  <c r="P1477" i="53"/>
  <c r="P1476" i="53"/>
  <c r="P1475" i="53"/>
  <c r="P1474" i="53"/>
  <c r="P1473" i="53"/>
  <c r="P1472" i="53"/>
  <c r="P1471" i="53"/>
  <c r="P1470" i="53"/>
  <c r="P1469" i="53"/>
  <c r="P1468" i="53"/>
  <c r="P1467" i="53"/>
  <c r="P1466" i="53"/>
  <c r="P1465" i="53"/>
  <c r="P1464" i="53"/>
  <c r="P1463" i="53"/>
  <c r="P1462" i="53"/>
  <c r="P1461" i="53"/>
  <c r="P1460" i="53"/>
  <c r="P1459" i="53"/>
  <c r="P1458" i="53"/>
  <c r="P1457" i="53"/>
  <c r="P1456" i="53"/>
  <c r="P1455" i="53"/>
  <c r="P1454" i="53"/>
  <c r="P1453" i="53"/>
  <c r="P1452" i="53"/>
  <c r="P1451" i="53"/>
  <c r="P1450" i="53"/>
  <c r="P1449" i="53"/>
  <c r="P1448" i="53"/>
  <c r="P1447" i="53"/>
  <c r="P1446" i="53"/>
  <c r="P1445" i="53"/>
  <c r="P1444" i="53"/>
  <c r="P1443" i="53"/>
  <c r="P1442" i="53"/>
  <c r="P1441" i="53"/>
  <c r="P1440" i="53"/>
  <c r="P1439" i="53"/>
  <c r="P1438" i="53"/>
  <c r="P1437" i="53"/>
  <c r="P1436" i="53"/>
  <c r="P1435" i="53"/>
  <c r="P1434" i="53"/>
  <c r="P1433" i="53"/>
  <c r="P1432" i="53"/>
  <c r="P1431" i="53"/>
  <c r="P1430" i="53"/>
  <c r="P1429" i="53"/>
  <c r="P1428" i="53"/>
  <c r="P1427" i="53"/>
  <c r="P1426" i="53"/>
  <c r="P1425" i="53"/>
  <c r="P1424" i="53"/>
  <c r="P1423" i="53"/>
  <c r="P1422" i="53"/>
  <c r="P1421" i="53"/>
  <c r="P1420" i="53"/>
  <c r="P1419" i="53"/>
  <c r="P1418" i="53"/>
  <c r="P1417" i="53"/>
  <c r="P1416" i="53"/>
  <c r="P1415" i="53"/>
  <c r="P1414" i="53"/>
  <c r="P1413" i="53"/>
  <c r="P1412" i="53"/>
  <c r="P1411" i="53"/>
  <c r="P1410" i="53"/>
  <c r="P1409" i="53"/>
  <c r="P1408" i="53"/>
  <c r="P1407" i="53"/>
  <c r="P1406" i="53"/>
  <c r="P1405" i="53"/>
  <c r="P1404" i="53"/>
  <c r="P1403" i="53"/>
  <c r="P1402" i="53"/>
  <c r="P1401" i="53"/>
  <c r="P1400" i="53"/>
  <c r="P1399" i="53"/>
  <c r="P1398" i="53"/>
  <c r="P1397" i="53"/>
  <c r="P1396" i="53"/>
  <c r="P1395" i="53"/>
  <c r="P1394" i="53"/>
  <c r="P1393" i="53"/>
  <c r="P1392" i="53"/>
  <c r="P1391" i="53"/>
  <c r="P1390" i="53"/>
  <c r="P1389" i="53"/>
  <c r="P1388" i="53"/>
  <c r="P1387" i="53"/>
  <c r="P1386" i="53"/>
  <c r="P1385" i="53"/>
  <c r="P1384" i="53"/>
  <c r="P1383" i="53"/>
  <c r="P1382" i="53"/>
  <c r="P1381" i="53"/>
  <c r="P1380" i="53"/>
  <c r="P1379" i="53"/>
  <c r="P1378" i="53"/>
  <c r="P1377" i="53"/>
  <c r="P1376" i="53"/>
  <c r="P1375" i="53"/>
  <c r="P1374" i="53"/>
  <c r="P1373" i="53"/>
  <c r="P1372" i="53"/>
  <c r="P1371" i="53"/>
  <c r="P1370" i="53"/>
  <c r="P1369" i="53"/>
  <c r="P1368" i="53"/>
  <c r="P1367" i="53"/>
  <c r="P1366" i="53"/>
  <c r="P1365" i="53"/>
  <c r="P1364" i="53"/>
  <c r="P1363" i="53"/>
  <c r="P1362" i="53"/>
  <c r="P1361" i="53"/>
  <c r="P1360" i="53"/>
  <c r="P1359" i="53"/>
  <c r="P1358" i="53"/>
  <c r="P1357" i="53"/>
  <c r="P1356" i="53"/>
  <c r="P1355" i="53"/>
  <c r="P1354" i="53"/>
  <c r="P1353" i="53"/>
  <c r="P1352" i="53"/>
  <c r="P1351" i="53"/>
  <c r="P1350" i="53"/>
  <c r="P1349" i="53"/>
  <c r="P1348" i="53"/>
  <c r="P1347" i="53"/>
  <c r="P1346" i="53"/>
  <c r="P1345" i="53"/>
  <c r="P1344" i="53"/>
  <c r="P1343" i="53"/>
  <c r="P1342" i="53"/>
  <c r="P1341" i="53"/>
  <c r="P1340" i="53"/>
  <c r="P1339" i="53"/>
  <c r="P1338" i="53"/>
  <c r="P1337" i="53"/>
  <c r="P1336" i="53"/>
  <c r="P1335" i="53"/>
  <c r="P1334" i="53"/>
  <c r="P1333" i="53"/>
  <c r="P1332" i="53"/>
  <c r="P1331" i="53"/>
  <c r="P1330" i="53"/>
  <c r="P1329" i="53"/>
  <c r="P1328" i="53"/>
  <c r="P1327" i="53"/>
  <c r="P1326" i="53"/>
  <c r="P1325" i="53"/>
  <c r="P1324" i="53"/>
  <c r="P1323" i="53"/>
  <c r="P1322" i="53"/>
  <c r="P1321" i="53"/>
  <c r="P1320" i="53"/>
  <c r="P1319" i="53"/>
  <c r="P1318" i="53"/>
  <c r="P1317" i="53"/>
  <c r="P1316" i="53"/>
  <c r="P1315" i="53"/>
  <c r="P1314" i="53"/>
  <c r="P1313" i="53"/>
  <c r="P1312" i="53"/>
  <c r="P1311" i="53"/>
  <c r="P1310" i="53"/>
  <c r="P1309" i="53"/>
  <c r="P1308" i="53"/>
  <c r="P1307" i="53"/>
  <c r="P1306" i="53"/>
  <c r="P1305" i="53"/>
  <c r="P1304" i="53"/>
  <c r="P1303" i="53"/>
  <c r="P1302" i="53"/>
  <c r="P1301" i="53"/>
  <c r="P1300" i="53"/>
  <c r="P1299" i="53"/>
  <c r="P1298" i="53"/>
  <c r="P1297" i="53"/>
  <c r="P1296" i="53"/>
  <c r="P1295" i="53"/>
  <c r="P1294" i="53"/>
  <c r="P1293" i="53"/>
  <c r="P1292" i="53"/>
  <c r="P1291" i="53"/>
  <c r="P1290" i="53"/>
  <c r="P1289" i="53"/>
  <c r="P1288" i="53"/>
  <c r="P1287" i="53"/>
  <c r="P1286" i="53"/>
  <c r="P1285" i="53"/>
  <c r="P1284" i="53"/>
  <c r="P1283" i="53"/>
  <c r="P1282" i="53"/>
  <c r="P1281" i="53"/>
  <c r="P1280" i="53"/>
  <c r="P1279" i="53"/>
  <c r="P1278" i="53"/>
  <c r="P1277" i="53"/>
  <c r="P1276" i="53"/>
  <c r="P1275" i="53"/>
  <c r="P1274" i="53"/>
  <c r="P1273" i="53"/>
  <c r="P1272" i="53"/>
  <c r="P1271" i="53"/>
  <c r="P1270" i="53"/>
  <c r="P1269" i="53"/>
  <c r="P1268" i="53"/>
  <c r="P1267" i="53"/>
  <c r="P1266" i="53"/>
  <c r="P1265" i="53"/>
  <c r="P1264" i="53"/>
  <c r="P1263" i="53"/>
  <c r="P1262" i="53"/>
  <c r="P1261" i="53"/>
  <c r="P1260" i="53"/>
  <c r="P1259" i="53"/>
  <c r="P1258" i="53"/>
  <c r="P1257" i="53"/>
  <c r="P1256" i="53"/>
  <c r="P1255" i="53"/>
  <c r="P1254" i="53"/>
  <c r="P1253" i="53"/>
  <c r="P1252" i="53"/>
  <c r="P1251" i="53"/>
  <c r="P1250" i="53"/>
  <c r="P1249" i="53"/>
  <c r="P1248" i="53"/>
  <c r="P1247" i="53"/>
  <c r="P1246" i="53"/>
  <c r="P1245" i="53"/>
  <c r="P1244" i="53"/>
  <c r="P1243" i="53"/>
  <c r="P1242" i="53"/>
  <c r="P1241" i="53"/>
  <c r="P1240" i="53"/>
  <c r="P1239" i="53"/>
  <c r="P1238" i="53"/>
  <c r="P1237" i="53"/>
  <c r="P1236" i="53"/>
  <c r="P1235" i="53"/>
  <c r="P1234" i="53"/>
  <c r="P1233" i="53"/>
  <c r="P1232" i="53"/>
  <c r="P1231" i="53"/>
  <c r="P1230" i="53"/>
  <c r="P1229" i="53"/>
  <c r="P1228" i="53"/>
  <c r="P1227" i="53"/>
  <c r="P1226" i="53"/>
  <c r="P1225" i="53"/>
  <c r="P1224" i="53"/>
  <c r="P1223" i="53"/>
  <c r="P1222" i="53"/>
  <c r="P1221" i="53"/>
  <c r="P1220" i="53"/>
  <c r="P1219" i="53"/>
  <c r="P1218" i="53"/>
  <c r="P1217" i="53"/>
  <c r="P1216" i="53"/>
  <c r="P1215" i="53"/>
  <c r="P1214" i="53"/>
  <c r="P1213" i="53"/>
  <c r="P1212" i="53"/>
  <c r="P1211" i="53"/>
  <c r="P1210" i="53"/>
  <c r="P1209" i="53"/>
  <c r="P1208" i="53"/>
  <c r="P1207" i="53"/>
  <c r="P1206" i="53"/>
  <c r="P1205" i="53"/>
  <c r="P1204" i="53"/>
  <c r="P1203" i="53"/>
  <c r="P1202" i="53"/>
  <c r="P1201" i="53"/>
  <c r="P1200" i="53"/>
  <c r="P1199" i="53"/>
  <c r="P1198" i="53"/>
  <c r="P1197" i="53"/>
  <c r="P1196" i="53"/>
  <c r="P1195" i="53"/>
  <c r="P1194" i="53"/>
  <c r="P1193" i="53"/>
  <c r="P1192" i="53"/>
  <c r="P1191" i="53"/>
  <c r="P1190" i="53"/>
  <c r="P1189" i="53"/>
  <c r="P1188" i="53"/>
  <c r="P1187" i="53"/>
  <c r="P1186" i="53"/>
  <c r="P1185" i="53"/>
  <c r="P1184" i="53"/>
  <c r="P1183" i="53"/>
  <c r="P1182" i="53"/>
  <c r="P1181" i="53"/>
  <c r="P1180" i="53"/>
  <c r="P1179" i="53"/>
  <c r="P1178" i="53"/>
  <c r="P1177" i="53"/>
  <c r="P1176" i="53"/>
  <c r="P1175" i="53"/>
  <c r="P1174" i="53"/>
  <c r="P1173" i="53"/>
  <c r="P1172" i="53"/>
  <c r="P1171" i="53"/>
  <c r="P1170" i="53"/>
  <c r="P1169" i="53"/>
  <c r="P1168" i="53"/>
  <c r="P1167" i="53"/>
  <c r="P1166" i="53"/>
  <c r="P1165" i="53"/>
  <c r="P1164" i="53"/>
  <c r="P1163" i="53"/>
  <c r="P1162" i="53"/>
  <c r="P1161" i="53"/>
  <c r="P1160" i="53"/>
  <c r="P1159" i="53"/>
  <c r="P1158" i="53"/>
  <c r="P1157" i="53"/>
  <c r="P1156" i="53"/>
  <c r="P1155" i="53"/>
  <c r="P1154" i="53"/>
  <c r="P1153" i="53"/>
  <c r="P1152" i="53"/>
  <c r="P1151" i="53"/>
  <c r="P1150" i="53"/>
  <c r="P1149" i="53"/>
  <c r="P1148" i="53"/>
  <c r="P1147" i="53"/>
  <c r="P1146" i="53"/>
  <c r="P1145" i="53"/>
  <c r="P1144" i="53"/>
  <c r="P1143" i="53"/>
  <c r="P1142" i="53"/>
  <c r="P1141" i="53"/>
  <c r="P1140" i="53"/>
  <c r="P1139" i="53"/>
  <c r="P1138" i="53"/>
  <c r="P1137" i="53"/>
  <c r="P1136" i="53"/>
  <c r="P1135" i="53"/>
  <c r="P1134" i="53"/>
  <c r="P1133" i="53"/>
  <c r="P1132" i="53"/>
  <c r="P1131" i="53"/>
  <c r="P1130" i="53"/>
  <c r="P1129" i="53"/>
  <c r="P1128" i="53"/>
  <c r="P1127" i="53"/>
  <c r="P1126" i="53"/>
  <c r="P1125" i="53"/>
  <c r="P1124" i="53"/>
  <c r="P1123" i="53"/>
  <c r="P1122" i="53"/>
  <c r="P1121" i="53"/>
  <c r="P1120" i="53"/>
  <c r="P1119" i="53"/>
  <c r="P1118" i="53"/>
  <c r="P1117" i="53"/>
  <c r="P1116" i="53"/>
  <c r="P1115" i="53"/>
  <c r="P1114" i="53"/>
  <c r="P1113" i="53"/>
  <c r="P1112" i="53"/>
  <c r="P1111" i="53"/>
  <c r="P1110" i="53"/>
  <c r="P1109" i="53"/>
  <c r="P1108" i="53"/>
  <c r="P1107" i="53"/>
  <c r="P1106" i="53"/>
  <c r="P1105" i="53"/>
  <c r="P1104" i="53"/>
  <c r="P1103" i="53"/>
  <c r="P1102" i="53"/>
  <c r="P1101" i="53"/>
  <c r="P1100" i="53"/>
  <c r="P1099" i="53"/>
  <c r="P1098" i="53"/>
  <c r="P1097" i="53"/>
  <c r="P1096" i="53"/>
  <c r="P1095" i="53"/>
  <c r="P1094" i="53"/>
  <c r="P1093" i="53"/>
  <c r="P1092" i="53"/>
  <c r="P1091" i="53"/>
  <c r="P1090" i="53"/>
  <c r="P1089" i="53"/>
  <c r="P1088" i="53"/>
  <c r="P1087" i="53"/>
  <c r="P1086" i="53"/>
  <c r="P1085" i="53"/>
  <c r="P1084" i="53"/>
  <c r="P1083" i="53"/>
  <c r="P1082" i="53"/>
  <c r="P1081" i="53"/>
  <c r="P1080" i="53"/>
  <c r="P1079" i="53"/>
  <c r="P1078" i="53"/>
  <c r="P1077" i="53"/>
  <c r="P1076" i="53"/>
  <c r="P1075" i="53"/>
  <c r="P1074" i="53"/>
  <c r="P1073" i="53"/>
  <c r="P1072" i="53"/>
  <c r="P1071" i="53"/>
  <c r="P1070" i="53"/>
  <c r="P1069" i="53"/>
  <c r="P1068" i="53"/>
  <c r="P1067" i="53"/>
  <c r="P1066" i="53"/>
  <c r="P1065" i="53"/>
  <c r="P1064" i="53"/>
  <c r="P1063" i="53"/>
  <c r="P1062" i="53"/>
  <c r="P1061" i="53"/>
  <c r="P1060" i="53"/>
  <c r="P1059" i="53"/>
  <c r="P1058" i="53"/>
  <c r="P1057" i="53"/>
  <c r="P1056" i="53"/>
  <c r="P1055" i="53"/>
  <c r="P1054" i="53"/>
  <c r="P1053" i="53"/>
  <c r="P1052" i="53"/>
  <c r="P1051" i="53"/>
  <c r="P1050" i="53"/>
  <c r="P1049" i="53"/>
  <c r="P1048" i="53"/>
  <c r="P1047" i="53"/>
  <c r="P1046" i="53"/>
  <c r="P1045" i="53"/>
  <c r="P1044" i="53"/>
  <c r="P1043" i="53"/>
  <c r="P1042" i="53"/>
  <c r="P1041" i="53"/>
  <c r="P1040" i="53"/>
  <c r="P1039" i="53"/>
  <c r="P1038" i="53"/>
  <c r="P1037" i="53"/>
  <c r="P1036" i="53"/>
  <c r="P1035" i="53"/>
  <c r="P1034" i="53"/>
  <c r="P1033" i="53"/>
  <c r="P1032" i="53"/>
  <c r="P1031" i="53"/>
  <c r="P1030" i="53"/>
  <c r="P1029" i="53"/>
  <c r="P1028" i="53"/>
  <c r="P1027" i="53"/>
  <c r="P1026" i="53"/>
  <c r="P1025" i="53"/>
  <c r="P1024" i="53"/>
  <c r="P1023" i="53"/>
  <c r="P1022" i="53"/>
  <c r="P1021" i="53"/>
  <c r="P1020" i="53"/>
  <c r="P1019" i="53"/>
  <c r="P1018" i="53"/>
  <c r="P1017" i="53"/>
  <c r="P1016" i="53"/>
  <c r="P1015" i="53"/>
  <c r="P1014" i="53"/>
  <c r="P1013" i="53"/>
  <c r="P1012" i="53"/>
  <c r="P1011" i="53"/>
  <c r="P1010" i="53"/>
  <c r="P1009" i="53"/>
  <c r="P1008" i="53"/>
  <c r="P1007" i="53"/>
  <c r="P1006" i="53"/>
  <c r="P1005" i="53"/>
  <c r="P1004" i="53"/>
  <c r="P1003" i="53"/>
  <c r="P1002" i="53"/>
  <c r="P1001" i="53"/>
  <c r="P1000" i="53"/>
  <c r="P999" i="53"/>
  <c r="P998" i="53"/>
  <c r="P997" i="53"/>
  <c r="P996" i="53"/>
  <c r="P995" i="53"/>
  <c r="P994" i="53"/>
  <c r="P993" i="53"/>
  <c r="P992" i="53"/>
  <c r="P991" i="53"/>
  <c r="P990" i="53"/>
  <c r="P989" i="53"/>
  <c r="P988" i="53"/>
  <c r="P987" i="53"/>
  <c r="P986" i="53"/>
  <c r="P985" i="53"/>
  <c r="P984" i="53"/>
  <c r="P983" i="53"/>
  <c r="P982" i="53"/>
  <c r="P981" i="53"/>
  <c r="P980" i="53"/>
  <c r="P979" i="53"/>
  <c r="P978" i="53"/>
  <c r="P977" i="53"/>
  <c r="P976" i="53"/>
  <c r="P975" i="53"/>
  <c r="P974" i="53"/>
  <c r="P973" i="53"/>
  <c r="P972" i="53"/>
  <c r="P971" i="53"/>
  <c r="P970" i="53"/>
  <c r="P969" i="53"/>
  <c r="P968" i="53"/>
  <c r="P967" i="53"/>
  <c r="P966" i="53"/>
  <c r="P965" i="53"/>
  <c r="P964" i="53"/>
  <c r="P963" i="53"/>
  <c r="P962" i="53"/>
  <c r="P961" i="53"/>
  <c r="P960" i="53"/>
  <c r="P959" i="53"/>
  <c r="P958" i="53"/>
  <c r="P957" i="53"/>
  <c r="P956" i="53"/>
  <c r="P955" i="53"/>
  <c r="P954" i="53"/>
  <c r="P953" i="53"/>
  <c r="P952" i="53"/>
  <c r="P951" i="53"/>
  <c r="P950" i="53"/>
  <c r="P949" i="53"/>
  <c r="P948" i="53"/>
  <c r="P947" i="53"/>
  <c r="P946" i="53"/>
  <c r="P945" i="53"/>
  <c r="P944" i="53"/>
  <c r="P943" i="53"/>
  <c r="P942" i="53"/>
  <c r="P941" i="53"/>
  <c r="P940" i="53"/>
  <c r="P939" i="53"/>
  <c r="P938" i="53"/>
  <c r="P937" i="53"/>
  <c r="P936" i="53"/>
  <c r="P935" i="53"/>
  <c r="P934" i="53"/>
  <c r="P933" i="53"/>
  <c r="P932" i="53"/>
  <c r="P931" i="53"/>
  <c r="P930" i="53"/>
  <c r="P929" i="53"/>
  <c r="P928" i="53"/>
  <c r="P927" i="53"/>
  <c r="P926" i="53"/>
  <c r="P925" i="53"/>
  <c r="P924" i="53"/>
  <c r="P923" i="53"/>
  <c r="P922" i="53"/>
  <c r="P921" i="53"/>
  <c r="P920" i="53"/>
  <c r="P919" i="53"/>
  <c r="P918" i="53"/>
  <c r="P917" i="53"/>
  <c r="P916" i="53"/>
  <c r="P915" i="53"/>
  <c r="P914" i="53"/>
  <c r="P913" i="53"/>
  <c r="P912" i="53"/>
  <c r="P911" i="53"/>
  <c r="P910" i="53"/>
  <c r="P909" i="53"/>
  <c r="P908" i="53"/>
  <c r="P907" i="53"/>
  <c r="P906" i="53"/>
  <c r="P905" i="53"/>
  <c r="P904" i="53"/>
  <c r="P903" i="53"/>
  <c r="P902" i="53"/>
  <c r="P901" i="53"/>
  <c r="P900" i="53"/>
  <c r="P899" i="53"/>
  <c r="P898" i="53"/>
  <c r="P897" i="53"/>
  <c r="P896" i="53"/>
  <c r="P895" i="53"/>
  <c r="P894" i="53"/>
  <c r="P893" i="53"/>
  <c r="P892" i="53"/>
  <c r="P891" i="53"/>
  <c r="P890" i="53"/>
  <c r="P889" i="53"/>
  <c r="P888" i="53"/>
  <c r="P887" i="53"/>
  <c r="P886" i="53"/>
  <c r="P885" i="53"/>
  <c r="P884" i="53"/>
  <c r="P883" i="53"/>
  <c r="P882" i="53"/>
  <c r="P881" i="53"/>
  <c r="P880" i="53"/>
  <c r="P879" i="53"/>
  <c r="P878" i="53"/>
  <c r="P877" i="53"/>
  <c r="P876" i="53"/>
  <c r="P875" i="53"/>
  <c r="P874" i="53"/>
  <c r="P873" i="53"/>
  <c r="P872" i="53"/>
  <c r="P871" i="53"/>
  <c r="P870" i="53"/>
  <c r="P869" i="53"/>
  <c r="P868" i="53"/>
  <c r="P867" i="53"/>
  <c r="P866" i="53"/>
  <c r="P865" i="53"/>
  <c r="P864" i="53"/>
  <c r="P863" i="53"/>
  <c r="P862" i="53"/>
  <c r="P861" i="53"/>
  <c r="P860" i="53"/>
  <c r="P859" i="53"/>
  <c r="P858" i="53"/>
  <c r="P857" i="53"/>
  <c r="P856" i="53"/>
  <c r="P855" i="53"/>
  <c r="P854" i="53"/>
  <c r="P853" i="53"/>
  <c r="P852" i="53"/>
  <c r="P851" i="53"/>
  <c r="P850" i="53"/>
  <c r="P849" i="53"/>
  <c r="P848" i="53"/>
  <c r="P847" i="53"/>
  <c r="P846" i="53"/>
  <c r="P845" i="53"/>
  <c r="P844" i="53"/>
  <c r="P843" i="53"/>
  <c r="P842" i="53"/>
  <c r="P841" i="53"/>
  <c r="P840" i="53"/>
  <c r="P839" i="53"/>
  <c r="P838" i="53"/>
  <c r="P837" i="53"/>
  <c r="P836" i="53"/>
  <c r="P835" i="53"/>
  <c r="P834" i="53"/>
  <c r="P833" i="53"/>
  <c r="P832" i="53"/>
  <c r="P831" i="53"/>
  <c r="P830" i="53"/>
  <c r="P829" i="53"/>
  <c r="P828" i="53"/>
  <c r="P827" i="53"/>
  <c r="P826" i="53"/>
  <c r="P825" i="53"/>
  <c r="P824" i="53"/>
  <c r="P823" i="53"/>
  <c r="P822" i="53"/>
  <c r="P821" i="53"/>
  <c r="P820" i="53"/>
  <c r="P819" i="53"/>
  <c r="P818" i="53"/>
  <c r="P817" i="53"/>
  <c r="P816" i="53"/>
  <c r="P815" i="53"/>
  <c r="P814" i="53"/>
  <c r="P813" i="53"/>
  <c r="P812" i="53"/>
  <c r="P811" i="53"/>
  <c r="P810" i="53"/>
  <c r="P809" i="53"/>
  <c r="P808" i="53"/>
  <c r="P807" i="53"/>
  <c r="P806" i="53"/>
  <c r="P805" i="53"/>
  <c r="P804" i="53"/>
  <c r="P803" i="53"/>
  <c r="P802" i="53"/>
  <c r="P801" i="53"/>
  <c r="P800" i="53"/>
  <c r="P799" i="53"/>
  <c r="P798" i="53"/>
  <c r="P797" i="53"/>
  <c r="P796" i="53"/>
  <c r="P795" i="53"/>
  <c r="P794" i="53"/>
  <c r="P793" i="53"/>
  <c r="P792" i="53"/>
  <c r="P791" i="53"/>
  <c r="P790" i="53"/>
  <c r="P789" i="53"/>
  <c r="P788" i="53"/>
  <c r="P787" i="53"/>
  <c r="P786" i="53"/>
  <c r="P785" i="53"/>
  <c r="P784" i="53"/>
  <c r="P783" i="53"/>
  <c r="P782" i="53"/>
  <c r="P781" i="53"/>
  <c r="P780" i="53"/>
  <c r="P779" i="53"/>
  <c r="P778" i="53"/>
  <c r="P777" i="53"/>
  <c r="P776" i="53"/>
  <c r="P775" i="53"/>
  <c r="P774" i="53"/>
  <c r="P773" i="53"/>
  <c r="P772" i="53"/>
  <c r="P771" i="53"/>
  <c r="P770" i="53"/>
  <c r="P769" i="53"/>
  <c r="P768" i="53"/>
  <c r="P767" i="53"/>
  <c r="P766" i="53"/>
  <c r="P765" i="53"/>
  <c r="P764" i="53"/>
  <c r="P763" i="53"/>
  <c r="P762" i="53"/>
  <c r="P761" i="53"/>
  <c r="P760" i="53"/>
  <c r="P759" i="53"/>
  <c r="P758" i="53"/>
  <c r="P757" i="53"/>
  <c r="P756" i="53"/>
  <c r="P755" i="53"/>
  <c r="P754" i="53"/>
  <c r="P753" i="53"/>
  <c r="P752" i="53"/>
  <c r="P751" i="53"/>
  <c r="P750" i="53"/>
  <c r="P749" i="53"/>
  <c r="P748" i="53"/>
  <c r="P747" i="53"/>
  <c r="P746" i="53"/>
  <c r="P745" i="53"/>
  <c r="P744" i="53"/>
  <c r="P743" i="53"/>
  <c r="P742" i="53"/>
  <c r="P741" i="53"/>
  <c r="P740" i="53"/>
  <c r="P739" i="53"/>
  <c r="P738" i="53"/>
  <c r="P737" i="53"/>
  <c r="P736" i="53"/>
  <c r="P735" i="53"/>
  <c r="P734" i="53"/>
  <c r="P733" i="53"/>
  <c r="P732" i="53"/>
  <c r="P731" i="53"/>
  <c r="P730" i="53"/>
  <c r="P729" i="53"/>
  <c r="P728" i="53"/>
  <c r="P727" i="53"/>
  <c r="P726" i="53"/>
  <c r="P725" i="53"/>
  <c r="P724" i="53"/>
  <c r="P723" i="53"/>
  <c r="P722" i="53"/>
  <c r="P721" i="53"/>
  <c r="P720" i="53"/>
  <c r="P719" i="53"/>
  <c r="P718" i="53"/>
  <c r="P717" i="53"/>
  <c r="P716" i="53"/>
  <c r="P715" i="53"/>
  <c r="P714" i="53"/>
  <c r="P713" i="53"/>
  <c r="P712" i="53"/>
  <c r="P711" i="53"/>
  <c r="P710" i="53"/>
  <c r="P709" i="53"/>
  <c r="P708" i="53"/>
  <c r="P707" i="53"/>
  <c r="P706" i="53"/>
  <c r="P705" i="53"/>
  <c r="P704" i="53"/>
  <c r="P703" i="53"/>
  <c r="P702" i="53"/>
  <c r="P701" i="53"/>
  <c r="P700" i="53"/>
  <c r="P699" i="53"/>
  <c r="P698" i="53"/>
  <c r="P697" i="53"/>
  <c r="P696" i="53"/>
  <c r="P695" i="53"/>
  <c r="P694" i="53"/>
  <c r="P693" i="53"/>
  <c r="P692" i="53"/>
  <c r="P691" i="53"/>
  <c r="P690" i="53"/>
  <c r="P689" i="53"/>
  <c r="P688" i="53"/>
  <c r="P687" i="53"/>
  <c r="P686" i="53"/>
  <c r="P685" i="53"/>
  <c r="P684" i="53"/>
  <c r="P683" i="53"/>
  <c r="P682" i="53"/>
  <c r="P681" i="53"/>
  <c r="P680" i="53"/>
  <c r="P679" i="53"/>
  <c r="P678" i="53"/>
  <c r="P677" i="53"/>
  <c r="P676" i="53"/>
  <c r="P675" i="53"/>
  <c r="P674" i="53"/>
  <c r="P673" i="53"/>
  <c r="P672" i="53"/>
  <c r="P671" i="53"/>
  <c r="P670" i="53"/>
  <c r="P669" i="53"/>
  <c r="P668" i="53"/>
  <c r="P667" i="53"/>
  <c r="P666" i="53"/>
  <c r="P665" i="53"/>
  <c r="P664" i="53"/>
  <c r="P663" i="53"/>
  <c r="P662" i="53"/>
  <c r="P661" i="53"/>
  <c r="P660" i="53"/>
  <c r="P659" i="53"/>
  <c r="P658" i="53"/>
  <c r="P657" i="53"/>
  <c r="P656" i="53"/>
  <c r="P655" i="53"/>
  <c r="P654" i="53"/>
  <c r="P653" i="53"/>
  <c r="P652" i="53"/>
  <c r="P651" i="53"/>
  <c r="P650" i="53"/>
  <c r="P649" i="53"/>
  <c r="P648" i="53"/>
  <c r="P647" i="53"/>
  <c r="P646" i="53"/>
  <c r="P645" i="53"/>
  <c r="P644" i="53"/>
  <c r="P643" i="53"/>
  <c r="P642" i="53"/>
  <c r="P641" i="53"/>
  <c r="P640" i="53"/>
  <c r="P639" i="53"/>
  <c r="P638" i="53"/>
  <c r="P637" i="53"/>
  <c r="P636" i="53"/>
  <c r="P635" i="53"/>
  <c r="P634" i="53"/>
  <c r="P633" i="53"/>
  <c r="P632" i="53"/>
  <c r="P631" i="53"/>
  <c r="P630" i="53"/>
  <c r="P629" i="53"/>
  <c r="P628" i="53"/>
  <c r="P627" i="53"/>
  <c r="P626" i="53"/>
  <c r="P625" i="53"/>
  <c r="P624" i="53"/>
  <c r="P623" i="53"/>
  <c r="P622" i="53"/>
  <c r="P621" i="53"/>
  <c r="P620" i="53"/>
  <c r="P619" i="53"/>
  <c r="P618" i="53"/>
  <c r="P617" i="53"/>
  <c r="P616" i="53"/>
  <c r="P615" i="53"/>
  <c r="P614" i="53"/>
  <c r="P613" i="53"/>
  <c r="P612" i="53"/>
  <c r="P611" i="53"/>
  <c r="P610" i="53"/>
  <c r="P609" i="53"/>
  <c r="P608" i="53"/>
  <c r="P607" i="53"/>
  <c r="P606" i="53"/>
  <c r="P605" i="53"/>
  <c r="P604" i="53"/>
  <c r="P603" i="53"/>
  <c r="P602" i="53"/>
  <c r="P601" i="53"/>
  <c r="P600" i="53"/>
  <c r="P599" i="53"/>
  <c r="P598" i="53"/>
  <c r="P597" i="53"/>
  <c r="P596" i="53"/>
  <c r="P595" i="53"/>
  <c r="P594" i="53"/>
  <c r="P593" i="53"/>
  <c r="P592" i="53"/>
  <c r="P591" i="53"/>
  <c r="P590" i="53"/>
  <c r="P589" i="53"/>
  <c r="P588" i="53"/>
  <c r="P587" i="53"/>
  <c r="P586" i="53"/>
  <c r="P585" i="53"/>
  <c r="P584" i="53"/>
  <c r="P583" i="53"/>
  <c r="P582" i="53"/>
  <c r="P581" i="53"/>
  <c r="P580" i="53"/>
  <c r="P579" i="53"/>
  <c r="P578" i="53"/>
  <c r="P577" i="53"/>
  <c r="P576" i="53"/>
  <c r="P575" i="53"/>
  <c r="P574" i="53"/>
  <c r="P573" i="53"/>
  <c r="P572" i="53"/>
  <c r="P571" i="53"/>
  <c r="P570" i="53"/>
  <c r="P569" i="53"/>
  <c r="P568" i="53"/>
  <c r="P567" i="53"/>
  <c r="P566" i="53"/>
  <c r="P565" i="53"/>
  <c r="P564" i="53"/>
  <c r="P563" i="53"/>
  <c r="P562" i="53"/>
  <c r="P561" i="53"/>
  <c r="P560" i="53"/>
  <c r="P559" i="53"/>
  <c r="P558" i="53"/>
  <c r="P557" i="53"/>
  <c r="P556" i="53"/>
  <c r="P555" i="53"/>
  <c r="P554" i="53"/>
  <c r="P553" i="53"/>
  <c r="P552" i="53"/>
  <c r="P551" i="53"/>
  <c r="P550" i="53"/>
  <c r="P549" i="53"/>
  <c r="P548" i="53"/>
  <c r="P547" i="53"/>
  <c r="P546" i="53"/>
  <c r="P545" i="53"/>
  <c r="P544" i="53"/>
  <c r="P543" i="53"/>
  <c r="P542" i="53"/>
  <c r="P541" i="53"/>
  <c r="P540" i="53"/>
  <c r="P539" i="53"/>
  <c r="P538" i="53"/>
  <c r="P537" i="53"/>
  <c r="P536" i="53"/>
  <c r="P535" i="53"/>
  <c r="P534" i="53"/>
  <c r="P533" i="53"/>
  <c r="P532" i="53"/>
  <c r="P531" i="53"/>
  <c r="P530" i="53"/>
  <c r="P529" i="53"/>
  <c r="P528" i="53"/>
  <c r="P527" i="53"/>
  <c r="P526" i="53"/>
  <c r="P525" i="53"/>
  <c r="P524" i="53"/>
  <c r="P523" i="53"/>
  <c r="P522" i="53"/>
  <c r="P521" i="53"/>
  <c r="P520" i="53"/>
  <c r="P519" i="53"/>
  <c r="P518" i="53"/>
  <c r="P517" i="53"/>
  <c r="P516" i="53"/>
  <c r="P515" i="53"/>
  <c r="P514" i="53"/>
  <c r="P513" i="53"/>
  <c r="P512" i="53"/>
  <c r="P511" i="53"/>
  <c r="P510" i="53"/>
  <c r="P509" i="53"/>
  <c r="P508" i="53"/>
  <c r="P507" i="53"/>
  <c r="P506" i="53"/>
  <c r="P505" i="53"/>
  <c r="P504" i="53"/>
  <c r="P503" i="53"/>
  <c r="P502" i="53"/>
  <c r="P501" i="53"/>
  <c r="P500" i="53"/>
  <c r="P499" i="53"/>
  <c r="P498" i="53"/>
  <c r="P497" i="53"/>
  <c r="P496" i="53"/>
  <c r="P495" i="53"/>
  <c r="P494" i="53"/>
  <c r="P493" i="53"/>
  <c r="P492" i="53"/>
  <c r="P491" i="53"/>
  <c r="P490" i="53"/>
  <c r="P489" i="53"/>
  <c r="P488" i="53"/>
  <c r="P487" i="53"/>
  <c r="P486" i="53"/>
  <c r="P485" i="53"/>
  <c r="P484" i="53"/>
  <c r="P483" i="53"/>
  <c r="P482" i="53"/>
  <c r="P481" i="53"/>
  <c r="P480" i="53"/>
  <c r="P479" i="53"/>
  <c r="P478" i="53"/>
  <c r="P477" i="53"/>
  <c r="P476" i="53"/>
  <c r="P475" i="53"/>
  <c r="P474" i="53"/>
  <c r="P473" i="53"/>
  <c r="P472" i="53"/>
  <c r="P471" i="53"/>
  <c r="P470" i="53"/>
  <c r="P469" i="53"/>
  <c r="P468" i="53"/>
  <c r="P467" i="53"/>
  <c r="P466" i="53"/>
  <c r="P465" i="53"/>
  <c r="P464" i="53"/>
  <c r="P463" i="53"/>
  <c r="P462" i="53"/>
  <c r="P461" i="53"/>
  <c r="P460" i="53"/>
  <c r="P459" i="53"/>
  <c r="P458" i="53"/>
  <c r="P457" i="53"/>
  <c r="P456" i="53"/>
  <c r="P455" i="53"/>
  <c r="P454" i="53"/>
  <c r="P453" i="53"/>
  <c r="P452" i="53"/>
  <c r="P451" i="53"/>
  <c r="P450" i="53"/>
  <c r="P449" i="53"/>
  <c r="P448" i="53"/>
  <c r="P447" i="53"/>
  <c r="P446" i="53"/>
  <c r="P445" i="53"/>
  <c r="P444" i="53"/>
  <c r="P443" i="53"/>
  <c r="P442" i="53"/>
  <c r="P441" i="53"/>
  <c r="P440" i="53"/>
  <c r="P439" i="53"/>
  <c r="P438" i="53"/>
  <c r="P437" i="53"/>
  <c r="P436" i="53"/>
  <c r="P435" i="53"/>
  <c r="P434" i="53"/>
  <c r="P433" i="53"/>
  <c r="P432" i="53"/>
  <c r="P431" i="53"/>
  <c r="P430" i="53"/>
  <c r="P429" i="53"/>
  <c r="P428" i="53"/>
  <c r="P427" i="53"/>
  <c r="P426" i="53"/>
  <c r="P425" i="53"/>
  <c r="P424" i="53"/>
  <c r="P423" i="53"/>
  <c r="P422" i="53"/>
  <c r="P421" i="53"/>
  <c r="P420" i="53"/>
  <c r="P419" i="53"/>
  <c r="P418" i="53"/>
  <c r="P417" i="53"/>
  <c r="P416" i="53"/>
  <c r="P415" i="53"/>
  <c r="P414" i="53"/>
  <c r="P413" i="53"/>
  <c r="P412" i="53"/>
  <c r="P411" i="53"/>
  <c r="P410" i="53"/>
  <c r="P409" i="53"/>
  <c r="P408" i="53"/>
  <c r="P407" i="53"/>
  <c r="P406" i="53"/>
  <c r="P405" i="53"/>
  <c r="P404" i="53"/>
  <c r="P403" i="53"/>
  <c r="P402" i="53"/>
  <c r="P401" i="53"/>
  <c r="P400" i="53"/>
  <c r="P399" i="53"/>
  <c r="P398" i="53"/>
  <c r="P397" i="53"/>
  <c r="P396" i="53"/>
  <c r="P395" i="53"/>
  <c r="P394" i="53"/>
  <c r="P393" i="53"/>
  <c r="P392" i="53"/>
  <c r="P391" i="53"/>
  <c r="P390" i="53"/>
  <c r="P389" i="53"/>
  <c r="P388" i="53"/>
  <c r="P387" i="53"/>
  <c r="P386" i="53"/>
  <c r="P385" i="53"/>
  <c r="P384" i="53"/>
  <c r="P383" i="53"/>
  <c r="P382" i="53"/>
  <c r="P381" i="53"/>
  <c r="P380" i="53"/>
  <c r="P379" i="53"/>
  <c r="P378" i="53"/>
  <c r="P377" i="53"/>
  <c r="P376" i="53"/>
  <c r="P375" i="53"/>
  <c r="P374" i="53"/>
  <c r="P373" i="53"/>
  <c r="P372" i="53"/>
  <c r="P371" i="53"/>
  <c r="P370" i="53"/>
  <c r="P369" i="53"/>
  <c r="P368" i="53"/>
  <c r="P367" i="53"/>
  <c r="P366" i="53"/>
  <c r="P365" i="53"/>
  <c r="P364" i="53"/>
  <c r="P363" i="53"/>
  <c r="P362" i="53"/>
  <c r="P361" i="53"/>
  <c r="P360" i="53"/>
  <c r="P359" i="53"/>
  <c r="P358" i="53"/>
  <c r="P357" i="53"/>
  <c r="P356" i="53"/>
  <c r="P355" i="53"/>
  <c r="P354" i="53"/>
  <c r="P353" i="53"/>
  <c r="P352" i="53"/>
  <c r="P351" i="53"/>
  <c r="P350" i="53"/>
  <c r="P349" i="53"/>
  <c r="P348" i="53"/>
  <c r="P347" i="53"/>
  <c r="P346" i="53"/>
  <c r="P345" i="53"/>
  <c r="P344" i="53"/>
  <c r="P343" i="53"/>
  <c r="P342" i="53"/>
  <c r="P341" i="53"/>
  <c r="P340" i="53"/>
  <c r="P339" i="53"/>
  <c r="P338" i="53"/>
  <c r="P337" i="53"/>
  <c r="P336" i="53"/>
  <c r="P335" i="53"/>
  <c r="P334" i="53"/>
  <c r="P333" i="53"/>
  <c r="P332" i="53"/>
  <c r="P331" i="53"/>
  <c r="P330" i="53"/>
  <c r="P329" i="53"/>
  <c r="P328" i="53"/>
  <c r="P327" i="53"/>
  <c r="P326" i="53"/>
  <c r="P325" i="53"/>
  <c r="P324" i="53"/>
  <c r="P323" i="53"/>
  <c r="P322" i="53"/>
  <c r="P321" i="53"/>
  <c r="P320" i="53"/>
  <c r="P319" i="53"/>
  <c r="P318" i="53"/>
  <c r="P317" i="53"/>
  <c r="P316" i="53"/>
  <c r="P315" i="53"/>
  <c r="P314" i="53"/>
  <c r="P313" i="53"/>
  <c r="P312" i="53"/>
  <c r="P311" i="53"/>
  <c r="P310" i="53"/>
  <c r="P309" i="53"/>
  <c r="P308" i="53"/>
  <c r="P307" i="53"/>
  <c r="P306" i="53"/>
  <c r="P305" i="53"/>
  <c r="P304" i="53"/>
  <c r="P303" i="53"/>
  <c r="P302" i="53"/>
  <c r="P301" i="53"/>
  <c r="P300" i="53"/>
  <c r="P299" i="53"/>
  <c r="P298" i="53"/>
  <c r="P297" i="53"/>
  <c r="P296" i="53"/>
  <c r="P295" i="53"/>
  <c r="P294" i="53"/>
  <c r="P293" i="53"/>
  <c r="P292" i="53"/>
  <c r="P291" i="53"/>
  <c r="P290" i="53"/>
  <c r="P289" i="53"/>
  <c r="P288" i="53"/>
  <c r="P287" i="53"/>
  <c r="P286" i="53"/>
  <c r="P285" i="53"/>
  <c r="P284" i="53"/>
  <c r="P283" i="53"/>
  <c r="P282" i="53"/>
  <c r="P281" i="53"/>
  <c r="P280" i="53"/>
  <c r="P279" i="53"/>
  <c r="P278" i="53"/>
  <c r="P277" i="53"/>
  <c r="P276" i="53"/>
  <c r="P275" i="53"/>
  <c r="P274" i="53"/>
  <c r="P273" i="53"/>
  <c r="P272" i="53"/>
  <c r="P271" i="53"/>
  <c r="P270" i="53"/>
  <c r="P269" i="53"/>
  <c r="P268" i="53"/>
  <c r="P267" i="53"/>
  <c r="P266" i="53"/>
  <c r="P265" i="53"/>
  <c r="P264" i="53"/>
  <c r="P263" i="53"/>
  <c r="P262" i="53"/>
  <c r="P261" i="53"/>
  <c r="P260" i="53"/>
  <c r="P259" i="53"/>
  <c r="P258" i="53"/>
  <c r="P257" i="53"/>
  <c r="P256" i="53"/>
  <c r="P255" i="53"/>
  <c r="P254" i="53"/>
  <c r="P253" i="53"/>
  <c r="P252" i="53"/>
  <c r="P251" i="53"/>
  <c r="P250" i="53"/>
  <c r="P249" i="53"/>
  <c r="P248" i="53"/>
  <c r="P247" i="53"/>
  <c r="P246" i="53"/>
  <c r="P245" i="53"/>
  <c r="P244" i="53"/>
  <c r="P243" i="53"/>
  <c r="P242" i="53"/>
  <c r="P241" i="53"/>
  <c r="P240" i="53"/>
  <c r="P239" i="53"/>
  <c r="P238" i="53"/>
  <c r="P237" i="53"/>
  <c r="P236" i="53"/>
  <c r="P235" i="53"/>
  <c r="P234" i="53"/>
  <c r="P233" i="53"/>
  <c r="P232" i="53"/>
  <c r="P231" i="53"/>
  <c r="P230" i="53"/>
  <c r="P229" i="53"/>
  <c r="P228" i="53"/>
  <c r="P227" i="53"/>
  <c r="P226" i="53"/>
  <c r="P225" i="53"/>
  <c r="P224" i="53"/>
  <c r="P223" i="53"/>
  <c r="P222" i="53"/>
  <c r="P221" i="53"/>
  <c r="P220" i="53"/>
  <c r="P219" i="53"/>
  <c r="P218" i="53"/>
  <c r="P217" i="53"/>
  <c r="P216" i="53"/>
  <c r="P215" i="53"/>
  <c r="P214" i="53"/>
  <c r="P213" i="53"/>
  <c r="P212" i="53"/>
  <c r="P211" i="53"/>
  <c r="P210" i="53"/>
  <c r="P209" i="53"/>
  <c r="P208" i="53"/>
  <c r="P207" i="53"/>
  <c r="P206" i="53"/>
  <c r="P205" i="53"/>
  <c r="P204" i="53"/>
  <c r="P203" i="53"/>
  <c r="P202" i="53"/>
  <c r="P201" i="53"/>
  <c r="P200" i="53"/>
  <c r="P199" i="53"/>
  <c r="P198" i="53"/>
  <c r="P197" i="53"/>
  <c r="P196" i="53"/>
  <c r="P195" i="53"/>
  <c r="P194" i="53"/>
  <c r="P193" i="53"/>
  <c r="P192" i="53"/>
  <c r="P191" i="53"/>
  <c r="P190" i="53"/>
  <c r="P189" i="53"/>
  <c r="P188" i="53"/>
  <c r="P187" i="53"/>
  <c r="P186" i="53"/>
  <c r="P185" i="53"/>
  <c r="P184" i="53"/>
  <c r="P183" i="53"/>
  <c r="P182" i="53"/>
  <c r="P181" i="53"/>
  <c r="P180" i="53"/>
  <c r="P179" i="53"/>
  <c r="P178" i="53"/>
  <c r="P177" i="53"/>
  <c r="P176" i="53"/>
  <c r="P175" i="53"/>
  <c r="P174" i="53"/>
  <c r="P173" i="53"/>
  <c r="P172" i="53"/>
  <c r="P171" i="53"/>
  <c r="P170" i="53"/>
  <c r="P169" i="53"/>
  <c r="P168" i="53"/>
  <c r="P167" i="53"/>
  <c r="P166" i="53"/>
  <c r="P165" i="53"/>
  <c r="P164" i="53"/>
  <c r="P163" i="53"/>
  <c r="P162" i="53"/>
  <c r="P161" i="53"/>
  <c r="P160" i="53"/>
  <c r="P159" i="53"/>
  <c r="P158" i="53"/>
  <c r="P157" i="53"/>
  <c r="P156" i="53"/>
  <c r="P155" i="53"/>
  <c r="P154" i="53"/>
  <c r="P153" i="53"/>
  <c r="P152" i="53"/>
  <c r="P151" i="53"/>
  <c r="P150" i="53"/>
  <c r="P149" i="53"/>
  <c r="P148" i="53"/>
  <c r="P147" i="53"/>
  <c r="P146" i="53"/>
  <c r="P145" i="53"/>
  <c r="P144" i="53"/>
  <c r="P143" i="53"/>
  <c r="P142" i="53"/>
  <c r="P141" i="53"/>
  <c r="P140" i="53"/>
  <c r="P139" i="53"/>
  <c r="P138" i="53"/>
  <c r="P137" i="53"/>
  <c r="P136" i="53"/>
  <c r="P135" i="53"/>
  <c r="P134" i="53"/>
  <c r="P133" i="53"/>
  <c r="P132" i="53"/>
  <c r="P131" i="53"/>
  <c r="P130" i="53"/>
  <c r="P129" i="53"/>
  <c r="P128" i="53"/>
  <c r="P127" i="53"/>
  <c r="P126" i="53"/>
  <c r="P125" i="53"/>
  <c r="P124" i="53"/>
  <c r="P123" i="53"/>
  <c r="P122" i="53"/>
  <c r="P121" i="53"/>
  <c r="P120" i="53"/>
  <c r="P119" i="53"/>
  <c r="P118" i="53"/>
  <c r="P117" i="53"/>
  <c r="P116" i="53"/>
  <c r="P115" i="53"/>
  <c r="P114" i="53"/>
  <c r="P113" i="53"/>
  <c r="P112" i="53"/>
  <c r="P111" i="53"/>
  <c r="P110" i="53"/>
  <c r="P109" i="53"/>
  <c r="P108" i="53"/>
  <c r="P107" i="53"/>
  <c r="P106" i="53"/>
  <c r="P105" i="53"/>
  <c r="P104" i="53"/>
  <c r="P103" i="53"/>
  <c r="P102" i="53"/>
  <c r="P101" i="53"/>
  <c r="P100" i="53"/>
  <c r="P99" i="53"/>
  <c r="P98" i="53"/>
  <c r="P97" i="53"/>
  <c r="P96" i="53"/>
  <c r="P95" i="53"/>
  <c r="P94" i="53"/>
  <c r="P93" i="53"/>
  <c r="P92" i="53"/>
  <c r="P91" i="53"/>
  <c r="P90" i="53"/>
  <c r="P89" i="53"/>
  <c r="P88" i="53"/>
  <c r="P87" i="53"/>
  <c r="P86" i="53"/>
  <c r="P85" i="53"/>
  <c r="P84" i="53"/>
  <c r="P83" i="53"/>
  <c r="P82" i="53"/>
  <c r="P81" i="53"/>
  <c r="P80" i="53"/>
  <c r="P79" i="53"/>
  <c r="P78" i="53"/>
  <c r="P77" i="53"/>
  <c r="P76" i="53"/>
  <c r="P75" i="53"/>
  <c r="P74" i="53"/>
  <c r="P73" i="53"/>
  <c r="P72" i="53"/>
  <c r="P71" i="53"/>
  <c r="P70" i="53"/>
  <c r="P69" i="53"/>
  <c r="P68" i="53"/>
  <c r="P67" i="53"/>
  <c r="P66" i="53"/>
  <c r="P65" i="53"/>
  <c r="P64" i="53"/>
  <c r="P63" i="53"/>
  <c r="P62" i="53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P26" i="53"/>
  <c r="P25" i="53"/>
  <c r="P24" i="53"/>
  <c r="P23" i="53"/>
  <c r="P22" i="53"/>
  <c r="P21" i="53"/>
  <c r="P20" i="53"/>
  <c r="P19" i="53"/>
  <c r="P18" i="53"/>
  <c r="P17" i="53"/>
  <c r="P16" i="53"/>
  <c r="P15" i="53"/>
  <c r="P14" i="53"/>
  <c r="P13" i="53"/>
  <c r="P12" i="53"/>
  <c r="P11" i="53"/>
  <c r="P10" i="53"/>
  <c r="P9" i="53"/>
  <c r="P8" i="53"/>
  <c r="P7" i="53"/>
  <c r="P6" i="53"/>
  <c r="P5" i="53"/>
  <c r="P4" i="53"/>
  <c r="P1719" i="54"/>
  <c r="P1718" i="54"/>
  <c r="P1717" i="54"/>
  <c r="P1716" i="54"/>
  <c r="P1715" i="54"/>
  <c r="P1714" i="54"/>
  <c r="P1713" i="54"/>
  <c r="P1712" i="54"/>
  <c r="P1711" i="54"/>
  <c r="P1710" i="54"/>
  <c r="P1709" i="54"/>
  <c r="P1708" i="54"/>
  <c r="P1707" i="54"/>
  <c r="P1706" i="54"/>
  <c r="P1705" i="54"/>
  <c r="P1704" i="54"/>
  <c r="P1703" i="54"/>
  <c r="P1702" i="54"/>
  <c r="P1701" i="54"/>
  <c r="P1700" i="54"/>
  <c r="P1699" i="54"/>
  <c r="P1698" i="54"/>
  <c r="P1697" i="54"/>
  <c r="P1696" i="54"/>
  <c r="P1695" i="54"/>
  <c r="P1694" i="54"/>
  <c r="P1693" i="54"/>
  <c r="P1692" i="54"/>
  <c r="P1691" i="54"/>
  <c r="P1690" i="54"/>
  <c r="P1689" i="54"/>
  <c r="P1688" i="54"/>
  <c r="P1687" i="54"/>
  <c r="P1686" i="54"/>
  <c r="P1685" i="54"/>
  <c r="P1684" i="54"/>
  <c r="P1683" i="54"/>
  <c r="P1682" i="54"/>
  <c r="P1681" i="54"/>
  <c r="P1680" i="54"/>
  <c r="P1679" i="54"/>
  <c r="P1678" i="54"/>
  <c r="P1677" i="54"/>
  <c r="P1676" i="54"/>
  <c r="P1675" i="54"/>
  <c r="P1674" i="54"/>
  <c r="P1673" i="54"/>
  <c r="P1672" i="54"/>
  <c r="P1671" i="54"/>
  <c r="P1670" i="54"/>
  <c r="P1669" i="54"/>
  <c r="P1668" i="54"/>
  <c r="P1667" i="54"/>
  <c r="P1666" i="54"/>
  <c r="P1665" i="54"/>
  <c r="P1664" i="54"/>
  <c r="P1663" i="54"/>
  <c r="P1662" i="54"/>
  <c r="P1661" i="54"/>
  <c r="P1660" i="54"/>
  <c r="P1659" i="54"/>
  <c r="P1658" i="54"/>
  <c r="P1657" i="54"/>
  <c r="P1656" i="54"/>
  <c r="P1655" i="54"/>
  <c r="P1654" i="54"/>
  <c r="P1653" i="54"/>
  <c r="P1652" i="54"/>
  <c r="P1651" i="54"/>
  <c r="P1650" i="54"/>
  <c r="P1649" i="54"/>
  <c r="P1648" i="54"/>
  <c r="P1647" i="54"/>
  <c r="P1646" i="54"/>
  <c r="P1645" i="54"/>
  <c r="P1644" i="54"/>
  <c r="P1643" i="54"/>
  <c r="P1642" i="54"/>
  <c r="P1641" i="54"/>
  <c r="P1640" i="54"/>
  <c r="P1639" i="54"/>
  <c r="P1638" i="54"/>
  <c r="P1637" i="54"/>
  <c r="P1636" i="54"/>
  <c r="P1635" i="54"/>
  <c r="P1634" i="54"/>
  <c r="P1633" i="54"/>
  <c r="P1632" i="54"/>
  <c r="P1631" i="54"/>
  <c r="P1630" i="54"/>
  <c r="P1629" i="54"/>
  <c r="P1628" i="54"/>
  <c r="P1627" i="54"/>
  <c r="P1626" i="54"/>
  <c r="P1625" i="54"/>
  <c r="P1624" i="54"/>
  <c r="P1623" i="54"/>
  <c r="P1622" i="54"/>
  <c r="P1621" i="54"/>
  <c r="P1620" i="54"/>
  <c r="P1619" i="54"/>
  <c r="P1618" i="54"/>
  <c r="P1617" i="54"/>
  <c r="P1616" i="54"/>
  <c r="P1615" i="54"/>
  <c r="P1614" i="54"/>
  <c r="P1613" i="54"/>
  <c r="P1612" i="54"/>
  <c r="P1611" i="54"/>
  <c r="P1610" i="54"/>
  <c r="P1609" i="54"/>
  <c r="P1608" i="54"/>
  <c r="P1607" i="54"/>
  <c r="P1606" i="54"/>
  <c r="P1605" i="54"/>
  <c r="P1604" i="54"/>
  <c r="P1603" i="54"/>
  <c r="P1602" i="54"/>
  <c r="P1601" i="54"/>
  <c r="P1600" i="54"/>
  <c r="P1599" i="54"/>
  <c r="P1598" i="54"/>
  <c r="P1597" i="54"/>
  <c r="P1596" i="54"/>
  <c r="P1595" i="54"/>
  <c r="P1594" i="54"/>
  <c r="P1593" i="54"/>
  <c r="P1592" i="54"/>
  <c r="P1591" i="54"/>
  <c r="P1590" i="54"/>
  <c r="P1589" i="54"/>
  <c r="P1588" i="54"/>
  <c r="P1587" i="54"/>
  <c r="P1586" i="54"/>
  <c r="P1585" i="54"/>
  <c r="P1584" i="54"/>
  <c r="P1583" i="54"/>
  <c r="P1582" i="54"/>
  <c r="P1581" i="54"/>
  <c r="P1580" i="54"/>
  <c r="P1579" i="54"/>
  <c r="P1578" i="54"/>
  <c r="P1577" i="54"/>
  <c r="P1576" i="54"/>
  <c r="P1575" i="54"/>
  <c r="P1574" i="54"/>
  <c r="P1573" i="54"/>
  <c r="P1572" i="54"/>
  <c r="P1571" i="54"/>
  <c r="P1570" i="54"/>
  <c r="P1569" i="54"/>
  <c r="P1568" i="54"/>
  <c r="P1567" i="54"/>
  <c r="P1566" i="54"/>
  <c r="P1565" i="54"/>
  <c r="P1564" i="54"/>
  <c r="P1563" i="54"/>
  <c r="P1562" i="54"/>
  <c r="P1561" i="54"/>
  <c r="P1560" i="54"/>
  <c r="P1559" i="54"/>
  <c r="P1558" i="54"/>
  <c r="P1557" i="54"/>
  <c r="P1556" i="54"/>
  <c r="P1555" i="54"/>
  <c r="P1554" i="54"/>
  <c r="P1553" i="54"/>
  <c r="P1552" i="54"/>
  <c r="P1551" i="54"/>
  <c r="P1550" i="54"/>
  <c r="P1549" i="54"/>
  <c r="P1548" i="54"/>
  <c r="P1547" i="54"/>
  <c r="P1546" i="54"/>
  <c r="P1545" i="54"/>
  <c r="P1544" i="54"/>
  <c r="P1543" i="54"/>
  <c r="P1542" i="54"/>
  <c r="P1541" i="54"/>
  <c r="P1540" i="54"/>
  <c r="P1539" i="54"/>
  <c r="P1538" i="54"/>
  <c r="P1537" i="54"/>
  <c r="P1536" i="54"/>
  <c r="P1535" i="54"/>
  <c r="P1534" i="54"/>
  <c r="P1533" i="54"/>
  <c r="P1532" i="54"/>
  <c r="P1531" i="54"/>
  <c r="P1530" i="54"/>
  <c r="P1529" i="54"/>
  <c r="P1528" i="54"/>
  <c r="P1527" i="54"/>
  <c r="P1526" i="54"/>
  <c r="P1525" i="54"/>
  <c r="P1524" i="54"/>
  <c r="P1523" i="54"/>
  <c r="P1522" i="54"/>
  <c r="P1521" i="54"/>
  <c r="P1520" i="54"/>
  <c r="P1519" i="54"/>
  <c r="P1518" i="54"/>
  <c r="P1517" i="54"/>
  <c r="P1516" i="54"/>
  <c r="P1515" i="54"/>
  <c r="P1514" i="54"/>
  <c r="P1513" i="54"/>
  <c r="P1512" i="54"/>
  <c r="P1511" i="54"/>
  <c r="P1510" i="54"/>
  <c r="P1509" i="54"/>
  <c r="P1508" i="54"/>
  <c r="P1507" i="54"/>
  <c r="P1506" i="54"/>
  <c r="P1505" i="54"/>
  <c r="P1504" i="54"/>
  <c r="P1503" i="54"/>
  <c r="P1502" i="54"/>
  <c r="P1501" i="54"/>
  <c r="P1500" i="54"/>
  <c r="P1499" i="54"/>
  <c r="P1498" i="54"/>
  <c r="P1497" i="54"/>
  <c r="P1496" i="54"/>
  <c r="P1495" i="54"/>
  <c r="P1494" i="54"/>
  <c r="P1493" i="54"/>
  <c r="P1492" i="54"/>
  <c r="P1491" i="54"/>
  <c r="P1490" i="54"/>
  <c r="P1489" i="54"/>
  <c r="P1488" i="54"/>
  <c r="P1487" i="54"/>
  <c r="P1486" i="54"/>
  <c r="P1485" i="54"/>
  <c r="P1484" i="54"/>
  <c r="P1483" i="54"/>
  <c r="P1482" i="54"/>
  <c r="P1481" i="54"/>
  <c r="P1480" i="54"/>
  <c r="P1479" i="54"/>
  <c r="P1478" i="54"/>
  <c r="P1477" i="54"/>
  <c r="P1476" i="54"/>
  <c r="P1475" i="54"/>
  <c r="P1474" i="54"/>
  <c r="P1473" i="54"/>
  <c r="P1472" i="54"/>
  <c r="P1471" i="54"/>
  <c r="P1470" i="54"/>
  <c r="P1469" i="54"/>
  <c r="P1468" i="54"/>
  <c r="P1467" i="54"/>
  <c r="P1466" i="54"/>
  <c r="P1465" i="54"/>
  <c r="P1464" i="54"/>
  <c r="P1463" i="54"/>
  <c r="P1462" i="54"/>
  <c r="P1461" i="54"/>
  <c r="P1460" i="54"/>
  <c r="P1459" i="54"/>
  <c r="P1458" i="54"/>
  <c r="P1457" i="54"/>
  <c r="P1456" i="54"/>
  <c r="P1455" i="54"/>
  <c r="P1454" i="54"/>
  <c r="P1453" i="54"/>
  <c r="P1452" i="54"/>
  <c r="P1451" i="54"/>
  <c r="P1450" i="54"/>
  <c r="P1449" i="54"/>
  <c r="P1448" i="54"/>
  <c r="P1447" i="54"/>
  <c r="P1446" i="54"/>
  <c r="P1445" i="54"/>
  <c r="P1444" i="54"/>
  <c r="P1443" i="54"/>
  <c r="P1442" i="54"/>
  <c r="P1441" i="54"/>
  <c r="P1440" i="54"/>
  <c r="P1439" i="54"/>
  <c r="P1438" i="54"/>
  <c r="P1437" i="54"/>
  <c r="P1436" i="54"/>
  <c r="P1435" i="54"/>
  <c r="P1434" i="54"/>
  <c r="P1433" i="54"/>
  <c r="P1432" i="54"/>
  <c r="P1431" i="54"/>
  <c r="P1430" i="54"/>
  <c r="P1429" i="54"/>
  <c r="P1428" i="54"/>
  <c r="P1427" i="54"/>
  <c r="P1426" i="54"/>
  <c r="P1425" i="54"/>
  <c r="P1424" i="54"/>
  <c r="P1423" i="54"/>
  <c r="P1422" i="54"/>
  <c r="P1421" i="54"/>
  <c r="P1420" i="54"/>
  <c r="P1419" i="54"/>
  <c r="P1418" i="54"/>
  <c r="P1417" i="54"/>
  <c r="P1416" i="54"/>
  <c r="P1415" i="54"/>
  <c r="P1414" i="54"/>
  <c r="P1413" i="54"/>
  <c r="P1412" i="54"/>
  <c r="P1411" i="54"/>
  <c r="P1410" i="54"/>
  <c r="P1409" i="54"/>
  <c r="P1408" i="54"/>
  <c r="P1407" i="54"/>
  <c r="P1406" i="54"/>
  <c r="P1405" i="54"/>
  <c r="P1404" i="54"/>
  <c r="P1403" i="54"/>
  <c r="P1402" i="54"/>
  <c r="P1401" i="54"/>
  <c r="P1400" i="54"/>
  <c r="P1399" i="54"/>
  <c r="P1398" i="54"/>
  <c r="P1397" i="54"/>
  <c r="P1396" i="54"/>
  <c r="P1395" i="54"/>
  <c r="P1394" i="54"/>
  <c r="P1393" i="54"/>
  <c r="P1392" i="54"/>
  <c r="P1391" i="54"/>
  <c r="P1390" i="54"/>
  <c r="P1389" i="54"/>
  <c r="P1388" i="54"/>
  <c r="P1387" i="54"/>
  <c r="P1386" i="54"/>
  <c r="P1385" i="54"/>
  <c r="P1384" i="54"/>
  <c r="P1383" i="54"/>
  <c r="P1382" i="54"/>
  <c r="P1381" i="54"/>
  <c r="P1380" i="54"/>
  <c r="P1379" i="54"/>
  <c r="P1378" i="54"/>
  <c r="P1377" i="54"/>
  <c r="P1376" i="54"/>
  <c r="P1375" i="54"/>
  <c r="P1374" i="54"/>
  <c r="P1373" i="54"/>
  <c r="P1372" i="54"/>
  <c r="P1371" i="54"/>
  <c r="P1370" i="54"/>
  <c r="P1369" i="54"/>
  <c r="P1368" i="54"/>
  <c r="P1367" i="54"/>
  <c r="P1366" i="54"/>
  <c r="P1365" i="54"/>
  <c r="P1364" i="54"/>
  <c r="P1363" i="54"/>
  <c r="P1362" i="54"/>
  <c r="P1361" i="54"/>
  <c r="P1360" i="54"/>
  <c r="P1359" i="54"/>
  <c r="P1358" i="54"/>
  <c r="P1357" i="54"/>
  <c r="P1356" i="54"/>
  <c r="P1355" i="54"/>
  <c r="P1354" i="54"/>
  <c r="P1353" i="54"/>
  <c r="P1352" i="54"/>
  <c r="P1351" i="54"/>
  <c r="P1350" i="54"/>
  <c r="P1349" i="54"/>
  <c r="P1348" i="54"/>
  <c r="P1347" i="54"/>
  <c r="P1346" i="54"/>
  <c r="P1345" i="54"/>
  <c r="P1344" i="54"/>
  <c r="P1343" i="54"/>
  <c r="P1342" i="54"/>
  <c r="P1341" i="54"/>
  <c r="P1340" i="54"/>
  <c r="P1339" i="54"/>
  <c r="P1338" i="54"/>
  <c r="P1337" i="54"/>
  <c r="P1336" i="54"/>
  <c r="P1335" i="54"/>
  <c r="P1334" i="54"/>
  <c r="P1333" i="54"/>
  <c r="P1332" i="54"/>
  <c r="P1331" i="54"/>
  <c r="P1330" i="54"/>
  <c r="P1329" i="54"/>
  <c r="P1328" i="54"/>
  <c r="P1327" i="54"/>
  <c r="P1326" i="54"/>
  <c r="P1325" i="54"/>
  <c r="P1324" i="54"/>
  <c r="P1323" i="54"/>
  <c r="P1322" i="54"/>
  <c r="P1321" i="54"/>
  <c r="P1320" i="54"/>
  <c r="P1319" i="54"/>
  <c r="P1318" i="54"/>
  <c r="P1317" i="54"/>
  <c r="P1316" i="54"/>
  <c r="P1315" i="54"/>
  <c r="P1314" i="54"/>
  <c r="P1313" i="54"/>
  <c r="P1312" i="54"/>
  <c r="P1311" i="54"/>
  <c r="P1310" i="54"/>
  <c r="P1309" i="54"/>
  <c r="P1308" i="54"/>
  <c r="P1307" i="54"/>
  <c r="P1306" i="54"/>
  <c r="P1305" i="54"/>
  <c r="P1304" i="54"/>
  <c r="P1303" i="54"/>
  <c r="P1302" i="54"/>
  <c r="P1301" i="54"/>
  <c r="P1300" i="54"/>
  <c r="P1299" i="54"/>
  <c r="P1298" i="54"/>
  <c r="P1297" i="54"/>
  <c r="P1296" i="54"/>
  <c r="P1295" i="54"/>
  <c r="P1294" i="54"/>
  <c r="P1293" i="54"/>
  <c r="P1292" i="54"/>
  <c r="P1291" i="54"/>
  <c r="P1290" i="54"/>
  <c r="P1289" i="54"/>
  <c r="P1288" i="54"/>
  <c r="P1287" i="54"/>
  <c r="P1286" i="54"/>
  <c r="P1285" i="54"/>
  <c r="P1284" i="54"/>
  <c r="P1283" i="54"/>
  <c r="P1282" i="54"/>
  <c r="P1281" i="54"/>
  <c r="P1280" i="54"/>
  <c r="P1279" i="54"/>
  <c r="P1278" i="54"/>
  <c r="P1277" i="54"/>
  <c r="P1276" i="54"/>
  <c r="P1275" i="54"/>
  <c r="P1274" i="54"/>
  <c r="P1273" i="54"/>
  <c r="P1272" i="54"/>
  <c r="P1271" i="54"/>
  <c r="P1270" i="54"/>
  <c r="P1269" i="54"/>
  <c r="P1268" i="54"/>
  <c r="P1267" i="54"/>
  <c r="P1266" i="54"/>
  <c r="P1265" i="54"/>
  <c r="P1264" i="54"/>
  <c r="P1263" i="54"/>
  <c r="P1262" i="54"/>
  <c r="P1261" i="54"/>
  <c r="P1260" i="54"/>
  <c r="P1259" i="54"/>
  <c r="P1258" i="54"/>
  <c r="P1257" i="54"/>
  <c r="P1256" i="54"/>
  <c r="P1255" i="54"/>
  <c r="P1254" i="54"/>
  <c r="P1253" i="54"/>
  <c r="P1252" i="54"/>
  <c r="P1251" i="54"/>
  <c r="P1250" i="54"/>
  <c r="P1249" i="54"/>
  <c r="P1248" i="54"/>
  <c r="P1247" i="54"/>
  <c r="P1246" i="54"/>
  <c r="P1245" i="54"/>
  <c r="P1244" i="54"/>
  <c r="P1243" i="54"/>
  <c r="P1242" i="54"/>
  <c r="P1241" i="54"/>
  <c r="P1240" i="54"/>
  <c r="P1239" i="54"/>
  <c r="P1238" i="54"/>
  <c r="P1237" i="54"/>
  <c r="P1236" i="54"/>
  <c r="P1235" i="54"/>
  <c r="P1234" i="54"/>
  <c r="P1233" i="54"/>
  <c r="P1232" i="54"/>
  <c r="P1231" i="54"/>
  <c r="P1230" i="54"/>
  <c r="P1229" i="54"/>
  <c r="P1228" i="54"/>
  <c r="P1227" i="54"/>
  <c r="P1226" i="54"/>
  <c r="P1225" i="54"/>
  <c r="P1224" i="54"/>
  <c r="P1223" i="54"/>
  <c r="P1222" i="54"/>
  <c r="P1221" i="54"/>
  <c r="P1220" i="54"/>
  <c r="P1219" i="54"/>
  <c r="P1218" i="54"/>
  <c r="P1217" i="54"/>
  <c r="P1216" i="54"/>
  <c r="P1215" i="54"/>
  <c r="P1214" i="54"/>
  <c r="P1213" i="54"/>
  <c r="P1212" i="54"/>
  <c r="P1211" i="54"/>
  <c r="P1210" i="54"/>
  <c r="P1209" i="54"/>
  <c r="P1208" i="54"/>
  <c r="P1207" i="54"/>
  <c r="P1206" i="54"/>
  <c r="P1205" i="54"/>
  <c r="P1204" i="54"/>
  <c r="P1203" i="54"/>
  <c r="P1202" i="54"/>
  <c r="P1201" i="54"/>
  <c r="P1200" i="54"/>
  <c r="P1199" i="54"/>
  <c r="P1198" i="54"/>
  <c r="P1197" i="54"/>
  <c r="P1196" i="54"/>
  <c r="P1195" i="54"/>
  <c r="P1194" i="54"/>
  <c r="P1193" i="54"/>
  <c r="P1192" i="54"/>
  <c r="P1191" i="54"/>
  <c r="P1190" i="54"/>
  <c r="P1189" i="54"/>
  <c r="P1188" i="54"/>
  <c r="P1187" i="54"/>
  <c r="P1186" i="54"/>
  <c r="P1185" i="54"/>
  <c r="P1184" i="54"/>
  <c r="P1183" i="54"/>
  <c r="P1182" i="54"/>
  <c r="P1181" i="54"/>
  <c r="P1180" i="54"/>
  <c r="P1179" i="54"/>
  <c r="P1178" i="54"/>
  <c r="P1177" i="54"/>
  <c r="P1176" i="54"/>
  <c r="P1175" i="54"/>
  <c r="P1174" i="54"/>
  <c r="P1173" i="54"/>
  <c r="P1172" i="54"/>
  <c r="P1171" i="54"/>
  <c r="P1170" i="54"/>
  <c r="P1169" i="54"/>
  <c r="P1168" i="54"/>
  <c r="P1167" i="54"/>
  <c r="P1166" i="54"/>
  <c r="P1165" i="54"/>
  <c r="P1164" i="54"/>
  <c r="P1163" i="54"/>
  <c r="P1162" i="54"/>
  <c r="P1161" i="54"/>
  <c r="P1160" i="54"/>
  <c r="P1159" i="54"/>
  <c r="P1158" i="54"/>
  <c r="P1157" i="54"/>
  <c r="P1156" i="54"/>
  <c r="P1155" i="54"/>
  <c r="P1154" i="54"/>
  <c r="P1153" i="54"/>
  <c r="P1152" i="54"/>
  <c r="P1151" i="54"/>
  <c r="P1150" i="54"/>
  <c r="P1149" i="54"/>
  <c r="P1148" i="54"/>
  <c r="P1147" i="54"/>
  <c r="P1146" i="54"/>
  <c r="P1145" i="54"/>
  <c r="P1144" i="54"/>
  <c r="P1143" i="54"/>
  <c r="P1142" i="54"/>
  <c r="P1141" i="54"/>
  <c r="P1140" i="54"/>
  <c r="P1139" i="54"/>
  <c r="P1138" i="54"/>
  <c r="P1137" i="54"/>
  <c r="P1136" i="54"/>
  <c r="P1135" i="54"/>
  <c r="P1134" i="54"/>
  <c r="P1133" i="54"/>
  <c r="P1132" i="54"/>
  <c r="P1131" i="54"/>
  <c r="P1130" i="54"/>
  <c r="P1129" i="54"/>
  <c r="P1128" i="54"/>
  <c r="P1127" i="54"/>
  <c r="P1126" i="54"/>
  <c r="P1125" i="54"/>
  <c r="P1124" i="54"/>
  <c r="P1123" i="54"/>
  <c r="P1122" i="54"/>
  <c r="P1121" i="54"/>
  <c r="P1120" i="54"/>
  <c r="P1119" i="54"/>
  <c r="P1118" i="54"/>
  <c r="P1117" i="54"/>
  <c r="P1116" i="54"/>
  <c r="P1115" i="54"/>
  <c r="P1114" i="54"/>
  <c r="P1113" i="54"/>
  <c r="P1112" i="54"/>
  <c r="P1111" i="54"/>
  <c r="P1110" i="54"/>
  <c r="P1109" i="54"/>
  <c r="P1108" i="54"/>
  <c r="P1107" i="54"/>
  <c r="P1106" i="54"/>
  <c r="P1105" i="54"/>
  <c r="P1104" i="54"/>
  <c r="P1103" i="54"/>
  <c r="P1102" i="54"/>
  <c r="P1101" i="54"/>
  <c r="P1100" i="54"/>
  <c r="P1099" i="54"/>
  <c r="P1098" i="54"/>
  <c r="P1097" i="54"/>
  <c r="P1096" i="54"/>
  <c r="P1095" i="54"/>
  <c r="P1094" i="54"/>
  <c r="P1093" i="54"/>
  <c r="P1092" i="54"/>
  <c r="P1091" i="54"/>
  <c r="P1090" i="54"/>
  <c r="P1089" i="54"/>
  <c r="P1088" i="54"/>
  <c r="P1087" i="54"/>
  <c r="P1086" i="54"/>
  <c r="P1085" i="54"/>
  <c r="P1084" i="54"/>
  <c r="P1083" i="54"/>
  <c r="P1082" i="54"/>
  <c r="P1081" i="54"/>
  <c r="P1080" i="54"/>
  <c r="P1079" i="54"/>
  <c r="P1078" i="54"/>
  <c r="P1077" i="54"/>
  <c r="P1076" i="54"/>
  <c r="P1075" i="54"/>
  <c r="P1074" i="54"/>
  <c r="P1073" i="54"/>
  <c r="P1072" i="54"/>
  <c r="P1071" i="54"/>
  <c r="P1070" i="54"/>
  <c r="P1069" i="54"/>
  <c r="P1068" i="54"/>
  <c r="P1067" i="54"/>
  <c r="P1066" i="54"/>
  <c r="P1065" i="54"/>
  <c r="P1064" i="54"/>
  <c r="P1063" i="54"/>
  <c r="P1062" i="54"/>
  <c r="P1061" i="54"/>
  <c r="P1060" i="54"/>
  <c r="P1059" i="54"/>
  <c r="P1058" i="54"/>
  <c r="P1057" i="54"/>
  <c r="P1056" i="54"/>
  <c r="P1055" i="54"/>
  <c r="P1054" i="54"/>
  <c r="P1053" i="54"/>
  <c r="P1052" i="54"/>
  <c r="P1051" i="54"/>
  <c r="P1050" i="54"/>
  <c r="P1049" i="54"/>
  <c r="P1048" i="54"/>
  <c r="P1047" i="54"/>
  <c r="P1046" i="54"/>
  <c r="P1045" i="54"/>
  <c r="P1044" i="54"/>
  <c r="P1043" i="54"/>
  <c r="P1042" i="54"/>
  <c r="P1041" i="54"/>
  <c r="P1040" i="54"/>
  <c r="P1039" i="54"/>
  <c r="P1038" i="54"/>
  <c r="P1037" i="54"/>
  <c r="P1036" i="54"/>
  <c r="P1035" i="54"/>
  <c r="P1034" i="54"/>
  <c r="P1033" i="54"/>
  <c r="P1032" i="54"/>
  <c r="P1031" i="54"/>
  <c r="P1030" i="54"/>
  <c r="P1029" i="54"/>
  <c r="P1028" i="54"/>
  <c r="P1027" i="54"/>
  <c r="P1026" i="54"/>
  <c r="P1025" i="54"/>
  <c r="P1024" i="54"/>
  <c r="P1023" i="54"/>
  <c r="P1022" i="54"/>
  <c r="P1021" i="54"/>
  <c r="P1020" i="54"/>
  <c r="P1019" i="54"/>
  <c r="P1018" i="54"/>
  <c r="P1017" i="54"/>
  <c r="P1016" i="54"/>
  <c r="P1015" i="54"/>
  <c r="P1014" i="54"/>
  <c r="P1013" i="54"/>
  <c r="P1012" i="54"/>
  <c r="P1011" i="54"/>
  <c r="P1010" i="54"/>
  <c r="P1009" i="54"/>
  <c r="P1008" i="54"/>
  <c r="P1007" i="54"/>
  <c r="P1006" i="54"/>
  <c r="P1005" i="54"/>
  <c r="P1004" i="54"/>
  <c r="P1003" i="54"/>
  <c r="P1002" i="54"/>
  <c r="P1001" i="54"/>
  <c r="P1000" i="54"/>
  <c r="P999" i="54"/>
  <c r="P998" i="54"/>
  <c r="P997" i="54"/>
  <c r="P996" i="54"/>
  <c r="P995" i="54"/>
  <c r="P994" i="54"/>
  <c r="P993" i="54"/>
  <c r="P992" i="54"/>
  <c r="P991" i="54"/>
  <c r="P990" i="54"/>
  <c r="P989" i="54"/>
  <c r="P988" i="54"/>
  <c r="P987" i="54"/>
  <c r="P986" i="54"/>
  <c r="P985" i="54"/>
  <c r="P984" i="54"/>
  <c r="P983" i="54"/>
  <c r="P982" i="54"/>
  <c r="P981" i="54"/>
  <c r="P980" i="54"/>
  <c r="P979" i="54"/>
  <c r="P978" i="54"/>
  <c r="P977" i="54"/>
  <c r="P976" i="54"/>
  <c r="P975" i="54"/>
  <c r="P974" i="54"/>
  <c r="P973" i="54"/>
  <c r="P972" i="54"/>
  <c r="P971" i="54"/>
  <c r="P970" i="54"/>
  <c r="P969" i="54"/>
  <c r="P968" i="54"/>
  <c r="P967" i="54"/>
  <c r="P966" i="54"/>
  <c r="P965" i="54"/>
  <c r="P964" i="54"/>
  <c r="P963" i="54"/>
  <c r="P962" i="54"/>
  <c r="P961" i="54"/>
  <c r="P960" i="54"/>
  <c r="P959" i="54"/>
  <c r="P958" i="54"/>
  <c r="P957" i="54"/>
  <c r="P956" i="54"/>
  <c r="P955" i="54"/>
  <c r="P954" i="54"/>
  <c r="P953" i="54"/>
  <c r="P952" i="54"/>
  <c r="P951" i="54"/>
  <c r="P950" i="54"/>
  <c r="P949" i="54"/>
  <c r="P948" i="54"/>
  <c r="P947" i="54"/>
  <c r="P946" i="54"/>
  <c r="P945" i="54"/>
  <c r="P944" i="54"/>
  <c r="P943" i="54"/>
  <c r="P942" i="54"/>
  <c r="P941" i="54"/>
  <c r="P940" i="54"/>
  <c r="P939" i="54"/>
  <c r="P938" i="54"/>
  <c r="P937" i="54"/>
  <c r="P936" i="54"/>
  <c r="P935" i="54"/>
  <c r="P934" i="54"/>
  <c r="P933" i="54"/>
  <c r="P932" i="54"/>
  <c r="P931" i="54"/>
  <c r="P930" i="54"/>
  <c r="P929" i="54"/>
  <c r="P928" i="54"/>
  <c r="P927" i="54"/>
  <c r="P926" i="54"/>
  <c r="P925" i="54"/>
  <c r="P924" i="54"/>
  <c r="P923" i="54"/>
  <c r="P922" i="54"/>
  <c r="P921" i="54"/>
  <c r="P920" i="54"/>
  <c r="P919" i="54"/>
  <c r="P918" i="54"/>
  <c r="P917" i="54"/>
  <c r="P916" i="54"/>
  <c r="P915" i="54"/>
  <c r="P914" i="54"/>
  <c r="P913" i="54"/>
  <c r="P912" i="54"/>
  <c r="P911" i="54"/>
  <c r="P910" i="54"/>
  <c r="P909" i="54"/>
  <c r="P908" i="54"/>
  <c r="P907" i="54"/>
  <c r="P906" i="54"/>
  <c r="P905" i="54"/>
  <c r="P904" i="54"/>
  <c r="P903" i="54"/>
  <c r="P902" i="54"/>
  <c r="P901" i="54"/>
  <c r="P900" i="54"/>
  <c r="P899" i="54"/>
  <c r="P898" i="54"/>
  <c r="P897" i="54"/>
  <c r="P896" i="54"/>
  <c r="P895" i="54"/>
  <c r="P894" i="54"/>
  <c r="P893" i="54"/>
  <c r="P892" i="54"/>
  <c r="P891" i="54"/>
  <c r="P890" i="54"/>
  <c r="P889" i="54"/>
  <c r="P888" i="54"/>
  <c r="P887" i="54"/>
  <c r="P886" i="54"/>
  <c r="P885" i="54"/>
  <c r="P884" i="54"/>
  <c r="P883" i="54"/>
  <c r="P882" i="54"/>
  <c r="P881" i="54"/>
  <c r="P880" i="54"/>
  <c r="P879" i="54"/>
  <c r="P878" i="54"/>
  <c r="P877" i="54"/>
  <c r="P876" i="54"/>
  <c r="P875" i="54"/>
  <c r="P874" i="54"/>
  <c r="P873" i="54"/>
  <c r="P872" i="54"/>
  <c r="P871" i="54"/>
  <c r="P870" i="54"/>
  <c r="P869" i="54"/>
  <c r="P868" i="54"/>
  <c r="P867" i="54"/>
  <c r="P866" i="54"/>
  <c r="P865" i="54"/>
  <c r="P864" i="54"/>
  <c r="P863" i="54"/>
  <c r="P862" i="54"/>
  <c r="P861" i="54"/>
  <c r="P860" i="54"/>
  <c r="P859" i="54"/>
  <c r="P858" i="54"/>
  <c r="P857" i="54"/>
  <c r="P856" i="54"/>
  <c r="P855" i="54"/>
  <c r="P854" i="54"/>
  <c r="P853" i="54"/>
  <c r="P852" i="54"/>
  <c r="P851" i="54"/>
  <c r="P850" i="54"/>
  <c r="P849" i="54"/>
  <c r="P848" i="54"/>
  <c r="P847" i="54"/>
  <c r="P846" i="54"/>
  <c r="P845" i="54"/>
  <c r="P844" i="54"/>
  <c r="P843" i="54"/>
  <c r="P842" i="54"/>
  <c r="P841" i="54"/>
  <c r="P840" i="54"/>
  <c r="P839" i="54"/>
  <c r="P838" i="54"/>
  <c r="P837" i="54"/>
  <c r="P836" i="54"/>
  <c r="P835" i="54"/>
  <c r="P834" i="54"/>
  <c r="P833" i="54"/>
  <c r="P832" i="54"/>
  <c r="P831" i="54"/>
  <c r="P830" i="54"/>
  <c r="P829" i="54"/>
  <c r="P828" i="54"/>
  <c r="P827" i="54"/>
  <c r="P826" i="54"/>
  <c r="P825" i="54"/>
  <c r="P824" i="54"/>
  <c r="P823" i="54"/>
  <c r="P822" i="54"/>
  <c r="P821" i="54"/>
  <c r="P820" i="54"/>
  <c r="P819" i="54"/>
  <c r="P818" i="54"/>
  <c r="P817" i="54"/>
  <c r="P816" i="54"/>
  <c r="P815" i="54"/>
  <c r="P814" i="54"/>
  <c r="P813" i="54"/>
  <c r="P812" i="54"/>
  <c r="P811" i="54"/>
  <c r="P810" i="54"/>
  <c r="P809" i="54"/>
  <c r="P808" i="54"/>
  <c r="P807" i="54"/>
  <c r="P806" i="54"/>
  <c r="P805" i="54"/>
  <c r="P804" i="54"/>
  <c r="P803" i="54"/>
  <c r="P802" i="54"/>
  <c r="P801" i="54"/>
  <c r="P800" i="54"/>
  <c r="P799" i="54"/>
  <c r="P798" i="54"/>
  <c r="P797" i="54"/>
  <c r="P796" i="54"/>
  <c r="P795" i="54"/>
  <c r="P794" i="54"/>
  <c r="P793" i="54"/>
  <c r="P792" i="54"/>
  <c r="P791" i="54"/>
  <c r="P790" i="54"/>
  <c r="P789" i="54"/>
  <c r="P788" i="54"/>
  <c r="P787" i="54"/>
  <c r="P786" i="54"/>
  <c r="P785" i="54"/>
  <c r="P784" i="54"/>
  <c r="P783" i="54"/>
  <c r="P782" i="54"/>
  <c r="P781" i="54"/>
  <c r="P780" i="54"/>
  <c r="P779" i="54"/>
  <c r="P778" i="54"/>
  <c r="P777" i="54"/>
  <c r="P776" i="54"/>
  <c r="P775" i="54"/>
  <c r="P774" i="54"/>
  <c r="P773" i="54"/>
  <c r="P772" i="54"/>
  <c r="P771" i="54"/>
  <c r="P770" i="54"/>
  <c r="P769" i="54"/>
  <c r="P768" i="54"/>
  <c r="P767" i="54"/>
  <c r="P766" i="54"/>
  <c r="P765" i="54"/>
  <c r="P764" i="54"/>
  <c r="P763" i="54"/>
  <c r="P762" i="54"/>
  <c r="P761" i="54"/>
  <c r="P760" i="54"/>
  <c r="P759" i="54"/>
  <c r="P758" i="54"/>
  <c r="P757" i="54"/>
  <c r="P756" i="54"/>
  <c r="P755" i="54"/>
  <c r="P754" i="54"/>
  <c r="P753" i="54"/>
  <c r="P752" i="54"/>
  <c r="P751" i="54"/>
  <c r="P750" i="54"/>
  <c r="P749" i="54"/>
  <c r="P748" i="54"/>
  <c r="P747" i="54"/>
  <c r="P746" i="54"/>
  <c r="P745" i="54"/>
  <c r="P744" i="54"/>
  <c r="P743" i="54"/>
  <c r="P742" i="54"/>
  <c r="P741" i="54"/>
  <c r="P740" i="54"/>
  <c r="P739" i="54"/>
  <c r="P738" i="54"/>
  <c r="P737" i="54"/>
  <c r="P736" i="54"/>
  <c r="P735" i="54"/>
  <c r="P734" i="54"/>
  <c r="P733" i="54"/>
  <c r="P732" i="54"/>
  <c r="P731" i="54"/>
  <c r="P730" i="54"/>
  <c r="P729" i="54"/>
  <c r="P728" i="54"/>
  <c r="P727" i="54"/>
  <c r="P726" i="54"/>
  <c r="P725" i="54"/>
  <c r="P724" i="54"/>
  <c r="P723" i="54"/>
  <c r="P722" i="54"/>
  <c r="P721" i="54"/>
  <c r="P720" i="54"/>
  <c r="P719" i="54"/>
  <c r="P718" i="54"/>
  <c r="P717" i="54"/>
  <c r="P716" i="54"/>
  <c r="P715" i="54"/>
  <c r="P714" i="54"/>
  <c r="P713" i="54"/>
  <c r="P712" i="54"/>
  <c r="P711" i="54"/>
  <c r="P710" i="54"/>
  <c r="P709" i="54"/>
  <c r="P708" i="54"/>
  <c r="P707" i="54"/>
  <c r="P706" i="54"/>
  <c r="P705" i="54"/>
  <c r="P704" i="54"/>
  <c r="P703" i="54"/>
  <c r="P702" i="54"/>
  <c r="P701" i="54"/>
  <c r="P700" i="54"/>
  <c r="P699" i="54"/>
  <c r="P698" i="54"/>
  <c r="P697" i="54"/>
  <c r="P696" i="54"/>
  <c r="P695" i="54"/>
  <c r="P694" i="54"/>
  <c r="P693" i="54"/>
  <c r="P692" i="54"/>
  <c r="P691" i="54"/>
  <c r="P690" i="54"/>
  <c r="P689" i="54"/>
  <c r="P688" i="54"/>
  <c r="P687" i="54"/>
  <c r="P686" i="54"/>
  <c r="P685" i="54"/>
  <c r="P684" i="54"/>
  <c r="P683" i="54"/>
  <c r="P682" i="54"/>
  <c r="P681" i="54"/>
  <c r="P680" i="54"/>
  <c r="P679" i="54"/>
  <c r="P678" i="54"/>
  <c r="P677" i="54"/>
  <c r="P676" i="54"/>
  <c r="P675" i="54"/>
  <c r="P674" i="54"/>
  <c r="P673" i="54"/>
  <c r="P672" i="54"/>
  <c r="P671" i="54"/>
  <c r="P670" i="54"/>
  <c r="P669" i="54"/>
  <c r="P668" i="54"/>
  <c r="P667" i="54"/>
  <c r="P666" i="54"/>
  <c r="P665" i="54"/>
  <c r="P664" i="54"/>
  <c r="P663" i="54"/>
  <c r="P662" i="54"/>
  <c r="P661" i="54"/>
  <c r="P660" i="54"/>
  <c r="P659" i="54"/>
  <c r="P658" i="54"/>
  <c r="P657" i="54"/>
  <c r="P656" i="54"/>
  <c r="P655" i="54"/>
  <c r="P654" i="54"/>
  <c r="P653" i="54"/>
  <c r="P652" i="54"/>
  <c r="P651" i="54"/>
  <c r="P650" i="54"/>
  <c r="P649" i="54"/>
  <c r="P648" i="54"/>
  <c r="P647" i="54"/>
  <c r="P646" i="54"/>
  <c r="P645" i="54"/>
  <c r="P644" i="54"/>
  <c r="P643" i="54"/>
  <c r="P642" i="54"/>
  <c r="P641" i="54"/>
  <c r="P640" i="54"/>
  <c r="P639" i="54"/>
  <c r="P638" i="54"/>
  <c r="P637" i="54"/>
  <c r="P636" i="54"/>
  <c r="P635" i="54"/>
  <c r="P634" i="54"/>
  <c r="P633" i="54"/>
  <c r="P632" i="54"/>
  <c r="P631" i="54"/>
  <c r="P630" i="54"/>
  <c r="P629" i="54"/>
  <c r="P628" i="54"/>
  <c r="P627" i="54"/>
  <c r="P626" i="54"/>
  <c r="P625" i="54"/>
  <c r="P624" i="54"/>
  <c r="P623" i="54"/>
  <c r="P622" i="54"/>
  <c r="P621" i="54"/>
  <c r="P620" i="54"/>
  <c r="P619" i="54"/>
  <c r="P618" i="54"/>
  <c r="P617" i="54"/>
  <c r="P616" i="54"/>
  <c r="P615" i="54"/>
  <c r="P614" i="54"/>
  <c r="P613" i="54"/>
  <c r="P612" i="54"/>
  <c r="P611" i="54"/>
  <c r="P610" i="54"/>
  <c r="P609" i="54"/>
  <c r="P608" i="54"/>
  <c r="P607" i="54"/>
  <c r="P606" i="54"/>
  <c r="P605" i="54"/>
  <c r="P604" i="54"/>
  <c r="P603" i="54"/>
  <c r="P602" i="54"/>
  <c r="P601" i="54"/>
  <c r="P600" i="54"/>
  <c r="P599" i="54"/>
  <c r="P598" i="54"/>
  <c r="P597" i="54"/>
  <c r="P596" i="54"/>
  <c r="P595" i="54"/>
  <c r="P594" i="54"/>
  <c r="P593" i="54"/>
  <c r="P592" i="54"/>
  <c r="P591" i="54"/>
  <c r="P590" i="54"/>
  <c r="P589" i="54"/>
  <c r="P588" i="54"/>
  <c r="P587" i="54"/>
  <c r="P586" i="54"/>
  <c r="P585" i="54"/>
  <c r="P584" i="54"/>
  <c r="P583" i="54"/>
  <c r="P582" i="54"/>
  <c r="P581" i="54"/>
  <c r="P580" i="54"/>
  <c r="P579" i="54"/>
  <c r="P578" i="54"/>
  <c r="P577" i="54"/>
  <c r="P576" i="54"/>
  <c r="P575" i="54"/>
  <c r="P574" i="54"/>
  <c r="P573" i="54"/>
  <c r="P572" i="54"/>
  <c r="P571" i="54"/>
  <c r="P570" i="54"/>
  <c r="P569" i="54"/>
  <c r="P568" i="54"/>
  <c r="P567" i="54"/>
  <c r="P566" i="54"/>
  <c r="P565" i="54"/>
  <c r="P564" i="54"/>
  <c r="P563" i="54"/>
  <c r="P562" i="54"/>
  <c r="P561" i="54"/>
  <c r="P560" i="54"/>
  <c r="P559" i="54"/>
  <c r="P558" i="54"/>
  <c r="P557" i="54"/>
  <c r="P556" i="54"/>
  <c r="P555" i="54"/>
  <c r="P554" i="54"/>
  <c r="P553" i="54"/>
  <c r="P552" i="54"/>
  <c r="P551" i="54"/>
  <c r="P550" i="54"/>
  <c r="P549" i="54"/>
  <c r="P548" i="54"/>
  <c r="P547" i="54"/>
  <c r="P546" i="54"/>
  <c r="P545" i="54"/>
  <c r="P544" i="54"/>
  <c r="P543" i="54"/>
  <c r="P542" i="54"/>
  <c r="P541" i="54"/>
  <c r="P540" i="54"/>
  <c r="P539" i="54"/>
  <c r="P538" i="54"/>
  <c r="P537" i="54"/>
  <c r="P536" i="54"/>
  <c r="P535" i="54"/>
  <c r="P534" i="54"/>
  <c r="P533" i="54"/>
  <c r="P532" i="54"/>
  <c r="P531" i="54"/>
  <c r="P530" i="54"/>
  <c r="P529" i="54"/>
  <c r="P528" i="54"/>
  <c r="P527" i="54"/>
  <c r="P526" i="54"/>
  <c r="P525" i="54"/>
  <c r="P524" i="54"/>
  <c r="P523" i="54"/>
  <c r="P522" i="54"/>
  <c r="P521" i="54"/>
  <c r="P520" i="54"/>
  <c r="P519" i="54"/>
  <c r="P518" i="54"/>
  <c r="P517" i="54"/>
  <c r="P516" i="54"/>
  <c r="P515" i="54"/>
  <c r="P514" i="54"/>
  <c r="P513" i="54"/>
  <c r="P512" i="54"/>
  <c r="P511" i="54"/>
  <c r="P510" i="54"/>
  <c r="P509" i="54"/>
  <c r="P508" i="54"/>
  <c r="P507" i="54"/>
  <c r="P506" i="54"/>
  <c r="P505" i="54"/>
  <c r="P504" i="54"/>
  <c r="P503" i="54"/>
  <c r="P502" i="54"/>
  <c r="P501" i="54"/>
  <c r="P500" i="54"/>
  <c r="P499" i="54"/>
  <c r="P498" i="54"/>
  <c r="P497" i="54"/>
  <c r="P496" i="54"/>
  <c r="P495" i="54"/>
  <c r="P494" i="54"/>
  <c r="P493" i="54"/>
  <c r="P492" i="54"/>
  <c r="P491" i="54"/>
  <c r="P490" i="54"/>
  <c r="P489" i="54"/>
  <c r="P488" i="54"/>
  <c r="P487" i="54"/>
  <c r="P486" i="54"/>
  <c r="P485" i="54"/>
  <c r="P484" i="54"/>
  <c r="P483" i="54"/>
  <c r="P482" i="54"/>
  <c r="P481" i="54"/>
  <c r="P480" i="54"/>
  <c r="P479" i="54"/>
  <c r="P478" i="54"/>
  <c r="P477" i="54"/>
  <c r="P476" i="54"/>
  <c r="P475" i="54"/>
  <c r="P474" i="54"/>
  <c r="P473" i="54"/>
  <c r="P472" i="54"/>
  <c r="P471" i="54"/>
  <c r="P470" i="54"/>
  <c r="P469" i="54"/>
  <c r="P468" i="54"/>
  <c r="P467" i="54"/>
  <c r="P466" i="54"/>
  <c r="P465" i="54"/>
  <c r="P464" i="54"/>
  <c r="P463" i="54"/>
  <c r="P462" i="54"/>
  <c r="P461" i="54"/>
  <c r="P460" i="54"/>
  <c r="P459" i="54"/>
  <c r="P458" i="54"/>
  <c r="P457" i="54"/>
  <c r="P456" i="54"/>
  <c r="P455" i="54"/>
  <c r="P454" i="54"/>
  <c r="P453" i="54"/>
  <c r="P452" i="54"/>
  <c r="P451" i="54"/>
  <c r="P450" i="54"/>
  <c r="P449" i="54"/>
  <c r="P448" i="54"/>
  <c r="P447" i="54"/>
  <c r="P446" i="54"/>
  <c r="P445" i="54"/>
  <c r="P444" i="54"/>
  <c r="P443" i="54"/>
  <c r="P442" i="54"/>
  <c r="P441" i="54"/>
  <c r="P440" i="54"/>
  <c r="P439" i="54"/>
  <c r="P438" i="54"/>
  <c r="P437" i="54"/>
  <c r="P436" i="54"/>
  <c r="P435" i="54"/>
  <c r="P434" i="54"/>
  <c r="P433" i="54"/>
  <c r="P432" i="54"/>
  <c r="P431" i="54"/>
  <c r="P430" i="54"/>
  <c r="P429" i="54"/>
  <c r="P428" i="54"/>
  <c r="P427" i="54"/>
  <c r="P426" i="54"/>
  <c r="P425" i="54"/>
  <c r="P424" i="54"/>
  <c r="P423" i="54"/>
  <c r="P422" i="54"/>
  <c r="P421" i="54"/>
  <c r="P420" i="54"/>
  <c r="P419" i="54"/>
  <c r="P418" i="54"/>
  <c r="P417" i="54"/>
  <c r="P416" i="54"/>
  <c r="P415" i="54"/>
  <c r="P414" i="54"/>
  <c r="P413" i="54"/>
  <c r="P412" i="54"/>
  <c r="P411" i="54"/>
  <c r="P410" i="54"/>
  <c r="P409" i="54"/>
  <c r="P408" i="54"/>
  <c r="P407" i="54"/>
  <c r="P406" i="54"/>
  <c r="P405" i="54"/>
  <c r="P404" i="54"/>
  <c r="P403" i="54"/>
  <c r="P402" i="54"/>
  <c r="P401" i="54"/>
  <c r="P400" i="54"/>
  <c r="P399" i="54"/>
  <c r="P398" i="54"/>
  <c r="P397" i="54"/>
  <c r="P396" i="54"/>
  <c r="P395" i="54"/>
  <c r="P394" i="54"/>
  <c r="P393" i="54"/>
  <c r="P392" i="54"/>
  <c r="P391" i="54"/>
  <c r="P390" i="54"/>
  <c r="P389" i="54"/>
  <c r="P388" i="54"/>
  <c r="P387" i="54"/>
  <c r="P386" i="54"/>
  <c r="P385" i="54"/>
  <c r="P384" i="54"/>
  <c r="P383" i="54"/>
  <c r="P382" i="54"/>
  <c r="P381" i="54"/>
  <c r="P380" i="54"/>
  <c r="P379" i="54"/>
  <c r="P378" i="54"/>
  <c r="P377" i="54"/>
  <c r="P376" i="54"/>
  <c r="P375" i="54"/>
  <c r="P374" i="54"/>
  <c r="P373" i="54"/>
  <c r="P372" i="54"/>
  <c r="P371" i="54"/>
  <c r="P370" i="54"/>
  <c r="P369" i="54"/>
  <c r="P368" i="54"/>
  <c r="P367" i="54"/>
  <c r="P366" i="54"/>
  <c r="P365" i="54"/>
  <c r="P364" i="54"/>
  <c r="P363" i="54"/>
  <c r="P362" i="54"/>
  <c r="P361" i="54"/>
  <c r="P360" i="54"/>
  <c r="P359" i="54"/>
  <c r="P358" i="54"/>
  <c r="P357" i="54"/>
  <c r="P356" i="54"/>
  <c r="P355" i="54"/>
  <c r="P354" i="54"/>
  <c r="P353" i="54"/>
  <c r="P352" i="54"/>
  <c r="P351" i="54"/>
  <c r="P350" i="54"/>
  <c r="P349" i="54"/>
  <c r="P348" i="54"/>
  <c r="P347" i="54"/>
  <c r="P346" i="54"/>
  <c r="P345" i="54"/>
  <c r="P344" i="54"/>
  <c r="P343" i="54"/>
  <c r="P342" i="54"/>
  <c r="P341" i="54"/>
  <c r="P340" i="54"/>
  <c r="P339" i="54"/>
  <c r="P338" i="54"/>
  <c r="P337" i="54"/>
  <c r="P336" i="54"/>
  <c r="P335" i="54"/>
  <c r="P334" i="54"/>
  <c r="P333" i="54"/>
  <c r="P332" i="54"/>
  <c r="P331" i="54"/>
  <c r="P330" i="54"/>
  <c r="P329" i="54"/>
  <c r="P328" i="54"/>
  <c r="P327" i="54"/>
  <c r="P326" i="54"/>
  <c r="P325" i="54"/>
  <c r="P324" i="54"/>
  <c r="P323" i="54"/>
  <c r="P322" i="54"/>
  <c r="P321" i="54"/>
  <c r="P320" i="54"/>
  <c r="P319" i="54"/>
  <c r="P318" i="54"/>
  <c r="P317" i="54"/>
  <c r="P316" i="54"/>
  <c r="P315" i="54"/>
  <c r="P314" i="54"/>
  <c r="P313" i="54"/>
  <c r="P312" i="54"/>
  <c r="P311" i="54"/>
  <c r="P310" i="54"/>
  <c r="P309" i="54"/>
  <c r="P308" i="54"/>
  <c r="P307" i="54"/>
  <c r="P306" i="54"/>
  <c r="P305" i="54"/>
  <c r="P304" i="54"/>
  <c r="P303" i="54"/>
  <c r="P302" i="54"/>
  <c r="P301" i="54"/>
  <c r="P300" i="54"/>
  <c r="P299" i="54"/>
  <c r="P298" i="54"/>
  <c r="P297" i="54"/>
  <c r="P296" i="54"/>
  <c r="P295" i="54"/>
  <c r="P294" i="54"/>
  <c r="P293" i="54"/>
  <c r="P292" i="54"/>
  <c r="P291" i="54"/>
  <c r="P290" i="54"/>
  <c r="P289" i="54"/>
  <c r="P288" i="54"/>
  <c r="P287" i="54"/>
  <c r="P286" i="54"/>
  <c r="P285" i="54"/>
  <c r="P284" i="54"/>
  <c r="P283" i="54"/>
  <c r="P282" i="54"/>
  <c r="P281" i="54"/>
  <c r="P280" i="54"/>
  <c r="P279" i="54"/>
  <c r="P278" i="54"/>
  <c r="P277" i="54"/>
  <c r="P276" i="54"/>
  <c r="P275" i="54"/>
  <c r="P274" i="54"/>
  <c r="P273" i="54"/>
  <c r="P272" i="54"/>
  <c r="P271" i="54"/>
  <c r="P270" i="54"/>
  <c r="P269" i="54"/>
  <c r="P268" i="54"/>
  <c r="P267" i="54"/>
  <c r="P266" i="54"/>
  <c r="P265" i="54"/>
  <c r="P264" i="54"/>
  <c r="P263" i="54"/>
  <c r="P262" i="54"/>
  <c r="P261" i="54"/>
  <c r="P260" i="54"/>
  <c r="P259" i="54"/>
  <c r="P258" i="54"/>
  <c r="P257" i="54"/>
  <c r="P256" i="54"/>
  <c r="P255" i="54"/>
  <c r="P254" i="54"/>
  <c r="P253" i="54"/>
  <c r="P252" i="54"/>
  <c r="P251" i="54"/>
  <c r="P250" i="54"/>
  <c r="P249" i="54"/>
  <c r="P248" i="54"/>
  <c r="P247" i="54"/>
  <c r="P246" i="54"/>
  <c r="P245" i="54"/>
  <c r="P244" i="54"/>
  <c r="P243" i="54"/>
  <c r="P242" i="54"/>
  <c r="P241" i="54"/>
  <c r="P240" i="54"/>
  <c r="P239" i="54"/>
  <c r="P238" i="54"/>
  <c r="P237" i="54"/>
  <c r="P236" i="54"/>
  <c r="P235" i="54"/>
  <c r="P234" i="54"/>
  <c r="P233" i="54"/>
  <c r="P232" i="54"/>
  <c r="P231" i="54"/>
  <c r="P230" i="54"/>
  <c r="P229" i="54"/>
  <c r="P228" i="54"/>
  <c r="P227" i="54"/>
  <c r="P226" i="54"/>
  <c r="P225" i="54"/>
  <c r="P224" i="54"/>
  <c r="P223" i="54"/>
  <c r="P222" i="54"/>
  <c r="P221" i="54"/>
  <c r="P220" i="54"/>
  <c r="P219" i="54"/>
  <c r="P218" i="54"/>
  <c r="P217" i="54"/>
  <c r="P216" i="54"/>
  <c r="P215" i="54"/>
  <c r="P214" i="54"/>
  <c r="P213" i="54"/>
  <c r="P212" i="54"/>
  <c r="P211" i="54"/>
  <c r="P210" i="54"/>
  <c r="P209" i="54"/>
  <c r="P208" i="54"/>
  <c r="P207" i="54"/>
  <c r="P206" i="54"/>
  <c r="P205" i="54"/>
  <c r="P204" i="54"/>
  <c r="P203" i="54"/>
  <c r="P202" i="54"/>
  <c r="P201" i="54"/>
  <c r="P200" i="54"/>
  <c r="P199" i="54"/>
  <c r="P198" i="54"/>
  <c r="P197" i="54"/>
  <c r="P196" i="54"/>
  <c r="P195" i="54"/>
  <c r="P194" i="54"/>
  <c r="P193" i="54"/>
  <c r="P192" i="54"/>
  <c r="P191" i="54"/>
  <c r="P190" i="54"/>
  <c r="P189" i="54"/>
  <c r="P188" i="54"/>
  <c r="P187" i="54"/>
  <c r="P186" i="54"/>
  <c r="P185" i="54"/>
  <c r="P184" i="54"/>
  <c r="P183" i="54"/>
  <c r="P182" i="54"/>
  <c r="P181" i="54"/>
  <c r="P180" i="54"/>
  <c r="P179" i="54"/>
  <c r="P178" i="54"/>
  <c r="P177" i="54"/>
  <c r="P176" i="54"/>
  <c r="P175" i="54"/>
  <c r="P174" i="54"/>
  <c r="P173" i="54"/>
  <c r="P172" i="54"/>
  <c r="P171" i="54"/>
  <c r="P170" i="54"/>
  <c r="P169" i="54"/>
  <c r="P168" i="54"/>
  <c r="P167" i="54"/>
  <c r="P166" i="54"/>
  <c r="P165" i="54"/>
  <c r="P164" i="54"/>
  <c r="P163" i="54"/>
  <c r="P162" i="54"/>
  <c r="P161" i="54"/>
  <c r="P160" i="54"/>
  <c r="P159" i="54"/>
  <c r="P158" i="54"/>
  <c r="P157" i="54"/>
  <c r="P156" i="54"/>
  <c r="P155" i="54"/>
  <c r="P154" i="54"/>
  <c r="P153" i="54"/>
  <c r="P152" i="54"/>
  <c r="P151" i="54"/>
  <c r="P150" i="54"/>
  <c r="P149" i="54"/>
  <c r="P148" i="54"/>
  <c r="P147" i="54"/>
  <c r="P146" i="54"/>
  <c r="P145" i="54"/>
  <c r="P144" i="54"/>
  <c r="P143" i="54"/>
  <c r="P142" i="54"/>
  <c r="P141" i="54"/>
  <c r="P140" i="54"/>
  <c r="P139" i="54"/>
  <c r="P138" i="54"/>
  <c r="P137" i="54"/>
  <c r="P136" i="54"/>
  <c r="P135" i="54"/>
  <c r="P134" i="54"/>
  <c r="P133" i="54"/>
  <c r="P132" i="54"/>
  <c r="P131" i="54"/>
  <c r="P130" i="54"/>
  <c r="P129" i="54"/>
  <c r="P128" i="54"/>
  <c r="P127" i="54"/>
  <c r="P126" i="54"/>
  <c r="P125" i="54"/>
  <c r="P124" i="54"/>
  <c r="P123" i="54"/>
  <c r="P122" i="54"/>
  <c r="P121" i="54"/>
  <c r="P120" i="54"/>
  <c r="P119" i="54"/>
  <c r="P118" i="54"/>
  <c r="P117" i="54"/>
  <c r="P116" i="54"/>
  <c r="P115" i="54"/>
  <c r="P114" i="54"/>
  <c r="P113" i="54"/>
  <c r="P112" i="54"/>
  <c r="P111" i="54"/>
  <c r="P110" i="54"/>
  <c r="P109" i="54"/>
  <c r="P108" i="54"/>
  <c r="P107" i="54"/>
  <c r="P106" i="54"/>
  <c r="P105" i="54"/>
  <c r="P104" i="54"/>
  <c r="P103" i="54"/>
  <c r="P102" i="54"/>
  <c r="P101" i="54"/>
  <c r="P100" i="54"/>
  <c r="P99" i="54"/>
  <c r="P98" i="54"/>
  <c r="P97" i="54"/>
  <c r="P96" i="54"/>
  <c r="P95" i="54"/>
  <c r="P94" i="54"/>
  <c r="P93" i="54"/>
  <c r="P92" i="54"/>
  <c r="P91" i="54"/>
  <c r="P90" i="54"/>
  <c r="P89" i="54"/>
  <c r="P88" i="54"/>
  <c r="P87" i="54"/>
  <c r="P86" i="54"/>
  <c r="P85" i="54"/>
  <c r="P84" i="54"/>
  <c r="P83" i="54"/>
  <c r="P82" i="54"/>
  <c r="P81" i="54"/>
  <c r="P80" i="54"/>
  <c r="P79" i="54"/>
  <c r="P78" i="54"/>
  <c r="P77" i="54"/>
  <c r="P76" i="54"/>
  <c r="P75" i="54"/>
  <c r="P74" i="54"/>
  <c r="P73" i="54"/>
  <c r="P72" i="54"/>
  <c r="P71" i="54"/>
  <c r="P70" i="54"/>
  <c r="P69" i="54"/>
  <c r="P68" i="54"/>
  <c r="P67" i="54"/>
  <c r="P66" i="54"/>
  <c r="P65" i="54"/>
  <c r="P64" i="54"/>
  <c r="P63" i="54"/>
  <c r="P62" i="54"/>
  <c r="P61" i="54"/>
  <c r="P60" i="54"/>
  <c r="P59" i="54"/>
  <c r="P58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P31" i="54"/>
  <c r="P30" i="54"/>
  <c r="P29" i="54"/>
  <c r="P28" i="54"/>
  <c r="P27" i="54"/>
  <c r="P26" i="54"/>
  <c r="P25" i="54"/>
  <c r="P24" i="54"/>
  <c r="P23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D27" i="6" l="1"/>
  <c r="C27" i="6" s="1"/>
  <c r="F28" i="6"/>
  <c r="G28" i="6" s="1"/>
  <c r="B29" i="6"/>
  <c r="E28" i="6"/>
  <c r="D28" i="6" l="1"/>
  <c r="C28" i="6" s="1"/>
  <c r="B30" i="6"/>
  <c r="F29" i="6"/>
  <c r="G29" i="6" s="1"/>
  <c r="E29" i="6"/>
  <c r="D29" i="6" l="1"/>
  <c r="C29" i="6" s="1"/>
  <c r="B31" i="6"/>
  <c r="F30" i="6"/>
  <c r="G30" i="6" s="1"/>
  <c r="E30" i="6"/>
  <c r="D30" i="6" l="1"/>
  <c r="C30" i="6" s="1"/>
  <c r="B32" i="6"/>
  <c r="F31" i="6"/>
  <c r="G31" i="6" s="1"/>
  <c r="E31" i="6"/>
  <c r="D31" i="6" l="1"/>
  <c r="C31" i="6" s="1"/>
  <c r="B33" i="6"/>
  <c r="F32" i="6"/>
  <c r="G32" i="6" s="1"/>
  <c r="E32" i="6"/>
  <c r="D32" i="6" l="1"/>
  <c r="C32" i="6" s="1"/>
  <c r="B34" i="6"/>
  <c r="F33" i="6"/>
  <c r="G33" i="6" s="1"/>
  <c r="E33" i="6"/>
  <c r="P3" i="53"/>
  <c r="C2" i="53" a="1"/>
  <c r="C2" i="53" s="1"/>
  <c r="D33" i="6" l="1"/>
  <c r="C33" i="6" s="1"/>
  <c r="B35" i="6"/>
  <c r="F34" i="6"/>
  <c r="G34" i="6" s="1"/>
  <c r="E34" i="6"/>
  <c r="D34" i="6" l="1"/>
  <c r="C34" i="6" s="1"/>
  <c r="B36" i="6"/>
  <c r="E35" i="6"/>
  <c r="F35" i="6"/>
  <c r="G35" i="6" s="1"/>
  <c r="D35" i="6" l="1"/>
  <c r="C35" i="6" s="1"/>
  <c r="B37" i="6"/>
  <c r="F36" i="6"/>
  <c r="G36" i="6" s="1"/>
  <c r="E36" i="6"/>
  <c r="D36" i="6" l="1"/>
  <c r="C36" i="6" s="1"/>
  <c r="B38" i="6"/>
  <c r="F37" i="6"/>
  <c r="G37" i="6" s="1"/>
  <c r="E37" i="6"/>
  <c r="D37" i="6" l="1"/>
  <c r="C37" i="6" s="1"/>
  <c r="F38" i="6"/>
  <c r="G38" i="6" s="1"/>
  <c r="B39" i="6"/>
  <c r="E38" i="6"/>
  <c r="C2" i="54" a="1"/>
  <c r="C2" i="54" s="1"/>
  <c r="C10" i="54" s="1"/>
  <c r="P3" i="54"/>
  <c r="C10" i="53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3" i="16"/>
  <c r="I3" i="16"/>
  <c r="F3" i="19" a="1"/>
  <c r="I4" i="16" l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249" i="16" s="1"/>
  <c r="I250" i="16" s="1"/>
  <c r="I251" i="16" s="1"/>
  <c r="I252" i="16" s="1"/>
  <c r="I253" i="16" s="1"/>
  <c r="I254" i="16" s="1"/>
  <c r="I255" i="16" s="1"/>
  <c r="I256" i="16" s="1"/>
  <c r="I257" i="16" s="1"/>
  <c r="I258" i="16" s="1"/>
  <c r="I259" i="16" s="1"/>
  <c r="I260" i="16" s="1"/>
  <c r="I261" i="16" s="1"/>
  <c r="I262" i="16" s="1"/>
  <c r="I263" i="16" s="1"/>
  <c r="I264" i="16" s="1"/>
  <c r="I265" i="16" s="1"/>
  <c r="I266" i="16" s="1"/>
  <c r="I267" i="16" s="1"/>
  <c r="I268" i="16" s="1"/>
  <c r="I269" i="16" s="1"/>
  <c r="I270" i="16" s="1"/>
  <c r="I271" i="16" s="1"/>
  <c r="I272" i="16" s="1"/>
  <c r="I273" i="16" s="1"/>
  <c r="I274" i="16" s="1"/>
  <c r="I275" i="16" s="1"/>
  <c r="I276" i="16" s="1"/>
  <c r="I277" i="16" s="1"/>
  <c r="I278" i="16" s="1"/>
  <c r="I279" i="16" s="1"/>
  <c r="I280" i="16" s="1"/>
  <c r="I281" i="16" s="1"/>
  <c r="I282" i="16" s="1"/>
  <c r="I283" i="16" s="1"/>
  <c r="I284" i="16" s="1"/>
  <c r="I285" i="16" s="1"/>
  <c r="I286" i="16" s="1"/>
  <c r="I287" i="16" s="1"/>
  <c r="I288" i="16" s="1"/>
  <c r="I289" i="16" s="1"/>
  <c r="I290" i="16" s="1"/>
  <c r="I291" i="16" s="1"/>
  <c r="I292" i="16" s="1"/>
  <c r="I293" i="16" s="1"/>
  <c r="I294" i="16" s="1"/>
  <c r="I295" i="16" s="1"/>
  <c r="I296" i="16" s="1"/>
  <c r="I297" i="16" s="1"/>
  <c r="I298" i="16" s="1"/>
  <c r="I299" i="16" s="1"/>
  <c r="I300" i="16" s="1"/>
  <c r="I301" i="16" s="1"/>
  <c r="I302" i="16" s="1"/>
  <c r="I303" i="16" s="1"/>
  <c r="I304" i="16" s="1"/>
  <c r="I305" i="16" s="1"/>
  <c r="I306" i="16" s="1"/>
  <c r="I307" i="16" s="1"/>
  <c r="I308" i="16" s="1"/>
  <c r="I309" i="16" s="1"/>
  <c r="I310" i="16" s="1"/>
  <c r="I311" i="16" s="1"/>
  <c r="I312" i="16" s="1"/>
  <c r="I313" i="16" s="1"/>
  <c r="I314" i="16" s="1"/>
  <c r="I315" i="16" s="1"/>
  <c r="I316" i="16" s="1"/>
  <c r="I317" i="16" s="1"/>
  <c r="I318" i="16" s="1"/>
  <c r="I319" i="16" s="1"/>
  <c r="I320" i="16" s="1"/>
  <c r="I321" i="16" s="1"/>
  <c r="I322" i="16" s="1"/>
  <c r="I323" i="16" s="1"/>
  <c r="I324" i="16" s="1"/>
  <c r="I325" i="16" s="1"/>
  <c r="I326" i="16" s="1"/>
  <c r="I327" i="16" s="1"/>
  <c r="I328" i="16" s="1"/>
  <c r="I329" i="16" s="1"/>
  <c r="I330" i="16" s="1"/>
  <c r="I331" i="16" s="1"/>
  <c r="I332" i="16" s="1"/>
  <c r="I333" i="16" s="1"/>
  <c r="I334" i="16" s="1"/>
  <c r="I335" i="16" s="1"/>
  <c r="I336" i="16" s="1"/>
  <c r="I337" i="16" s="1"/>
  <c r="I338" i="16" s="1"/>
  <c r="I339" i="16" s="1"/>
  <c r="I340" i="16" s="1"/>
  <c r="I341" i="16" s="1"/>
  <c r="I342" i="16" s="1"/>
  <c r="I343" i="16" s="1"/>
  <c r="I344" i="16" s="1"/>
  <c r="I345" i="16" s="1"/>
  <c r="I346" i="16" s="1"/>
  <c r="I347" i="16" s="1"/>
  <c r="I348" i="16" s="1"/>
  <c r="I349" i="16" s="1"/>
  <c r="I350" i="16" s="1"/>
  <c r="I351" i="16" s="1"/>
  <c r="I352" i="16" s="1"/>
  <c r="I353" i="16" s="1"/>
  <c r="I354" i="16" s="1"/>
  <c r="I355" i="16" s="1"/>
  <c r="I356" i="16" s="1"/>
  <c r="I357" i="16" s="1"/>
  <c r="I358" i="16" s="1"/>
  <c r="I359" i="16" s="1"/>
  <c r="I360" i="16" s="1"/>
  <c r="I361" i="16" s="1"/>
  <c r="I362" i="16" s="1"/>
  <c r="I363" i="16" s="1"/>
  <c r="I364" i="16" s="1"/>
  <c r="I365" i="16" s="1"/>
  <c r="I366" i="16" s="1"/>
  <c r="I367" i="16" s="1"/>
  <c r="I368" i="16" s="1"/>
  <c r="I369" i="16" s="1"/>
  <c r="I370" i="16" s="1"/>
  <c r="I371" i="16" s="1"/>
  <c r="I372" i="16" s="1"/>
  <c r="I373" i="16" s="1"/>
  <c r="I374" i="16" s="1"/>
  <c r="I375" i="16" s="1"/>
  <c r="I376" i="16" s="1"/>
  <c r="I377" i="16" s="1"/>
  <c r="I378" i="16" s="1"/>
  <c r="I379" i="16" s="1"/>
  <c r="I380" i="16" s="1"/>
  <c r="I381" i="16" s="1"/>
  <c r="I382" i="16" s="1"/>
  <c r="I383" i="16" s="1"/>
  <c r="I384" i="16" s="1"/>
  <c r="I385" i="16" s="1"/>
  <c r="I386" i="16" s="1"/>
  <c r="I387" i="16" s="1"/>
  <c r="I388" i="16" s="1"/>
  <c r="I389" i="16" s="1"/>
  <c r="I390" i="16" s="1"/>
  <c r="I391" i="16" s="1"/>
  <c r="I392" i="16" s="1"/>
  <c r="I393" i="16" s="1"/>
  <c r="I394" i="16" s="1"/>
  <c r="I395" i="16" s="1"/>
  <c r="I396" i="16" s="1"/>
  <c r="I397" i="16" s="1"/>
  <c r="I398" i="16" s="1"/>
  <c r="I399" i="16" s="1"/>
  <c r="I400" i="16" s="1"/>
  <c r="I401" i="16" s="1"/>
  <c r="I402" i="16" s="1"/>
  <c r="I403" i="16" s="1"/>
  <c r="I404" i="16" s="1"/>
  <c r="I405" i="16" s="1"/>
  <c r="I406" i="16" s="1"/>
  <c r="I407" i="16" s="1"/>
  <c r="I408" i="16" s="1"/>
  <c r="I409" i="16" s="1"/>
  <c r="I410" i="16" s="1"/>
  <c r="I411" i="16" s="1"/>
  <c r="I412" i="16" s="1"/>
  <c r="I413" i="16" s="1"/>
  <c r="I414" i="16" s="1"/>
  <c r="I415" i="16" s="1"/>
  <c r="I416" i="16" s="1"/>
  <c r="I417" i="16" s="1"/>
  <c r="I418" i="16" s="1"/>
  <c r="I419" i="16" s="1"/>
  <c r="I420" i="16" s="1"/>
  <c r="I421" i="16" s="1"/>
  <c r="I422" i="16" s="1"/>
  <c r="I423" i="16" s="1"/>
  <c r="I424" i="16" s="1"/>
  <c r="I425" i="16" s="1"/>
  <c r="I426" i="16" s="1"/>
  <c r="I427" i="16" s="1"/>
  <c r="I428" i="16" s="1"/>
  <c r="I429" i="16" s="1"/>
  <c r="I430" i="16" s="1"/>
  <c r="I431" i="16" s="1"/>
  <c r="I432" i="16" s="1"/>
  <c r="I433" i="16" s="1"/>
  <c r="I434" i="16" s="1"/>
  <c r="I435" i="16" s="1"/>
  <c r="I436" i="16" s="1"/>
  <c r="I437" i="16" s="1"/>
  <c r="I438" i="16" s="1"/>
  <c r="I439" i="16" s="1"/>
  <c r="I440" i="16" s="1"/>
  <c r="I441" i="16" s="1"/>
  <c r="I442" i="16" s="1"/>
  <c r="I443" i="16" s="1"/>
  <c r="I444" i="16" s="1"/>
  <c r="I445" i="16" s="1"/>
  <c r="I446" i="16" s="1"/>
  <c r="I447" i="16" s="1"/>
  <c r="I448" i="16" s="1"/>
  <c r="I449" i="16" s="1"/>
  <c r="I450" i="16" s="1"/>
  <c r="I451" i="16" s="1"/>
  <c r="I452" i="16" s="1"/>
  <c r="I453" i="16" s="1"/>
  <c r="I454" i="16" s="1"/>
  <c r="I455" i="16" s="1"/>
  <c r="I456" i="16" s="1"/>
  <c r="I457" i="16" s="1"/>
  <c r="I458" i="16" s="1"/>
  <c r="I459" i="16" s="1"/>
  <c r="I460" i="16" s="1"/>
  <c r="I461" i="16" s="1"/>
  <c r="I462" i="16" s="1"/>
  <c r="I463" i="16" s="1"/>
  <c r="I464" i="16" s="1"/>
  <c r="I465" i="16" s="1"/>
  <c r="I466" i="16" s="1"/>
  <c r="I467" i="16" s="1"/>
  <c r="I468" i="16" s="1"/>
  <c r="I469" i="16" s="1"/>
  <c r="I470" i="16" s="1"/>
  <c r="I471" i="16" s="1"/>
  <c r="I472" i="16" s="1"/>
  <c r="I473" i="16" s="1"/>
  <c r="I474" i="16" s="1"/>
  <c r="I475" i="16" s="1"/>
  <c r="I476" i="16" s="1"/>
  <c r="I477" i="16" s="1"/>
  <c r="I478" i="16" s="1"/>
  <c r="I479" i="16" s="1"/>
  <c r="I480" i="16" s="1"/>
  <c r="I481" i="16" s="1"/>
  <c r="I482" i="16" s="1"/>
  <c r="I483" i="16" s="1"/>
  <c r="I484" i="16" s="1"/>
  <c r="I485" i="16" s="1"/>
  <c r="I486" i="16" s="1"/>
  <c r="I487" i="16" s="1"/>
  <c r="I488" i="16" s="1"/>
  <c r="I489" i="16" s="1"/>
  <c r="I490" i="16" s="1"/>
  <c r="I491" i="16" s="1"/>
  <c r="I492" i="16" s="1"/>
  <c r="I493" i="16" s="1"/>
  <c r="I494" i="16" s="1"/>
  <c r="I495" i="16" s="1"/>
  <c r="I496" i="16" s="1"/>
  <c r="I497" i="16" s="1"/>
  <c r="I498" i="16" s="1"/>
  <c r="I499" i="16" s="1"/>
  <c r="I500" i="16" s="1"/>
  <c r="I501" i="16" s="1"/>
  <c r="I502" i="16" s="1"/>
  <c r="I503" i="16" s="1"/>
  <c r="I504" i="16" s="1"/>
  <c r="I505" i="16" s="1"/>
  <c r="I506" i="16" s="1"/>
  <c r="I507" i="16" s="1"/>
  <c r="I508" i="16" s="1"/>
  <c r="I509" i="16" s="1"/>
  <c r="I510" i="16" s="1"/>
  <c r="I511" i="16" s="1"/>
  <c r="I512" i="16" s="1"/>
  <c r="I513" i="16" s="1"/>
  <c r="I514" i="16" s="1"/>
  <c r="I515" i="16" s="1"/>
  <c r="I516" i="16" s="1"/>
  <c r="I517" i="16" s="1"/>
  <c r="I518" i="16" s="1"/>
  <c r="I519" i="16" s="1"/>
  <c r="I520" i="16" s="1"/>
  <c r="I521" i="16" s="1"/>
  <c r="I522" i="16" s="1"/>
  <c r="I523" i="16" s="1"/>
  <c r="I524" i="16" s="1"/>
  <c r="I525" i="16" s="1"/>
  <c r="I526" i="16" s="1"/>
  <c r="I527" i="16" s="1"/>
  <c r="I528" i="16" s="1"/>
  <c r="I529" i="16" s="1"/>
  <c r="I530" i="16" s="1"/>
  <c r="I531" i="16" s="1"/>
  <c r="I532" i="16" s="1"/>
  <c r="I533" i="16" s="1"/>
  <c r="I534" i="16" s="1"/>
  <c r="I535" i="16" s="1"/>
  <c r="I536" i="16" s="1"/>
  <c r="I537" i="16" s="1"/>
  <c r="I538" i="16" s="1"/>
  <c r="I539" i="16" s="1"/>
  <c r="I540" i="16" s="1"/>
  <c r="I541" i="16" s="1"/>
  <c r="I542" i="16" s="1"/>
  <c r="I543" i="16" s="1"/>
  <c r="I544" i="16" s="1"/>
  <c r="I545" i="16" s="1"/>
  <c r="I546" i="16" s="1"/>
  <c r="I547" i="16" s="1"/>
  <c r="I548" i="16" s="1"/>
  <c r="I549" i="16" s="1"/>
  <c r="I550" i="16" s="1"/>
  <c r="I551" i="16" s="1"/>
  <c r="I552" i="16" s="1"/>
  <c r="I553" i="16" s="1"/>
  <c r="I554" i="16" s="1"/>
  <c r="I555" i="16" s="1"/>
  <c r="I556" i="16" s="1"/>
  <c r="I557" i="16" s="1"/>
  <c r="I558" i="16" s="1"/>
  <c r="I559" i="16" s="1"/>
  <c r="I560" i="16" s="1"/>
  <c r="I561" i="16" s="1"/>
  <c r="I562" i="16" s="1"/>
  <c r="I563" i="16" s="1"/>
  <c r="I564" i="16" s="1"/>
  <c r="I565" i="16" s="1"/>
  <c r="I566" i="16" s="1"/>
  <c r="I567" i="16" s="1"/>
  <c r="I568" i="16" s="1"/>
  <c r="I569" i="16" s="1"/>
  <c r="I570" i="16" s="1"/>
  <c r="I571" i="16" s="1"/>
  <c r="I572" i="16" s="1"/>
  <c r="I573" i="16" s="1"/>
  <c r="I574" i="16" s="1"/>
  <c r="I575" i="16" s="1"/>
  <c r="I576" i="16" s="1"/>
  <c r="I577" i="16" s="1"/>
  <c r="I578" i="16" s="1"/>
  <c r="I579" i="16" s="1"/>
  <c r="I580" i="16" s="1"/>
  <c r="I581" i="16" s="1"/>
  <c r="I582" i="16" s="1"/>
  <c r="I583" i="16" s="1"/>
  <c r="I584" i="16" s="1"/>
  <c r="I585" i="16" s="1"/>
  <c r="I586" i="16" s="1"/>
  <c r="I587" i="16" s="1"/>
  <c r="I588" i="16" s="1"/>
  <c r="I589" i="16" s="1"/>
  <c r="I590" i="16" s="1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I722" i="16" s="1"/>
  <c r="I723" i="16" s="1"/>
  <c r="I724" i="16" s="1"/>
  <c r="I725" i="16" s="1"/>
  <c r="I726" i="16" s="1"/>
  <c r="I727" i="16" s="1"/>
  <c r="I728" i="16" s="1"/>
  <c r="I729" i="16" s="1"/>
  <c r="I730" i="16" s="1"/>
  <c r="I731" i="16" s="1"/>
  <c r="I732" i="16" s="1"/>
  <c r="I733" i="16" s="1"/>
  <c r="I734" i="16" s="1"/>
  <c r="I735" i="16" s="1"/>
  <c r="I736" i="16" s="1"/>
  <c r="I737" i="16" s="1"/>
  <c r="I738" i="16" s="1"/>
  <c r="I739" i="16" s="1"/>
  <c r="I740" i="16" s="1"/>
  <c r="I741" i="16" s="1"/>
  <c r="I742" i="16" s="1"/>
  <c r="I743" i="16" s="1"/>
  <c r="I744" i="16" s="1"/>
  <c r="I745" i="16" s="1"/>
  <c r="I746" i="16" s="1"/>
  <c r="I747" i="16" s="1"/>
  <c r="I748" i="16" s="1"/>
  <c r="I749" i="16" s="1"/>
  <c r="I750" i="16" s="1"/>
  <c r="D38" i="6"/>
  <c r="C38" i="6" s="1"/>
  <c r="B40" i="6"/>
  <c r="F39" i="6"/>
  <c r="G39" i="6" s="1"/>
  <c r="E39" i="6"/>
  <c r="F3" i="19"/>
  <c r="J3" i="19" a="1"/>
  <c r="H3" i="19" a="1"/>
  <c r="J3" i="19" l="1"/>
  <c r="D39" i="6"/>
  <c r="C39" i="6" s="1"/>
  <c r="B41" i="6"/>
  <c r="F40" i="6"/>
  <c r="G40" i="6" s="1"/>
  <c r="E40" i="6"/>
  <c r="H3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350" i="19"/>
  <c r="P351" i="19"/>
  <c r="P352" i="19"/>
  <c r="P353" i="19"/>
  <c r="P354" i="19"/>
  <c r="P355" i="19"/>
  <c r="P356" i="19"/>
  <c r="P357" i="19"/>
  <c r="P358" i="19"/>
  <c r="P359" i="19"/>
  <c r="P360" i="19"/>
  <c r="P361" i="19"/>
  <c r="P362" i="19"/>
  <c r="P363" i="19"/>
  <c r="P364" i="19"/>
  <c r="P365" i="19"/>
  <c r="P366" i="19"/>
  <c r="P367" i="19"/>
  <c r="P368" i="19"/>
  <c r="P369" i="19"/>
  <c r="P370" i="19"/>
  <c r="P371" i="19"/>
  <c r="P372" i="19"/>
  <c r="P373" i="19"/>
  <c r="P374" i="19"/>
  <c r="P375" i="19"/>
  <c r="P376" i="19"/>
  <c r="P377" i="19"/>
  <c r="P378" i="19"/>
  <c r="P379" i="19"/>
  <c r="P380" i="19"/>
  <c r="P381" i="19"/>
  <c r="P382" i="19"/>
  <c r="P383" i="19"/>
  <c r="P384" i="19"/>
  <c r="P385" i="19"/>
  <c r="P386" i="19"/>
  <c r="P387" i="19"/>
  <c r="P388" i="19"/>
  <c r="P389" i="19"/>
  <c r="P390" i="19"/>
  <c r="P391" i="19"/>
  <c r="P392" i="19"/>
  <c r="P393" i="19"/>
  <c r="P394" i="19"/>
  <c r="P395" i="19"/>
  <c r="P396" i="19"/>
  <c r="P397" i="19"/>
  <c r="P398" i="19"/>
  <c r="P399" i="19"/>
  <c r="P400" i="19"/>
  <c r="P401" i="19"/>
  <c r="P402" i="19"/>
  <c r="P403" i="19"/>
  <c r="P404" i="19"/>
  <c r="P405" i="19"/>
  <c r="P406" i="19"/>
  <c r="P407" i="19"/>
  <c r="P408" i="19"/>
  <c r="P409" i="19"/>
  <c r="P410" i="19"/>
  <c r="P411" i="19"/>
  <c r="P412" i="19"/>
  <c r="P413" i="19"/>
  <c r="P414" i="19"/>
  <c r="P415" i="19"/>
  <c r="P416" i="19"/>
  <c r="P417" i="19"/>
  <c r="P418" i="19"/>
  <c r="P419" i="19"/>
  <c r="P420" i="19"/>
  <c r="P421" i="19"/>
  <c r="P422" i="19"/>
  <c r="P423" i="19"/>
  <c r="P424" i="19"/>
  <c r="P425" i="19"/>
  <c r="P426" i="19"/>
  <c r="P427" i="19"/>
  <c r="P428" i="19"/>
  <c r="P429" i="19"/>
  <c r="P430" i="19"/>
  <c r="P431" i="19"/>
  <c r="P432" i="19"/>
  <c r="P433" i="19"/>
  <c r="P434" i="19"/>
  <c r="P435" i="19"/>
  <c r="P436" i="19"/>
  <c r="P437" i="19"/>
  <c r="P438" i="19"/>
  <c r="P439" i="19"/>
  <c r="P440" i="19"/>
  <c r="P441" i="19"/>
  <c r="P442" i="19"/>
  <c r="P443" i="19"/>
  <c r="P444" i="19"/>
  <c r="P445" i="19"/>
  <c r="P446" i="19"/>
  <c r="P447" i="19"/>
  <c r="P448" i="19"/>
  <c r="P449" i="19"/>
  <c r="P450" i="19"/>
  <c r="P451" i="19"/>
  <c r="P452" i="19"/>
  <c r="P453" i="19"/>
  <c r="P454" i="19"/>
  <c r="P455" i="19"/>
  <c r="P456" i="19"/>
  <c r="P457" i="19"/>
  <c r="P458" i="19"/>
  <c r="P459" i="19"/>
  <c r="P460" i="19"/>
  <c r="P461" i="19"/>
  <c r="P462" i="19"/>
  <c r="P463" i="19"/>
  <c r="P464" i="19"/>
  <c r="P465" i="19"/>
  <c r="P466" i="19"/>
  <c r="P467" i="19"/>
  <c r="P468" i="19"/>
  <c r="P469" i="19"/>
  <c r="P470" i="19"/>
  <c r="P471" i="19"/>
  <c r="P472" i="19"/>
  <c r="P473" i="19"/>
  <c r="P474" i="19"/>
  <c r="P475" i="19"/>
  <c r="P476" i="19"/>
  <c r="P477" i="19"/>
  <c r="P478" i="19"/>
  <c r="P479" i="19"/>
  <c r="P480" i="19"/>
  <c r="P481" i="19"/>
  <c r="P482" i="19"/>
  <c r="P483" i="19"/>
  <c r="P484" i="19"/>
  <c r="P485" i="19"/>
  <c r="P486" i="19"/>
  <c r="P487" i="19"/>
  <c r="P488" i="19"/>
  <c r="P489" i="19"/>
  <c r="P490" i="19"/>
  <c r="P491" i="19"/>
  <c r="P492" i="19"/>
  <c r="P493" i="19"/>
  <c r="P494" i="19"/>
  <c r="P495" i="19"/>
  <c r="P496" i="19"/>
  <c r="P497" i="19"/>
  <c r="P498" i="19"/>
  <c r="P499" i="19"/>
  <c r="P500" i="19"/>
  <c r="P501" i="19"/>
  <c r="P502" i="19"/>
  <c r="P503" i="19"/>
  <c r="P504" i="19"/>
  <c r="P505" i="19"/>
  <c r="P506" i="19"/>
  <c r="P507" i="19"/>
  <c r="P508" i="19"/>
  <c r="P509" i="19"/>
  <c r="P510" i="19"/>
  <c r="P511" i="19"/>
  <c r="P512" i="19"/>
  <c r="P513" i="19"/>
  <c r="P514" i="19"/>
  <c r="P515" i="19"/>
  <c r="P516" i="19"/>
  <c r="P517" i="19"/>
  <c r="P518" i="19"/>
  <c r="P519" i="19"/>
  <c r="P520" i="19"/>
  <c r="P521" i="19"/>
  <c r="P522" i="19"/>
  <c r="P523" i="19"/>
  <c r="P524" i="19"/>
  <c r="P525" i="19"/>
  <c r="P526" i="19"/>
  <c r="P527" i="19"/>
  <c r="P528" i="19"/>
  <c r="P529" i="19"/>
  <c r="P530" i="19"/>
  <c r="P531" i="19"/>
  <c r="P532" i="19"/>
  <c r="P533" i="19"/>
  <c r="P534" i="19"/>
  <c r="P535" i="19"/>
  <c r="P536" i="19"/>
  <c r="P537" i="19"/>
  <c r="P538" i="19"/>
  <c r="P539" i="19"/>
  <c r="P540" i="19"/>
  <c r="P541" i="19"/>
  <c r="P542" i="19"/>
  <c r="P543" i="19"/>
  <c r="P544" i="19"/>
  <c r="P545" i="19"/>
  <c r="P546" i="19"/>
  <c r="P547" i="19"/>
  <c r="P548" i="19"/>
  <c r="P549" i="19"/>
  <c r="P550" i="19"/>
  <c r="P551" i="19"/>
  <c r="P552" i="19"/>
  <c r="P553" i="19"/>
  <c r="P554" i="19"/>
  <c r="P555" i="19"/>
  <c r="P556" i="19"/>
  <c r="P557" i="19"/>
  <c r="P558" i="19"/>
  <c r="P559" i="19"/>
  <c r="P560" i="19"/>
  <c r="P561" i="19"/>
  <c r="P562" i="19"/>
  <c r="P563" i="19"/>
  <c r="P564" i="19"/>
  <c r="P565" i="19"/>
  <c r="P566" i="19"/>
  <c r="P567" i="19"/>
  <c r="P568" i="19"/>
  <c r="P569" i="19"/>
  <c r="P570" i="19"/>
  <c r="P571" i="19"/>
  <c r="P572" i="19"/>
  <c r="P573" i="19"/>
  <c r="P574" i="19"/>
  <c r="P575" i="19"/>
  <c r="P576" i="19"/>
  <c r="P577" i="19"/>
  <c r="P578" i="19"/>
  <c r="P579" i="19"/>
  <c r="P580" i="19"/>
  <c r="P581" i="19"/>
  <c r="P582" i="19"/>
  <c r="P583" i="19"/>
  <c r="P584" i="19"/>
  <c r="P585" i="19"/>
  <c r="P586" i="19"/>
  <c r="P587" i="19"/>
  <c r="P588" i="19"/>
  <c r="P589" i="19"/>
  <c r="P590" i="19"/>
  <c r="P591" i="19"/>
  <c r="P592" i="19"/>
  <c r="P593" i="19"/>
  <c r="P594" i="19"/>
  <c r="P595" i="19"/>
  <c r="P596" i="19"/>
  <c r="P597" i="19"/>
  <c r="P598" i="19"/>
  <c r="P599" i="19"/>
  <c r="P600" i="19"/>
  <c r="P601" i="19"/>
  <c r="P602" i="19"/>
  <c r="P603" i="19"/>
  <c r="P604" i="19"/>
  <c r="P605" i="19"/>
  <c r="P606" i="19"/>
  <c r="P607" i="19"/>
  <c r="P608" i="19"/>
  <c r="P609" i="19"/>
  <c r="P610" i="19"/>
  <c r="P611" i="19"/>
  <c r="P612" i="19"/>
  <c r="P613" i="19"/>
  <c r="P614" i="19"/>
  <c r="P615" i="19"/>
  <c r="P616" i="19"/>
  <c r="P617" i="19"/>
  <c r="P618" i="19"/>
  <c r="P619" i="19"/>
  <c r="P620" i="19"/>
  <c r="P621" i="19"/>
  <c r="P622" i="19"/>
  <c r="P623" i="19"/>
  <c r="P624" i="19"/>
  <c r="P625" i="19"/>
  <c r="P626" i="19"/>
  <c r="P627" i="19"/>
  <c r="P628" i="19"/>
  <c r="P629" i="19"/>
  <c r="P630" i="19"/>
  <c r="P631" i="19"/>
  <c r="P632" i="19"/>
  <c r="P633" i="19"/>
  <c r="P634" i="19"/>
  <c r="P635" i="19"/>
  <c r="P636" i="19"/>
  <c r="P637" i="19"/>
  <c r="P638" i="19"/>
  <c r="P639" i="19"/>
  <c r="P640" i="19"/>
  <c r="P641" i="19"/>
  <c r="P642" i="19"/>
  <c r="P643" i="19"/>
  <c r="P644" i="19"/>
  <c r="P645" i="19"/>
  <c r="P646" i="19"/>
  <c r="P647" i="19"/>
  <c r="P648" i="19"/>
  <c r="P649" i="19"/>
  <c r="P650" i="19"/>
  <c r="P651" i="19"/>
  <c r="P652" i="19"/>
  <c r="P653" i="19"/>
  <c r="P654" i="19"/>
  <c r="P655" i="19"/>
  <c r="P656" i="19"/>
  <c r="P657" i="19"/>
  <c r="P658" i="19"/>
  <c r="P659" i="19"/>
  <c r="P660" i="19"/>
  <c r="P661" i="19"/>
  <c r="P662" i="19"/>
  <c r="P663" i="19"/>
  <c r="P664" i="19"/>
  <c r="P665" i="19"/>
  <c r="P666" i="19"/>
  <c r="P667" i="19"/>
  <c r="P668" i="19"/>
  <c r="P669" i="19"/>
  <c r="P670" i="19"/>
  <c r="P671" i="19"/>
  <c r="P672" i="19"/>
  <c r="P673" i="19"/>
  <c r="P674" i="19"/>
  <c r="P675" i="19"/>
  <c r="P676" i="19"/>
  <c r="P677" i="19"/>
  <c r="P678" i="19"/>
  <c r="P679" i="19"/>
  <c r="P680" i="19"/>
  <c r="P681" i="19"/>
  <c r="P682" i="19"/>
  <c r="P683" i="19"/>
  <c r="P684" i="19"/>
  <c r="P685" i="19"/>
  <c r="P686" i="19"/>
  <c r="P687" i="19"/>
  <c r="P688" i="19"/>
  <c r="P689" i="19"/>
  <c r="P690" i="19"/>
  <c r="P691" i="19"/>
  <c r="P692" i="19"/>
  <c r="P693" i="19"/>
  <c r="P694" i="19"/>
  <c r="P695" i="19"/>
  <c r="P696" i="19"/>
  <c r="P697" i="19"/>
  <c r="P698" i="19"/>
  <c r="P699" i="19"/>
  <c r="P700" i="19"/>
  <c r="P701" i="19"/>
  <c r="P702" i="19"/>
  <c r="P703" i="19"/>
  <c r="P704" i="19"/>
  <c r="P705" i="19"/>
  <c r="P706" i="19"/>
  <c r="P707" i="19"/>
  <c r="P708" i="19"/>
  <c r="P709" i="19"/>
  <c r="P710" i="19"/>
  <c r="P711" i="19"/>
  <c r="P712" i="19"/>
  <c r="P713" i="19"/>
  <c r="P714" i="19"/>
  <c r="P715" i="19"/>
  <c r="P716" i="19"/>
  <c r="P717" i="19"/>
  <c r="P718" i="19"/>
  <c r="P719" i="19"/>
  <c r="P720" i="19"/>
  <c r="P721" i="19"/>
  <c r="P722" i="19"/>
  <c r="P723" i="19"/>
  <c r="P724" i="19"/>
  <c r="P725" i="19"/>
  <c r="P726" i="19"/>
  <c r="P727" i="19"/>
  <c r="P728" i="19"/>
  <c r="P729" i="19"/>
  <c r="P730" i="19"/>
  <c r="P731" i="19"/>
  <c r="P732" i="19"/>
  <c r="P733" i="19"/>
  <c r="P734" i="19"/>
  <c r="P735" i="19"/>
  <c r="P736" i="19"/>
  <c r="P737" i="19"/>
  <c r="P738" i="19"/>
  <c r="P739" i="19"/>
  <c r="P740" i="19"/>
  <c r="P741" i="19"/>
  <c r="P742" i="19"/>
  <c r="P743" i="19"/>
  <c r="P744" i="19"/>
  <c r="P745" i="19"/>
  <c r="P746" i="19"/>
  <c r="P747" i="19"/>
  <c r="P748" i="19"/>
  <c r="P749" i="19"/>
  <c r="P750" i="19"/>
  <c r="P751" i="19"/>
  <c r="P752" i="19"/>
  <c r="P753" i="19"/>
  <c r="P754" i="19"/>
  <c r="P755" i="19"/>
  <c r="P756" i="19"/>
  <c r="P757" i="19"/>
  <c r="P758" i="19"/>
  <c r="P759" i="19"/>
  <c r="P760" i="19"/>
  <c r="P761" i="19"/>
  <c r="P762" i="19"/>
  <c r="P763" i="19"/>
  <c r="P764" i="19"/>
  <c r="P765" i="19"/>
  <c r="P766" i="19"/>
  <c r="P767" i="19"/>
  <c r="P768" i="19"/>
  <c r="P769" i="19"/>
  <c r="P770" i="19"/>
  <c r="P771" i="19"/>
  <c r="P772" i="19"/>
  <c r="P773" i="19"/>
  <c r="P774" i="19"/>
  <c r="P775" i="19"/>
  <c r="P776" i="19"/>
  <c r="P777" i="19"/>
  <c r="P778" i="19"/>
  <c r="P779" i="19"/>
  <c r="P780" i="19"/>
  <c r="P781" i="19"/>
  <c r="P782" i="19"/>
  <c r="P783" i="19"/>
  <c r="P784" i="19"/>
  <c r="P785" i="19"/>
  <c r="P786" i="19"/>
  <c r="P787" i="19"/>
  <c r="P788" i="19"/>
  <c r="P789" i="19"/>
  <c r="P790" i="19"/>
  <c r="P791" i="19"/>
  <c r="P792" i="19"/>
  <c r="P793" i="19"/>
  <c r="P794" i="19"/>
  <c r="P795" i="19"/>
  <c r="P796" i="19"/>
  <c r="P797" i="19"/>
  <c r="P798" i="19"/>
  <c r="P799" i="19"/>
  <c r="P800" i="19"/>
  <c r="P801" i="19"/>
  <c r="P802" i="19"/>
  <c r="P803" i="19"/>
  <c r="P804" i="19"/>
  <c r="P805" i="19"/>
  <c r="P806" i="19"/>
  <c r="P807" i="19"/>
  <c r="P808" i="19"/>
  <c r="P809" i="19"/>
  <c r="P810" i="19"/>
  <c r="P811" i="19"/>
  <c r="P812" i="19"/>
  <c r="P813" i="19"/>
  <c r="P814" i="19"/>
  <c r="P815" i="19"/>
  <c r="P816" i="19"/>
  <c r="P817" i="19"/>
  <c r="P818" i="19"/>
  <c r="P819" i="19"/>
  <c r="P820" i="19"/>
  <c r="P821" i="19"/>
  <c r="P822" i="19"/>
  <c r="P823" i="19"/>
  <c r="P824" i="19"/>
  <c r="P825" i="19"/>
  <c r="P826" i="19"/>
  <c r="P827" i="19"/>
  <c r="P828" i="19"/>
  <c r="P829" i="19"/>
  <c r="P830" i="19"/>
  <c r="P831" i="19"/>
  <c r="P832" i="19"/>
  <c r="P833" i="19"/>
  <c r="P834" i="19"/>
  <c r="P835" i="19"/>
  <c r="P836" i="19"/>
  <c r="P837" i="19"/>
  <c r="P838" i="19"/>
  <c r="P839" i="19"/>
  <c r="P840" i="19"/>
  <c r="P841" i="19"/>
  <c r="P842" i="19"/>
  <c r="P843" i="19"/>
  <c r="P844" i="19"/>
  <c r="P845" i="19"/>
  <c r="P846" i="19"/>
  <c r="P847" i="19"/>
  <c r="P848" i="19"/>
  <c r="P849" i="19"/>
  <c r="P850" i="19"/>
  <c r="P851" i="19"/>
  <c r="P852" i="19"/>
  <c r="P853" i="19"/>
  <c r="P854" i="19"/>
  <c r="P855" i="19"/>
  <c r="P856" i="19"/>
  <c r="P857" i="19"/>
  <c r="P858" i="19"/>
  <c r="P859" i="19"/>
  <c r="P860" i="19"/>
  <c r="P861" i="19"/>
  <c r="P862" i="19"/>
  <c r="P863" i="19"/>
  <c r="P864" i="19"/>
  <c r="P865" i="19"/>
  <c r="P866" i="19"/>
  <c r="P867" i="19"/>
  <c r="P868" i="19"/>
  <c r="P869" i="19"/>
  <c r="P870" i="19"/>
  <c r="P871" i="19"/>
  <c r="P872" i="19"/>
  <c r="P873" i="19"/>
  <c r="P874" i="19"/>
  <c r="P875" i="19"/>
  <c r="P876" i="19"/>
  <c r="P877" i="19"/>
  <c r="P878" i="19"/>
  <c r="P879" i="19"/>
  <c r="P880" i="19"/>
  <c r="P881" i="19"/>
  <c r="P882" i="19"/>
  <c r="P883" i="19"/>
  <c r="P884" i="19"/>
  <c r="P885" i="19"/>
  <c r="P886" i="19"/>
  <c r="P887" i="19"/>
  <c r="P888" i="19"/>
  <c r="P889" i="19"/>
  <c r="P890" i="19"/>
  <c r="P891" i="19"/>
  <c r="P892" i="19"/>
  <c r="P893" i="19"/>
  <c r="P894" i="19"/>
  <c r="P895" i="19"/>
  <c r="P896" i="19"/>
  <c r="P897" i="19"/>
  <c r="P898" i="19"/>
  <c r="P899" i="19"/>
  <c r="P900" i="19"/>
  <c r="P901" i="19"/>
  <c r="P902" i="19"/>
  <c r="P903" i="19"/>
  <c r="P904" i="19"/>
  <c r="P905" i="19"/>
  <c r="P906" i="19"/>
  <c r="P907" i="19"/>
  <c r="P908" i="19"/>
  <c r="P909" i="19"/>
  <c r="P910" i="19"/>
  <c r="P911" i="19"/>
  <c r="P912" i="19"/>
  <c r="P913" i="19"/>
  <c r="P914" i="19"/>
  <c r="P915" i="19"/>
  <c r="P916" i="19"/>
  <c r="P917" i="19"/>
  <c r="P918" i="19"/>
  <c r="P919" i="19"/>
  <c r="P920" i="19"/>
  <c r="P921" i="19"/>
  <c r="P922" i="19"/>
  <c r="P923" i="19"/>
  <c r="P924" i="19"/>
  <c r="P925" i="19"/>
  <c r="P926" i="19"/>
  <c r="P927" i="19"/>
  <c r="P928" i="19"/>
  <c r="P929" i="19"/>
  <c r="P930" i="19"/>
  <c r="P931" i="19"/>
  <c r="P932" i="19"/>
  <c r="P933" i="19"/>
  <c r="P934" i="19"/>
  <c r="P935" i="19"/>
  <c r="P936" i="19"/>
  <c r="P937" i="19"/>
  <c r="P938" i="19"/>
  <c r="P939" i="19"/>
  <c r="P940" i="19"/>
  <c r="P941" i="19"/>
  <c r="P942" i="19"/>
  <c r="P943" i="19"/>
  <c r="P944" i="19"/>
  <c r="P945" i="19"/>
  <c r="P946" i="19"/>
  <c r="P947" i="19"/>
  <c r="P948" i="19"/>
  <c r="P949" i="19"/>
  <c r="P950" i="19"/>
  <c r="P951" i="19"/>
  <c r="P952" i="19"/>
  <c r="P953" i="19"/>
  <c r="P954" i="19"/>
  <c r="P955" i="19"/>
  <c r="P956" i="19"/>
  <c r="P957" i="19"/>
  <c r="P958" i="19"/>
  <c r="P959" i="19"/>
  <c r="P960" i="19"/>
  <c r="P961" i="19"/>
  <c r="P962" i="19"/>
  <c r="P963" i="19"/>
  <c r="P964" i="19"/>
  <c r="P965" i="19"/>
  <c r="P966" i="19"/>
  <c r="P967" i="19"/>
  <c r="P968" i="19"/>
  <c r="P969" i="19"/>
  <c r="P970" i="19"/>
  <c r="P971" i="19"/>
  <c r="P972" i="19"/>
  <c r="P973" i="19"/>
  <c r="P974" i="19"/>
  <c r="P975" i="19"/>
  <c r="P976" i="19"/>
  <c r="P977" i="19"/>
  <c r="P978" i="19"/>
  <c r="P979" i="19"/>
  <c r="P980" i="19"/>
  <c r="P981" i="19"/>
  <c r="P982" i="19"/>
  <c r="P983" i="19"/>
  <c r="P984" i="19"/>
  <c r="P985" i="19"/>
  <c r="P986" i="19"/>
  <c r="P987" i="19"/>
  <c r="P988" i="19"/>
  <c r="P989" i="19"/>
  <c r="P990" i="19"/>
  <c r="P991" i="19"/>
  <c r="P992" i="19"/>
  <c r="P993" i="19"/>
  <c r="P994" i="19"/>
  <c r="P995" i="19"/>
  <c r="P996" i="19"/>
  <c r="P997" i="19"/>
  <c r="P998" i="19"/>
  <c r="P999" i="19"/>
  <c r="P1000" i="19"/>
  <c r="P1001" i="19"/>
  <c r="P1002" i="19"/>
  <c r="P1003" i="19"/>
  <c r="P1004" i="19"/>
  <c r="P1005" i="19"/>
  <c r="P1006" i="19"/>
  <c r="P1007" i="19"/>
  <c r="P1008" i="19"/>
  <c r="P1009" i="19"/>
  <c r="P1010" i="19"/>
  <c r="P1011" i="19"/>
  <c r="P1012" i="19"/>
  <c r="P1013" i="19"/>
  <c r="P1014" i="19"/>
  <c r="P1015" i="19"/>
  <c r="P1016" i="19"/>
  <c r="P1017" i="19"/>
  <c r="P1018" i="19"/>
  <c r="P1019" i="19"/>
  <c r="P1020" i="19"/>
  <c r="P1021" i="19"/>
  <c r="P1022" i="19"/>
  <c r="P1023" i="19"/>
  <c r="P1024" i="19"/>
  <c r="P1025" i="19"/>
  <c r="P1026" i="19"/>
  <c r="P1027" i="19"/>
  <c r="P1028" i="19"/>
  <c r="P1029" i="19"/>
  <c r="P1030" i="19"/>
  <c r="P1031" i="19"/>
  <c r="P1032" i="19"/>
  <c r="P1033" i="19"/>
  <c r="P1034" i="19"/>
  <c r="P1035" i="19"/>
  <c r="P1036" i="19"/>
  <c r="P1037" i="19"/>
  <c r="P1038" i="19"/>
  <c r="P1039" i="19"/>
  <c r="P1040" i="19"/>
  <c r="P1041" i="19"/>
  <c r="P1042" i="19"/>
  <c r="P1043" i="19"/>
  <c r="P1044" i="19"/>
  <c r="P1045" i="19"/>
  <c r="P1046" i="19"/>
  <c r="P1047" i="19"/>
  <c r="P1048" i="19"/>
  <c r="P1049" i="19"/>
  <c r="P1050" i="19"/>
  <c r="P1051" i="19"/>
  <c r="P1052" i="19"/>
  <c r="P1053" i="19"/>
  <c r="P1054" i="19"/>
  <c r="P1055" i="19"/>
  <c r="P1056" i="19"/>
  <c r="P1057" i="19"/>
  <c r="P1058" i="19"/>
  <c r="P1059" i="19"/>
  <c r="P1060" i="19"/>
  <c r="P1061" i="19"/>
  <c r="P1062" i="19"/>
  <c r="P1063" i="19"/>
  <c r="P1064" i="19"/>
  <c r="P1065" i="19"/>
  <c r="P1066" i="19"/>
  <c r="P1067" i="19"/>
  <c r="P1068" i="19"/>
  <c r="P1069" i="19"/>
  <c r="P1070" i="19"/>
  <c r="P1071" i="19"/>
  <c r="P1072" i="19"/>
  <c r="P1073" i="19"/>
  <c r="P1074" i="19"/>
  <c r="P1075" i="19"/>
  <c r="P1076" i="19"/>
  <c r="P1077" i="19"/>
  <c r="P1078" i="19"/>
  <c r="P1079" i="19"/>
  <c r="P1080" i="19"/>
  <c r="P1081" i="19"/>
  <c r="P1082" i="19"/>
  <c r="P1083" i="19"/>
  <c r="P1084" i="19"/>
  <c r="P1085" i="19"/>
  <c r="P1086" i="19"/>
  <c r="P1087" i="19"/>
  <c r="P1088" i="19"/>
  <c r="P1089" i="19"/>
  <c r="P1090" i="19"/>
  <c r="P1091" i="19"/>
  <c r="P1092" i="19"/>
  <c r="P1093" i="19"/>
  <c r="P1094" i="19"/>
  <c r="P1095" i="19"/>
  <c r="P1096" i="19"/>
  <c r="P1097" i="19"/>
  <c r="P1098" i="19"/>
  <c r="P1099" i="19"/>
  <c r="P1100" i="19"/>
  <c r="P1101" i="19"/>
  <c r="P1102" i="19"/>
  <c r="P1103" i="19"/>
  <c r="P1104" i="19"/>
  <c r="P1105" i="19"/>
  <c r="P1106" i="19"/>
  <c r="P1107" i="19"/>
  <c r="P1108" i="19"/>
  <c r="P1109" i="19"/>
  <c r="P1110" i="19"/>
  <c r="P1111" i="19"/>
  <c r="P1112" i="19"/>
  <c r="P1113" i="19"/>
  <c r="P1114" i="19"/>
  <c r="P1115" i="19"/>
  <c r="P1116" i="19"/>
  <c r="P1117" i="19"/>
  <c r="P1118" i="19"/>
  <c r="P1119" i="19"/>
  <c r="P1120" i="19"/>
  <c r="P1121" i="19"/>
  <c r="P1122" i="19"/>
  <c r="P1123" i="19"/>
  <c r="P1124" i="19"/>
  <c r="P1125" i="19"/>
  <c r="P1126" i="19"/>
  <c r="P1127" i="19"/>
  <c r="P1128" i="19"/>
  <c r="P1129" i="19"/>
  <c r="P1130" i="19"/>
  <c r="P1131" i="19"/>
  <c r="P1132" i="19"/>
  <c r="P1133" i="19"/>
  <c r="P1134" i="19"/>
  <c r="P1135" i="19"/>
  <c r="P1136" i="19"/>
  <c r="P1137" i="19"/>
  <c r="P1138" i="19"/>
  <c r="P1139" i="19"/>
  <c r="P1140" i="19"/>
  <c r="P1141" i="19"/>
  <c r="P1142" i="19"/>
  <c r="P1143" i="19"/>
  <c r="P1144" i="19"/>
  <c r="P1145" i="19"/>
  <c r="P1146" i="19"/>
  <c r="P1147" i="19"/>
  <c r="P1148" i="19"/>
  <c r="P1149" i="19"/>
  <c r="P1150" i="19"/>
  <c r="P1151" i="19"/>
  <c r="P1152" i="19"/>
  <c r="P1153" i="19"/>
  <c r="P1154" i="19"/>
  <c r="P1155" i="19"/>
  <c r="P1156" i="19"/>
  <c r="P1157" i="19"/>
  <c r="P1158" i="19"/>
  <c r="P1159" i="19"/>
  <c r="P1160" i="19"/>
  <c r="P1161" i="19"/>
  <c r="P1162" i="19"/>
  <c r="P1163" i="19"/>
  <c r="P1164" i="19"/>
  <c r="P1165" i="19"/>
  <c r="P1166" i="19"/>
  <c r="P1167" i="19"/>
  <c r="P1168" i="19"/>
  <c r="P1169" i="19"/>
  <c r="P1170" i="19"/>
  <c r="P1171" i="19"/>
  <c r="P1172" i="19"/>
  <c r="P1173" i="19"/>
  <c r="P1174" i="19"/>
  <c r="P1175" i="19"/>
  <c r="P1176" i="19"/>
  <c r="P1177" i="19"/>
  <c r="P1178" i="19"/>
  <c r="P1179" i="19"/>
  <c r="P1180" i="19"/>
  <c r="P1181" i="19"/>
  <c r="P1182" i="19"/>
  <c r="P1183" i="19"/>
  <c r="P1184" i="19"/>
  <c r="P1185" i="19"/>
  <c r="P1186" i="19"/>
  <c r="P1187" i="19"/>
  <c r="P1188" i="19"/>
  <c r="P1189" i="19"/>
  <c r="P1190" i="19"/>
  <c r="P1191" i="19"/>
  <c r="P1192" i="19"/>
  <c r="P1193" i="19"/>
  <c r="P1194" i="19"/>
  <c r="P1195" i="19"/>
  <c r="P1196" i="19"/>
  <c r="P1197" i="19"/>
  <c r="P1198" i="19"/>
  <c r="P1199" i="19"/>
  <c r="P1200" i="19"/>
  <c r="P1201" i="19"/>
  <c r="P1202" i="19"/>
  <c r="P1203" i="19"/>
  <c r="P1204" i="19"/>
  <c r="P1205" i="19"/>
  <c r="P1206" i="19"/>
  <c r="P1207" i="19"/>
  <c r="P1208" i="19"/>
  <c r="P1209" i="19"/>
  <c r="P1210" i="19"/>
  <c r="P1211" i="19"/>
  <c r="P1212" i="19"/>
  <c r="P1213" i="19"/>
  <c r="P1214" i="19"/>
  <c r="P1215" i="19"/>
  <c r="P1216" i="19"/>
  <c r="P1217" i="19"/>
  <c r="P1218" i="19"/>
  <c r="P1219" i="19"/>
  <c r="P1220" i="19"/>
  <c r="P1221" i="19"/>
  <c r="P1222" i="19"/>
  <c r="P1223" i="19"/>
  <c r="P1224" i="19"/>
  <c r="P1225" i="19"/>
  <c r="P1226" i="19"/>
  <c r="P1227" i="19"/>
  <c r="P1228" i="19"/>
  <c r="P1229" i="19"/>
  <c r="P1230" i="19"/>
  <c r="P1231" i="19"/>
  <c r="P1232" i="19"/>
  <c r="P1233" i="19"/>
  <c r="P1234" i="19"/>
  <c r="P1235" i="19"/>
  <c r="P1236" i="19"/>
  <c r="P1237" i="19"/>
  <c r="P1238" i="19"/>
  <c r="P1239" i="19"/>
  <c r="P1240" i="19"/>
  <c r="P1241" i="19"/>
  <c r="P1242" i="19"/>
  <c r="P1243" i="19"/>
  <c r="P1244" i="19"/>
  <c r="P1245" i="19"/>
  <c r="P1246" i="19"/>
  <c r="P1247" i="19"/>
  <c r="P1248" i="19"/>
  <c r="P1249" i="19"/>
  <c r="P1250" i="19"/>
  <c r="P1251" i="19"/>
  <c r="P1252" i="19"/>
  <c r="P1253" i="19"/>
  <c r="P1254" i="19"/>
  <c r="P1255" i="19"/>
  <c r="P1256" i="19"/>
  <c r="P1257" i="19"/>
  <c r="P1258" i="19"/>
  <c r="P1259" i="19"/>
  <c r="P1260" i="19"/>
  <c r="P1261" i="19"/>
  <c r="P1262" i="19"/>
  <c r="P1263" i="19"/>
  <c r="P1264" i="19"/>
  <c r="P1265" i="19"/>
  <c r="P1266" i="19"/>
  <c r="P1267" i="19"/>
  <c r="P1268" i="19"/>
  <c r="P1269" i="19"/>
  <c r="P1270" i="19"/>
  <c r="P1271" i="19"/>
  <c r="P1272" i="19"/>
  <c r="P1273" i="19"/>
  <c r="P1274" i="19"/>
  <c r="P1275" i="19"/>
  <c r="P1276" i="19"/>
  <c r="P1277" i="19"/>
  <c r="P1278" i="19"/>
  <c r="P1279" i="19"/>
  <c r="P1280" i="19"/>
  <c r="P1281" i="19"/>
  <c r="P1282" i="19"/>
  <c r="P1283" i="19"/>
  <c r="P1284" i="19"/>
  <c r="P1285" i="19"/>
  <c r="P1286" i="19"/>
  <c r="P1287" i="19"/>
  <c r="P1288" i="19"/>
  <c r="P1289" i="19"/>
  <c r="P1290" i="19"/>
  <c r="P1291" i="19"/>
  <c r="P1292" i="19"/>
  <c r="P1293" i="19"/>
  <c r="P1294" i="19"/>
  <c r="P1295" i="19"/>
  <c r="P1296" i="19"/>
  <c r="P1297" i="19"/>
  <c r="P1298" i="19"/>
  <c r="P1299" i="19"/>
  <c r="P1300" i="19"/>
  <c r="P1301" i="19"/>
  <c r="P1302" i="19"/>
  <c r="P1303" i="19"/>
  <c r="P1304" i="19"/>
  <c r="P1305" i="19"/>
  <c r="P1306" i="19"/>
  <c r="P1307" i="19"/>
  <c r="P1308" i="19"/>
  <c r="P1309" i="19"/>
  <c r="P1310" i="19"/>
  <c r="P1311" i="19"/>
  <c r="P1312" i="19"/>
  <c r="P1313" i="19"/>
  <c r="P1314" i="19"/>
  <c r="P1315" i="19"/>
  <c r="P1316" i="19"/>
  <c r="P1317" i="19"/>
  <c r="P1318" i="19"/>
  <c r="P1319" i="19"/>
  <c r="P1320" i="19"/>
  <c r="P1321" i="19"/>
  <c r="P1322" i="19"/>
  <c r="P1323" i="19"/>
  <c r="P1324" i="19"/>
  <c r="P1325" i="19"/>
  <c r="P1326" i="19"/>
  <c r="P1327" i="19"/>
  <c r="P1328" i="19"/>
  <c r="P1329" i="19"/>
  <c r="P1330" i="19"/>
  <c r="P1331" i="19"/>
  <c r="P1332" i="19"/>
  <c r="P1333" i="19"/>
  <c r="P1334" i="19"/>
  <c r="P1335" i="19"/>
  <c r="P1336" i="19"/>
  <c r="P1337" i="19"/>
  <c r="P1338" i="19"/>
  <c r="P1339" i="19"/>
  <c r="P1340" i="19"/>
  <c r="P1341" i="19"/>
  <c r="P1342" i="19"/>
  <c r="P1343" i="19"/>
  <c r="P1344" i="19"/>
  <c r="P1345" i="19"/>
  <c r="P1346" i="19"/>
  <c r="P1347" i="19"/>
  <c r="P1348" i="19"/>
  <c r="P1349" i="19"/>
  <c r="P1350" i="19"/>
  <c r="P1351" i="19"/>
  <c r="P1352" i="19"/>
  <c r="P1353" i="19"/>
  <c r="P1354" i="19"/>
  <c r="P1355" i="19"/>
  <c r="P1356" i="19"/>
  <c r="P1357" i="19"/>
  <c r="P1358" i="19"/>
  <c r="P1359" i="19"/>
  <c r="P1360" i="19"/>
  <c r="P1361" i="19"/>
  <c r="P1362" i="19"/>
  <c r="P1363" i="19"/>
  <c r="P1364" i="19"/>
  <c r="P1365" i="19"/>
  <c r="P1366" i="19"/>
  <c r="P1367" i="19"/>
  <c r="P1368" i="19"/>
  <c r="P1369" i="19"/>
  <c r="P1370" i="19"/>
  <c r="P1371" i="19"/>
  <c r="P1372" i="19"/>
  <c r="P1373" i="19"/>
  <c r="P1374" i="19"/>
  <c r="P1375" i="19"/>
  <c r="P1376" i="19"/>
  <c r="P1377" i="19"/>
  <c r="P1378" i="19"/>
  <c r="P1379" i="19"/>
  <c r="P1380" i="19"/>
  <c r="P1381" i="19"/>
  <c r="P1382" i="19"/>
  <c r="P1383" i="19"/>
  <c r="P1384" i="19"/>
  <c r="P1385" i="19"/>
  <c r="P1386" i="19"/>
  <c r="P1387" i="19"/>
  <c r="P1388" i="19"/>
  <c r="P1389" i="19"/>
  <c r="P1390" i="19"/>
  <c r="P1391" i="19"/>
  <c r="P1392" i="19"/>
  <c r="P1393" i="19"/>
  <c r="P1394" i="19"/>
  <c r="P1395" i="19"/>
  <c r="P1396" i="19"/>
  <c r="P1397" i="19"/>
  <c r="P1398" i="19"/>
  <c r="P1399" i="19"/>
  <c r="P1400" i="19"/>
  <c r="P1401" i="19"/>
  <c r="P1402" i="19"/>
  <c r="P1403" i="19"/>
  <c r="P1404" i="19"/>
  <c r="P1405" i="19"/>
  <c r="P1406" i="19"/>
  <c r="P1407" i="19"/>
  <c r="P1408" i="19"/>
  <c r="P1409" i="19"/>
  <c r="P1410" i="19"/>
  <c r="P1411" i="19"/>
  <c r="P1412" i="19"/>
  <c r="P1413" i="19"/>
  <c r="P1414" i="19"/>
  <c r="P1415" i="19"/>
  <c r="P1416" i="19"/>
  <c r="P1417" i="19"/>
  <c r="P1418" i="19"/>
  <c r="P1419" i="19"/>
  <c r="P1420" i="19"/>
  <c r="P1421" i="19"/>
  <c r="P1422" i="19"/>
  <c r="P1423" i="19"/>
  <c r="P1424" i="19"/>
  <c r="P1425" i="19"/>
  <c r="P1426" i="19"/>
  <c r="P1427" i="19"/>
  <c r="P1428" i="19"/>
  <c r="P1429" i="19"/>
  <c r="P1430" i="19"/>
  <c r="P1431" i="19"/>
  <c r="P1432" i="19"/>
  <c r="P1433" i="19"/>
  <c r="P1434" i="19"/>
  <c r="P1435" i="19"/>
  <c r="P1436" i="19"/>
  <c r="P1437" i="19"/>
  <c r="P1438" i="19"/>
  <c r="P1439" i="19"/>
  <c r="P1440" i="19"/>
  <c r="P1441" i="19"/>
  <c r="P1442" i="19"/>
  <c r="P1443" i="19"/>
  <c r="P1444" i="19"/>
  <c r="P1445" i="19"/>
  <c r="P1446" i="19"/>
  <c r="P1447" i="19"/>
  <c r="P1448" i="19"/>
  <c r="P1449" i="19"/>
  <c r="P1450" i="19"/>
  <c r="P1451" i="19"/>
  <c r="P1452" i="19"/>
  <c r="P1453" i="19"/>
  <c r="P1454" i="19"/>
  <c r="P1455" i="19"/>
  <c r="P1456" i="19"/>
  <c r="P1457" i="19"/>
  <c r="P1458" i="19"/>
  <c r="P1459" i="19"/>
  <c r="P1460" i="19"/>
  <c r="P1461" i="19"/>
  <c r="P1462" i="19"/>
  <c r="P1463" i="19"/>
  <c r="P1464" i="19"/>
  <c r="P1465" i="19"/>
  <c r="P1466" i="19"/>
  <c r="P1467" i="19"/>
  <c r="P1468" i="19"/>
  <c r="P1469" i="19"/>
  <c r="P1470" i="19"/>
  <c r="P1471" i="19"/>
  <c r="P1472" i="19"/>
  <c r="P1473" i="19"/>
  <c r="P1474" i="19"/>
  <c r="P1475" i="19"/>
  <c r="P1476" i="19"/>
  <c r="P1477" i="19"/>
  <c r="P1478" i="19"/>
  <c r="P1479" i="19"/>
  <c r="P1480" i="19"/>
  <c r="P1481" i="19"/>
  <c r="P1482" i="19"/>
  <c r="P1483" i="19"/>
  <c r="P1484" i="19"/>
  <c r="P1485" i="19"/>
  <c r="P1486" i="19"/>
  <c r="P1487" i="19"/>
  <c r="P1488" i="19"/>
  <c r="P1489" i="19"/>
  <c r="P1490" i="19"/>
  <c r="P1491" i="19"/>
  <c r="P1492" i="19"/>
  <c r="P1493" i="19"/>
  <c r="P1494" i="19"/>
  <c r="P1495" i="19"/>
  <c r="P1496" i="19"/>
  <c r="P1497" i="19"/>
  <c r="P1498" i="19"/>
  <c r="P1499" i="19"/>
  <c r="P1500" i="19"/>
  <c r="P1501" i="19"/>
  <c r="P1502" i="19"/>
  <c r="P1503" i="19"/>
  <c r="P1504" i="19"/>
  <c r="P1505" i="19"/>
  <c r="P1506" i="19"/>
  <c r="P1507" i="19"/>
  <c r="P1508" i="19"/>
  <c r="P1509" i="19"/>
  <c r="P1510" i="19"/>
  <c r="P1511" i="19"/>
  <c r="P1512" i="19"/>
  <c r="P1513" i="19"/>
  <c r="P1514" i="19"/>
  <c r="P1515" i="19"/>
  <c r="P1516" i="19"/>
  <c r="P1517" i="19"/>
  <c r="P1518" i="19"/>
  <c r="P1519" i="19"/>
  <c r="P1520" i="19"/>
  <c r="P1521" i="19"/>
  <c r="P1522" i="19"/>
  <c r="P1523" i="19"/>
  <c r="P1524" i="19"/>
  <c r="P1525" i="19"/>
  <c r="P1526" i="19"/>
  <c r="P1527" i="19"/>
  <c r="P1528" i="19"/>
  <c r="P1529" i="19"/>
  <c r="P1530" i="19"/>
  <c r="P1531" i="19"/>
  <c r="P1532" i="19"/>
  <c r="P1533" i="19"/>
  <c r="P1534" i="19"/>
  <c r="P1535" i="19"/>
  <c r="P1536" i="19"/>
  <c r="P1537" i="19"/>
  <c r="P1538" i="19"/>
  <c r="P1539" i="19"/>
  <c r="P1540" i="19"/>
  <c r="P1541" i="19"/>
  <c r="P1542" i="19"/>
  <c r="P1543" i="19"/>
  <c r="P1544" i="19"/>
  <c r="P1545" i="19"/>
  <c r="P1546" i="19"/>
  <c r="P1547" i="19"/>
  <c r="P1548" i="19"/>
  <c r="P1549" i="19"/>
  <c r="P1550" i="19"/>
  <c r="P1551" i="19"/>
  <c r="P1552" i="19"/>
  <c r="P1553" i="19"/>
  <c r="P1554" i="19"/>
  <c r="P1555" i="19"/>
  <c r="P1556" i="19"/>
  <c r="P1557" i="19"/>
  <c r="P1558" i="19"/>
  <c r="P1559" i="19"/>
  <c r="P1560" i="19"/>
  <c r="P1561" i="19"/>
  <c r="P1562" i="19"/>
  <c r="P1563" i="19"/>
  <c r="P1564" i="19"/>
  <c r="P1565" i="19"/>
  <c r="P1566" i="19"/>
  <c r="P1567" i="19"/>
  <c r="P1568" i="19"/>
  <c r="P1569" i="19"/>
  <c r="P1570" i="19"/>
  <c r="P1571" i="19"/>
  <c r="P1572" i="19"/>
  <c r="P1573" i="19"/>
  <c r="P1574" i="19"/>
  <c r="P1575" i="19"/>
  <c r="P1576" i="19"/>
  <c r="P1577" i="19"/>
  <c r="P1578" i="19"/>
  <c r="P1579" i="19"/>
  <c r="P1580" i="19"/>
  <c r="P1581" i="19"/>
  <c r="P1582" i="19"/>
  <c r="P1583" i="19"/>
  <c r="P1584" i="19"/>
  <c r="P1585" i="19"/>
  <c r="P1586" i="19"/>
  <c r="P1587" i="19"/>
  <c r="P1588" i="19"/>
  <c r="P1589" i="19"/>
  <c r="P1590" i="19"/>
  <c r="P1591" i="19"/>
  <c r="P1592" i="19"/>
  <c r="P1593" i="19"/>
  <c r="P1594" i="19"/>
  <c r="P1595" i="19"/>
  <c r="P1596" i="19"/>
  <c r="P1597" i="19"/>
  <c r="P1598" i="19"/>
  <c r="P1599" i="19"/>
  <c r="P1600" i="19"/>
  <c r="P1601" i="19"/>
  <c r="P1602" i="19"/>
  <c r="P1603" i="19"/>
  <c r="P1604" i="19"/>
  <c r="P1605" i="19"/>
  <c r="P1606" i="19"/>
  <c r="P1607" i="19"/>
  <c r="P1608" i="19"/>
  <c r="P1609" i="19"/>
  <c r="P1610" i="19"/>
  <c r="P1611" i="19"/>
  <c r="P1612" i="19"/>
  <c r="P1613" i="19"/>
  <c r="P1614" i="19"/>
  <c r="P1615" i="19"/>
  <c r="P1616" i="19"/>
  <c r="P1617" i="19"/>
  <c r="P1618" i="19"/>
  <c r="P1619" i="19"/>
  <c r="P1620" i="19"/>
  <c r="P1621" i="19"/>
  <c r="P1622" i="19"/>
  <c r="P1623" i="19"/>
  <c r="P1624" i="19"/>
  <c r="P1625" i="19"/>
  <c r="P1626" i="19"/>
  <c r="P1627" i="19"/>
  <c r="P1628" i="19"/>
  <c r="P1629" i="19"/>
  <c r="P1630" i="19"/>
  <c r="P1631" i="19"/>
  <c r="P1632" i="19"/>
  <c r="P1633" i="19"/>
  <c r="P1634" i="19"/>
  <c r="P1635" i="19"/>
  <c r="P1636" i="19"/>
  <c r="P1637" i="19"/>
  <c r="P1638" i="19"/>
  <c r="P1639" i="19"/>
  <c r="P1640" i="19"/>
  <c r="P1641" i="19"/>
  <c r="P1642" i="19"/>
  <c r="P1643" i="19"/>
  <c r="P1644" i="19"/>
  <c r="P1645" i="19"/>
  <c r="P1646" i="19"/>
  <c r="P1647" i="19"/>
  <c r="P1648" i="19"/>
  <c r="P1649" i="19"/>
  <c r="P1650" i="19"/>
  <c r="P1651" i="19"/>
  <c r="P1652" i="19"/>
  <c r="P1653" i="19"/>
  <c r="P1654" i="19"/>
  <c r="P1655" i="19"/>
  <c r="P1656" i="19"/>
  <c r="P1657" i="19"/>
  <c r="P1658" i="19"/>
  <c r="P1659" i="19"/>
  <c r="P1660" i="19"/>
  <c r="P1661" i="19"/>
  <c r="P1662" i="19"/>
  <c r="P1663" i="19"/>
  <c r="P1664" i="19"/>
  <c r="P1665" i="19"/>
  <c r="P1666" i="19"/>
  <c r="P1667" i="19"/>
  <c r="P1668" i="19"/>
  <c r="P1669" i="19"/>
  <c r="P1670" i="19"/>
  <c r="P1671" i="19"/>
  <c r="P1672" i="19"/>
  <c r="P1673" i="19"/>
  <c r="P1674" i="19"/>
  <c r="P1675" i="19"/>
  <c r="P1676" i="19"/>
  <c r="P1677" i="19"/>
  <c r="P1678" i="19"/>
  <c r="P1679" i="19"/>
  <c r="P1680" i="19"/>
  <c r="P1681" i="19"/>
  <c r="P1682" i="19"/>
  <c r="P1683" i="19"/>
  <c r="P1684" i="19"/>
  <c r="P1685" i="19"/>
  <c r="P1686" i="19"/>
  <c r="P1687" i="19"/>
  <c r="P1688" i="19"/>
  <c r="P1689" i="19"/>
  <c r="P1690" i="19"/>
  <c r="P1691" i="19"/>
  <c r="P1692" i="19"/>
  <c r="P1693" i="19"/>
  <c r="P1694" i="19"/>
  <c r="P1695" i="19"/>
  <c r="P1696" i="19"/>
  <c r="P1697" i="19"/>
  <c r="P1698" i="19"/>
  <c r="P1699" i="19"/>
  <c r="P1700" i="19"/>
  <c r="P1701" i="19"/>
  <c r="P1702" i="19"/>
  <c r="P1703" i="19"/>
  <c r="P1704" i="19"/>
  <c r="P1705" i="19"/>
  <c r="P1706" i="19"/>
  <c r="P1707" i="19"/>
  <c r="P1708" i="19"/>
  <c r="P1709" i="19"/>
  <c r="P1710" i="19"/>
  <c r="P1711" i="19"/>
  <c r="P1712" i="19"/>
  <c r="P1713" i="19"/>
  <c r="P1714" i="19"/>
  <c r="P1715" i="19"/>
  <c r="P1716" i="19"/>
  <c r="P1717" i="19"/>
  <c r="P1718" i="19"/>
  <c r="P1719" i="19"/>
  <c r="P1720" i="19"/>
  <c r="P1721" i="19"/>
  <c r="P1722" i="19"/>
  <c r="P1723" i="19"/>
  <c r="P1724" i="19"/>
  <c r="P1725" i="19"/>
  <c r="P1726" i="19"/>
  <c r="P1727" i="19"/>
  <c r="P1728" i="19"/>
  <c r="P1729" i="19"/>
  <c r="P1730" i="19"/>
  <c r="P1731" i="19"/>
  <c r="P1732" i="19"/>
  <c r="P1733" i="19"/>
  <c r="P1734" i="19"/>
  <c r="P1735" i="19"/>
  <c r="P1736" i="19"/>
  <c r="P1737" i="19"/>
  <c r="P1738" i="19"/>
  <c r="P1739" i="19"/>
  <c r="P1740" i="19"/>
  <c r="P1741" i="19"/>
  <c r="P1742" i="19"/>
  <c r="P1743" i="19"/>
  <c r="P1744" i="19"/>
  <c r="P1745" i="19"/>
  <c r="P1746" i="19"/>
  <c r="P1747" i="19"/>
  <c r="P1748" i="19"/>
  <c r="P1749" i="19"/>
  <c r="P1750" i="19"/>
  <c r="P1751" i="19"/>
  <c r="P1752" i="19"/>
  <c r="P1753" i="19"/>
  <c r="P1754" i="19"/>
  <c r="P1755" i="19"/>
  <c r="P1756" i="19"/>
  <c r="P1757" i="19"/>
  <c r="P1758" i="19"/>
  <c r="P1759" i="19"/>
  <c r="P1760" i="19"/>
  <c r="P1761" i="19"/>
  <c r="P1762" i="19"/>
  <c r="P1763" i="19"/>
  <c r="P1764" i="19"/>
  <c r="P1765" i="19"/>
  <c r="P1766" i="19"/>
  <c r="P1767" i="19"/>
  <c r="P1768" i="19"/>
  <c r="P1769" i="19"/>
  <c r="P1770" i="19"/>
  <c r="P1771" i="19"/>
  <c r="P1772" i="19"/>
  <c r="P1773" i="19"/>
  <c r="P1774" i="19"/>
  <c r="P1775" i="19"/>
  <c r="P1776" i="19"/>
  <c r="P1777" i="19"/>
  <c r="P1778" i="19"/>
  <c r="P1779" i="19"/>
  <c r="P1780" i="19"/>
  <c r="P1781" i="19"/>
  <c r="P1782" i="19"/>
  <c r="P1783" i="19"/>
  <c r="P1784" i="19"/>
  <c r="P1785" i="19"/>
  <c r="P1786" i="19"/>
  <c r="P1787" i="19"/>
  <c r="P1788" i="19"/>
  <c r="P1789" i="19"/>
  <c r="P1790" i="19"/>
  <c r="P1791" i="19"/>
  <c r="P1792" i="19"/>
  <c r="P1793" i="19"/>
  <c r="P1794" i="19"/>
  <c r="P1795" i="19"/>
  <c r="P1796" i="19"/>
  <c r="P1797" i="19"/>
  <c r="P1798" i="19"/>
  <c r="P1799" i="19"/>
  <c r="P1800" i="19"/>
  <c r="P1801" i="19"/>
  <c r="P1802" i="19"/>
  <c r="P1803" i="19"/>
  <c r="P1804" i="19"/>
  <c r="P1805" i="19"/>
  <c r="P1806" i="19"/>
  <c r="P1807" i="19"/>
  <c r="P1808" i="19"/>
  <c r="P1809" i="19"/>
  <c r="P1810" i="19"/>
  <c r="P1811" i="19"/>
  <c r="P1812" i="19"/>
  <c r="P1813" i="19"/>
  <c r="P1814" i="19"/>
  <c r="P1815" i="19"/>
  <c r="P1816" i="19"/>
  <c r="P1817" i="19"/>
  <c r="P1818" i="19"/>
  <c r="P1819" i="19"/>
  <c r="P1820" i="19"/>
  <c r="P1821" i="19"/>
  <c r="P1822" i="19"/>
  <c r="P1823" i="19"/>
  <c r="P1824" i="19"/>
  <c r="P1825" i="19"/>
  <c r="P1826" i="19"/>
  <c r="P1827" i="19"/>
  <c r="P1828" i="19"/>
  <c r="P1829" i="19"/>
  <c r="P1830" i="19"/>
  <c r="P1831" i="19"/>
  <c r="P1832" i="19"/>
  <c r="P1833" i="19"/>
  <c r="P1834" i="19"/>
  <c r="P1835" i="19"/>
  <c r="P1836" i="19"/>
  <c r="P1837" i="19"/>
  <c r="P1838" i="19"/>
  <c r="P1839" i="19"/>
  <c r="P1840" i="19"/>
  <c r="P1841" i="19"/>
  <c r="P1842" i="19"/>
  <c r="P1843" i="19"/>
  <c r="P1844" i="19"/>
  <c r="P1845" i="19"/>
  <c r="P1846" i="19"/>
  <c r="P1847" i="19"/>
  <c r="P1848" i="19"/>
  <c r="P1849" i="19"/>
  <c r="P1850" i="19"/>
  <c r="P1851" i="19"/>
  <c r="P1852" i="19"/>
  <c r="P1853" i="19"/>
  <c r="P1854" i="19"/>
  <c r="P1855" i="19"/>
  <c r="P1856" i="19"/>
  <c r="P1857" i="19"/>
  <c r="P1858" i="19"/>
  <c r="P1859" i="19"/>
  <c r="P1860" i="19"/>
  <c r="P1861" i="19"/>
  <c r="P1862" i="19"/>
  <c r="P1863" i="19"/>
  <c r="P1864" i="19"/>
  <c r="P1865" i="19"/>
  <c r="P1866" i="19"/>
  <c r="P1867" i="19"/>
  <c r="P1868" i="19"/>
  <c r="P1869" i="19"/>
  <c r="P1870" i="19"/>
  <c r="P1871" i="19"/>
  <c r="P1872" i="19"/>
  <c r="P1873" i="19"/>
  <c r="P1874" i="19"/>
  <c r="P1875" i="19"/>
  <c r="P1876" i="19"/>
  <c r="P1877" i="19"/>
  <c r="P1878" i="19"/>
  <c r="P1879" i="19"/>
  <c r="P1880" i="19"/>
  <c r="P1881" i="19"/>
  <c r="P1882" i="19"/>
  <c r="P1883" i="19"/>
  <c r="P1884" i="19"/>
  <c r="P1885" i="19"/>
  <c r="P1886" i="19"/>
  <c r="P1887" i="19"/>
  <c r="P1888" i="19"/>
  <c r="P1889" i="19"/>
  <c r="P1890" i="19"/>
  <c r="P1891" i="19"/>
  <c r="P1892" i="19"/>
  <c r="P1893" i="19"/>
  <c r="P1894" i="19"/>
  <c r="P1895" i="19"/>
  <c r="P1896" i="19"/>
  <c r="P1897" i="19"/>
  <c r="P1898" i="19"/>
  <c r="P1899" i="19"/>
  <c r="P1900" i="19"/>
  <c r="P1901" i="19"/>
  <c r="P1902" i="19"/>
  <c r="P1903" i="19"/>
  <c r="P1904" i="19"/>
  <c r="P1905" i="19"/>
  <c r="P1906" i="19"/>
  <c r="P1907" i="19"/>
  <c r="P1908" i="19"/>
  <c r="P1909" i="19"/>
  <c r="P1910" i="19"/>
  <c r="P1911" i="19"/>
  <c r="P1912" i="19"/>
  <c r="P1913" i="19"/>
  <c r="P1914" i="19"/>
  <c r="P1915" i="19"/>
  <c r="P1916" i="19"/>
  <c r="P1917" i="19"/>
  <c r="P1918" i="19"/>
  <c r="P1919" i="19"/>
  <c r="P1920" i="19"/>
  <c r="P1921" i="19"/>
  <c r="P1922" i="19"/>
  <c r="P1923" i="19"/>
  <c r="P1924" i="19"/>
  <c r="P1925" i="19"/>
  <c r="P1926" i="19"/>
  <c r="P1927" i="19"/>
  <c r="P1928" i="19"/>
  <c r="P1929" i="19"/>
  <c r="P1930" i="19"/>
  <c r="P1931" i="19"/>
  <c r="P1932" i="19"/>
  <c r="P1933" i="19"/>
  <c r="P1934" i="19"/>
  <c r="P1935" i="19"/>
  <c r="P1936" i="19"/>
  <c r="P1937" i="19"/>
  <c r="P1938" i="19"/>
  <c r="P1939" i="19"/>
  <c r="P1940" i="19"/>
  <c r="P1941" i="19"/>
  <c r="P1942" i="19"/>
  <c r="P1943" i="19"/>
  <c r="P1944" i="19"/>
  <c r="P1945" i="19"/>
  <c r="P1946" i="19"/>
  <c r="P1947" i="19"/>
  <c r="P1948" i="19"/>
  <c r="P1949" i="19"/>
  <c r="P1950" i="19"/>
  <c r="P1951" i="19"/>
  <c r="P1952" i="19"/>
  <c r="P1953" i="19"/>
  <c r="P1954" i="19"/>
  <c r="P1955" i="19"/>
  <c r="P1956" i="19"/>
  <c r="P1957" i="19"/>
  <c r="P1958" i="19"/>
  <c r="P1959" i="19"/>
  <c r="P1960" i="19"/>
  <c r="P1961" i="19"/>
  <c r="P1962" i="19"/>
  <c r="P1963" i="19"/>
  <c r="P1964" i="19"/>
  <c r="P1965" i="19"/>
  <c r="P1966" i="19"/>
  <c r="P1967" i="19"/>
  <c r="P1968" i="19"/>
  <c r="P1969" i="19"/>
  <c r="P1970" i="19"/>
  <c r="P1971" i="19"/>
  <c r="P1972" i="19"/>
  <c r="P1973" i="19"/>
  <c r="P1974" i="19"/>
  <c r="P1975" i="19"/>
  <c r="P1976" i="19"/>
  <c r="P1977" i="19"/>
  <c r="P1978" i="19"/>
  <c r="P1979" i="19"/>
  <c r="P1980" i="19"/>
  <c r="P1981" i="19"/>
  <c r="P1982" i="19"/>
  <c r="P1983" i="19"/>
  <c r="P1984" i="19"/>
  <c r="P1985" i="19"/>
  <c r="P1986" i="19"/>
  <c r="P1987" i="19"/>
  <c r="P1988" i="19"/>
  <c r="P1989" i="19"/>
  <c r="P1990" i="19"/>
  <c r="P1991" i="19"/>
  <c r="P1992" i="19"/>
  <c r="P1993" i="19"/>
  <c r="P1994" i="19"/>
  <c r="P1995" i="19"/>
  <c r="P1996" i="19"/>
  <c r="P1997" i="19"/>
  <c r="P1998" i="19"/>
  <c r="P1999" i="19"/>
  <c r="P2000" i="19"/>
  <c r="P2001" i="19"/>
  <c r="P2002" i="19"/>
  <c r="P2003" i="19"/>
  <c r="P2004" i="19"/>
  <c r="P2005" i="19"/>
  <c r="P2006" i="19"/>
  <c r="P2007" i="19"/>
  <c r="P2008" i="19"/>
  <c r="P2009" i="19"/>
  <c r="P2010" i="19"/>
  <c r="P2011" i="19"/>
  <c r="P2012" i="19"/>
  <c r="P2013" i="19"/>
  <c r="P2014" i="19"/>
  <c r="P2015" i="19"/>
  <c r="P2016" i="19"/>
  <c r="P2017" i="19"/>
  <c r="P2018" i="19"/>
  <c r="P2019" i="19"/>
  <c r="P2020" i="19"/>
  <c r="P2021" i="19"/>
  <c r="P2022" i="19"/>
  <c r="P2023" i="19"/>
  <c r="P2024" i="19"/>
  <c r="P2025" i="19"/>
  <c r="P2026" i="19"/>
  <c r="P2027" i="19"/>
  <c r="P2028" i="19"/>
  <c r="P2029" i="19"/>
  <c r="P2030" i="19"/>
  <c r="P2031" i="19"/>
  <c r="P2032" i="19"/>
  <c r="P2033" i="19"/>
  <c r="P2034" i="19"/>
  <c r="P2035" i="19"/>
  <c r="P2036" i="19"/>
  <c r="P2037" i="19"/>
  <c r="P2038" i="19"/>
  <c r="P2039" i="19"/>
  <c r="P2040" i="19"/>
  <c r="P2041" i="19"/>
  <c r="P2042" i="19"/>
  <c r="P2043" i="19"/>
  <c r="P2044" i="19"/>
  <c r="P2045" i="19"/>
  <c r="P2046" i="19"/>
  <c r="P2047" i="19"/>
  <c r="P2048" i="19"/>
  <c r="P2049" i="19"/>
  <c r="P2050" i="19"/>
  <c r="P2051" i="19"/>
  <c r="P2052" i="19"/>
  <c r="P2053" i="19"/>
  <c r="P2054" i="19"/>
  <c r="P2055" i="19"/>
  <c r="P2056" i="19"/>
  <c r="P2057" i="19"/>
  <c r="P2058" i="19"/>
  <c r="P2059" i="19"/>
  <c r="P2060" i="19"/>
  <c r="P2061" i="19"/>
  <c r="P2062" i="19"/>
  <c r="P2063" i="19"/>
  <c r="P2064" i="19"/>
  <c r="P2065" i="19"/>
  <c r="P2066" i="19"/>
  <c r="P2067" i="19"/>
  <c r="P2068" i="19"/>
  <c r="P2069" i="19"/>
  <c r="P2070" i="19"/>
  <c r="P2071" i="19"/>
  <c r="P2072" i="19"/>
  <c r="P2073" i="19"/>
  <c r="P2074" i="19"/>
  <c r="P2075" i="19"/>
  <c r="P2076" i="19"/>
  <c r="P2077" i="19"/>
  <c r="P2078" i="19"/>
  <c r="P2079" i="19"/>
  <c r="P2080" i="19"/>
  <c r="P2081" i="19"/>
  <c r="P2082" i="19"/>
  <c r="P2083" i="19"/>
  <c r="P2084" i="19"/>
  <c r="P2085" i="19"/>
  <c r="P2086" i="19"/>
  <c r="P2087" i="19"/>
  <c r="P2088" i="19"/>
  <c r="P2089" i="19"/>
  <c r="P2090" i="19"/>
  <c r="P2091" i="19"/>
  <c r="P2092" i="19"/>
  <c r="P2093" i="19"/>
  <c r="P2094" i="19"/>
  <c r="P2095" i="19"/>
  <c r="P2096" i="19"/>
  <c r="P2097" i="19"/>
  <c r="P2098" i="19"/>
  <c r="P2099" i="19"/>
  <c r="P2100" i="19"/>
  <c r="P2101" i="19"/>
  <c r="P2102" i="19"/>
  <c r="P2103" i="19"/>
  <c r="P2104" i="19"/>
  <c r="P2105" i="19"/>
  <c r="P2106" i="19"/>
  <c r="P2107" i="19"/>
  <c r="P2108" i="19"/>
  <c r="P2109" i="19"/>
  <c r="P2110" i="19"/>
  <c r="P2111" i="19"/>
  <c r="P2112" i="19"/>
  <c r="P2113" i="19"/>
  <c r="P2114" i="19"/>
  <c r="P2115" i="19"/>
  <c r="P2116" i="19"/>
  <c r="P2117" i="19"/>
  <c r="P2118" i="19"/>
  <c r="P2119" i="19"/>
  <c r="P2120" i="19"/>
  <c r="P2121" i="19"/>
  <c r="P2122" i="19"/>
  <c r="P2123" i="19"/>
  <c r="P2124" i="19"/>
  <c r="P2125" i="19"/>
  <c r="P2126" i="19"/>
  <c r="P2127" i="19"/>
  <c r="P2128" i="19"/>
  <c r="P2129" i="19"/>
  <c r="P2130" i="19"/>
  <c r="P2131" i="19"/>
  <c r="P2132" i="19"/>
  <c r="P2133" i="19"/>
  <c r="P2134" i="19"/>
  <c r="P2135" i="19"/>
  <c r="P2136" i="19"/>
  <c r="P2137" i="19"/>
  <c r="P2138" i="19"/>
  <c r="P2139" i="19"/>
  <c r="P2140" i="19"/>
  <c r="P2141" i="19"/>
  <c r="P2142" i="19"/>
  <c r="P2143" i="19"/>
  <c r="P2144" i="19"/>
  <c r="P2145" i="19"/>
  <c r="P2146" i="19"/>
  <c r="P2147" i="19"/>
  <c r="P2148" i="19"/>
  <c r="P2149" i="19"/>
  <c r="P2150" i="19"/>
  <c r="P2151" i="19"/>
  <c r="P2152" i="19"/>
  <c r="P2153" i="19"/>
  <c r="P2154" i="19"/>
  <c r="P2155" i="19"/>
  <c r="P2156" i="19"/>
  <c r="P2157" i="19"/>
  <c r="P2158" i="19"/>
  <c r="P2159" i="19"/>
  <c r="P2160" i="19"/>
  <c r="P2161" i="19"/>
  <c r="P2162" i="19"/>
  <c r="P2163" i="19"/>
  <c r="P2164" i="19"/>
  <c r="P2165" i="19"/>
  <c r="P2166" i="19"/>
  <c r="P2167" i="19"/>
  <c r="P2168" i="19"/>
  <c r="P2169" i="19"/>
  <c r="P2170" i="19"/>
  <c r="P2171" i="19"/>
  <c r="P2172" i="19"/>
  <c r="P2173" i="19"/>
  <c r="P2174" i="19"/>
  <c r="P2175" i="19"/>
  <c r="P2176" i="19"/>
  <c r="P2177" i="19"/>
  <c r="P2178" i="19"/>
  <c r="P2179" i="19"/>
  <c r="P2180" i="19"/>
  <c r="P2181" i="19"/>
  <c r="P2182" i="19"/>
  <c r="P2183" i="19"/>
  <c r="P2184" i="19"/>
  <c r="P2185" i="19"/>
  <c r="P2186" i="19"/>
  <c r="P2187" i="19"/>
  <c r="P2188" i="19"/>
  <c r="P2189" i="19"/>
  <c r="P2190" i="19"/>
  <c r="P2191" i="19"/>
  <c r="P2192" i="19"/>
  <c r="P2193" i="19"/>
  <c r="P2194" i="19"/>
  <c r="P2195" i="19"/>
  <c r="P2196" i="19"/>
  <c r="P2197" i="19"/>
  <c r="P2198" i="19"/>
  <c r="P2199" i="19"/>
  <c r="P2200" i="19"/>
  <c r="P2201" i="19"/>
  <c r="P2202" i="19"/>
  <c r="P2203" i="19"/>
  <c r="P2204" i="19"/>
  <c r="P2205" i="19"/>
  <c r="P2206" i="19"/>
  <c r="P2207" i="19"/>
  <c r="P2208" i="19"/>
  <c r="P2209" i="19"/>
  <c r="P2210" i="19"/>
  <c r="P2211" i="19"/>
  <c r="P2212" i="19"/>
  <c r="P2213" i="19"/>
  <c r="P2214" i="19"/>
  <c r="P2215" i="19"/>
  <c r="P2216" i="19"/>
  <c r="P2217" i="19"/>
  <c r="P2218" i="19"/>
  <c r="P2219" i="19"/>
  <c r="P2220" i="19"/>
  <c r="P2221" i="19"/>
  <c r="P2222" i="19"/>
  <c r="P2223" i="19"/>
  <c r="P2224" i="19"/>
  <c r="P2225" i="19"/>
  <c r="P2226" i="19"/>
  <c r="P2227" i="19"/>
  <c r="P2228" i="19"/>
  <c r="P2229" i="19"/>
  <c r="P2230" i="19"/>
  <c r="P2231" i="19"/>
  <c r="P2232" i="19"/>
  <c r="P2233" i="19"/>
  <c r="P2234" i="19"/>
  <c r="P2235" i="19"/>
  <c r="P2236" i="19"/>
  <c r="P2237" i="19"/>
  <c r="P2238" i="19"/>
  <c r="P2239" i="19"/>
  <c r="P2240" i="19"/>
  <c r="P2241" i="19"/>
  <c r="P2242" i="19"/>
  <c r="P2243" i="19"/>
  <c r="P2244" i="19"/>
  <c r="P2245" i="19"/>
  <c r="P2246" i="19"/>
  <c r="P2247" i="19"/>
  <c r="P2248" i="19"/>
  <c r="P2249" i="19"/>
  <c r="P2250" i="19"/>
  <c r="P2251" i="19"/>
  <c r="P2252" i="19"/>
  <c r="P2253" i="19"/>
  <c r="P2254" i="19"/>
  <c r="P2255" i="19"/>
  <c r="P2256" i="19"/>
  <c r="P2257" i="19"/>
  <c r="P2258" i="19"/>
  <c r="P2259" i="19"/>
  <c r="P2260" i="19"/>
  <c r="P2261" i="19"/>
  <c r="P2262" i="19"/>
  <c r="P2263" i="19"/>
  <c r="P2264" i="19"/>
  <c r="P2265" i="19"/>
  <c r="P2266" i="19"/>
  <c r="P2267" i="19"/>
  <c r="P2268" i="19"/>
  <c r="P2269" i="19"/>
  <c r="P2270" i="19"/>
  <c r="P2271" i="19"/>
  <c r="P2272" i="19"/>
  <c r="P2273" i="19"/>
  <c r="P2274" i="19"/>
  <c r="P2275" i="19"/>
  <c r="P2276" i="19"/>
  <c r="P2277" i="19"/>
  <c r="P2278" i="19"/>
  <c r="P2279" i="19"/>
  <c r="P2280" i="19"/>
  <c r="P2281" i="19"/>
  <c r="P2282" i="19"/>
  <c r="P2283" i="19"/>
  <c r="P2284" i="19"/>
  <c r="P2285" i="19"/>
  <c r="P2286" i="19"/>
  <c r="P2287" i="19"/>
  <c r="P2288" i="19"/>
  <c r="P2289" i="19"/>
  <c r="P2290" i="19"/>
  <c r="P2291" i="19"/>
  <c r="P2292" i="19"/>
  <c r="P2293" i="19"/>
  <c r="P2294" i="19"/>
  <c r="P2295" i="19"/>
  <c r="P2296" i="19"/>
  <c r="P2297" i="19"/>
  <c r="P2298" i="19"/>
  <c r="D40" i="6" l="1"/>
  <c r="C40" i="6" s="1"/>
  <c r="B42" i="6"/>
  <c r="F41" i="6"/>
  <c r="G41" i="6" s="1"/>
  <c r="E41" i="6"/>
  <c r="K4" i="19"/>
  <c r="G17" i="16"/>
  <c r="G23" i="16"/>
  <c r="G21" i="16"/>
  <c r="G19" i="16"/>
  <c r="I2" i="6" a="1"/>
  <c r="I2" i="6" s="1"/>
  <c r="C14" i="6" s="1"/>
  <c r="Q3" i="6"/>
  <c r="F4" i="19" a="1"/>
  <c r="D41" i="6" l="1"/>
  <c r="C41" i="6" s="1"/>
  <c r="B43" i="6"/>
  <c r="F42" i="6"/>
  <c r="G42" i="6" s="1"/>
  <c r="E42" i="6"/>
  <c r="F4" i="19"/>
  <c r="K5" i="19"/>
  <c r="G25" i="16"/>
  <c r="C10" i="6"/>
  <c r="F5" i="19" a="1"/>
  <c r="D42" i="6" l="1"/>
  <c r="C42" i="6" s="1"/>
  <c r="E43" i="6"/>
  <c r="F43" i="6"/>
  <c r="G43" i="6" s="1"/>
  <c r="B44" i="6"/>
  <c r="F5" i="19"/>
  <c r="K6" i="19"/>
  <c r="L5" i="19" a="1"/>
  <c r="F6" i="19" a="1"/>
  <c r="L5" i="19" l="1"/>
  <c r="D43" i="6"/>
  <c r="C43" i="6" s="1"/>
  <c r="B45" i="6"/>
  <c r="F44" i="6"/>
  <c r="G44" i="6" s="1"/>
  <c r="E44" i="6"/>
  <c r="F6" i="19"/>
  <c r="K7" i="19"/>
  <c r="F7" i="19" a="1"/>
  <c r="D6" i="19" a="1"/>
  <c r="D6" i="19" l="1"/>
  <c r="D44" i="6"/>
  <c r="C44" i="6" s="1"/>
  <c r="B46" i="6"/>
  <c r="F45" i="6"/>
  <c r="G45" i="6" s="1"/>
  <c r="E45" i="6"/>
  <c r="F7" i="19"/>
  <c r="K8" i="19"/>
  <c r="L7" i="19" a="1"/>
  <c r="F8" i="19" a="1"/>
  <c r="D7" i="19" a="1"/>
  <c r="D7" i="19" l="1"/>
  <c r="L7" i="19"/>
  <c r="D45" i="6"/>
  <c r="C45" i="6" s="1"/>
  <c r="B47" i="6"/>
  <c r="F46" i="6"/>
  <c r="G46" i="6" s="1"/>
  <c r="E46" i="6"/>
  <c r="F8" i="19"/>
  <c r="K9" i="19"/>
  <c r="L8" i="19" a="1"/>
  <c r="F9" i="19" a="1"/>
  <c r="D8" i="19" a="1"/>
  <c r="D8" i="19" l="1"/>
  <c r="L8" i="19"/>
  <c r="D46" i="6"/>
  <c r="C46" i="6" s="1"/>
  <c r="B48" i="6"/>
  <c r="F47" i="6"/>
  <c r="G47" i="6" s="1"/>
  <c r="E47" i="6"/>
  <c r="F9" i="19"/>
  <c r="K10" i="19"/>
  <c r="L9" i="19" a="1"/>
  <c r="F10" i="19" a="1"/>
  <c r="D9" i="19" a="1"/>
  <c r="D9" i="19" l="1"/>
  <c r="L9" i="19"/>
  <c r="D47" i="6"/>
  <c r="C47" i="6" s="1"/>
  <c r="B49" i="6"/>
  <c r="F48" i="6"/>
  <c r="G48" i="6" s="1"/>
  <c r="E48" i="6"/>
  <c r="F10" i="19"/>
  <c r="K11" i="19"/>
  <c r="L10" i="19" a="1"/>
  <c r="F11" i="19" a="1"/>
  <c r="D10" i="19" a="1"/>
  <c r="D10" i="19" l="1"/>
  <c r="L10" i="19"/>
  <c r="D48" i="6"/>
  <c r="C48" i="6" s="1"/>
  <c r="F49" i="6"/>
  <c r="G49" i="6" s="1"/>
  <c r="B50" i="6"/>
  <c r="E49" i="6"/>
  <c r="F11" i="19"/>
  <c r="K12" i="19"/>
  <c r="L11" i="19" a="1"/>
  <c r="F12" i="19" a="1"/>
  <c r="D11" i="19" a="1"/>
  <c r="D11" i="19" l="1"/>
  <c r="L11" i="19"/>
  <c r="D49" i="6"/>
  <c r="C49" i="6" s="1"/>
  <c r="B51" i="6"/>
  <c r="E50" i="6"/>
  <c r="F50" i="6"/>
  <c r="G50" i="6" s="1"/>
  <c r="F12" i="19"/>
  <c r="K13" i="19"/>
  <c r="L12" i="19" a="1"/>
  <c r="F13" i="19" a="1"/>
  <c r="D12" i="19" a="1"/>
  <c r="D12" i="19" l="1"/>
  <c r="L12" i="19"/>
  <c r="D50" i="6"/>
  <c r="C50" i="6" s="1"/>
  <c r="B52" i="6"/>
  <c r="F51" i="6"/>
  <c r="G51" i="6" s="1"/>
  <c r="E51" i="6"/>
  <c r="F13" i="19"/>
  <c r="K14" i="19"/>
  <c r="L13" i="19" a="1"/>
  <c r="F14" i="19" a="1"/>
  <c r="D13" i="19" a="1"/>
  <c r="D13" i="19" l="1"/>
  <c r="L13" i="19"/>
  <c r="D51" i="6"/>
  <c r="C51" i="6" s="1"/>
  <c r="F52" i="6"/>
  <c r="G52" i="6" s="1"/>
  <c r="E52" i="6"/>
  <c r="B53" i="6"/>
  <c r="F14" i="19"/>
  <c r="K15" i="19"/>
  <c r="L14" i="19" a="1"/>
  <c r="F15" i="19" a="1"/>
  <c r="D14" i="19" a="1"/>
  <c r="D14" i="19" l="1"/>
  <c r="L14" i="19"/>
  <c r="D52" i="6"/>
  <c r="C52" i="6" s="1"/>
  <c r="B54" i="6"/>
  <c r="F53" i="6"/>
  <c r="G53" i="6" s="1"/>
  <c r="E53" i="6"/>
  <c r="F15" i="19"/>
  <c r="K16" i="19"/>
  <c r="L15" i="19" a="1"/>
  <c r="F16" i="19" a="1"/>
  <c r="D15" i="19" a="1"/>
  <c r="D15" i="19" l="1"/>
  <c r="L15" i="19"/>
  <c r="D53" i="6"/>
  <c r="C53" i="6" s="1"/>
  <c r="B55" i="6"/>
  <c r="F54" i="6"/>
  <c r="G54" i="6" s="1"/>
  <c r="E54" i="6"/>
  <c r="F16" i="19"/>
  <c r="K17" i="19"/>
  <c r="L16" i="19" a="1"/>
  <c r="F17" i="19" a="1"/>
  <c r="D16" i="19" a="1"/>
  <c r="D16" i="19" l="1"/>
  <c r="L16" i="19"/>
  <c r="D54" i="6"/>
  <c r="C54" i="6" s="1"/>
  <c r="B56" i="6"/>
  <c r="F55" i="6"/>
  <c r="G55" i="6" s="1"/>
  <c r="E55" i="6"/>
  <c r="F17" i="19"/>
  <c r="K18" i="19"/>
  <c r="L17" i="19" a="1"/>
  <c r="F18" i="19" a="1"/>
  <c r="D17" i="19" a="1"/>
  <c r="D17" i="19" l="1"/>
  <c r="L17" i="19"/>
  <c r="D55" i="6"/>
  <c r="C55" i="6" s="1"/>
  <c r="B57" i="6"/>
  <c r="F56" i="6"/>
  <c r="G56" i="6" s="1"/>
  <c r="E56" i="6"/>
  <c r="F18" i="19"/>
  <c r="K19" i="19"/>
  <c r="L18" i="19" a="1"/>
  <c r="F19" i="19" a="1"/>
  <c r="D18" i="19" a="1"/>
  <c r="D18" i="19" l="1"/>
  <c r="L18" i="19"/>
  <c r="D56" i="6"/>
  <c r="C56" i="6" s="1"/>
  <c r="B58" i="6"/>
  <c r="F57" i="6"/>
  <c r="G57" i="6" s="1"/>
  <c r="E57" i="6"/>
  <c r="F19" i="19"/>
  <c r="K20" i="19"/>
  <c r="L19" i="19" a="1"/>
  <c r="F20" i="19" a="1"/>
  <c r="D19" i="19" a="1"/>
  <c r="D19" i="19" l="1"/>
  <c r="L19" i="19"/>
  <c r="D57" i="6"/>
  <c r="C57" i="6" s="1"/>
  <c r="B59" i="6"/>
  <c r="E58" i="6"/>
  <c r="F58" i="6"/>
  <c r="G58" i="6" s="1"/>
  <c r="F20" i="19"/>
  <c r="K21" i="19"/>
  <c r="L20" i="19" a="1"/>
  <c r="F21" i="19" a="1"/>
  <c r="D20" i="19" a="1"/>
  <c r="D20" i="19" l="1"/>
  <c r="L20" i="19"/>
  <c r="D58" i="6"/>
  <c r="C58" i="6" s="1"/>
  <c r="B60" i="6"/>
  <c r="F59" i="6"/>
  <c r="G59" i="6" s="1"/>
  <c r="E59" i="6"/>
  <c r="F21" i="19"/>
  <c r="K22" i="19"/>
  <c r="L21" i="19" a="1"/>
  <c r="F22" i="19" a="1"/>
  <c r="D21" i="19" a="1"/>
  <c r="D21" i="19" l="1"/>
  <c r="L21" i="19"/>
  <c r="D59" i="6"/>
  <c r="C59" i="6" s="1"/>
  <c r="F60" i="6"/>
  <c r="G60" i="6" s="1"/>
  <c r="E60" i="6"/>
  <c r="B61" i="6"/>
  <c r="F22" i="19"/>
  <c r="K23" i="19"/>
  <c r="L22" i="19" a="1"/>
  <c r="F23" i="19" a="1"/>
  <c r="D22" i="19" a="1"/>
  <c r="D22" i="19" l="1"/>
  <c r="L22" i="19"/>
  <c r="D60" i="6"/>
  <c r="C60" i="6" s="1"/>
  <c r="B62" i="6"/>
  <c r="F61" i="6"/>
  <c r="G61" i="6" s="1"/>
  <c r="E61" i="6"/>
  <c r="F23" i="19"/>
  <c r="K24" i="19"/>
  <c r="L23" i="19" a="1"/>
  <c r="F24" i="19" a="1"/>
  <c r="D23" i="19" a="1"/>
  <c r="D23" i="19" l="1"/>
  <c r="L23" i="19"/>
  <c r="D61" i="6"/>
  <c r="C61" i="6" s="1"/>
  <c r="B63" i="6"/>
  <c r="F62" i="6"/>
  <c r="G62" i="6" s="1"/>
  <c r="E62" i="6"/>
  <c r="F24" i="19"/>
  <c r="K25" i="19"/>
  <c r="L24" i="19" a="1"/>
  <c r="F25" i="19" a="1"/>
  <c r="D24" i="19" a="1"/>
  <c r="D24" i="19" l="1"/>
  <c r="L24" i="19"/>
  <c r="D62" i="6"/>
  <c r="C62" i="6" s="1"/>
  <c r="B64" i="6"/>
  <c r="F63" i="6"/>
  <c r="G63" i="6" s="1"/>
  <c r="E63" i="6"/>
  <c r="F25" i="19"/>
  <c r="K26" i="19"/>
  <c r="L25" i="19" a="1"/>
  <c r="F26" i="19" a="1"/>
  <c r="D25" i="19" a="1"/>
  <c r="D25" i="19" l="1"/>
  <c r="L25" i="19"/>
  <c r="D63" i="6"/>
  <c r="C63" i="6" s="1"/>
  <c r="B65" i="6"/>
  <c r="F64" i="6"/>
  <c r="G64" i="6" s="1"/>
  <c r="E64" i="6"/>
  <c r="F26" i="19"/>
  <c r="K27" i="19"/>
  <c r="L26" i="19" a="1"/>
  <c r="F27" i="19" a="1"/>
  <c r="D26" i="19" a="1"/>
  <c r="D26" i="19" l="1"/>
  <c r="L26" i="19"/>
  <c r="D64" i="6"/>
  <c r="C64" i="6" s="1"/>
  <c r="B66" i="6"/>
  <c r="F65" i="6"/>
  <c r="G65" i="6" s="1"/>
  <c r="E65" i="6"/>
  <c r="F27" i="19"/>
  <c r="K28" i="19"/>
  <c r="L27" i="19" a="1"/>
  <c r="F28" i="19" a="1"/>
  <c r="D27" i="19" a="1"/>
  <c r="D27" i="19" l="1"/>
  <c r="L27" i="19"/>
  <c r="D65" i="6"/>
  <c r="C65" i="6" s="1"/>
  <c r="B67" i="6"/>
  <c r="E66" i="6"/>
  <c r="F66" i="6"/>
  <c r="G66" i="6" s="1"/>
  <c r="F28" i="19"/>
  <c r="L28" i="19" a="1"/>
  <c r="D28" i="19" a="1"/>
  <c r="D28" i="19" l="1"/>
  <c r="L28" i="19"/>
  <c r="D66" i="6"/>
  <c r="C66" i="6" s="1"/>
  <c r="B68" i="6"/>
  <c r="F67" i="6"/>
  <c r="G67" i="6" s="1"/>
  <c r="E67" i="6"/>
  <c r="K29" i="19"/>
  <c r="F29" i="19" a="1"/>
  <c r="D67" i="6" l="1"/>
  <c r="C67" i="6" s="1"/>
  <c r="F68" i="6"/>
  <c r="G68" i="6" s="1"/>
  <c r="E68" i="6"/>
  <c r="B69" i="6"/>
  <c r="F29" i="19"/>
  <c r="K30" i="19"/>
  <c r="L29" i="19" a="1"/>
  <c r="F30" i="19" a="1"/>
  <c r="D29" i="19" a="1"/>
  <c r="D29" i="19" l="1"/>
  <c r="L29" i="19"/>
  <c r="D68" i="6"/>
  <c r="C68" i="6" s="1"/>
  <c r="B70" i="6"/>
  <c r="F69" i="6"/>
  <c r="G69" i="6" s="1"/>
  <c r="E69" i="6"/>
  <c r="F30" i="19"/>
  <c r="L30" i="19" a="1"/>
  <c r="D30" i="19" a="1"/>
  <c r="D30" i="19" l="1"/>
  <c r="L30" i="19"/>
  <c r="D69" i="6"/>
  <c r="C69" i="6" s="1"/>
  <c r="B71" i="6"/>
  <c r="F70" i="6"/>
  <c r="G70" i="6" s="1"/>
  <c r="E70" i="6"/>
  <c r="K31" i="19"/>
  <c r="F31" i="19" a="1"/>
  <c r="D70" i="6" l="1"/>
  <c r="C70" i="6" s="1"/>
  <c r="B72" i="6"/>
  <c r="F71" i="6"/>
  <c r="G71" i="6" s="1"/>
  <c r="E71" i="6"/>
  <c r="F31" i="19"/>
  <c r="L31" i="19" a="1"/>
  <c r="D31" i="19" a="1"/>
  <c r="D31" i="19" l="1"/>
  <c r="L31" i="19"/>
  <c r="D71" i="6"/>
  <c r="C71" i="6" s="1"/>
  <c r="B73" i="6"/>
  <c r="F72" i="6"/>
  <c r="G72" i="6" s="1"/>
  <c r="E72" i="6"/>
  <c r="K32" i="19"/>
  <c r="F32" i="19" a="1"/>
  <c r="D72" i="6" l="1"/>
  <c r="C72" i="6" s="1"/>
  <c r="B74" i="6"/>
  <c r="F73" i="6"/>
  <c r="G73" i="6" s="1"/>
  <c r="E73" i="6"/>
  <c r="F32" i="19"/>
  <c r="L32" i="19" a="1"/>
  <c r="D32" i="19" a="1"/>
  <c r="D32" i="19" l="1"/>
  <c r="L32" i="19"/>
  <c r="D73" i="6"/>
  <c r="C73" i="6" s="1"/>
  <c r="B75" i="6"/>
  <c r="E74" i="6"/>
  <c r="F74" i="6"/>
  <c r="G74" i="6" s="1"/>
  <c r="K33" i="19"/>
  <c r="F33" i="19" a="1"/>
  <c r="D74" i="6" l="1"/>
  <c r="C74" i="6" s="1"/>
  <c r="B76" i="6"/>
  <c r="F75" i="6"/>
  <c r="G75" i="6" s="1"/>
  <c r="E75" i="6"/>
  <c r="F33" i="19"/>
  <c r="L33" i="19" a="1"/>
  <c r="D33" i="19" a="1"/>
  <c r="D33" i="19" l="1"/>
  <c r="L33" i="19"/>
  <c r="D75" i="6"/>
  <c r="C75" i="6" s="1"/>
  <c r="F76" i="6"/>
  <c r="G76" i="6" s="1"/>
  <c r="E76" i="6"/>
  <c r="B77" i="6"/>
  <c r="K34" i="19"/>
  <c r="F34" i="19" a="1"/>
  <c r="D76" i="6" l="1"/>
  <c r="C76" i="6" s="1"/>
  <c r="B78" i="6"/>
  <c r="F77" i="6"/>
  <c r="G77" i="6" s="1"/>
  <c r="E77" i="6"/>
  <c r="F34" i="19"/>
  <c r="L34" i="19" a="1"/>
  <c r="D34" i="19" a="1"/>
  <c r="D34" i="19" l="1"/>
  <c r="L34" i="19"/>
  <c r="D77" i="6"/>
  <c r="C77" i="6" s="1"/>
  <c r="F78" i="6"/>
  <c r="G78" i="6" s="1"/>
  <c r="B79" i="6"/>
  <c r="E78" i="6"/>
  <c r="K35" i="19"/>
  <c r="F35" i="19" a="1"/>
  <c r="D78" i="6" l="1"/>
  <c r="C78" i="6" s="1"/>
  <c r="B80" i="6"/>
  <c r="F79" i="6"/>
  <c r="G79" i="6" s="1"/>
  <c r="E79" i="6"/>
  <c r="F35" i="19"/>
  <c r="L35" i="19" a="1"/>
  <c r="D35" i="19" a="1"/>
  <c r="D35" i="19" l="1"/>
  <c r="L35" i="19"/>
  <c r="D79" i="6"/>
  <c r="C79" i="6" s="1"/>
  <c r="B81" i="6"/>
  <c r="F80" i="6"/>
  <c r="G80" i="6" s="1"/>
  <c r="E80" i="6"/>
  <c r="K36" i="19"/>
  <c r="F36" i="19" a="1"/>
  <c r="D80" i="6" l="1"/>
  <c r="C80" i="6" s="1"/>
  <c r="B82" i="6"/>
  <c r="F81" i="6"/>
  <c r="G81" i="6" s="1"/>
  <c r="E81" i="6"/>
  <c r="F36" i="19"/>
  <c r="L36" i="19" a="1"/>
  <c r="D36" i="19" a="1"/>
  <c r="D36" i="19" l="1"/>
  <c r="L36" i="19"/>
  <c r="D81" i="6"/>
  <c r="C81" i="6" s="1"/>
  <c r="B83" i="6"/>
  <c r="E82" i="6"/>
  <c r="F82" i="6"/>
  <c r="G82" i="6" s="1"/>
  <c r="K37" i="19"/>
  <c r="F37" i="19" a="1"/>
  <c r="D82" i="6" l="1"/>
  <c r="C82" i="6" s="1"/>
  <c r="B84" i="6"/>
  <c r="F83" i="6"/>
  <c r="G83" i="6" s="1"/>
  <c r="E83" i="6"/>
  <c r="F37" i="19"/>
  <c r="L37" i="19" a="1"/>
  <c r="D37" i="19" a="1"/>
  <c r="D37" i="19" l="1"/>
  <c r="L37" i="19"/>
  <c r="D83" i="6"/>
  <c r="C83" i="6" s="1"/>
  <c r="F84" i="6"/>
  <c r="G84" i="6" s="1"/>
  <c r="E84" i="6"/>
  <c r="B85" i="6"/>
  <c r="K38" i="19"/>
  <c r="F38" i="19" a="1"/>
  <c r="D84" i="6" l="1"/>
  <c r="C84" i="6" s="1"/>
  <c r="B86" i="6"/>
  <c r="F85" i="6"/>
  <c r="G85" i="6" s="1"/>
  <c r="E85" i="6"/>
  <c r="F38" i="19"/>
  <c r="L38" i="19" a="1"/>
  <c r="D38" i="19" a="1"/>
  <c r="D38" i="19" l="1"/>
  <c r="L38" i="19"/>
  <c r="D85" i="6"/>
  <c r="C85" i="6" s="1"/>
  <c r="B87" i="6"/>
  <c r="F86" i="6"/>
  <c r="G86" i="6" s="1"/>
  <c r="E86" i="6"/>
  <c r="K39" i="19"/>
  <c r="F39" i="19" a="1"/>
  <c r="D86" i="6" l="1"/>
  <c r="C86" i="6" s="1"/>
  <c r="B88" i="6"/>
  <c r="F87" i="6"/>
  <c r="G87" i="6" s="1"/>
  <c r="E87" i="6"/>
  <c r="F39" i="19"/>
  <c r="L39" i="19" a="1"/>
  <c r="D39" i="19" a="1"/>
  <c r="D39" i="19" l="1"/>
  <c r="L39" i="19"/>
  <c r="D87" i="6"/>
  <c r="C87" i="6" s="1"/>
  <c r="B89" i="6"/>
  <c r="F88" i="6"/>
  <c r="G88" i="6" s="1"/>
  <c r="E88" i="6"/>
  <c r="K40" i="19"/>
  <c r="F40" i="19" a="1"/>
  <c r="D88" i="6" l="1"/>
  <c r="C88" i="6" s="1"/>
  <c r="B90" i="6"/>
  <c r="F89" i="6"/>
  <c r="G89" i="6" s="1"/>
  <c r="E89" i="6"/>
  <c r="F40" i="19"/>
  <c r="L40" i="19" a="1"/>
  <c r="D40" i="19" a="1"/>
  <c r="D40" i="19" l="1"/>
  <c r="L40" i="19"/>
  <c r="D89" i="6"/>
  <c r="C89" i="6" s="1"/>
  <c r="B91" i="6"/>
  <c r="E90" i="6"/>
  <c r="F90" i="6"/>
  <c r="G90" i="6" s="1"/>
  <c r="K41" i="19"/>
  <c r="F41" i="19" a="1"/>
  <c r="D90" i="6" l="1"/>
  <c r="C90" i="6" s="1"/>
  <c r="B92" i="6"/>
  <c r="F91" i="6"/>
  <c r="G91" i="6" s="1"/>
  <c r="E91" i="6"/>
  <c r="F41" i="19"/>
  <c r="L41" i="19" a="1"/>
  <c r="D41" i="19" a="1"/>
  <c r="D41" i="19" l="1"/>
  <c r="L41" i="19"/>
  <c r="D91" i="6"/>
  <c r="C91" i="6" s="1"/>
  <c r="F92" i="6"/>
  <c r="G92" i="6" s="1"/>
  <c r="E92" i="6"/>
  <c r="B93" i="6"/>
  <c r="K42" i="19"/>
  <c r="F42" i="19" a="1"/>
  <c r="D92" i="6" l="1"/>
  <c r="C92" i="6" s="1"/>
  <c r="B94" i="6"/>
  <c r="F93" i="6"/>
  <c r="G93" i="6" s="1"/>
  <c r="E93" i="6"/>
  <c r="F42" i="19"/>
  <c r="L42" i="19" a="1"/>
  <c r="D42" i="19" a="1"/>
  <c r="D42" i="19" l="1"/>
  <c r="L42" i="19"/>
  <c r="D93" i="6"/>
  <c r="C93" i="6" s="1"/>
  <c r="B95" i="6"/>
  <c r="F94" i="6"/>
  <c r="G94" i="6" s="1"/>
  <c r="E94" i="6"/>
  <c r="K43" i="19"/>
  <c r="F43" i="19" a="1"/>
  <c r="D94" i="6" l="1"/>
  <c r="C94" i="6" s="1"/>
  <c r="B96" i="6"/>
  <c r="F95" i="6"/>
  <c r="G95" i="6" s="1"/>
  <c r="E95" i="6"/>
  <c r="F43" i="19"/>
  <c r="L43" i="19" a="1"/>
  <c r="D43" i="19" a="1"/>
  <c r="D43" i="19" l="1"/>
  <c r="L43" i="19"/>
  <c r="D95" i="6"/>
  <c r="C95" i="6" s="1"/>
  <c r="B97" i="6"/>
  <c r="F96" i="6"/>
  <c r="G96" i="6" s="1"/>
  <c r="E96" i="6"/>
  <c r="K44" i="19"/>
  <c r="F44" i="19" a="1"/>
  <c r="D96" i="6" l="1"/>
  <c r="C96" i="6" s="1"/>
  <c r="B98" i="6"/>
  <c r="F97" i="6"/>
  <c r="G97" i="6" s="1"/>
  <c r="E97" i="6"/>
  <c r="F44" i="19"/>
  <c r="L44" i="19" a="1"/>
  <c r="D44" i="19" a="1"/>
  <c r="D44" i="19" l="1"/>
  <c r="L44" i="19"/>
  <c r="D97" i="6"/>
  <c r="C97" i="6" s="1"/>
  <c r="B99" i="6"/>
  <c r="F98" i="6"/>
  <c r="G98" i="6" s="1"/>
  <c r="E98" i="6"/>
  <c r="K45" i="19"/>
  <c r="F45" i="19" a="1"/>
  <c r="D98" i="6" l="1"/>
  <c r="C98" i="6" s="1"/>
  <c r="B100" i="6"/>
  <c r="F99" i="6"/>
  <c r="G99" i="6" s="1"/>
  <c r="E99" i="6"/>
  <c r="F45" i="19"/>
  <c r="L45" i="19" a="1"/>
  <c r="D45" i="19" a="1"/>
  <c r="D45" i="19" l="1"/>
  <c r="L45" i="19"/>
  <c r="D99" i="6"/>
  <c r="C99" i="6" s="1"/>
  <c r="F100" i="6"/>
  <c r="G100" i="6" s="1"/>
  <c r="E100" i="6"/>
  <c r="B101" i="6"/>
  <c r="K46" i="19"/>
  <c r="F46" i="19" a="1"/>
  <c r="D100" i="6" l="1"/>
  <c r="C100" i="6" s="1"/>
  <c r="B102" i="6"/>
  <c r="F101" i="6"/>
  <c r="G101" i="6" s="1"/>
  <c r="E101" i="6"/>
  <c r="F46" i="19"/>
  <c r="D46" i="19" a="1"/>
  <c r="D46" i="19" l="1"/>
  <c r="L46" i="19" a="1"/>
  <c r="L46" i="19" s="1"/>
  <c r="D101" i="6"/>
  <c r="C101" i="6" s="1"/>
  <c r="B103" i="6"/>
  <c r="F102" i="6"/>
  <c r="G102" i="6" s="1"/>
  <c r="E102" i="6"/>
  <c r="K47" i="19"/>
  <c r="F47" i="19" a="1"/>
  <c r="D102" i="6" l="1"/>
  <c r="C102" i="6" s="1"/>
  <c r="F103" i="6"/>
  <c r="G103" i="6" s="1"/>
  <c r="E103" i="6"/>
  <c r="B104" i="6"/>
  <c r="F47" i="19"/>
  <c r="D47" i="19" a="1"/>
  <c r="D47" i="19" l="1"/>
  <c r="L47" i="19" a="1"/>
  <c r="L47" i="19" s="1"/>
  <c r="D103" i="6"/>
  <c r="C103" i="6" s="1"/>
  <c r="B105" i="6"/>
  <c r="F104" i="6"/>
  <c r="G104" i="6" s="1"/>
  <c r="E104" i="6"/>
  <c r="K48" i="19"/>
  <c r="F48" i="19" a="1"/>
  <c r="D104" i="6" l="1"/>
  <c r="C104" i="6" s="1"/>
  <c r="B106" i="6"/>
  <c r="E105" i="6"/>
  <c r="F105" i="6"/>
  <c r="G105" i="6" s="1"/>
  <c r="F48" i="19"/>
  <c r="D48" i="19" a="1"/>
  <c r="D48" i="19" l="1"/>
  <c r="L48" i="19" a="1"/>
  <c r="L48" i="19" s="1"/>
  <c r="D105" i="6"/>
  <c r="C105" i="6" s="1"/>
  <c r="E106" i="6"/>
  <c r="F106" i="6"/>
  <c r="G106" i="6" s="1"/>
  <c r="B107" i="6"/>
  <c r="K49" i="19"/>
  <c r="F49" i="19" a="1"/>
  <c r="D106" i="6" l="1"/>
  <c r="C106" i="6" s="1"/>
  <c r="E107" i="6"/>
  <c r="B108" i="6"/>
  <c r="F107" i="6"/>
  <c r="G107" i="6" s="1"/>
  <c r="F49" i="19"/>
  <c r="D49" i="19" a="1"/>
  <c r="D49" i="19" l="1"/>
  <c r="L49" i="19" a="1"/>
  <c r="L49" i="19" s="1"/>
  <c r="D107" i="6"/>
  <c r="C107" i="6" s="1"/>
  <c r="E108" i="6"/>
  <c r="B109" i="6"/>
  <c r="F108" i="6"/>
  <c r="G108" i="6" s="1"/>
  <c r="K50" i="19"/>
  <c r="F50" i="19" a="1"/>
  <c r="D108" i="6" l="1"/>
  <c r="C108" i="6" s="1"/>
  <c r="E109" i="6"/>
  <c r="F109" i="6"/>
  <c r="G109" i="6" s="1"/>
  <c r="B110" i="6"/>
  <c r="F50" i="19"/>
  <c r="D50" i="19" a="1"/>
  <c r="D50" i="19" l="1"/>
  <c r="L50" i="19" a="1"/>
  <c r="L50" i="19" s="1"/>
  <c r="D109" i="6"/>
  <c r="C109" i="6" s="1"/>
  <c r="E110" i="6"/>
  <c r="B111" i="6"/>
  <c r="F110" i="6"/>
  <c r="G110" i="6" s="1"/>
  <c r="K51" i="19"/>
  <c r="F51" i="19" a="1"/>
  <c r="D110" i="6" l="1"/>
  <c r="C110" i="6" s="1"/>
  <c r="E111" i="6"/>
  <c r="B112" i="6"/>
  <c r="F111" i="6"/>
  <c r="G111" i="6" s="1"/>
  <c r="F51" i="19"/>
  <c r="D51" i="19" a="1"/>
  <c r="D51" i="19" l="1"/>
  <c r="L51" i="19" a="1"/>
  <c r="L51" i="19" s="1"/>
  <c r="D111" i="6"/>
  <c r="C111" i="6" s="1"/>
  <c r="F112" i="6"/>
  <c r="G112" i="6" s="1"/>
  <c r="B113" i="6"/>
  <c r="E112" i="6"/>
  <c r="K52" i="19"/>
  <c r="F52" i="19" a="1"/>
  <c r="D112" i="6" l="1"/>
  <c r="C112" i="6" s="1"/>
  <c r="E113" i="6"/>
  <c r="F113" i="6"/>
  <c r="G113" i="6" s="1"/>
  <c r="B114" i="6"/>
  <c r="F52" i="19"/>
  <c r="D52" i="19" a="1"/>
  <c r="D52" i="19" l="1"/>
  <c r="L52" i="19" a="1"/>
  <c r="L52" i="19" s="1"/>
  <c r="D113" i="6"/>
  <c r="C113" i="6" s="1"/>
  <c r="B115" i="6"/>
  <c r="F114" i="6"/>
  <c r="G114" i="6" s="1"/>
  <c r="E114" i="6"/>
  <c r="K53" i="19"/>
  <c r="F53" i="19" a="1"/>
  <c r="D114" i="6" l="1"/>
  <c r="C114" i="6" s="1"/>
  <c r="E115" i="6"/>
  <c r="B116" i="6"/>
  <c r="F115" i="6"/>
  <c r="G115" i="6" s="1"/>
  <c r="F53" i="19"/>
  <c r="D53" i="19" a="1"/>
  <c r="D53" i="19" l="1"/>
  <c r="L53" i="19" a="1"/>
  <c r="L53" i="19" s="1"/>
  <c r="D115" i="6"/>
  <c r="C115" i="6" s="1"/>
  <c r="E116" i="6"/>
  <c r="B117" i="6"/>
  <c r="F116" i="6"/>
  <c r="G116" i="6" s="1"/>
  <c r="K54" i="19"/>
  <c r="F54" i="19" a="1"/>
  <c r="D116" i="6" l="1"/>
  <c r="C116" i="6" s="1"/>
  <c r="E117" i="6"/>
  <c r="B118" i="6"/>
  <c r="F117" i="6"/>
  <c r="G117" i="6" s="1"/>
  <c r="F54" i="19"/>
  <c r="D54" i="19" a="1"/>
  <c r="D54" i="19" l="1"/>
  <c r="L54" i="19" a="1"/>
  <c r="L54" i="19" s="1"/>
  <c r="D117" i="6"/>
  <c r="C117" i="6" s="1"/>
  <c r="E118" i="6"/>
  <c r="B119" i="6"/>
  <c r="F118" i="6"/>
  <c r="G118" i="6" s="1"/>
  <c r="K55" i="19"/>
  <c r="F55" i="19" a="1"/>
  <c r="D118" i="6" l="1"/>
  <c r="C118" i="6" s="1"/>
  <c r="E119" i="6"/>
  <c r="B120" i="6"/>
  <c r="F119" i="6"/>
  <c r="G119" i="6" s="1"/>
  <c r="F55" i="19"/>
  <c r="D55" i="19" a="1"/>
  <c r="D55" i="19" l="1"/>
  <c r="L55" i="19" a="1"/>
  <c r="L55" i="19" s="1"/>
  <c r="D119" i="6"/>
  <c r="C119" i="6" s="1"/>
  <c r="E120" i="6"/>
  <c r="B121" i="6"/>
  <c r="F120" i="6"/>
  <c r="G120" i="6" s="1"/>
  <c r="K56" i="19"/>
  <c r="F56" i="19" a="1"/>
  <c r="D120" i="6" l="1"/>
  <c r="C120" i="6" s="1"/>
  <c r="E121" i="6"/>
  <c r="B122" i="6"/>
  <c r="F121" i="6"/>
  <c r="G121" i="6" s="1"/>
  <c r="F56" i="19"/>
  <c r="D56" i="19" a="1"/>
  <c r="D56" i="19" l="1"/>
  <c r="L56" i="19" a="1"/>
  <c r="L56" i="19" s="1"/>
  <c r="D121" i="6"/>
  <c r="C121" i="6" s="1"/>
  <c r="F122" i="6"/>
  <c r="G122" i="6" s="1"/>
  <c r="E122" i="6"/>
  <c r="B123" i="6"/>
  <c r="K57" i="19"/>
  <c r="F57" i="19" a="1"/>
  <c r="D122" i="6" l="1"/>
  <c r="C122" i="6" s="1"/>
  <c r="E123" i="6"/>
  <c r="B124" i="6"/>
  <c r="F123" i="6"/>
  <c r="G123" i="6" s="1"/>
  <c r="F57" i="19"/>
  <c r="D57" i="19" a="1"/>
  <c r="D57" i="19" l="1"/>
  <c r="L57" i="19" a="1"/>
  <c r="L57" i="19" s="1"/>
  <c r="D123" i="6"/>
  <c r="C123" i="6" s="1"/>
  <c r="F124" i="6"/>
  <c r="G124" i="6" s="1"/>
  <c r="B125" i="6"/>
  <c r="E124" i="6"/>
  <c r="K58" i="19"/>
  <c r="F58" i="19" a="1"/>
  <c r="D124" i="6" l="1"/>
  <c r="C124" i="6" s="1"/>
  <c r="E125" i="6"/>
  <c r="F125" i="6"/>
  <c r="G125" i="6" s="1"/>
  <c r="B126" i="6"/>
  <c r="F58" i="19"/>
  <c r="D58" i="19" a="1"/>
  <c r="D58" i="19" l="1"/>
  <c r="L58" i="19" a="1"/>
  <c r="L58" i="19" s="1"/>
  <c r="D125" i="6"/>
  <c r="C125" i="6" s="1"/>
  <c r="B127" i="6"/>
  <c r="F126" i="6"/>
  <c r="G126" i="6" s="1"/>
  <c r="E126" i="6"/>
  <c r="K59" i="19"/>
  <c r="F59" i="19" a="1"/>
  <c r="D126" i="6" l="1"/>
  <c r="C126" i="6" s="1"/>
  <c r="E127" i="6"/>
  <c r="B128" i="6"/>
  <c r="F127" i="6"/>
  <c r="G127" i="6" s="1"/>
  <c r="F59" i="19"/>
  <c r="D59" i="19" a="1"/>
  <c r="D59" i="19" l="1"/>
  <c r="L59" i="19" a="1"/>
  <c r="L59" i="19" s="1"/>
  <c r="D127" i="6"/>
  <c r="C127" i="6" s="1"/>
  <c r="B129" i="6"/>
  <c r="F128" i="6"/>
  <c r="G128" i="6" s="1"/>
  <c r="E128" i="6"/>
  <c r="K60" i="19"/>
  <c r="F60" i="19" a="1"/>
  <c r="D128" i="6" l="1"/>
  <c r="C128" i="6" s="1"/>
  <c r="E129" i="6"/>
  <c r="B130" i="6"/>
  <c r="F129" i="6"/>
  <c r="G129" i="6" s="1"/>
  <c r="F60" i="19"/>
  <c r="D60" i="19" a="1"/>
  <c r="D60" i="19" l="1"/>
  <c r="L60" i="19" a="1"/>
  <c r="L60" i="19" s="1"/>
  <c r="D129" i="6"/>
  <c r="C129" i="6" s="1"/>
  <c r="E130" i="6"/>
  <c r="F130" i="6"/>
  <c r="G130" i="6" s="1"/>
  <c r="B131" i="6"/>
  <c r="K61" i="19"/>
  <c r="F61" i="19" a="1"/>
  <c r="D130" i="6" l="1"/>
  <c r="C130" i="6" s="1"/>
  <c r="E131" i="6"/>
  <c r="B132" i="6"/>
  <c r="F131" i="6"/>
  <c r="G131" i="6" s="1"/>
  <c r="F61" i="19"/>
  <c r="D61" i="19" a="1"/>
  <c r="D61" i="19" l="1"/>
  <c r="L61" i="19" a="1"/>
  <c r="L61" i="19" s="1"/>
  <c r="D131" i="6"/>
  <c r="C131" i="6" s="1"/>
  <c r="E132" i="6"/>
  <c r="F132" i="6"/>
  <c r="G132" i="6" s="1"/>
  <c r="B133" i="6"/>
  <c r="K62" i="19"/>
  <c r="F62" i="19" a="1"/>
  <c r="D132" i="6" l="1"/>
  <c r="C132" i="6" s="1"/>
  <c r="E133" i="6"/>
  <c r="B134" i="6"/>
  <c r="F133" i="6"/>
  <c r="G133" i="6" s="1"/>
  <c r="F62" i="19"/>
  <c r="D62" i="19" a="1"/>
  <c r="D62" i="19" l="1"/>
  <c r="L62" i="19" a="1"/>
  <c r="L62" i="19" s="1"/>
  <c r="D133" i="6"/>
  <c r="C133" i="6" s="1"/>
  <c r="E134" i="6"/>
  <c r="B135" i="6"/>
  <c r="F134" i="6"/>
  <c r="G134" i="6" s="1"/>
  <c r="K63" i="19"/>
  <c r="F63" i="19" a="1"/>
  <c r="D134" i="6" l="1"/>
  <c r="C134" i="6" s="1"/>
  <c r="E135" i="6"/>
  <c r="B136" i="6"/>
  <c r="F135" i="6"/>
  <c r="G135" i="6" s="1"/>
  <c r="F63" i="19"/>
  <c r="D63" i="19" a="1"/>
  <c r="D63" i="19" l="1"/>
  <c r="L63" i="19" a="1"/>
  <c r="L63" i="19" s="1"/>
  <c r="D135" i="6"/>
  <c r="C135" i="6" s="1"/>
  <c r="E136" i="6"/>
  <c r="B137" i="6"/>
  <c r="F136" i="6"/>
  <c r="G136" i="6" s="1"/>
  <c r="K64" i="19"/>
  <c r="F64" i="19" a="1"/>
  <c r="D136" i="6" l="1"/>
  <c r="C136" i="6" s="1"/>
  <c r="E137" i="6"/>
  <c r="B138" i="6"/>
  <c r="F137" i="6"/>
  <c r="G137" i="6" s="1"/>
  <c r="F64" i="19"/>
  <c r="D64" i="19" a="1"/>
  <c r="D64" i="19" l="1"/>
  <c r="L64" i="19" a="1"/>
  <c r="L64" i="19" s="1"/>
  <c r="D137" i="6"/>
  <c r="C137" i="6" s="1"/>
  <c r="E138" i="6"/>
  <c r="F138" i="6"/>
  <c r="G138" i="6" s="1"/>
  <c r="B139" i="6"/>
  <c r="K65" i="19"/>
  <c r="F65" i="19" a="1"/>
  <c r="D138" i="6" l="1"/>
  <c r="C138" i="6" s="1"/>
  <c r="E139" i="6"/>
  <c r="B140" i="6"/>
  <c r="F139" i="6"/>
  <c r="G139" i="6" s="1"/>
  <c r="F65" i="19"/>
  <c r="D65" i="19" a="1"/>
  <c r="D65" i="19" l="1"/>
  <c r="L65" i="19" a="1"/>
  <c r="L65" i="19" s="1"/>
  <c r="D139" i="6"/>
  <c r="C139" i="6" s="1"/>
  <c r="E140" i="6"/>
  <c r="B141" i="6"/>
  <c r="F140" i="6"/>
  <c r="G140" i="6" s="1"/>
  <c r="K66" i="19"/>
  <c r="F66" i="19" a="1"/>
  <c r="D140" i="6" l="1"/>
  <c r="C140" i="6" s="1"/>
  <c r="E141" i="6"/>
  <c r="B142" i="6"/>
  <c r="F141" i="6"/>
  <c r="G141" i="6" s="1"/>
  <c r="F66" i="19"/>
  <c r="D66" i="19" a="1"/>
  <c r="D66" i="19" l="1"/>
  <c r="L66" i="19" a="1"/>
  <c r="L66" i="19" s="1"/>
  <c r="D141" i="6"/>
  <c r="C141" i="6" s="1"/>
  <c r="E142" i="6"/>
  <c r="B143" i="6"/>
  <c r="F142" i="6"/>
  <c r="G142" i="6" s="1"/>
  <c r="K67" i="19"/>
  <c r="F67" i="19" a="1"/>
  <c r="D142" i="6" l="1"/>
  <c r="C142" i="6" s="1"/>
  <c r="E143" i="6"/>
  <c r="B144" i="6"/>
  <c r="F143" i="6"/>
  <c r="G143" i="6" s="1"/>
  <c r="F67" i="19"/>
  <c r="D67" i="19" a="1"/>
  <c r="D67" i="19" l="1"/>
  <c r="L67" i="19" a="1"/>
  <c r="L67" i="19" s="1"/>
  <c r="D143" i="6"/>
  <c r="C143" i="6" s="1"/>
  <c r="E144" i="6"/>
  <c r="B145" i="6"/>
  <c r="F144" i="6"/>
  <c r="G144" i="6" s="1"/>
  <c r="K68" i="19"/>
  <c r="F68" i="19" a="1"/>
  <c r="D144" i="6" l="1"/>
  <c r="C144" i="6" s="1"/>
  <c r="E145" i="6"/>
  <c r="B146" i="6"/>
  <c r="F145" i="6"/>
  <c r="G145" i="6" s="1"/>
  <c r="F68" i="19"/>
  <c r="D68" i="19" a="1"/>
  <c r="D68" i="19" l="1"/>
  <c r="L68" i="19" a="1"/>
  <c r="L68" i="19" s="1"/>
  <c r="D145" i="6"/>
  <c r="C145" i="6" s="1"/>
  <c r="E146" i="6"/>
  <c r="F146" i="6"/>
  <c r="G146" i="6" s="1"/>
  <c r="B147" i="6"/>
  <c r="K69" i="19"/>
  <c r="F69" i="19" a="1"/>
  <c r="D146" i="6" l="1"/>
  <c r="C146" i="6" s="1"/>
  <c r="E147" i="6"/>
  <c r="B148" i="6"/>
  <c r="F147" i="6"/>
  <c r="G147" i="6" s="1"/>
  <c r="F69" i="19"/>
  <c r="D69" i="19" a="1"/>
  <c r="D69" i="19" l="1"/>
  <c r="L69" i="19" a="1"/>
  <c r="L69" i="19" s="1"/>
  <c r="D147" i="6"/>
  <c r="C147" i="6" s="1"/>
  <c r="E148" i="6"/>
  <c r="B149" i="6"/>
  <c r="F148" i="6"/>
  <c r="G148" i="6" s="1"/>
  <c r="K70" i="19"/>
  <c r="F70" i="19" a="1"/>
  <c r="D148" i="6" l="1"/>
  <c r="C148" i="6" s="1"/>
  <c r="E149" i="6"/>
  <c r="B150" i="6"/>
  <c r="F149" i="6"/>
  <c r="G149" i="6" s="1"/>
  <c r="F70" i="19"/>
  <c r="D70" i="19" a="1"/>
  <c r="D70" i="19" l="1"/>
  <c r="L70" i="19" a="1"/>
  <c r="L70" i="19" s="1"/>
  <c r="D149" i="6"/>
  <c r="C149" i="6" s="1"/>
  <c r="E150" i="6"/>
  <c r="B151" i="6"/>
  <c r="F150" i="6"/>
  <c r="G150" i="6" s="1"/>
  <c r="K71" i="19"/>
  <c r="F71" i="19" a="1"/>
  <c r="D150" i="6" l="1"/>
  <c r="C150" i="6" s="1"/>
  <c r="E151" i="6"/>
  <c r="B152" i="6"/>
  <c r="F151" i="6"/>
  <c r="G151" i="6" s="1"/>
  <c r="F71" i="19"/>
  <c r="D71" i="19" a="1"/>
  <c r="D71" i="19" l="1"/>
  <c r="L71" i="19" a="1"/>
  <c r="L71" i="19" s="1"/>
  <c r="D151" i="6"/>
  <c r="C151" i="6" s="1"/>
  <c r="E152" i="6"/>
  <c r="B153" i="6"/>
  <c r="F152" i="6"/>
  <c r="G152" i="6" s="1"/>
  <c r="K72" i="19"/>
  <c r="F72" i="19" a="1"/>
  <c r="D152" i="6" l="1"/>
  <c r="C152" i="6" s="1"/>
  <c r="E153" i="6"/>
  <c r="B154" i="6"/>
  <c r="F153" i="6"/>
  <c r="G153" i="6" s="1"/>
  <c r="F72" i="19"/>
  <c r="D72" i="19" a="1"/>
  <c r="D72" i="19" l="1"/>
  <c r="L72" i="19" a="1"/>
  <c r="L72" i="19" s="1"/>
  <c r="D153" i="6"/>
  <c r="C153" i="6" s="1"/>
  <c r="E154" i="6"/>
  <c r="F154" i="6"/>
  <c r="G154" i="6" s="1"/>
  <c r="B155" i="6"/>
  <c r="K73" i="19"/>
  <c r="F73" i="19" a="1"/>
  <c r="D154" i="6" l="1"/>
  <c r="C154" i="6" s="1"/>
  <c r="E155" i="6"/>
  <c r="B156" i="6"/>
  <c r="F155" i="6"/>
  <c r="G155" i="6" s="1"/>
  <c r="F73" i="19"/>
  <c r="D73" i="19" a="1"/>
  <c r="D73" i="19" l="1"/>
  <c r="L73" i="19" a="1"/>
  <c r="L73" i="19" s="1"/>
  <c r="D155" i="6"/>
  <c r="C155" i="6" s="1"/>
  <c r="E156" i="6"/>
  <c r="B157" i="6"/>
  <c r="F156" i="6"/>
  <c r="G156" i="6" s="1"/>
  <c r="K74" i="19"/>
  <c r="F74" i="19" a="1"/>
  <c r="D156" i="6" l="1"/>
  <c r="C156" i="6" s="1"/>
  <c r="E157" i="6"/>
  <c r="F157" i="6"/>
  <c r="G157" i="6" s="1"/>
  <c r="B158" i="6"/>
  <c r="F74" i="19"/>
  <c r="D74" i="19" a="1"/>
  <c r="D74" i="19" l="1"/>
  <c r="L74" i="19" a="1"/>
  <c r="L74" i="19" s="1"/>
  <c r="D157" i="6"/>
  <c r="C157" i="6" s="1"/>
  <c r="E158" i="6"/>
  <c r="B159" i="6"/>
  <c r="F158" i="6"/>
  <c r="G158" i="6" s="1"/>
  <c r="K75" i="19"/>
  <c r="F75" i="19" a="1"/>
  <c r="D158" i="6" l="1"/>
  <c r="C158" i="6" s="1"/>
  <c r="E159" i="6"/>
  <c r="B160" i="6"/>
  <c r="F159" i="6"/>
  <c r="G159" i="6" s="1"/>
  <c r="F75" i="19"/>
  <c r="D75" i="19" a="1"/>
  <c r="D75" i="19" l="1"/>
  <c r="L75" i="19" a="1"/>
  <c r="L75" i="19" s="1"/>
  <c r="D159" i="6"/>
  <c r="C159" i="6" s="1"/>
  <c r="E160" i="6"/>
  <c r="B161" i="6"/>
  <c r="F160" i="6"/>
  <c r="G160" i="6" s="1"/>
  <c r="K76" i="19"/>
  <c r="F76" i="19" a="1"/>
  <c r="D160" i="6" l="1"/>
  <c r="C160" i="6" s="1"/>
  <c r="E161" i="6"/>
  <c r="B162" i="6"/>
  <c r="F161" i="6"/>
  <c r="G161" i="6" s="1"/>
  <c r="F76" i="19"/>
  <c r="D76" i="19" a="1"/>
  <c r="D76" i="19" l="1"/>
  <c r="L76" i="19" a="1"/>
  <c r="L76" i="19" s="1"/>
  <c r="D161" i="6"/>
  <c r="C161" i="6" s="1"/>
  <c r="E162" i="6"/>
  <c r="F162" i="6"/>
  <c r="G162" i="6" s="1"/>
  <c r="B163" i="6"/>
  <c r="K77" i="19"/>
  <c r="F77" i="19" a="1"/>
  <c r="D162" i="6" l="1"/>
  <c r="C162" i="6" s="1"/>
  <c r="E163" i="6"/>
  <c r="B164" i="6"/>
  <c r="F163" i="6"/>
  <c r="G163" i="6" s="1"/>
  <c r="F77" i="19"/>
  <c r="D77" i="19" a="1"/>
  <c r="D77" i="19" l="1"/>
  <c r="L77" i="19" a="1"/>
  <c r="L77" i="19" s="1"/>
  <c r="D163" i="6"/>
  <c r="C163" i="6" s="1"/>
  <c r="E164" i="6"/>
  <c r="F164" i="6"/>
  <c r="G164" i="6" s="1"/>
  <c r="B165" i="6"/>
  <c r="K78" i="19"/>
  <c r="F78" i="19" a="1"/>
  <c r="D164" i="6" l="1"/>
  <c r="C164" i="6" s="1"/>
  <c r="E165" i="6"/>
  <c r="B166" i="6"/>
  <c r="F165" i="6"/>
  <c r="G165" i="6" s="1"/>
  <c r="F78" i="19"/>
  <c r="D78" i="19" a="1"/>
  <c r="D78" i="19" l="1"/>
  <c r="L78" i="19" a="1"/>
  <c r="L78" i="19" s="1"/>
  <c r="D165" i="6"/>
  <c r="C165" i="6" s="1"/>
  <c r="E166" i="6"/>
  <c r="B167" i="6"/>
  <c r="F166" i="6"/>
  <c r="G166" i="6" s="1"/>
  <c r="K79" i="19"/>
  <c r="F79" i="19" a="1"/>
  <c r="D166" i="6" l="1"/>
  <c r="C166" i="6" s="1"/>
  <c r="E167" i="6"/>
  <c r="B168" i="6"/>
  <c r="F167" i="6"/>
  <c r="G167" i="6" s="1"/>
  <c r="F79" i="19"/>
  <c r="D79" i="19" a="1"/>
  <c r="D79" i="19" l="1"/>
  <c r="L79" i="19" a="1"/>
  <c r="L79" i="19" s="1"/>
  <c r="D167" i="6"/>
  <c r="C167" i="6" s="1"/>
  <c r="E168" i="6"/>
  <c r="B169" i="6"/>
  <c r="F168" i="6"/>
  <c r="G168" i="6" s="1"/>
  <c r="K80" i="19"/>
  <c r="F80" i="19" a="1"/>
  <c r="D168" i="6" l="1"/>
  <c r="C168" i="6" s="1"/>
  <c r="E169" i="6"/>
  <c r="B170" i="6"/>
  <c r="F169" i="6"/>
  <c r="G169" i="6" s="1"/>
  <c r="F80" i="19"/>
  <c r="D80" i="19" a="1"/>
  <c r="D80" i="19" l="1"/>
  <c r="L80" i="19" a="1"/>
  <c r="L80" i="19" s="1"/>
  <c r="D169" i="6"/>
  <c r="C169" i="6" s="1"/>
  <c r="E170" i="6"/>
  <c r="F170" i="6"/>
  <c r="G170" i="6" s="1"/>
  <c r="B171" i="6"/>
  <c r="K81" i="19"/>
  <c r="F81" i="19" a="1"/>
  <c r="D170" i="6" l="1"/>
  <c r="C170" i="6" s="1"/>
  <c r="E171" i="6"/>
  <c r="B172" i="6"/>
  <c r="F171" i="6"/>
  <c r="G171" i="6" s="1"/>
  <c r="F81" i="19"/>
  <c r="D81" i="19" a="1"/>
  <c r="D81" i="19" l="1"/>
  <c r="L81" i="19" a="1"/>
  <c r="L81" i="19" s="1"/>
  <c r="D171" i="6"/>
  <c r="C171" i="6" s="1"/>
  <c r="E172" i="6"/>
  <c r="B173" i="6"/>
  <c r="F172" i="6"/>
  <c r="G172" i="6" s="1"/>
  <c r="K82" i="19"/>
  <c r="F82" i="19" a="1"/>
  <c r="D172" i="6" l="1"/>
  <c r="C172" i="6" s="1"/>
  <c r="E173" i="6"/>
  <c r="B174" i="6"/>
  <c r="F173" i="6"/>
  <c r="G173" i="6" s="1"/>
  <c r="F82" i="19"/>
  <c r="D82" i="19" a="1"/>
  <c r="D82" i="19" l="1"/>
  <c r="L82" i="19" a="1"/>
  <c r="L82" i="19" s="1"/>
  <c r="D173" i="6"/>
  <c r="C173" i="6" s="1"/>
  <c r="E174" i="6"/>
  <c r="B175" i="6"/>
  <c r="F174" i="6"/>
  <c r="G174" i="6" s="1"/>
  <c r="K83" i="19"/>
  <c r="F83" i="19" a="1"/>
  <c r="D174" i="6" l="1"/>
  <c r="C174" i="6" s="1"/>
  <c r="E175" i="6"/>
  <c r="B176" i="6"/>
  <c r="F175" i="6"/>
  <c r="G175" i="6" s="1"/>
  <c r="F83" i="19"/>
  <c r="D83" i="19" a="1"/>
  <c r="D83" i="19" l="1"/>
  <c r="L83" i="19" a="1"/>
  <c r="L83" i="19" s="1"/>
  <c r="D175" i="6"/>
  <c r="C175" i="6" s="1"/>
  <c r="E176" i="6"/>
  <c r="B177" i="6"/>
  <c r="F176" i="6"/>
  <c r="G176" i="6" s="1"/>
  <c r="K84" i="19"/>
  <c r="F84" i="19" a="1"/>
  <c r="D176" i="6" l="1"/>
  <c r="C176" i="6" s="1"/>
  <c r="E177" i="6"/>
  <c r="B178" i="6"/>
  <c r="F177" i="6"/>
  <c r="G177" i="6" s="1"/>
  <c r="F84" i="19"/>
  <c r="D84" i="19" a="1"/>
  <c r="D84" i="19" l="1"/>
  <c r="L84" i="19" a="1"/>
  <c r="L84" i="19" s="1"/>
  <c r="D177" i="6"/>
  <c r="C177" i="6" s="1"/>
  <c r="E178" i="6"/>
  <c r="F178" i="6"/>
  <c r="G178" i="6" s="1"/>
  <c r="B179" i="6"/>
  <c r="K85" i="19"/>
  <c r="F85" i="19" a="1"/>
  <c r="D178" i="6" l="1"/>
  <c r="C178" i="6" s="1"/>
  <c r="E179" i="6"/>
  <c r="B180" i="6"/>
  <c r="F179" i="6"/>
  <c r="G179" i="6" s="1"/>
  <c r="F85" i="19"/>
  <c r="D85" i="19" a="1"/>
  <c r="D85" i="19" l="1"/>
  <c r="L85" i="19" a="1"/>
  <c r="L85" i="19" s="1"/>
  <c r="D179" i="6"/>
  <c r="C179" i="6" s="1"/>
  <c r="E180" i="6"/>
  <c r="B181" i="6"/>
  <c r="F180" i="6"/>
  <c r="G180" i="6" s="1"/>
  <c r="K86" i="19"/>
  <c r="F86" i="19" a="1"/>
  <c r="D180" i="6" l="1"/>
  <c r="C180" i="6" s="1"/>
  <c r="E181" i="6"/>
  <c r="B182" i="6"/>
  <c r="F181" i="6"/>
  <c r="G181" i="6" s="1"/>
  <c r="F86" i="19"/>
  <c r="D86" i="19" a="1"/>
  <c r="D86" i="19" l="1"/>
  <c r="L86" i="19" a="1"/>
  <c r="L86" i="19" s="1"/>
  <c r="D181" i="6"/>
  <c r="C181" i="6" s="1"/>
  <c r="E182" i="6"/>
  <c r="B183" i="6"/>
  <c r="F182" i="6"/>
  <c r="G182" i="6" s="1"/>
  <c r="K87" i="19"/>
  <c r="F87" i="19" a="1"/>
  <c r="D182" i="6" l="1"/>
  <c r="C182" i="6" s="1"/>
  <c r="E183" i="6"/>
  <c r="B184" i="6"/>
  <c r="F183" i="6"/>
  <c r="G183" i="6" s="1"/>
  <c r="F87" i="19"/>
  <c r="D87" i="19" a="1"/>
  <c r="D87" i="19" l="1"/>
  <c r="L87" i="19" a="1"/>
  <c r="L87" i="19" s="1"/>
  <c r="D183" i="6"/>
  <c r="C183" i="6" s="1"/>
  <c r="E184" i="6"/>
  <c r="B185" i="6"/>
  <c r="F184" i="6"/>
  <c r="G184" i="6" s="1"/>
  <c r="K88" i="19"/>
  <c r="F88" i="19" a="1"/>
  <c r="D184" i="6" l="1"/>
  <c r="C184" i="6" s="1"/>
  <c r="E185" i="6"/>
  <c r="B186" i="6"/>
  <c r="F185" i="6"/>
  <c r="G185" i="6" s="1"/>
  <c r="F88" i="19"/>
  <c r="D88" i="19" a="1"/>
  <c r="D88" i="19" l="1"/>
  <c r="L88" i="19" a="1"/>
  <c r="L88" i="19" s="1"/>
  <c r="D185" i="6"/>
  <c r="C185" i="6" s="1"/>
  <c r="E186" i="6"/>
  <c r="F186" i="6"/>
  <c r="G186" i="6" s="1"/>
  <c r="B187" i="6"/>
  <c r="K89" i="19"/>
  <c r="F89" i="19" a="1"/>
  <c r="D186" i="6" l="1"/>
  <c r="C186" i="6" s="1"/>
  <c r="E187" i="6"/>
  <c r="B188" i="6"/>
  <c r="F187" i="6"/>
  <c r="G187" i="6" s="1"/>
  <c r="F89" i="19"/>
  <c r="D89" i="19" a="1"/>
  <c r="D89" i="19" l="1"/>
  <c r="L89" i="19" a="1"/>
  <c r="L89" i="19" s="1"/>
  <c r="D187" i="6"/>
  <c r="C187" i="6" s="1"/>
  <c r="E188" i="6"/>
  <c r="B189" i="6"/>
  <c r="F188" i="6"/>
  <c r="G188" i="6" s="1"/>
  <c r="K90" i="19"/>
  <c r="F90" i="19" a="1"/>
  <c r="D188" i="6" l="1"/>
  <c r="C188" i="6" s="1"/>
  <c r="E189" i="6"/>
  <c r="F189" i="6"/>
  <c r="G189" i="6" s="1"/>
  <c r="B190" i="6"/>
  <c r="F90" i="19"/>
  <c r="D90" i="19" a="1"/>
  <c r="D90" i="19" l="1"/>
  <c r="L90" i="19" a="1"/>
  <c r="L90" i="19" s="1"/>
  <c r="D189" i="6"/>
  <c r="C189" i="6" s="1"/>
  <c r="E190" i="6"/>
  <c r="B191" i="6"/>
  <c r="F190" i="6"/>
  <c r="G190" i="6" s="1"/>
  <c r="K91" i="19"/>
  <c r="F91" i="19" a="1"/>
  <c r="D190" i="6" l="1"/>
  <c r="C190" i="6" s="1"/>
  <c r="E191" i="6"/>
  <c r="B192" i="6"/>
  <c r="F191" i="6"/>
  <c r="G191" i="6" s="1"/>
  <c r="F91" i="19"/>
  <c r="D91" i="19" a="1"/>
  <c r="D91" i="19" l="1"/>
  <c r="L91" i="19" a="1"/>
  <c r="L91" i="19" s="1"/>
  <c r="D191" i="6"/>
  <c r="C191" i="6" s="1"/>
  <c r="E192" i="6"/>
  <c r="B193" i="6"/>
  <c r="F192" i="6"/>
  <c r="G192" i="6" s="1"/>
  <c r="K92" i="19"/>
  <c r="F92" i="19" a="1"/>
  <c r="D192" i="6" l="1"/>
  <c r="C192" i="6" s="1"/>
  <c r="E193" i="6"/>
  <c r="B194" i="6"/>
  <c r="F193" i="6"/>
  <c r="G193" i="6" s="1"/>
  <c r="F92" i="19"/>
  <c r="D92" i="19" a="1"/>
  <c r="D92" i="19" l="1"/>
  <c r="L92" i="19" a="1"/>
  <c r="L92" i="19" s="1"/>
  <c r="D193" i="6"/>
  <c r="C193" i="6" s="1"/>
  <c r="E194" i="6"/>
  <c r="F194" i="6"/>
  <c r="G194" i="6" s="1"/>
  <c r="B195" i="6"/>
  <c r="K93" i="19"/>
  <c r="F93" i="19" a="1"/>
  <c r="D194" i="6" l="1"/>
  <c r="C194" i="6" s="1"/>
  <c r="E195" i="6"/>
  <c r="B196" i="6"/>
  <c r="F195" i="6"/>
  <c r="G195" i="6" s="1"/>
  <c r="F93" i="19"/>
  <c r="D93" i="19" a="1"/>
  <c r="D93" i="19" l="1"/>
  <c r="L93" i="19" a="1"/>
  <c r="L93" i="19" s="1"/>
  <c r="D195" i="6"/>
  <c r="C195" i="6" s="1"/>
  <c r="E196" i="6"/>
  <c r="F196" i="6"/>
  <c r="G196" i="6" s="1"/>
  <c r="B197" i="6"/>
  <c r="K94" i="19"/>
  <c r="F94" i="19" a="1"/>
  <c r="D196" i="6" l="1"/>
  <c r="C196" i="6" s="1"/>
  <c r="E197" i="6"/>
  <c r="B198" i="6"/>
  <c r="F197" i="6"/>
  <c r="G197" i="6" s="1"/>
  <c r="F94" i="19"/>
  <c r="D94" i="19" a="1"/>
  <c r="D94" i="19" l="1"/>
  <c r="L94" i="19" a="1"/>
  <c r="L94" i="19" s="1"/>
  <c r="D197" i="6"/>
  <c r="C197" i="6" s="1"/>
  <c r="E198" i="6"/>
  <c r="B199" i="6"/>
  <c r="F198" i="6"/>
  <c r="G198" i="6" s="1"/>
  <c r="K95" i="19"/>
  <c r="F95" i="19" a="1"/>
  <c r="D198" i="6" l="1"/>
  <c r="C198" i="6" s="1"/>
  <c r="E199" i="6"/>
  <c r="B200" i="6"/>
  <c r="F199" i="6"/>
  <c r="G199" i="6" s="1"/>
  <c r="F95" i="19"/>
  <c r="D95" i="19" a="1"/>
  <c r="D95" i="19" l="1"/>
  <c r="L95" i="19" a="1"/>
  <c r="L95" i="19" s="1"/>
  <c r="D199" i="6"/>
  <c r="C199" i="6" s="1"/>
  <c r="E200" i="6"/>
  <c r="B201" i="6"/>
  <c r="F200" i="6"/>
  <c r="G200" i="6" s="1"/>
  <c r="K96" i="19"/>
  <c r="F96" i="19" a="1"/>
  <c r="D200" i="6" l="1"/>
  <c r="C200" i="6" s="1"/>
  <c r="E201" i="6"/>
  <c r="B202" i="6"/>
  <c r="F201" i="6"/>
  <c r="G201" i="6" s="1"/>
  <c r="F96" i="19"/>
  <c r="D96" i="19" a="1"/>
  <c r="D96" i="19" l="1"/>
  <c r="L96" i="19" a="1"/>
  <c r="L96" i="19" s="1"/>
  <c r="D201" i="6"/>
  <c r="C201" i="6" s="1"/>
  <c r="E202" i="6"/>
  <c r="F202" i="6"/>
  <c r="G202" i="6" s="1"/>
  <c r="B203" i="6"/>
  <c r="K97" i="19"/>
  <c r="F97" i="19" a="1"/>
  <c r="D202" i="6" l="1"/>
  <c r="C202" i="6" s="1"/>
  <c r="E203" i="6"/>
  <c r="B204" i="6"/>
  <c r="F203" i="6"/>
  <c r="G203" i="6" s="1"/>
  <c r="F97" i="19"/>
  <c r="D97" i="19" a="1"/>
  <c r="D97" i="19" l="1"/>
  <c r="L97" i="19" a="1"/>
  <c r="L97" i="19" s="1"/>
  <c r="D203" i="6"/>
  <c r="C203" i="6" s="1"/>
  <c r="E204" i="6"/>
  <c r="B205" i="6"/>
  <c r="F204" i="6"/>
  <c r="G204" i="6" s="1"/>
  <c r="K98" i="19"/>
  <c r="F98" i="19" a="1"/>
  <c r="D204" i="6" l="1"/>
  <c r="C204" i="6" s="1"/>
  <c r="E205" i="6"/>
  <c r="B206" i="6"/>
  <c r="F205" i="6"/>
  <c r="G205" i="6" s="1"/>
  <c r="F98" i="19"/>
  <c r="D98" i="19" a="1"/>
  <c r="D98" i="19" l="1"/>
  <c r="L98" i="19" a="1"/>
  <c r="L98" i="19" s="1"/>
  <c r="D205" i="6"/>
  <c r="C205" i="6" s="1"/>
  <c r="E206" i="6"/>
  <c r="B207" i="6"/>
  <c r="F206" i="6"/>
  <c r="G206" i="6" s="1"/>
  <c r="K99" i="19"/>
  <c r="F99" i="19" a="1"/>
  <c r="D206" i="6" l="1"/>
  <c r="C206" i="6" s="1"/>
  <c r="E207" i="6"/>
  <c r="B208" i="6"/>
  <c r="F207" i="6"/>
  <c r="G207" i="6" s="1"/>
  <c r="F99" i="19"/>
  <c r="D99" i="19" a="1"/>
  <c r="D99" i="19" l="1"/>
  <c r="L99" i="19" a="1"/>
  <c r="L99" i="19" s="1"/>
  <c r="D207" i="6"/>
  <c r="C207" i="6" s="1"/>
  <c r="E208" i="6"/>
  <c r="B209" i="6"/>
  <c r="F208" i="6"/>
  <c r="G208" i="6" s="1"/>
  <c r="K100" i="19"/>
  <c r="F100" i="19" a="1"/>
  <c r="D208" i="6" l="1"/>
  <c r="C208" i="6" s="1"/>
  <c r="E209" i="6"/>
  <c r="B210" i="6"/>
  <c r="F209" i="6"/>
  <c r="G209" i="6" s="1"/>
  <c r="F100" i="19"/>
  <c r="D100" i="19" a="1"/>
  <c r="D100" i="19" l="1"/>
  <c r="L100" i="19" a="1"/>
  <c r="L100" i="19" s="1"/>
  <c r="D209" i="6"/>
  <c r="C209" i="6" s="1"/>
  <c r="E210" i="6"/>
  <c r="F210" i="6"/>
  <c r="G210" i="6" s="1"/>
  <c r="B211" i="6"/>
  <c r="K101" i="19"/>
  <c r="F101" i="19" a="1"/>
  <c r="D210" i="6" l="1"/>
  <c r="C210" i="6" s="1"/>
  <c r="E211" i="6"/>
  <c r="B212" i="6"/>
  <c r="F211" i="6"/>
  <c r="G211" i="6" s="1"/>
  <c r="F101" i="19"/>
  <c r="D101" i="19" a="1"/>
  <c r="D101" i="19" l="1"/>
  <c r="L101" i="19" a="1"/>
  <c r="L101" i="19" s="1"/>
  <c r="D211" i="6"/>
  <c r="C211" i="6" s="1"/>
  <c r="E212" i="6"/>
  <c r="B213" i="6"/>
  <c r="F212" i="6"/>
  <c r="G212" i="6" s="1"/>
  <c r="K102" i="19"/>
  <c r="F102" i="19" a="1"/>
  <c r="D212" i="6" l="1"/>
  <c r="C212" i="6" s="1"/>
  <c r="E213" i="6"/>
  <c r="B214" i="6"/>
  <c r="F213" i="6"/>
  <c r="G213" i="6" s="1"/>
  <c r="F102" i="19"/>
  <c r="D102" i="19" a="1"/>
  <c r="D102" i="19" l="1"/>
  <c r="L102" i="19" a="1"/>
  <c r="L102" i="19" s="1"/>
  <c r="D213" i="6"/>
  <c r="C213" i="6" s="1"/>
  <c r="E214" i="6"/>
  <c r="B215" i="6"/>
  <c r="F214" i="6"/>
  <c r="G214" i="6" s="1"/>
  <c r="K103" i="19"/>
  <c r="F103" i="19" a="1"/>
  <c r="D214" i="6" l="1"/>
  <c r="C214" i="6" s="1"/>
  <c r="E215" i="6"/>
  <c r="B216" i="6"/>
  <c r="F215" i="6"/>
  <c r="G215" i="6" s="1"/>
  <c r="F103" i="19"/>
  <c r="D103" i="19" a="1"/>
  <c r="D103" i="19" l="1"/>
  <c r="L103" i="19" a="1"/>
  <c r="L103" i="19" s="1"/>
  <c r="D215" i="6"/>
  <c r="C215" i="6" s="1"/>
  <c r="E216" i="6"/>
  <c r="B217" i="6"/>
  <c r="F216" i="6"/>
  <c r="G216" i="6" s="1"/>
  <c r="K104" i="19"/>
  <c r="F104" i="19" a="1"/>
  <c r="D216" i="6" l="1"/>
  <c r="C216" i="6" s="1"/>
  <c r="E217" i="6"/>
  <c r="B218" i="6"/>
  <c r="F217" i="6"/>
  <c r="G217" i="6" s="1"/>
  <c r="F104" i="19"/>
  <c r="D104" i="19" a="1"/>
  <c r="D104" i="19" l="1"/>
  <c r="L104" i="19" a="1"/>
  <c r="L104" i="19" s="1"/>
  <c r="D217" i="6"/>
  <c r="C217" i="6" s="1"/>
  <c r="E218" i="6"/>
  <c r="F218" i="6"/>
  <c r="G218" i="6" s="1"/>
  <c r="B219" i="6"/>
  <c r="K105" i="19"/>
  <c r="F105" i="19" a="1"/>
  <c r="D218" i="6" l="1"/>
  <c r="C218" i="6" s="1"/>
  <c r="E219" i="6"/>
  <c r="B220" i="6"/>
  <c r="F219" i="6"/>
  <c r="G219" i="6" s="1"/>
  <c r="F105" i="19"/>
  <c r="D105" i="19" a="1"/>
  <c r="D105" i="19" l="1"/>
  <c r="L105" i="19" a="1"/>
  <c r="L105" i="19" s="1"/>
  <c r="D219" i="6"/>
  <c r="C219" i="6" s="1"/>
  <c r="E220" i="6"/>
  <c r="B221" i="6"/>
  <c r="F220" i="6"/>
  <c r="G220" i="6" s="1"/>
  <c r="K106" i="19"/>
  <c r="F106" i="19" a="1"/>
  <c r="D220" i="6" l="1"/>
  <c r="C220" i="6" s="1"/>
  <c r="E221" i="6"/>
  <c r="F221" i="6"/>
  <c r="G221" i="6" s="1"/>
  <c r="B222" i="6"/>
  <c r="F106" i="19"/>
  <c r="D106" i="19" a="1"/>
  <c r="D106" i="19" l="1"/>
  <c r="L106" i="19" a="1"/>
  <c r="L106" i="19" s="1"/>
  <c r="D221" i="6"/>
  <c r="C221" i="6" s="1"/>
  <c r="E222" i="6"/>
  <c r="B223" i="6"/>
  <c r="F222" i="6"/>
  <c r="G222" i="6" s="1"/>
  <c r="K107" i="19"/>
  <c r="F107" i="19" a="1"/>
  <c r="D222" i="6" l="1"/>
  <c r="C222" i="6" s="1"/>
  <c r="E223" i="6"/>
  <c r="B224" i="6"/>
  <c r="F223" i="6"/>
  <c r="G223" i="6" s="1"/>
  <c r="F107" i="19"/>
  <c r="D107" i="19" a="1"/>
  <c r="D107" i="19" l="1"/>
  <c r="L107" i="19" a="1"/>
  <c r="L107" i="19" s="1"/>
  <c r="D223" i="6"/>
  <c r="C223" i="6" s="1"/>
  <c r="E224" i="6"/>
  <c r="B225" i="6"/>
  <c r="F224" i="6"/>
  <c r="G224" i="6" s="1"/>
  <c r="K108" i="19"/>
  <c r="F108" i="19" a="1"/>
  <c r="D224" i="6" l="1"/>
  <c r="C224" i="6" s="1"/>
  <c r="E225" i="6"/>
  <c r="B226" i="6"/>
  <c r="F225" i="6"/>
  <c r="G225" i="6" s="1"/>
  <c r="F108" i="19"/>
  <c r="D108" i="19" a="1"/>
  <c r="D108" i="19" l="1"/>
  <c r="L108" i="19" a="1"/>
  <c r="L108" i="19" s="1"/>
  <c r="D225" i="6"/>
  <c r="C225" i="6" s="1"/>
  <c r="E226" i="6"/>
  <c r="F226" i="6"/>
  <c r="G226" i="6" s="1"/>
  <c r="B227" i="6"/>
  <c r="K109" i="19"/>
  <c r="F109" i="19" a="1"/>
  <c r="D226" i="6" l="1"/>
  <c r="C226" i="6" s="1"/>
  <c r="E227" i="6"/>
  <c r="B228" i="6"/>
  <c r="F227" i="6"/>
  <c r="G227" i="6" s="1"/>
  <c r="F109" i="19"/>
  <c r="D109" i="19" a="1"/>
  <c r="D109" i="19" l="1"/>
  <c r="L109" i="19" a="1"/>
  <c r="L109" i="19" s="1"/>
  <c r="D227" i="6"/>
  <c r="C227" i="6" s="1"/>
  <c r="E228" i="6"/>
  <c r="F228" i="6"/>
  <c r="G228" i="6" s="1"/>
  <c r="B229" i="6"/>
  <c r="K110" i="19"/>
  <c r="F110" i="19" a="1"/>
  <c r="D228" i="6" l="1"/>
  <c r="C228" i="6" s="1"/>
  <c r="B230" i="6"/>
  <c r="E229" i="6"/>
  <c r="F229" i="6"/>
  <c r="G229" i="6" s="1"/>
  <c r="F110" i="19"/>
  <c r="D110" i="19" a="1"/>
  <c r="D110" i="19" l="1"/>
  <c r="L110" i="19" a="1"/>
  <c r="L110" i="19" s="1"/>
  <c r="D229" i="6"/>
  <c r="C229" i="6" s="1"/>
  <c r="E230" i="6"/>
  <c r="F230" i="6"/>
  <c r="G230" i="6" s="1"/>
  <c r="B231" i="6"/>
  <c r="K111" i="19"/>
  <c r="F111" i="19" a="1"/>
  <c r="D230" i="6" l="1"/>
  <c r="C230" i="6" s="1"/>
  <c r="B232" i="6"/>
  <c r="E231" i="6"/>
  <c r="F231" i="6"/>
  <c r="G231" i="6" s="1"/>
  <c r="F111" i="19"/>
  <c r="D111" i="19" a="1"/>
  <c r="D111" i="19" l="1"/>
  <c r="L111" i="19" a="1"/>
  <c r="L111" i="19" s="1"/>
  <c r="D231" i="6"/>
  <c r="C231" i="6" s="1"/>
  <c r="E232" i="6"/>
  <c r="B233" i="6"/>
  <c r="F232" i="6"/>
  <c r="G232" i="6" s="1"/>
  <c r="K112" i="19"/>
  <c r="F112" i="19" a="1"/>
  <c r="D232" i="6" l="1"/>
  <c r="C232" i="6" s="1"/>
  <c r="B234" i="6"/>
  <c r="E233" i="6"/>
  <c r="F233" i="6"/>
  <c r="G233" i="6" s="1"/>
  <c r="F112" i="19"/>
  <c r="D112" i="19" a="1"/>
  <c r="D112" i="19" l="1"/>
  <c r="L112" i="19" a="1"/>
  <c r="L112" i="19" s="1"/>
  <c r="D233" i="6"/>
  <c r="C233" i="6" s="1"/>
  <c r="E234" i="6"/>
  <c r="B235" i="6"/>
  <c r="F234" i="6"/>
  <c r="G234" i="6" s="1"/>
  <c r="K113" i="19"/>
  <c r="F113" i="19" a="1"/>
  <c r="D234" i="6" l="1"/>
  <c r="C234" i="6" s="1"/>
  <c r="B236" i="6"/>
  <c r="E235" i="6"/>
  <c r="F235" i="6"/>
  <c r="G235" i="6" s="1"/>
  <c r="F113" i="19"/>
  <c r="D113" i="19" a="1"/>
  <c r="D113" i="19" l="1"/>
  <c r="L113" i="19" a="1"/>
  <c r="L113" i="19" s="1"/>
  <c r="D235" i="6"/>
  <c r="C235" i="6" s="1"/>
  <c r="E236" i="6"/>
  <c r="F236" i="6"/>
  <c r="G236" i="6" s="1"/>
  <c r="B237" i="6"/>
  <c r="K114" i="19"/>
  <c r="F114" i="19" a="1"/>
  <c r="D236" i="6" l="1"/>
  <c r="C236" i="6" s="1"/>
  <c r="B238" i="6"/>
  <c r="E237" i="6"/>
  <c r="F237" i="6"/>
  <c r="G237" i="6" s="1"/>
  <c r="F114" i="19"/>
  <c r="D114" i="19" a="1"/>
  <c r="D114" i="19" l="1"/>
  <c r="L114" i="19" a="1"/>
  <c r="L114" i="19" s="1"/>
  <c r="D237" i="6"/>
  <c r="C237" i="6" s="1"/>
  <c r="E238" i="6"/>
  <c r="B239" i="6"/>
  <c r="F238" i="6"/>
  <c r="G238" i="6" s="1"/>
  <c r="K115" i="19"/>
  <c r="F115" i="19" a="1"/>
  <c r="D238" i="6" l="1"/>
  <c r="C238" i="6" s="1"/>
  <c r="B240" i="6"/>
  <c r="E239" i="6"/>
  <c r="F239" i="6"/>
  <c r="G239" i="6" s="1"/>
  <c r="F115" i="19"/>
  <c r="D115" i="19" a="1"/>
  <c r="D115" i="19" l="1"/>
  <c r="L115" i="19" a="1"/>
  <c r="L115" i="19" s="1"/>
  <c r="D239" i="6"/>
  <c r="C239" i="6" s="1"/>
  <c r="E240" i="6"/>
  <c r="B241" i="6"/>
  <c r="F240" i="6"/>
  <c r="G240" i="6" s="1"/>
  <c r="K116" i="19"/>
  <c r="F116" i="19" a="1"/>
  <c r="D240" i="6" l="1"/>
  <c r="C240" i="6" s="1"/>
  <c r="B242" i="6"/>
  <c r="E241" i="6"/>
  <c r="F241" i="6"/>
  <c r="G241" i="6" s="1"/>
  <c r="F116" i="19"/>
  <c r="D116" i="19" a="1"/>
  <c r="D116" i="19" l="1"/>
  <c r="L116" i="19" a="1"/>
  <c r="L116" i="19" s="1"/>
  <c r="D241" i="6"/>
  <c r="C241" i="6" s="1"/>
  <c r="E242" i="6"/>
  <c r="B243" i="6"/>
  <c r="F242" i="6"/>
  <c r="G242" i="6" s="1"/>
  <c r="K117" i="19"/>
  <c r="F117" i="19" a="1"/>
  <c r="D242" i="6" l="1"/>
  <c r="C242" i="6" s="1"/>
  <c r="B244" i="6"/>
  <c r="E243" i="6"/>
  <c r="F243" i="6"/>
  <c r="G243" i="6" s="1"/>
  <c r="F117" i="19"/>
  <c r="D117" i="19" a="1"/>
  <c r="D117" i="19" l="1"/>
  <c r="L117" i="19" a="1"/>
  <c r="L117" i="19" s="1"/>
  <c r="D243" i="6"/>
  <c r="C243" i="6" s="1"/>
  <c r="E244" i="6"/>
  <c r="B245" i="6"/>
  <c r="F244" i="6"/>
  <c r="G244" i="6" s="1"/>
  <c r="K118" i="19"/>
  <c r="F118" i="19" a="1"/>
  <c r="D244" i="6" l="1"/>
  <c r="C244" i="6" s="1"/>
  <c r="B246" i="6"/>
  <c r="E245" i="6"/>
  <c r="F245" i="6"/>
  <c r="G245" i="6" s="1"/>
  <c r="F118" i="19"/>
  <c r="D118" i="19" a="1"/>
  <c r="D118" i="19" l="1"/>
  <c r="L118" i="19" a="1"/>
  <c r="L118" i="19" s="1"/>
  <c r="D245" i="6"/>
  <c r="C245" i="6" s="1"/>
  <c r="E246" i="6"/>
  <c r="B247" i="6"/>
  <c r="F246" i="6"/>
  <c r="G246" i="6" s="1"/>
  <c r="K119" i="19"/>
  <c r="F119" i="19" a="1"/>
  <c r="D246" i="6" l="1"/>
  <c r="C246" i="6" s="1"/>
  <c r="B248" i="6"/>
  <c r="E247" i="6"/>
  <c r="F247" i="6"/>
  <c r="G247" i="6" s="1"/>
  <c r="F119" i="19"/>
  <c r="D119" i="19" a="1"/>
  <c r="D119" i="19" l="1"/>
  <c r="L119" i="19" a="1"/>
  <c r="L119" i="19" s="1"/>
  <c r="D247" i="6"/>
  <c r="C247" i="6" s="1"/>
  <c r="E248" i="6"/>
  <c r="B249" i="6"/>
  <c r="F248" i="6"/>
  <c r="G248" i="6" s="1"/>
  <c r="K120" i="19"/>
  <c r="F120" i="19" a="1"/>
  <c r="D248" i="6" l="1"/>
  <c r="C248" i="6" s="1"/>
  <c r="B250" i="6"/>
  <c r="E249" i="6"/>
  <c r="F249" i="6"/>
  <c r="G249" i="6" s="1"/>
  <c r="F120" i="19"/>
  <c r="D120" i="19" a="1"/>
  <c r="D120" i="19" l="1"/>
  <c r="L120" i="19" a="1"/>
  <c r="L120" i="19" s="1"/>
  <c r="D249" i="6"/>
  <c r="C249" i="6" s="1"/>
  <c r="F250" i="6"/>
  <c r="G250" i="6" s="1"/>
  <c r="E250" i="6"/>
  <c r="B251" i="6"/>
  <c r="K121" i="19"/>
  <c r="F121" i="19" a="1"/>
  <c r="D250" i="6" l="1"/>
  <c r="C250" i="6" s="1"/>
  <c r="B252" i="6"/>
  <c r="E251" i="6"/>
  <c r="F251" i="6"/>
  <c r="G251" i="6" s="1"/>
  <c r="F121" i="19"/>
  <c r="D121" i="19" a="1"/>
  <c r="D121" i="19" l="1"/>
  <c r="L121" i="19" a="1"/>
  <c r="L121" i="19" s="1"/>
  <c r="D251" i="6"/>
  <c r="C251" i="6" s="1"/>
  <c r="F252" i="6"/>
  <c r="G252" i="6" s="1"/>
  <c r="E252" i="6"/>
  <c r="B253" i="6"/>
  <c r="K122" i="19"/>
  <c r="F122" i="19" a="1"/>
  <c r="D252" i="6" l="1"/>
  <c r="C252" i="6" s="1"/>
  <c r="B254" i="6"/>
  <c r="E253" i="6"/>
  <c r="F253" i="6"/>
  <c r="G253" i="6" s="1"/>
  <c r="F122" i="19"/>
  <c r="D122" i="19" a="1"/>
  <c r="D122" i="19" l="1"/>
  <c r="L122" i="19" a="1"/>
  <c r="L122" i="19" s="1"/>
  <c r="D253" i="6"/>
  <c r="C253" i="6" s="1"/>
  <c r="F254" i="6"/>
  <c r="G254" i="6" s="1"/>
  <c r="E254" i="6"/>
  <c r="B255" i="6"/>
  <c r="K123" i="19"/>
  <c r="F123" i="19" a="1"/>
  <c r="D254" i="6" l="1"/>
  <c r="C254" i="6" s="1"/>
  <c r="B256" i="6"/>
  <c r="E255" i="6"/>
  <c r="F255" i="6"/>
  <c r="G255" i="6" s="1"/>
  <c r="F123" i="19"/>
  <c r="D123" i="19" a="1"/>
  <c r="D123" i="19" l="1"/>
  <c r="L123" i="19" a="1"/>
  <c r="L123" i="19" s="1"/>
  <c r="D255" i="6"/>
  <c r="C255" i="6" s="1"/>
  <c r="F256" i="6"/>
  <c r="G256" i="6" s="1"/>
  <c r="E256" i="6"/>
  <c r="B257" i="6"/>
  <c r="K124" i="19"/>
  <c r="F124" i="19" a="1"/>
  <c r="D256" i="6" l="1"/>
  <c r="C256" i="6" s="1"/>
  <c r="B258" i="6"/>
  <c r="E257" i="6"/>
  <c r="F257" i="6"/>
  <c r="G257" i="6" s="1"/>
  <c r="F124" i="19"/>
  <c r="D124" i="19" a="1"/>
  <c r="D124" i="19" l="1"/>
  <c r="L124" i="19" a="1"/>
  <c r="L124" i="19" s="1"/>
  <c r="D257" i="6"/>
  <c r="C257" i="6" s="1"/>
  <c r="F258" i="6"/>
  <c r="G258" i="6" s="1"/>
  <c r="E258" i="6"/>
  <c r="B259" i="6"/>
  <c r="K125" i="19"/>
  <c r="F125" i="19" a="1"/>
  <c r="D258" i="6" l="1"/>
  <c r="C258" i="6" s="1"/>
  <c r="B260" i="6"/>
  <c r="E259" i="6"/>
  <c r="F259" i="6"/>
  <c r="G259" i="6" s="1"/>
  <c r="F125" i="19"/>
  <c r="D125" i="19" a="1"/>
  <c r="D125" i="19" l="1"/>
  <c r="L125" i="19" a="1"/>
  <c r="L125" i="19" s="1"/>
  <c r="D259" i="6"/>
  <c r="C259" i="6" s="1"/>
  <c r="F260" i="6"/>
  <c r="G260" i="6" s="1"/>
  <c r="E260" i="6"/>
  <c r="B261" i="6"/>
  <c r="K126" i="19"/>
  <c r="F126" i="19" a="1"/>
  <c r="D260" i="6" l="1"/>
  <c r="C260" i="6" s="1"/>
  <c r="B262" i="6"/>
  <c r="E261" i="6"/>
  <c r="F261" i="6"/>
  <c r="G261" i="6" s="1"/>
  <c r="F126" i="19"/>
  <c r="D126" i="19" a="1"/>
  <c r="D126" i="19" l="1"/>
  <c r="L126" i="19" a="1"/>
  <c r="L126" i="19" s="1"/>
  <c r="D261" i="6"/>
  <c r="C261" i="6" s="1"/>
  <c r="F262" i="6"/>
  <c r="G262" i="6" s="1"/>
  <c r="E262" i="6"/>
  <c r="B263" i="6"/>
  <c r="K127" i="19"/>
  <c r="F127" i="19" a="1"/>
  <c r="D262" i="6" l="1"/>
  <c r="C262" i="6" s="1"/>
  <c r="B264" i="6"/>
  <c r="E263" i="6"/>
  <c r="F263" i="6"/>
  <c r="G263" i="6" s="1"/>
  <c r="F127" i="19"/>
  <c r="D127" i="19" a="1"/>
  <c r="D127" i="19" l="1"/>
  <c r="L127" i="19" a="1"/>
  <c r="L127" i="19" s="1"/>
  <c r="D263" i="6"/>
  <c r="C263" i="6" s="1"/>
  <c r="F264" i="6"/>
  <c r="G264" i="6" s="1"/>
  <c r="E264" i="6"/>
  <c r="B265" i="6"/>
  <c r="K128" i="19"/>
  <c r="F128" i="19" a="1"/>
  <c r="D264" i="6" l="1"/>
  <c r="C264" i="6" s="1"/>
  <c r="B266" i="6"/>
  <c r="E265" i="6"/>
  <c r="F265" i="6"/>
  <c r="G265" i="6" s="1"/>
  <c r="F128" i="19"/>
  <c r="D128" i="19" a="1"/>
  <c r="D128" i="19" l="1"/>
  <c r="L128" i="19" a="1"/>
  <c r="L128" i="19" s="1"/>
  <c r="D265" i="6"/>
  <c r="C265" i="6" s="1"/>
  <c r="F266" i="6"/>
  <c r="G266" i="6" s="1"/>
  <c r="E266" i="6"/>
  <c r="B267" i="6"/>
  <c r="K129" i="19"/>
  <c r="F129" i="19" a="1"/>
  <c r="D266" i="6" l="1"/>
  <c r="C266" i="6" s="1"/>
  <c r="B268" i="6"/>
  <c r="E267" i="6"/>
  <c r="F267" i="6"/>
  <c r="G267" i="6" s="1"/>
  <c r="F129" i="19"/>
  <c r="D129" i="19" a="1"/>
  <c r="D129" i="19" l="1"/>
  <c r="L129" i="19" a="1"/>
  <c r="L129" i="19" s="1"/>
  <c r="D267" i="6"/>
  <c r="C267" i="6" s="1"/>
  <c r="F268" i="6"/>
  <c r="G268" i="6" s="1"/>
  <c r="E268" i="6"/>
  <c r="B269" i="6"/>
  <c r="K130" i="19"/>
  <c r="F130" i="19" a="1"/>
  <c r="D268" i="6" l="1"/>
  <c r="C268" i="6" s="1"/>
  <c r="B270" i="6"/>
  <c r="E269" i="6"/>
  <c r="F269" i="6"/>
  <c r="G269" i="6" s="1"/>
  <c r="F130" i="19"/>
  <c r="D130" i="19" a="1"/>
  <c r="D130" i="19" l="1"/>
  <c r="L130" i="19" a="1"/>
  <c r="L130" i="19" s="1"/>
  <c r="D269" i="6"/>
  <c r="C269" i="6" s="1"/>
  <c r="F270" i="6"/>
  <c r="G270" i="6" s="1"/>
  <c r="E270" i="6"/>
  <c r="B271" i="6"/>
  <c r="K131" i="19"/>
  <c r="F131" i="19" a="1"/>
  <c r="D270" i="6" l="1"/>
  <c r="C270" i="6" s="1"/>
  <c r="B272" i="6"/>
  <c r="E271" i="6"/>
  <c r="F271" i="6"/>
  <c r="G271" i="6" s="1"/>
  <c r="F131" i="19"/>
  <c r="D131" i="19" a="1"/>
  <c r="D131" i="19" l="1"/>
  <c r="L131" i="19" a="1"/>
  <c r="L131" i="19" s="1"/>
  <c r="D271" i="6"/>
  <c r="C271" i="6" s="1"/>
  <c r="B273" i="6"/>
  <c r="F272" i="6"/>
  <c r="G272" i="6" s="1"/>
  <c r="E272" i="6"/>
  <c r="K132" i="19"/>
  <c r="F132" i="19" a="1"/>
  <c r="D272" i="6" l="1"/>
  <c r="C272" i="6" s="1"/>
  <c r="B274" i="6"/>
  <c r="E273" i="6"/>
  <c r="F273" i="6"/>
  <c r="G273" i="6" s="1"/>
  <c r="F132" i="19"/>
  <c r="D132" i="19" a="1"/>
  <c r="D132" i="19" l="1"/>
  <c r="L132" i="19" a="1"/>
  <c r="L132" i="19" s="1"/>
  <c r="D273" i="6"/>
  <c r="C273" i="6" s="1"/>
  <c r="B275" i="6"/>
  <c r="F274" i="6"/>
  <c r="G274" i="6" s="1"/>
  <c r="E274" i="6"/>
  <c r="K133" i="19"/>
  <c r="F133" i="19" a="1"/>
  <c r="D274" i="6" l="1"/>
  <c r="C274" i="6" s="1"/>
  <c r="B276" i="6"/>
  <c r="E275" i="6"/>
  <c r="F275" i="6"/>
  <c r="G275" i="6" s="1"/>
  <c r="F133" i="19"/>
  <c r="D133" i="19" a="1"/>
  <c r="D133" i="19" l="1"/>
  <c r="L133" i="19" a="1"/>
  <c r="L133" i="19" s="1"/>
  <c r="D275" i="6"/>
  <c r="C275" i="6" s="1"/>
  <c r="B277" i="6"/>
  <c r="F276" i="6"/>
  <c r="G276" i="6" s="1"/>
  <c r="E276" i="6"/>
  <c r="K134" i="19"/>
  <c r="F134" i="19" a="1"/>
  <c r="D276" i="6" l="1"/>
  <c r="C276" i="6" s="1"/>
  <c r="B278" i="6"/>
  <c r="E277" i="6"/>
  <c r="F277" i="6"/>
  <c r="G277" i="6" s="1"/>
  <c r="F134" i="19"/>
  <c r="D134" i="19" a="1"/>
  <c r="D134" i="19" l="1"/>
  <c r="L134" i="19" a="1"/>
  <c r="L134" i="19" s="1"/>
  <c r="D277" i="6"/>
  <c r="C277" i="6" s="1"/>
  <c r="B279" i="6"/>
  <c r="F278" i="6"/>
  <c r="G278" i="6" s="1"/>
  <c r="E278" i="6"/>
  <c r="K135" i="19"/>
  <c r="F135" i="19" a="1"/>
  <c r="D278" i="6" l="1"/>
  <c r="C278" i="6" s="1"/>
  <c r="B280" i="6"/>
  <c r="E279" i="6"/>
  <c r="F279" i="6"/>
  <c r="G279" i="6" s="1"/>
  <c r="F135" i="19"/>
  <c r="D135" i="19" a="1"/>
  <c r="D135" i="19" l="1"/>
  <c r="L135" i="19" a="1"/>
  <c r="L135" i="19" s="1"/>
  <c r="D279" i="6"/>
  <c r="C279" i="6" s="1"/>
  <c r="B281" i="6"/>
  <c r="F280" i="6"/>
  <c r="G280" i="6" s="1"/>
  <c r="E280" i="6"/>
  <c r="K136" i="19"/>
  <c r="F136" i="19" a="1"/>
  <c r="D280" i="6" l="1"/>
  <c r="C280" i="6" s="1"/>
  <c r="B282" i="6"/>
  <c r="E281" i="6"/>
  <c r="F281" i="6"/>
  <c r="G281" i="6" s="1"/>
  <c r="F136" i="19"/>
  <c r="D136" i="19" a="1"/>
  <c r="D136" i="19" l="1"/>
  <c r="L136" i="19" a="1"/>
  <c r="L136" i="19" s="1"/>
  <c r="D281" i="6"/>
  <c r="C281" i="6" s="1"/>
  <c r="B283" i="6"/>
  <c r="F282" i="6"/>
  <c r="G282" i="6" s="1"/>
  <c r="E282" i="6"/>
  <c r="K137" i="19"/>
  <c r="F137" i="19" a="1"/>
  <c r="D282" i="6" l="1"/>
  <c r="C282" i="6" s="1"/>
  <c r="B284" i="6"/>
  <c r="E283" i="6"/>
  <c r="F283" i="6"/>
  <c r="G283" i="6" s="1"/>
  <c r="F137" i="19"/>
  <c r="D137" i="19" a="1"/>
  <c r="D137" i="19" l="1"/>
  <c r="L137" i="19" a="1"/>
  <c r="L137" i="19" s="1"/>
  <c r="D283" i="6"/>
  <c r="C283" i="6" s="1"/>
  <c r="B285" i="6"/>
  <c r="F284" i="6"/>
  <c r="G284" i="6" s="1"/>
  <c r="E284" i="6"/>
  <c r="K138" i="19"/>
  <c r="F138" i="19" a="1"/>
  <c r="D284" i="6" l="1"/>
  <c r="C284" i="6" s="1"/>
  <c r="B286" i="6"/>
  <c r="E285" i="6"/>
  <c r="F285" i="6"/>
  <c r="G285" i="6" s="1"/>
  <c r="F138" i="19"/>
  <c r="D138" i="19" a="1"/>
  <c r="D138" i="19" l="1"/>
  <c r="L138" i="19" a="1"/>
  <c r="L138" i="19" s="1"/>
  <c r="D285" i="6"/>
  <c r="C285" i="6" s="1"/>
  <c r="B287" i="6"/>
  <c r="F286" i="6"/>
  <c r="G286" i="6" s="1"/>
  <c r="E286" i="6"/>
  <c r="K139" i="19"/>
  <c r="F139" i="19" a="1"/>
  <c r="D286" i="6" l="1"/>
  <c r="C286" i="6" s="1"/>
  <c r="B288" i="6"/>
  <c r="E287" i="6"/>
  <c r="F287" i="6"/>
  <c r="G287" i="6" s="1"/>
  <c r="F139" i="19"/>
  <c r="D139" i="19" a="1"/>
  <c r="D139" i="19" l="1"/>
  <c r="L139" i="19" a="1"/>
  <c r="L139" i="19" s="1"/>
  <c r="D287" i="6"/>
  <c r="C287" i="6" s="1"/>
  <c r="B289" i="6"/>
  <c r="F288" i="6"/>
  <c r="G288" i="6" s="1"/>
  <c r="E288" i="6"/>
  <c r="K140" i="19"/>
  <c r="F140" i="19" a="1"/>
  <c r="D288" i="6" l="1"/>
  <c r="C288" i="6" s="1"/>
  <c r="B290" i="6"/>
  <c r="E289" i="6"/>
  <c r="F289" i="6"/>
  <c r="G289" i="6" s="1"/>
  <c r="F140" i="19"/>
  <c r="D140" i="19" a="1"/>
  <c r="D140" i="19" l="1"/>
  <c r="L140" i="19" a="1"/>
  <c r="L140" i="19" s="1"/>
  <c r="D289" i="6"/>
  <c r="C289" i="6" s="1"/>
  <c r="B291" i="6"/>
  <c r="F290" i="6"/>
  <c r="G290" i="6" s="1"/>
  <c r="E290" i="6"/>
  <c r="K141" i="19"/>
  <c r="F141" i="19" a="1"/>
  <c r="D290" i="6" l="1"/>
  <c r="C290" i="6" s="1"/>
  <c r="B292" i="6"/>
  <c r="E291" i="6"/>
  <c r="F291" i="6"/>
  <c r="G291" i="6" s="1"/>
  <c r="F141" i="19"/>
  <c r="D141" i="19" a="1"/>
  <c r="D141" i="19" l="1"/>
  <c r="L141" i="19" a="1"/>
  <c r="L141" i="19" s="1"/>
  <c r="D291" i="6"/>
  <c r="C291" i="6" s="1"/>
  <c r="B293" i="6"/>
  <c r="F292" i="6"/>
  <c r="G292" i="6" s="1"/>
  <c r="E292" i="6"/>
  <c r="K142" i="19"/>
  <c r="F142" i="19" a="1"/>
  <c r="D292" i="6" l="1"/>
  <c r="C292" i="6" s="1"/>
  <c r="B294" i="6"/>
  <c r="E293" i="6"/>
  <c r="F293" i="6"/>
  <c r="G293" i="6" s="1"/>
  <c r="F142" i="19"/>
  <c r="D142" i="19" a="1"/>
  <c r="D142" i="19" l="1"/>
  <c r="L142" i="19" a="1"/>
  <c r="L142" i="19" s="1"/>
  <c r="D293" i="6"/>
  <c r="C293" i="6" s="1"/>
  <c r="B295" i="6"/>
  <c r="F294" i="6"/>
  <c r="G294" i="6" s="1"/>
  <c r="E294" i="6"/>
  <c r="K143" i="19"/>
  <c r="F143" i="19" a="1"/>
  <c r="D294" i="6" l="1"/>
  <c r="C294" i="6" s="1"/>
  <c r="B296" i="6"/>
  <c r="E295" i="6"/>
  <c r="F295" i="6"/>
  <c r="G295" i="6" s="1"/>
  <c r="F143" i="19"/>
  <c r="D143" i="19" a="1"/>
  <c r="D143" i="19" l="1"/>
  <c r="L143" i="19" a="1"/>
  <c r="L143" i="19" s="1"/>
  <c r="D295" i="6"/>
  <c r="C295" i="6" s="1"/>
  <c r="B297" i="6"/>
  <c r="F296" i="6"/>
  <c r="G296" i="6" s="1"/>
  <c r="E296" i="6"/>
  <c r="K144" i="19"/>
  <c r="F144" i="19" a="1"/>
  <c r="D296" i="6" l="1"/>
  <c r="C296" i="6" s="1"/>
  <c r="B298" i="6"/>
  <c r="E297" i="6"/>
  <c r="F297" i="6"/>
  <c r="G297" i="6" s="1"/>
  <c r="F144" i="19"/>
  <c r="D144" i="19" a="1"/>
  <c r="D144" i="19" l="1"/>
  <c r="L144" i="19" a="1"/>
  <c r="L144" i="19" s="1"/>
  <c r="D297" i="6"/>
  <c r="C297" i="6" s="1"/>
  <c r="B299" i="6"/>
  <c r="F298" i="6"/>
  <c r="G298" i="6" s="1"/>
  <c r="E298" i="6"/>
  <c r="K145" i="19"/>
  <c r="F145" i="19" a="1"/>
  <c r="D298" i="6" l="1"/>
  <c r="C298" i="6" s="1"/>
  <c r="B300" i="6"/>
  <c r="E299" i="6"/>
  <c r="F299" i="6"/>
  <c r="G299" i="6" s="1"/>
  <c r="F145" i="19"/>
  <c r="D145" i="19" a="1"/>
  <c r="D145" i="19" l="1"/>
  <c r="L145" i="19" a="1"/>
  <c r="L145" i="19" s="1"/>
  <c r="D299" i="6"/>
  <c r="C299" i="6" s="1"/>
  <c r="B301" i="6"/>
  <c r="F300" i="6"/>
  <c r="G300" i="6" s="1"/>
  <c r="E300" i="6"/>
  <c r="K146" i="19"/>
  <c r="F146" i="19" a="1"/>
  <c r="D300" i="6" l="1"/>
  <c r="C300" i="6" s="1"/>
  <c r="B302" i="6"/>
  <c r="E301" i="6"/>
  <c r="F301" i="6"/>
  <c r="G301" i="6" s="1"/>
  <c r="F146" i="19"/>
  <c r="D146" i="19" a="1"/>
  <c r="D146" i="19" l="1"/>
  <c r="L146" i="19" a="1"/>
  <c r="L146" i="19" s="1"/>
  <c r="D301" i="6"/>
  <c r="C301" i="6" s="1"/>
  <c r="B303" i="6"/>
  <c r="F302" i="6"/>
  <c r="G302" i="6" s="1"/>
  <c r="E302" i="6"/>
  <c r="K147" i="19"/>
  <c r="F147" i="19" a="1"/>
  <c r="D302" i="6" l="1"/>
  <c r="C302" i="6" s="1"/>
  <c r="B304" i="6"/>
  <c r="E303" i="6"/>
  <c r="F303" i="6"/>
  <c r="G303" i="6" s="1"/>
  <c r="F147" i="19"/>
  <c r="D147" i="19" a="1"/>
  <c r="D147" i="19" l="1"/>
  <c r="L147" i="19" a="1"/>
  <c r="L147" i="19" s="1"/>
  <c r="D303" i="6"/>
  <c r="C303" i="6" s="1"/>
  <c r="B305" i="6"/>
  <c r="F304" i="6"/>
  <c r="G304" i="6" s="1"/>
  <c r="E304" i="6"/>
  <c r="K148" i="19"/>
  <c r="F148" i="19" a="1"/>
  <c r="D304" i="6" l="1"/>
  <c r="C304" i="6" s="1"/>
  <c r="B306" i="6"/>
  <c r="E305" i="6"/>
  <c r="F305" i="6"/>
  <c r="G305" i="6" s="1"/>
  <c r="F148" i="19"/>
  <c r="D148" i="19" a="1"/>
  <c r="D148" i="19" l="1"/>
  <c r="L148" i="19" a="1"/>
  <c r="L148" i="19" s="1"/>
  <c r="D305" i="6"/>
  <c r="C305" i="6" s="1"/>
  <c r="B307" i="6"/>
  <c r="F306" i="6"/>
  <c r="G306" i="6" s="1"/>
  <c r="E306" i="6"/>
  <c r="K149" i="19"/>
  <c r="F149" i="19" a="1"/>
  <c r="D306" i="6" l="1"/>
  <c r="C306" i="6" s="1"/>
  <c r="B308" i="6"/>
  <c r="E307" i="6"/>
  <c r="F307" i="6"/>
  <c r="G307" i="6" s="1"/>
  <c r="F149" i="19"/>
  <c r="D149" i="19" a="1"/>
  <c r="D149" i="19" l="1"/>
  <c r="L149" i="19" a="1"/>
  <c r="L149" i="19" s="1"/>
  <c r="D307" i="6"/>
  <c r="C307" i="6" s="1"/>
  <c r="B309" i="6"/>
  <c r="F308" i="6"/>
  <c r="G308" i="6" s="1"/>
  <c r="E308" i="6"/>
  <c r="K150" i="19"/>
  <c r="F150" i="19" a="1"/>
  <c r="D308" i="6" l="1"/>
  <c r="C308" i="6" s="1"/>
  <c r="B310" i="6"/>
  <c r="E309" i="6"/>
  <c r="F309" i="6"/>
  <c r="G309" i="6" s="1"/>
  <c r="F150" i="19"/>
  <c r="D150" i="19" a="1"/>
  <c r="D150" i="19" l="1"/>
  <c r="L150" i="19" a="1"/>
  <c r="L150" i="19" s="1"/>
  <c r="D309" i="6"/>
  <c r="C309" i="6" s="1"/>
  <c r="B311" i="6"/>
  <c r="F310" i="6"/>
  <c r="G310" i="6" s="1"/>
  <c r="E310" i="6"/>
  <c r="K151" i="19"/>
  <c r="F151" i="19" a="1"/>
  <c r="D310" i="6" l="1"/>
  <c r="C310" i="6" s="1"/>
  <c r="B312" i="6"/>
  <c r="E311" i="6"/>
  <c r="F311" i="6"/>
  <c r="G311" i="6" s="1"/>
  <c r="F151" i="19"/>
  <c r="D151" i="19" a="1"/>
  <c r="D151" i="19" l="1"/>
  <c r="L151" i="19" a="1"/>
  <c r="L151" i="19" s="1"/>
  <c r="D311" i="6"/>
  <c r="C311" i="6" s="1"/>
  <c r="B313" i="6"/>
  <c r="F312" i="6"/>
  <c r="G312" i="6" s="1"/>
  <c r="E312" i="6"/>
  <c r="K152" i="19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K722" i="19" s="1"/>
  <c r="K723" i="19" s="1"/>
  <c r="K724" i="19" s="1"/>
  <c r="K725" i="19" s="1"/>
  <c r="K726" i="19" s="1"/>
  <c r="K727" i="19" s="1"/>
  <c r="K728" i="19" s="1"/>
  <c r="K729" i="19" s="1"/>
  <c r="K730" i="19" s="1"/>
  <c r="K731" i="19" s="1"/>
  <c r="K732" i="19" s="1"/>
  <c r="K733" i="19" s="1"/>
  <c r="K734" i="19" s="1"/>
  <c r="K735" i="19" s="1"/>
  <c r="K736" i="19" s="1"/>
  <c r="K737" i="19" s="1"/>
  <c r="K738" i="19" s="1"/>
  <c r="K739" i="19" s="1"/>
  <c r="K740" i="19" s="1"/>
  <c r="K741" i="19" s="1"/>
  <c r="K742" i="19" s="1"/>
  <c r="K743" i="19" s="1"/>
  <c r="K744" i="19" s="1"/>
  <c r="K745" i="19" s="1"/>
  <c r="K746" i="19" s="1"/>
  <c r="K747" i="19" s="1"/>
  <c r="K748" i="19" s="1"/>
  <c r="K749" i="19" s="1"/>
  <c r="K750" i="19" s="1"/>
  <c r="K751" i="19" s="1"/>
  <c r="K752" i="19" s="1"/>
  <c r="K753" i="19" s="1"/>
  <c r="K754" i="19" s="1"/>
  <c r="K755" i="19" s="1"/>
  <c r="K756" i="19" s="1"/>
  <c r="K757" i="19" s="1"/>
  <c r="K758" i="19" s="1"/>
  <c r="K759" i="19" s="1"/>
  <c r="K760" i="19" s="1"/>
  <c r="K761" i="19" s="1"/>
  <c r="K762" i="19" s="1"/>
  <c r="K763" i="19" s="1"/>
  <c r="K764" i="19" s="1"/>
  <c r="K765" i="19" s="1"/>
  <c r="K766" i="19" s="1"/>
  <c r="K767" i="19" s="1"/>
  <c r="K768" i="19" s="1"/>
  <c r="K769" i="19" s="1"/>
  <c r="K770" i="19" s="1"/>
  <c r="K771" i="19" s="1"/>
  <c r="K772" i="19" s="1"/>
  <c r="K773" i="19" s="1"/>
  <c r="K774" i="19" s="1"/>
  <c r="K775" i="19" s="1"/>
  <c r="K776" i="19" s="1"/>
  <c r="K777" i="19" s="1"/>
  <c r="K778" i="19" s="1"/>
  <c r="K779" i="19" s="1"/>
  <c r="K780" i="19" s="1"/>
  <c r="K781" i="19" s="1"/>
  <c r="K782" i="19" s="1"/>
  <c r="K783" i="19" s="1"/>
  <c r="K784" i="19" s="1"/>
  <c r="K785" i="19" s="1"/>
  <c r="K786" i="19" s="1"/>
  <c r="K787" i="19" s="1"/>
  <c r="K788" i="19" s="1"/>
  <c r="K789" i="19" s="1"/>
  <c r="K790" i="19" s="1"/>
  <c r="K791" i="19" s="1"/>
  <c r="K792" i="19" s="1"/>
  <c r="K793" i="19" s="1"/>
  <c r="K794" i="19" s="1"/>
  <c r="K795" i="19" s="1"/>
  <c r="K796" i="19" s="1"/>
  <c r="K797" i="19" s="1"/>
  <c r="K798" i="19" s="1"/>
  <c r="K799" i="19" s="1"/>
  <c r="K800" i="19" s="1"/>
  <c r="K801" i="19" s="1"/>
  <c r="K802" i="19" s="1"/>
  <c r="K803" i="19" s="1"/>
  <c r="K804" i="19" s="1"/>
  <c r="K805" i="19" s="1"/>
  <c r="K806" i="19" s="1"/>
  <c r="K807" i="19" s="1"/>
  <c r="K808" i="19" s="1"/>
  <c r="K809" i="19" s="1"/>
  <c r="K810" i="19" s="1"/>
  <c r="K811" i="19" s="1"/>
  <c r="K812" i="19" s="1"/>
  <c r="K813" i="19" s="1"/>
  <c r="K814" i="19" s="1"/>
  <c r="K815" i="19" s="1"/>
  <c r="K816" i="19" s="1"/>
  <c r="K817" i="19" s="1"/>
  <c r="K818" i="19" s="1"/>
  <c r="K819" i="19" s="1"/>
  <c r="K820" i="19" s="1"/>
  <c r="K821" i="19" s="1"/>
  <c r="K822" i="19" s="1"/>
  <c r="K823" i="19" s="1"/>
  <c r="K824" i="19" s="1"/>
  <c r="K825" i="19" s="1"/>
  <c r="K826" i="19" s="1"/>
  <c r="K827" i="19" s="1"/>
  <c r="K828" i="19" s="1"/>
  <c r="K829" i="19" s="1"/>
  <c r="K830" i="19" s="1"/>
  <c r="K831" i="19" s="1"/>
  <c r="K832" i="19" s="1"/>
  <c r="K833" i="19" s="1"/>
  <c r="K834" i="19" s="1"/>
  <c r="K835" i="19" s="1"/>
  <c r="K836" i="19" s="1"/>
  <c r="K837" i="19" s="1"/>
  <c r="K838" i="19" s="1"/>
  <c r="K839" i="19" s="1"/>
  <c r="K840" i="19" s="1"/>
  <c r="K841" i="19" s="1"/>
  <c r="K842" i="19" s="1"/>
  <c r="K843" i="19" s="1"/>
  <c r="K844" i="19" s="1"/>
  <c r="K845" i="19" s="1"/>
  <c r="K846" i="19" s="1"/>
  <c r="K847" i="19" s="1"/>
  <c r="K848" i="19" s="1"/>
  <c r="K849" i="19" s="1"/>
  <c r="K850" i="19" s="1"/>
  <c r="K851" i="19" s="1"/>
  <c r="K852" i="19" s="1"/>
  <c r="K853" i="19" s="1"/>
  <c r="K854" i="19" s="1"/>
  <c r="K855" i="19" s="1"/>
  <c r="K856" i="19" s="1"/>
  <c r="K857" i="19" s="1"/>
  <c r="K858" i="19" s="1"/>
  <c r="K859" i="19" s="1"/>
  <c r="K860" i="19" s="1"/>
  <c r="K861" i="19" s="1"/>
  <c r="K862" i="19" s="1"/>
  <c r="K863" i="19" s="1"/>
  <c r="K864" i="19" s="1"/>
  <c r="K865" i="19" s="1"/>
  <c r="K866" i="19" s="1"/>
  <c r="K867" i="19" s="1"/>
  <c r="K868" i="19" s="1"/>
  <c r="K869" i="19" s="1"/>
  <c r="K870" i="19" s="1"/>
  <c r="K871" i="19" s="1"/>
  <c r="K872" i="19" s="1"/>
  <c r="K873" i="19" s="1"/>
  <c r="K874" i="19" s="1"/>
  <c r="K875" i="19" s="1"/>
  <c r="K876" i="19" s="1"/>
  <c r="K877" i="19" s="1"/>
  <c r="K878" i="19" s="1"/>
  <c r="K879" i="19" s="1"/>
  <c r="K880" i="19" s="1"/>
  <c r="K881" i="19" s="1"/>
  <c r="K882" i="19" s="1"/>
  <c r="K883" i="19" s="1"/>
  <c r="K884" i="19" s="1"/>
  <c r="K885" i="19" s="1"/>
  <c r="K886" i="19" s="1"/>
  <c r="K887" i="19" s="1"/>
  <c r="K888" i="19" s="1"/>
  <c r="K889" i="19" s="1"/>
  <c r="K890" i="19" s="1"/>
  <c r="K891" i="19" s="1"/>
  <c r="K892" i="19" s="1"/>
  <c r="K893" i="19" s="1"/>
  <c r="K894" i="19" s="1"/>
  <c r="K895" i="19" s="1"/>
  <c r="K896" i="19" s="1"/>
  <c r="K897" i="19" s="1"/>
  <c r="K898" i="19" s="1"/>
  <c r="K899" i="19" s="1"/>
  <c r="K900" i="19" s="1"/>
  <c r="K901" i="19" s="1"/>
  <c r="K902" i="19" s="1"/>
  <c r="K903" i="19" s="1"/>
  <c r="K904" i="19" s="1"/>
  <c r="K905" i="19" s="1"/>
  <c r="K906" i="19" s="1"/>
  <c r="K907" i="19" s="1"/>
  <c r="K908" i="19" s="1"/>
  <c r="K909" i="19" s="1"/>
  <c r="K910" i="19" s="1"/>
  <c r="K911" i="19" s="1"/>
  <c r="K912" i="19" s="1"/>
  <c r="K913" i="19" s="1"/>
  <c r="K914" i="19" s="1"/>
  <c r="K915" i="19" s="1"/>
  <c r="K916" i="19" s="1"/>
  <c r="K917" i="19" s="1"/>
  <c r="K918" i="19" s="1"/>
  <c r="K919" i="19" s="1"/>
  <c r="K920" i="19" s="1"/>
  <c r="K921" i="19" s="1"/>
  <c r="K922" i="19" s="1"/>
  <c r="K923" i="19" s="1"/>
  <c r="K924" i="19" s="1"/>
  <c r="K925" i="19" s="1"/>
  <c r="K926" i="19" s="1"/>
  <c r="K927" i="19" s="1"/>
  <c r="K928" i="19" s="1"/>
  <c r="K929" i="19" s="1"/>
  <c r="K930" i="19" s="1"/>
  <c r="K931" i="19" s="1"/>
  <c r="K932" i="19" s="1"/>
  <c r="K933" i="19" s="1"/>
  <c r="K934" i="19" s="1"/>
  <c r="K935" i="19" s="1"/>
  <c r="K936" i="19" s="1"/>
  <c r="K937" i="19" s="1"/>
  <c r="K938" i="19" s="1"/>
  <c r="K939" i="19" s="1"/>
  <c r="K940" i="19" s="1"/>
  <c r="K941" i="19" s="1"/>
  <c r="K942" i="19" s="1"/>
  <c r="K943" i="19" s="1"/>
  <c r="K944" i="19" s="1"/>
  <c r="K945" i="19" s="1"/>
  <c r="K946" i="19" s="1"/>
  <c r="K947" i="19" s="1"/>
  <c r="K948" i="19" s="1"/>
  <c r="K949" i="19" s="1"/>
  <c r="K950" i="19" s="1"/>
  <c r="K951" i="19" s="1"/>
  <c r="K952" i="19" s="1"/>
  <c r="K953" i="19" s="1"/>
  <c r="K954" i="19" s="1"/>
  <c r="K955" i="19" s="1"/>
  <c r="K956" i="19" s="1"/>
  <c r="K957" i="19" s="1"/>
  <c r="K958" i="19" s="1"/>
  <c r="K959" i="19" s="1"/>
  <c r="K960" i="19" s="1"/>
  <c r="K961" i="19" s="1"/>
  <c r="K962" i="19" s="1"/>
  <c r="K963" i="19" s="1"/>
  <c r="K964" i="19" s="1"/>
  <c r="K965" i="19" s="1"/>
  <c r="K966" i="19" s="1"/>
  <c r="K967" i="19" s="1"/>
  <c r="K968" i="19" s="1"/>
  <c r="K969" i="19" s="1"/>
  <c r="K970" i="19" s="1"/>
  <c r="K971" i="19" s="1"/>
  <c r="K972" i="19" s="1"/>
  <c r="K973" i="19" s="1"/>
  <c r="K974" i="19" s="1"/>
  <c r="K975" i="19" s="1"/>
  <c r="K976" i="19" s="1"/>
  <c r="K977" i="19" s="1"/>
  <c r="K978" i="19" s="1"/>
  <c r="K979" i="19" s="1"/>
  <c r="K980" i="19" s="1"/>
  <c r="K981" i="19" s="1"/>
  <c r="K982" i="19" s="1"/>
  <c r="K983" i="19" s="1"/>
  <c r="K984" i="19" s="1"/>
  <c r="K985" i="19" s="1"/>
  <c r="K986" i="19" s="1"/>
  <c r="K987" i="19" s="1"/>
  <c r="K988" i="19" s="1"/>
  <c r="K989" i="19" s="1"/>
  <c r="K990" i="19" s="1"/>
  <c r="K991" i="19" s="1"/>
  <c r="K992" i="19" s="1"/>
  <c r="K993" i="19" s="1"/>
  <c r="K994" i="19" s="1"/>
  <c r="K995" i="19" s="1"/>
  <c r="K996" i="19" s="1"/>
  <c r="K997" i="19" s="1"/>
  <c r="K998" i="19" s="1"/>
  <c r="K999" i="19" s="1"/>
  <c r="K1000" i="19" s="1"/>
  <c r="K1001" i="19" s="1"/>
  <c r="K1002" i="19" s="1"/>
  <c r="K1003" i="19" s="1"/>
  <c r="K1004" i="19" s="1"/>
  <c r="K1005" i="19" s="1"/>
  <c r="K1006" i="19" s="1"/>
  <c r="K1007" i="19" s="1"/>
  <c r="K1008" i="19" s="1"/>
  <c r="K1009" i="19" s="1"/>
  <c r="K1010" i="19" s="1"/>
  <c r="K1011" i="19" s="1"/>
  <c r="K1012" i="19" s="1"/>
  <c r="K1013" i="19" s="1"/>
  <c r="K1014" i="19" s="1"/>
  <c r="K1015" i="19" s="1"/>
  <c r="K1016" i="19" s="1"/>
  <c r="K1017" i="19" s="1"/>
  <c r="K1018" i="19" s="1"/>
  <c r="K1019" i="19" s="1"/>
  <c r="K1020" i="19" s="1"/>
  <c r="K1021" i="19" s="1"/>
  <c r="K1022" i="19" s="1"/>
  <c r="K1023" i="19" s="1"/>
  <c r="K1024" i="19" s="1"/>
  <c r="K1025" i="19" s="1"/>
  <c r="K1026" i="19" s="1"/>
  <c r="K1027" i="19" s="1"/>
  <c r="K1028" i="19" s="1"/>
  <c r="K1029" i="19" s="1"/>
  <c r="K1030" i="19" s="1"/>
  <c r="K1031" i="19" s="1"/>
  <c r="K1032" i="19" s="1"/>
  <c r="K1033" i="19" s="1"/>
  <c r="K1034" i="19" s="1"/>
  <c r="K1035" i="19" s="1"/>
  <c r="K1036" i="19" s="1"/>
  <c r="K1037" i="19" s="1"/>
  <c r="K1038" i="19" s="1"/>
  <c r="K1039" i="19" s="1"/>
  <c r="K1040" i="19" s="1"/>
  <c r="K1041" i="19" s="1"/>
  <c r="K1042" i="19" s="1"/>
  <c r="K1043" i="19" s="1"/>
  <c r="K1044" i="19" s="1"/>
  <c r="K1045" i="19" s="1"/>
  <c r="K1046" i="19" s="1"/>
  <c r="K1047" i="19" s="1"/>
  <c r="K1048" i="19" s="1"/>
  <c r="K1049" i="19" s="1"/>
  <c r="K1050" i="19" s="1"/>
  <c r="K1051" i="19" s="1"/>
  <c r="K1052" i="19" s="1"/>
  <c r="K1053" i="19" s="1"/>
  <c r="K1054" i="19" s="1"/>
  <c r="K1055" i="19" s="1"/>
  <c r="K1056" i="19" s="1"/>
  <c r="K1057" i="19" s="1"/>
  <c r="K1058" i="19" s="1"/>
  <c r="K1059" i="19" s="1"/>
  <c r="K1060" i="19" s="1"/>
  <c r="K1061" i="19" s="1"/>
  <c r="K1062" i="19" s="1"/>
  <c r="K1063" i="19" s="1"/>
  <c r="K1064" i="19" s="1"/>
  <c r="K1065" i="19" s="1"/>
  <c r="K1066" i="19" s="1"/>
  <c r="K1067" i="19" s="1"/>
  <c r="K1068" i="19" s="1"/>
  <c r="K1069" i="19" s="1"/>
  <c r="K1070" i="19" s="1"/>
  <c r="K1071" i="19" s="1"/>
  <c r="K1072" i="19" s="1"/>
  <c r="K1073" i="19" s="1"/>
  <c r="K1074" i="19" s="1"/>
  <c r="K1075" i="19" s="1"/>
  <c r="K1076" i="19" s="1"/>
  <c r="K1077" i="19" s="1"/>
  <c r="K1078" i="19" s="1"/>
  <c r="K1079" i="19" s="1"/>
  <c r="K1080" i="19" s="1"/>
  <c r="K1081" i="19" s="1"/>
  <c r="K1082" i="19" s="1"/>
  <c r="K1083" i="19" s="1"/>
  <c r="K1084" i="19" s="1"/>
  <c r="K1085" i="19" s="1"/>
  <c r="K1086" i="19" s="1"/>
  <c r="K1087" i="19" s="1"/>
  <c r="K1088" i="19" s="1"/>
  <c r="K1089" i="19" s="1"/>
  <c r="K1090" i="19" s="1"/>
  <c r="K1091" i="19" s="1"/>
  <c r="K1092" i="19" s="1"/>
  <c r="K1093" i="19" s="1"/>
  <c r="K1094" i="19" s="1"/>
  <c r="K1095" i="19" s="1"/>
  <c r="K1096" i="19" s="1"/>
  <c r="K1097" i="19" s="1"/>
  <c r="K1098" i="19" s="1"/>
  <c r="K1099" i="19" s="1"/>
  <c r="K1100" i="19" s="1"/>
  <c r="K1101" i="19" s="1"/>
  <c r="K1102" i="19" s="1"/>
  <c r="K1103" i="19" s="1"/>
  <c r="K1104" i="19" s="1"/>
  <c r="K1105" i="19" s="1"/>
  <c r="K1106" i="19" s="1"/>
  <c r="K1107" i="19" s="1"/>
  <c r="K1108" i="19" s="1"/>
  <c r="K1109" i="19" s="1"/>
  <c r="K1110" i="19" s="1"/>
  <c r="K1111" i="19" s="1"/>
  <c r="K1112" i="19" s="1"/>
  <c r="K1113" i="19" s="1"/>
  <c r="K1114" i="19" s="1"/>
  <c r="K1115" i="19" s="1"/>
  <c r="K1116" i="19" s="1"/>
  <c r="K1117" i="19" s="1"/>
  <c r="K1118" i="19" s="1"/>
  <c r="K1119" i="19" s="1"/>
  <c r="K1120" i="19" s="1"/>
  <c r="K1121" i="19" s="1"/>
  <c r="K1122" i="19" s="1"/>
  <c r="K1123" i="19" s="1"/>
  <c r="K1124" i="19" s="1"/>
  <c r="K1125" i="19" s="1"/>
  <c r="K1126" i="19" s="1"/>
  <c r="K1127" i="19" s="1"/>
  <c r="K1128" i="19" s="1"/>
  <c r="K1129" i="19" s="1"/>
  <c r="K1130" i="19" s="1"/>
  <c r="K1131" i="19" s="1"/>
  <c r="K1132" i="19" s="1"/>
  <c r="K1133" i="19" s="1"/>
  <c r="K1134" i="19" s="1"/>
  <c r="K1135" i="19" s="1"/>
  <c r="K1136" i="19" s="1"/>
  <c r="K1137" i="19" s="1"/>
  <c r="K1138" i="19" s="1"/>
  <c r="K1139" i="19" s="1"/>
  <c r="K1140" i="19" s="1"/>
  <c r="K1141" i="19" s="1"/>
  <c r="K1142" i="19" s="1"/>
  <c r="K1143" i="19" s="1"/>
  <c r="K1144" i="19" s="1"/>
  <c r="K1145" i="19" s="1"/>
  <c r="K1146" i="19" s="1"/>
  <c r="K1147" i="19" s="1"/>
  <c r="K1148" i="19" s="1"/>
  <c r="K1149" i="19" s="1"/>
  <c r="K1150" i="19" s="1"/>
  <c r="K1151" i="19" s="1"/>
  <c r="K1152" i="19" s="1"/>
  <c r="K1153" i="19" s="1"/>
  <c r="K1154" i="19" s="1"/>
  <c r="K1155" i="19" s="1"/>
  <c r="K1156" i="19" s="1"/>
  <c r="K1157" i="19" s="1"/>
  <c r="K1158" i="19" s="1"/>
  <c r="K1159" i="19" s="1"/>
  <c r="K1160" i="19" s="1"/>
  <c r="K1161" i="19" s="1"/>
  <c r="K1162" i="19" s="1"/>
  <c r="K1163" i="19" s="1"/>
  <c r="K1164" i="19" s="1"/>
  <c r="K1165" i="19" s="1"/>
  <c r="K1166" i="19" s="1"/>
  <c r="K1167" i="19" s="1"/>
  <c r="K1168" i="19" s="1"/>
  <c r="K1169" i="19" s="1"/>
  <c r="K1170" i="19" s="1"/>
  <c r="K1171" i="19" s="1"/>
  <c r="K1172" i="19" s="1"/>
  <c r="K1173" i="19" s="1"/>
  <c r="K1174" i="19" s="1"/>
  <c r="K1175" i="19" s="1"/>
  <c r="K1176" i="19" s="1"/>
  <c r="K1177" i="19" s="1"/>
  <c r="K1178" i="19" s="1"/>
  <c r="K1179" i="19" s="1"/>
  <c r="K1180" i="19" s="1"/>
  <c r="K1181" i="19" s="1"/>
  <c r="K1182" i="19" s="1"/>
  <c r="K1183" i="19" s="1"/>
  <c r="K1184" i="19" s="1"/>
  <c r="K1185" i="19" s="1"/>
  <c r="K1186" i="19" s="1"/>
  <c r="K1187" i="19" s="1"/>
  <c r="K1188" i="19" s="1"/>
  <c r="K1189" i="19" s="1"/>
  <c r="K1190" i="19" s="1"/>
  <c r="K1191" i="19" s="1"/>
  <c r="K1192" i="19" s="1"/>
  <c r="K1193" i="19" s="1"/>
  <c r="K1194" i="19" s="1"/>
  <c r="K1195" i="19" s="1"/>
  <c r="K1196" i="19" s="1"/>
  <c r="K1197" i="19" s="1"/>
  <c r="K1198" i="19" s="1"/>
  <c r="K1199" i="19" s="1"/>
  <c r="K1200" i="19" s="1"/>
  <c r="K1201" i="19" s="1"/>
  <c r="K1202" i="19" s="1"/>
  <c r="K1203" i="19" s="1"/>
  <c r="K1204" i="19" s="1"/>
  <c r="K1205" i="19" s="1"/>
  <c r="K1206" i="19" s="1"/>
  <c r="K1207" i="19" s="1"/>
  <c r="K1208" i="19" s="1"/>
  <c r="K1209" i="19" s="1"/>
  <c r="K1210" i="19" s="1"/>
  <c r="K1211" i="19" s="1"/>
  <c r="K1212" i="19" s="1"/>
  <c r="K1213" i="19" s="1"/>
  <c r="K1214" i="19" s="1"/>
  <c r="K1215" i="19" s="1"/>
  <c r="K1216" i="19" s="1"/>
  <c r="K1217" i="19" s="1"/>
  <c r="K1218" i="19" s="1"/>
  <c r="K1219" i="19" s="1"/>
  <c r="K1220" i="19" s="1"/>
  <c r="K1221" i="19" s="1"/>
  <c r="K1222" i="19" s="1"/>
  <c r="K1223" i="19" s="1"/>
  <c r="K1224" i="19" s="1"/>
  <c r="K1225" i="19" s="1"/>
  <c r="K1226" i="19" s="1"/>
  <c r="K1227" i="19" s="1"/>
  <c r="K1228" i="19" s="1"/>
  <c r="K1229" i="19" s="1"/>
  <c r="K1230" i="19" s="1"/>
  <c r="K1231" i="19" s="1"/>
  <c r="K1232" i="19" s="1"/>
  <c r="K1233" i="19" s="1"/>
  <c r="K1234" i="19" s="1"/>
  <c r="K1235" i="19" s="1"/>
  <c r="K1236" i="19" s="1"/>
  <c r="K1237" i="19" s="1"/>
  <c r="K1238" i="19" s="1"/>
  <c r="K1239" i="19" s="1"/>
  <c r="K1240" i="19" s="1"/>
  <c r="K1241" i="19" s="1"/>
  <c r="K1242" i="19" s="1"/>
  <c r="K1243" i="19" s="1"/>
  <c r="K1244" i="19" s="1"/>
  <c r="K1245" i="19" s="1"/>
  <c r="K1246" i="19" s="1"/>
  <c r="K1247" i="19" s="1"/>
  <c r="K1248" i="19" s="1"/>
  <c r="K1249" i="19" s="1"/>
  <c r="K1250" i="19" s="1"/>
  <c r="K1251" i="19" s="1"/>
  <c r="K1252" i="19" s="1"/>
  <c r="K1253" i="19" s="1"/>
  <c r="K1254" i="19" s="1"/>
  <c r="K1255" i="19" s="1"/>
  <c r="K1256" i="19" s="1"/>
  <c r="K1257" i="19" s="1"/>
  <c r="K1258" i="19" s="1"/>
  <c r="K1259" i="19" s="1"/>
  <c r="K1260" i="19" s="1"/>
  <c r="K1261" i="19" s="1"/>
  <c r="K1262" i="19" s="1"/>
  <c r="K1263" i="19" s="1"/>
  <c r="K1264" i="19" s="1"/>
  <c r="K1265" i="19" s="1"/>
  <c r="K1266" i="19" s="1"/>
  <c r="K1267" i="19" s="1"/>
  <c r="K1268" i="19" s="1"/>
  <c r="K1269" i="19" s="1"/>
  <c r="K1270" i="19" s="1"/>
  <c r="K1271" i="19" s="1"/>
  <c r="K1272" i="19" s="1"/>
  <c r="K1273" i="19" s="1"/>
  <c r="K1274" i="19" s="1"/>
  <c r="K1275" i="19" s="1"/>
  <c r="K1276" i="19" s="1"/>
  <c r="K1277" i="19" s="1"/>
  <c r="K1278" i="19" s="1"/>
  <c r="K1279" i="19" s="1"/>
  <c r="K1280" i="19" s="1"/>
  <c r="K1281" i="19" s="1"/>
  <c r="K1282" i="19" s="1"/>
  <c r="K1283" i="19" s="1"/>
  <c r="K1284" i="19" s="1"/>
  <c r="K1285" i="19" s="1"/>
  <c r="K1286" i="19" s="1"/>
  <c r="K1287" i="19" s="1"/>
  <c r="K1288" i="19" s="1"/>
  <c r="K1289" i="19" s="1"/>
  <c r="K1290" i="19" s="1"/>
  <c r="K1291" i="19" s="1"/>
  <c r="K1292" i="19" s="1"/>
  <c r="K1293" i="19" s="1"/>
  <c r="K1294" i="19" s="1"/>
  <c r="K1295" i="19" s="1"/>
  <c r="K1296" i="19" s="1"/>
  <c r="K1297" i="19" s="1"/>
  <c r="K1298" i="19" s="1"/>
  <c r="K1299" i="19" s="1"/>
  <c r="K1300" i="19" s="1"/>
  <c r="K1301" i="19" s="1"/>
  <c r="K1302" i="19" s="1"/>
  <c r="K1303" i="19" s="1"/>
  <c r="K1304" i="19" s="1"/>
  <c r="K1305" i="19" s="1"/>
  <c r="K1306" i="19" s="1"/>
  <c r="K1307" i="19" s="1"/>
  <c r="K1308" i="19" s="1"/>
  <c r="K1309" i="19" s="1"/>
  <c r="K1310" i="19" s="1"/>
  <c r="K1311" i="19" s="1"/>
  <c r="K1312" i="19" s="1"/>
  <c r="K1313" i="19" s="1"/>
  <c r="K1314" i="19" s="1"/>
  <c r="K1315" i="19" s="1"/>
  <c r="K1316" i="19" s="1"/>
  <c r="K1317" i="19" s="1"/>
  <c r="K1318" i="19" s="1"/>
  <c r="K1319" i="19" s="1"/>
  <c r="K1320" i="19" s="1"/>
  <c r="K1321" i="19" s="1"/>
  <c r="K1322" i="19" s="1"/>
  <c r="K1323" i="19" s="1"/>
  <c r="K1324" i="19" s="1"/>
  <c r="K1325" i="19" s="1"/>
  <c r="K1326" i="19" s="1"/>
  <c r="K1327" i="19" s="1"/>
  <c r="K1328" i="19" s="1"/>
  <c r="K1329" i="19" s="1"/>
  <c r="K1330" i="19" s="1"/>
  <c r="K1331" i="19" s="1"/>
  <c r="K1332" i="19" s="1"/>
  <c r="K1333" i="19" s="1"/>
  <c r="K1334" i="19" s="1"/>
  <c r="K1335" i="19" s="1"/>
  <c r="K1336" i="19" s="1"/>
  <c r="K1337" i="19" s="1"/>
  <c r="K1338" i="19" s="1"/>
  <c r="K1339" i="19" s="1"/>
  <c r="K1340" i="19" s="1"/>
  <c r="K1341" i="19" s="1"/>
  <c r="K1342" i="19" s="1"/>
  <c r="K1343" i="19" s="1"/>
  <c r="K1344" i="19" s="1"/>
  <c r="K1345" i="19" s="1"/>
  <c r="K1346" i="19" s="1"/>
  <c r="K1347" i="19" s="1"/>
  <c r="K1348" i="19" s="1"/>
  <c r="K1349" i="19" s="1"/>
  <c r="K1350" i="19" s="1"/>
  <c r="K1351" i="19" s="1"/>
  <c r="K1352" i="19" s="1"/>
  <c r="K1353" i="19" s="1"/>
  <c r="K1354" i="19" s="1"/>
  <c r="K1355" i="19" s="1"/>
  <c r="K1356" i="19" s="1"/>
  <c r="K1357" i="19" s="1"/>
  <c r="K1358" i="19" s="1"/>
  <c r="K1359" i="19" s="1"/>
  <c r="K1360" i="19" s="1"/>
  <c r="K1361" i="19" s="1"/>
  <c r="K1362" i="19" s="1"/>
  <c r="K1363" i="19" s="1"/>
  <c r="K1364" i="19" s="1"/>
  <c r="K1365" i="19" s="1"/>
  <c r="K1366" i="19" s="1"/>
  <c r="K1367" i="19" s="1"/>
  <c r="K1368" i="19" s="1"/>
  <c r="K1369" i="19" s="1"/>
  <c r="K1370" i="19" s="1"/>
  <c r="K1371" i="19" s="1"/>
  <c r="K1372" i="19" s="1"/>
  <c r="K1373" i="19" s="1"/>
  <c r="K1374" i="19" s="1"/>
  <c r="K1375" i="19" s="1"/>
  <c r="K1376" i="19" s="1"/>
  <c r="K1377" i="19" s="1"/>
  <c r="K1378" i="19" s="1"/>
  <c r="K1379" i="19" s="1"/>
  <c r="K1380" i="19" s="1"/>
  <c r="K1381" i="19" s="1"/>
  <c r="K1382" i="19" s="1"/>
  <c r="K1383" i="19" s="1"/>
  <c r="K1384" i="19" s="1"/>
  <c r="K1385" i="19" s="1"/>
  <c r="K1386" i="19" s="1"/>
  <c r="K1387" i="19" s="1"/>
  <c r="K1388" i="19" s="1"/>
  <c r="K1389" i="19" s="1"/>
  <c r="K1390" i="19" s="1"/>
  <c r="K1391" i="19" s="1"/>
  <c r="K1392" i="19" s="1"/>
  <c r="K1393" i="19" s="1"/>
  <c r="K1394" i="19" s="1"/>
  <c r="K1395" i="19" s="1"/>
  <c r="K1396" i="19" s="1"/>
  <c r="K1397" i="19" s="1"/>
  <c r="K1398" i="19" s="1"/>
  <c r="K1399" i="19" s="1"/>
  <c r="K1400" i="19" s="1"/>
  <c r="K1401" i="19" s="1"/>
  <c r="K1402" i="19" s="1"/>
  <c r="K1403" i="19" s="1"/>
  <c r="K1404" i="19" s="1"/>
  <c r="K1405" i="19" s="1"/>
  <c r="K1406" i="19" s="1"/>
  <c r="K1407" i="19" s="1"/>
  <c r="K1408" i="19" s="1"/>
  <c r="K1409" i="19" s="1"/>
  <c r="K1410" i="19" s="1"/>
  <c r="K1411" i="19" s="1"/>
  <c r="K1412" i="19" s="1"/>
  <c r="K1413" i="19" s="1"/>
  <c r="K1414" i="19" s="1"/>
  <c r="K1415" i="19" s="1"/>
  <c r="K1416" i="19" s="1"/>
  <c r="K1417" i="19" s="1"/>
  <c r="K1418" i="19" s="1"/>
  <c r="K1419" i="19" s="1"/>
  <c r="K1420" i="19" s="1"/>
  <c r="K1421" i="19" s="1"/>
  <c r="K1422" i="19" s="1"/>
  <c r="K1423" i="19" s="1"/>
  <c r="K1424" i="19" s="1"/>
  <c r="K1425" i="19" s="1"/>
  <c r="K1426" i="19" s="1"/>
  <c r="K1427" i="19" s="1"/>
  <c r="K1428" i="19" s="1"/>
  <c r="K1429" i="19" s="1"/>
  <c r="K1430" i="19" s="1"/>
  <c r="K1431" i="19" s="1"/>
  <c r="K1432" i="19" s="1"/>
  <c r="K1433" i="19" s="1"/>
  <c r="K1434" i="19" s="1"/>
  <c r="K1435" i="19" s="1"/>
  <c r="K1436" i="19" s="1"/>
  <c r="K1437" i="19" s="1"/>
  <c r="K1438" i="19" s="1"/>
  <c r="K1439" i="19" s="1"/>
  <c r="K1440" i="19" s="1"/>
  <c r="K1441" i="19" s="1"/>
  <c r="K1442" i="19" s="1"/>
  <c r="K1443" i="19" s="1"/>
  <c r="K1444" i="19" s="1"/>
  <c r="K1445" i="19" s="1"/>
  <c r="K1446" i="19" s="1"/>
  <c r="K1447" i="19" s="1"/>
  <c r="K1448" i="19" s="1"/>
  <c r="K1449" i="19" s="1"/>
  <c r="K1450" i="19" s="1"/>
  <c r="K1451" i="19" s="1"/>
  <c r="K1452" i="19" s="1"/>
  <c r="K1453" i="19" s="1"/>
  <c r="K1454" i="19" s="1"/>
  <c r="K1455" i="19" s="1"/>
  <c r="K1456" i="19" s="1"/>
  <c r="K1457" i="19" s="1"/>
  <c r="K1458" i="19" s="1"/>
  <c r="K1459" i="19" s="1"/>
  <c r="K1460" i="19" s="1"/>
  <c r="K1461" i="19" s="1"/>
  <c r="K1462" i="19" s="1"/>
  <c r="K1463" i="19" s="1"/>
  <c r="K1464" i="19" s="1"/>
  <c r="K1465" i="19" s="1"/>
  <c r="K1466" i="19" s="1"/>
  <c r="K1467" i="19" s="1"/>
  <c r="K1468" i="19" s="1"/>
  <c r="K1469" i="19" s="1"/>
  <c r="K1470" i="19" s="1"/>
  <c r="K1471" i="19" s="1"/>
  <c r="K1472" i="19" s="1"/>
  <c r="K1473" i="19" s="1"/>
  <c r="K1474" i="19" s="1"/>
  <c r="K1475" i="19" s="1"/>
  <c r="K1476" i="19" s="1"/>
  <c r="K1477" i="19" s="1"/>
  <c r="K1478" i="19" s="1"/>
  <c r="K1479" i="19" s="1"/>
  <c r="K1480" i="19" s="1"/>
  <c r="K1481" i="19" s="1"/>
  <c r="K1482" i="19" s="1"/>
  <c r="K1483" i="19" s="1"/>
  <c r="K1484" i="19" s="1"/>
  <c r="K1485" i="19" s="1"/>
  <c r="K1486" i="19" s="1"/>
  <c r="K1487" i="19" s="1"/>
  <c r="K1488" i="19" s="1"/>
  <c r="K1489" i="19" s="1"/>
  <c r="K1490" i="19" s="1"/>
  <c r="K1491" i="19" s="1"/>
  <c r="K1492" i="19" s="1"/>
  <c r="K1493" i="19" s="1"/>
  <c r="K1494" i="19" s="1"/>
  <c r="K1495" i="19" s="1"/>
  <c r="K1496" i="19" s="1"/>
  <c r="K1497" i="19" s="1"/>
  <c r="K1498" i="19" s="1"/>
  <c r="K1499" i="19" s="1"/>
  <c r="K1500" i="19" s="1"/>
  <c r="K1501" i="19" s="1"/>
  <c r="K1502" i="19" s="1"/>
  <c r="K1503" i="19" s="1"/>
  <c r="K1504" i="19" s="1"/>
  <c r="K1505" i="19" s="1"/>
  <c r="K1506" i="19" s="1"/>
  <c r="K1507" i="19" s="1"/>
  <c r="K1508" i="19" s="1"/>
  <c r="K1509" i="19" s="1"/>
  <c r="K1510" i="19" s="1"/>
  <c r="K1511" i="19" s="1"/>
  <c r="K1512" i="19" s="1"/>
  <c r="K1513" i="19" s="1"/>
  <c r="K1514" i="19" s="1"/>
  <c r="K1515" i="19" s="1"/>
  <c r="K1516" i="19" s="1"/>
  <c r="K1517" i="19" s="1"/>
  <c r="K1518" i="19" s="1"/>
  <c r="K1519" i="19" s="1"/>
  <c r="K1520" i="19" s="1"/>
  <c r="K1521" i="19" s="1"/>
  <c r="K1522" i="19" s="1"/>
  <c r="K1523" i="19" s="1"/>
  <c r="K1524" i="19" s="1"/>
  <c r="K1525" i="19" s="1"/>
  <c r="K1526" i="19" s="1"/>
  <c r="K1527" i="19" s="1"/>
  <c r="K1528" i="19" s="1"/>
  <c r="K1529" i="19" s="1"/>
  <c r="K1530" i="19" s="1"/>
  <c r="K1531" i="19" s="1"/>
  <c r="K1532" i="19" s="1"/>
  <c r="K1533" i="19" s="1"/>
  <c r="K1534" i="19" s="1"/>
  <c r="K1535" i="19" s="1"/>
  <c r="K1536" i="19" s="1"/>
  <c r="K1537" i="19" s="1"/>
  <c r="K1538" i="19" s="1"/>
  <c r="K1539" i="19" s="1"/>
  <c r="K1540" i="19" s="1"/>
  <c r="K1541" i="19" s="1"/>
  <c r="K1542" i="19" s="1"/>
  <c r="K1543" i="19" s="1"/>
  <c r="K1544" i="19" s="1"/>
  <c r="K1545" i="19" s="1"/>
  <c r="K1546" i="19" s="1"/>
  <c r="K1547" i="19" s="1"/>
  <c r="K1548" i="19" s="1"/>
  <c r="K1549" i="19" s="1"/>
  <c r="K1550" i="19" s="1"/>
  <c r="K1551" i="19" s="1"/>
  <c r="K1552" i="19" s="1"/>
  <c r="K1553" i="19" s="1"/>
  <c r="K1554" i="19" s="1"/>
  <c r="K1555" i="19" s="1"/>
  <c r="K1556" i="19" s="1"/>
  <c r="K1557" i="19" s="1"/>
  <c r="K1558" i="19" s="1"/>
  <c r="K1559" i="19" s="1"/>
  <c r="K1560" i="19" s="1"/>
  <c r="K1561" i="19" s="1"/>
  <c r="K1562" i="19" s="1"/>
  <c r="K1563" i="19" s="1"/>
  <c r="K1564" i="19" s="1"/>
  <c r="K1565" i="19" s="1"/>
  <c r="K1566" i="19" s="1"/>
  <c r="K1567" i="19" s="1"/>
  <c r="K1568" i="19" s="1"/>
  <c r="K1569" i="19" s="1"/>
  <c r="K1570" i="19" s="1"/>
  <c r="K1571" i="19" s="1"/>
  <c r="K1572" i="19" s="1"/>
  <c r="K1573" i="19" s="1"/>
  <c r="K1574" i="19" s="1"/>
  <c r="K1575" i="19" s="1"/>
  <c r="K1576" i="19" s="1"/>
  <c r="K1577" i="19" s="1"/>
  <c r="K1578" i="19" s="1"/>
  <c r="K1579" i="19" s="1"/>
  <c r="K1580" i="19" s="1"/>
  <c r="K1581" i="19" s="1"/>
  <c r="K1582" i="19" s="1"/>
  <c r="K1583" i="19" s="1"/>
  <c r="K1584" i="19" s="1"/>
  <c r="K1585" i="19" s="1"/>
  <c r="K1586" i="19" s="1"/>
  <c r="K1587" i="19" s="1"/>
  <c r="K1588" i="19" s="1"/>
  <c r="K1589" i="19" s="1"/>
  <c r="K1590" i="19" s="1"/>
  <c r="K1591" i="19" s="1"/>
  <c r="K1592" i="19" s="1"/>
  <c r="K1593" i="19" s="1"/>
  <c r="K1594" i="19" s="1"/>
  <c r="K1595" i="19" s="1"/>
  <c r="K1596" i="19" s="1"/>
  <c r="K1597" i="19" s="1"/>
  <c r="K1598" i="19" s="1"/>
  <c r="K1599" i="19" s="1"/>
  <c r="K1600" i="19" s="1"/>
  <c r="K1601" i="19" s="1"/>
  <c r="K1602" i="19" s="1"/>
  <c r="K1603" i="19" s="1"/>
  <c r="K1604" i="19" s="1"/>
  <c r="K1605" i="19" s="1"/>
  <c r="K1606" i="19" s="1"/>
  <c r="K1607" i="19" s="1"/>
  <c r="K1608" i="19" s="1"/>
  <c r="K1609" i="19" s="1"/>
  <c r="K1610" i="19" s="1"/>
  <c r="K1611" i="19" s="1"/>
  <c r="K1612" i="19" s="1"/>
  <c r="K1613" i="19" s="1"/>
  <c r="K1614" i="19" s="1"/>
  <c r="K1615" i="19" s="1"/>
  <c r="K1616" i="19" s="1"/>
  <c r="K1617" i="19" s="1"/>
  <c r="K1618" i="19" s="1"/>
  <c r="K1619" i="19" s="1"/>
  <c r="K1620" i="19" s="1"/>
  <c r="K1621" i="19" s="1"/>
  <c r="K1622" i="19" s="1"/>
  <c r="K1623" i="19" s="1"/>
  <c r="K1624" i="19" s="1"/>
  <c r="K1625" i="19" s="1"/>
  <c r="K1626" i="19" s="1"/>
  <c r="K1627" i="19" s="1"/>
  <c r="K1628" i="19" s="1"/>
  <c r="K1629" i="19" s="1"/>
  <c r="K1630" i="19" s="1"/>
  <c r="K1631" i="19" s="1"/>
  <c r="K1632" i="19" s="1"/>
  <c r="K1633" i="19" s="1"/>
  <c r="K1634" i="19" s="1"/>
  <c r="K1635" i="19" s="1"/>
  <c r="K1636" i="19" s="1"/>
  <c r="K1637" i="19" s="1"/>
  <c r="K1638" i="19" s="1"/>
  <c r="K1639" i="19" s="1"/>
  <c r="K1640" i="19" s="1"/>
  <c r="K1641" i="19" s="1"/>
  <c r="K1642" i="19" s="1"/>
  <c r="K1643" i="19" s="1"/>
  <c r="K1644" i="19" s="1"/>
  <c r="K1645" i="19" s="1"/>
  <c r="K1646" i="19" s="1"/>
  <c r="K1647" i="19" s="1"/>
  <c r="K1648" i="19" s="1"/>
  <c r="K1649" i="19" s="1"/>
  <c r="K1650" i="19" s="1"/>
  <c r="K1651" i="19" s="1"/>
  <c r="K1652" i="19" s="1"/>
  <c r="K1653" i="19" s="1"/>
  <c r="K1654" i="19" s="1"/>
  <c r="K1655" i="19" s="1"/>
  <c r="K1656" i="19" s="1"/>
  <c r="K1657" i="19" s="1"/>
  <c r="K1658" i="19" s="1"/>
  <c r="K1659" i="19" s="1"/>
  <c r="K1660" i="19" s="1"/>
  <c r="K1661" i="19" s="1"/>
  <c r="K1662" i="19" s="1"/>
  <c r="K1663" i="19" s="1"/>
  <c r="K1664" i="19" s="1"/>
  <c r="K1665" i="19" s="1"/>
  <c r="K1666" i="19" s="1"/>
  <c r="K1667" i="19" s="1"/>
  <c r="K1668" i="19" s="1"/>
  <c r="K1669" i="19" s="1"/>
  <c r="K1670" i="19" s="1"/>
  <c r="K1671" i="19" s="1"/>
  <c r="K1672" i="19" s="1"/>
  <c r="K1673" i="19" s="1"/>
  <c r="K1674" i="19" s="1"/>
  <c r="K1675" i="19" s="1"/>
  <c r="K1676" i="19" s="1"/>
  <c r="K1677" i="19" s="1"/>
  <c r="K1678" i="19" s="1"/>
  <c r="K1679" i="19" s="1"/>
  <c r="K1680" i="19" s="1"/>
  <c r="K1681" i="19" s="1"/>
  <c r="K1682" i="19" s="1"/>
  <c r="K1683" i="19" s="1"/>
  <c r="K1684" i="19" s="1"/>
  <c r="K1685" i="19" s="1"/>
  <c r="K1686" i="19" s="1"/>
  <c r="K1687" i="19" s="1"/>
  <c r="K1688" i="19" s="1"/>
  <c r="K1689" i="19" s="1"/>
  <c r="K1690" i="19" s="1"/>
  <c r="K1691" i="19" s="1"/>
  <c r="K1692" i="19" s="1"/>
  <c r="K1693" i="19" s="1"/>
  <c r="K1694" i="19" s="1"/>
  <c r="K1695" i="19" s="1"/>
  <c r="K1696" i="19" s="1"/>
  <c r="K1697" i="19" s="1"/>
  <c r="K1698" i="19" s="1"/>
  <c r="K1699" i="19" s="1"/>
  <c r="K1700" i="19" s="1"/>
  <c r="K1701" i="19" s="1"/>
  <c r="K1702" i="19" s="1"/>
  <c r="K1703" i="19" s="1"/>
  <c r="K1704" i="19" s="1"/>
  <c r="K1705" i="19" s="1"/>
  <c r="K1706" i="19" s="1"/>
  <c r="K1707" i="19" s="1"/>
  <c r="K1708" i="19" s="1"/>
  <c r="K1709" i="19" s="1"/>
  <c r="K1710" i="19" s="1"/>
  <c r="K1711" i="19" s="1"/>
  <c r="K1712" i="19" s="1"/>
  <c r="K1713" i="19" s="1"/>
  <c r="K1714" i="19" s="1"/>
  <c r="K1715" i="19" s="1"/>
  <c r="K1716" i="19" s="1"/>
  <c r="K1717" i="19" s="1"/>
  <c r="K1718" i="19" s="1"/>
  <c r="K1719" i="19" s="1"/>
  <c r="K1720" i="19" s="1"/>
  <c r="K1721" i="19" s="1"/>
  <c r="K1722" i="19" s="1"/>
  <c r="K1723" i="19" s="1"/>
  <c r="K1724" i="19" s="1"/>
  <c r="K1725" i="19" s="1"/>
  <c r="K1726" i="19" s="1"/>
  <c r="K1727" i="19" s="1"/>
  <c r="K1728" i="19" s="1"/>
  <c r="K1729" i="19" s="1"/>
  <c r="K1730" i="19" s="1"/>
  <c r="K1731" i="19" s="1"/>
  <c r="K1732" i="19" s="1"/>
  <c r="K1733" i="19" s="1"/>
  <c r="K1734" i="19" s="1"/>
  <c r="K1735" i="19" s="1"/>
  <c r="K1736" i="19" s="1"/>
  <c r="K1737" i="19" s="1"/>
  <c r="K1738" i="19" s="1"/>
  <c r="K1739" i="19" s="1"/>
  <c r="K1740" i="19" s="1"/>
  <c r="K1741" i="19" s="1"/>
  <c r="K1742" i="19" s="1"/>
  <c r="K1743" i="19" s="1"/>
  <c r="K1744" i="19" s="1"/>
  <c r="K1745" i="19" s="1"/>
  <c r="K1746" i="19" s="1"/>
  <c r="K1747" i="19" s="1"/>
  <c r="K1748" i="19" s="1"/>
  <c r="K1749" i="19" s="1"/>
  <c r="K1750" i="19" s="1"/>
  <c r="K1751" i="19" s="1"/>
  <c r="K1752" i="19" s="1"/>
  <c r="K1753" i="19" s="1"/>
  <c r="K1754" i="19" s="1"/>
  <c r="K1755" i="19" s="1"/>
  <c r="K1756" i="19" s="1"/>
  <c r="K1757" i="19" s="1"/>
  <c r="K1758" i="19" s="1"/>
  <c r="K1759" i="19" s="1"/>
  <c r="K1760" i="19" s="1"/>
  <c r="K1761" i="19" s="1"/>
  <c r="K1762" i="19" s="1"/>
  <c r="K1763" i="19" s="1"/>
  <c r="K1764" i="19" s="1"/>
  <c r="K1765" i="19" s="1"/>
  <c r="K1766" i="19" s="1"/>
  <c r="K1767" i="19" s="1"/>
  <c r="K1768" i="19" s="1"/>
  <c r="K1769" i="19" s="1"/>
  <c r="K1770" i="19" s="1"/>
  <c r="K1771" i="19" s="1"/>
  <c r="K1772" i="19" s="1"/>
  <c r="K1773" i="19" s="1"/>
  <c r="K1774" i="19" s="1"/>
  <c r="K1775" i="19" s="1"/>
  <c r="K1776" i="19" s="1"/>
  <c r="K1777" i="19" s="1"/>
  <c r="K1778" i="19" s="1"/>
  <c r="K1779" i="19" s="1"/>
  <c r="K1780" i="19" s="1"/>
  <c r="K1781" i="19" s="1"/>
  <c r="K1782" i="19" s="1"/>
  <c r="K1783" i="19" s="1"/>
  <c r="K1784" i="19" s="1"/>
  <c r="K1785" i="19" s="1"/>
  <c r="K1786" i="19" s="1"/>
  <c r="K1787" i="19" s="1"/>
  <c r="K1788" i="19" s="1"/>
  <c r="K1789" i="19" s="1"/>
  <c r="K1790" i="19" s="1"/>
  <c r="K1791" i="19" s="1"/>
  <c r="K1792" i="19" s="1"/>
  <c r="K1793" i="19" s="1"/>
  <c r="K1794" i="19" s="1"/>
  <c r="K1795" i="19" s="1"/>
  <c r="K1796" i="19" s="1"/>
  <c r="K1797" i="19" s="1"/>
  <c r="K1798" i="19" s="1"/>
  <c r="K1799" i="19" s="1"/>
  <c r="K1800" i="19" s="1"/>
  <c r="K1801" i="19" s="1"/>
  <c r="K1802" i="19" s="1"/>
  <c r="K1803" i="19" s="1"/>
  <c r="K1804" i="19" s="1"/>
  <c r="K1805" i="19" s="1"/>
  <c r="K1806" i="19" s="1"/>
  <c r="K1807" i="19" s="1"/>
  <c r="K1808" i="19" s="1"/>
  <c r="K1809" i="19" s="1"/>
  <c r="K1810" i="19" s="1"/>
  <c r="K1811" i="19" s="1"/>
  <c r="K1812" i="19" s="1"/>
  <c r="K1813" i="19" s="1"/>
  <c r="K1814" i="19" s="1"/>
  <c r="K1815" i="19" s="1"/>
  <c r="K1816" i="19" s="1"/>
  <c r="K1817" i="19" s="1"/>
  <c r="K1818" i="19" s="1"/>
  <c r="K1819" i="19" s="1"/>
  <c r="K1820" i="19" s="1"/>
  <c r="K1821" i="19" s="1"/>
  <c r="K1822" i="19" s="1"/>
  <c r="K1823" i="19" s="1"/>
  <c r="K1824" i="19" s="1"/>
  <c r="K1825" i="19" s="1"/>
  <c r="K1826" i="19" s="1"/>
  <c r="K1827" i="19" s="1"/>
  <c r="K1828" i="19" s="1"/>
  <c r="K1829" i="19" s="1"/>
  <c r="K1830" i="19" s="1"/>
  <c r="K1831" i="19" s="1"/>
  <c r="K1832" i="19" s="1"/>
  <c r="K1833" i="19" s="1"/>
  <c r="K1834" i="19" s="1"/>
  <c r="K1835" i="19" s="1"/>
  <c r="K1836" i="19" s="1"/>
  <c r="K1837" i="19" s="1"/>
  <c r="K1838" i="19" s="1"/>
  <c r="K1839" i="19" s="1"/>
  <c r="K1840" i="19" s="1"/>
  <c r="K1841" i="19" s="1"/>
  <c r="K1842" i="19" s="1"/>
  <c r="K1843" i="19" s="1"/>
  <c r="K1844" i="19" s="1"/>
  <c r="K1845" i="19" s="1"/>
  <c r="K1846" i="19" s="1"/>
  <c r="K1847" i="19" s="1"/>
  <c r="K1848" i="19" s="1"/>
  <c r="K1849" i="19" s="1"/>
  <c r="K1850" i="19" s="1"/>
  <c r="K1851" i="19" s="1"/>
  <c r="K1852" i="19" s="1"/>
  <c r="K1853" i="19" s="1"/>
  <c r="K1854" i="19" s="1"/>
  <c r="K1855" i="19" s="1"/>
  <c r="K1856" i="19" s="1"/>
  <c r="K1857" i="19" s="1"/>
  <c r="K1858" i="19" s="1"/>
  <c r="K1859" i="19" s="1"/>
  <c r="K1860" i="19" s="1"/>
  <c r="K1861" i="19" s="1"/>
  <c r="K1862" i="19" s="1"/>
  <c r="K1863" i="19" s="1"/>
  <c r="K1864" i="19" s="1"/>
  <c r="K1865" i="19" s="1"/>
  <c r="K1866" i="19" s="1"/>
  <c r="K1867" i="19" s="1"/>
  <c r="K1868" i="19" s="1"/>
  <c r="K1869" i="19" s="1"/>
  <c r="K1870" i="19" s="1"/>
  <c r="K1871" i="19" s="1"/>
  <c r="K1872" i="19" s="1"/>
  <c r="K1873" i="19" s="1"/>
  <c r="K1874" i="19" s="1"/>
  <c r="K1875" i="19" s="1"/>
  <c r="K1876" i="19" s="1"/>
  <c r="K1877" i="19" s="1"/>
  <c r="K1878" i="19" s="1"/>
  <c r="K1879" i="19" s="1"/>
  <c r="K1880" i="19" s="1"/>
  <c r="K1881" i="19" s="1"/>
  <c r="K1882" i="19" s="1"/>
  <c r="K1883" i="19" s="1"/>
  <c r="K1884" i="19" s="1"/>
  <c r="K1885" i="19" s="1"/>
  <c r="K1886" i="19" s="1"/>
  <c r="K1887" i="19" s="1"/>
  <c r="K1888" i="19" s="1"/>
  <c r="K1889" i="19" s="1"/>
  <c r="K1890" i="19" s="1"/>
  <c r="K1891" i="19" s="1"/>
  <c r="K1892" i="19" s="1"/>
  <c r="K1893" i="19" s="1"/>
  <c r="K1894" i="19" s="1"/>
  <c r="K1895" i="19" s="1"/>
  <c r="K1896" i="19" s="1"/>
  <c r="K1897" i="19" s="1"/>
  <c r="K1898" i="19" s="1"/>
  <c r="K1899" i="19" s="1"/>
  <c r="K1900" i="19" s="1"/>
  <c r="K1901" i="19" s="1"/>
  <c r="K1902" i="19" s="1"/>
  <c r="K1903" i="19" s="1"/>
  <c r="K1904" i="19" s="1"/>
  <c r="K1905" i="19" s="1"/>
  <c r="K1906" i="19" s="1"/>
  <c r="K1907" i="19" s="1"/>
  <c r="K1908" i="19" s="1"/>
  <c r="K1909" i="19" s="1"/>
  <c r="K1910" i="19" s="1"/>
  <c r="K1911" i="19" s="1"/>
  <c r="K1912" i="19" s="1"/>
  <c r="K1913" i="19" s="1"/>
  <c r="K1914" i="19" s="1"/>
  <c r="K1915" i="19" s="1"/>
  <c r="K1916" i="19" s="1"/>
  <c r="K1917" i="19" s="1"/>
  <c r="K1918" i="19" s="1"/>
  <c r="K1919" i="19" s="1"/>
  <c r="K1920" i="19" s="1"/>
  <c r="K1921" i="19" s="1"/>
  <c r="K1922" i="19" s="1"/>
  <c r="K1923" i="19" s="1"/>
  <c r="K1924" i="19" s="1"/>
  <c r="K1925" i="19" s="1"/>
  <c r="K1926" i="19" s="1"/>
  <c r="K1927" i="19" s="1"/>
  <c r="K1928" i="19" s="1"/>
  <c r="K1929" i="19" s="1"/>
  <c r="K1930" i="19" s="1"/>
  <c r="K1931" i="19" s="1"/>
  <c r="K1932" i="19" s="1"/>
  <c r="K1933" i="19" s="1"/>
  <c r="K1934" i="19" s="1"/>
  <c r="K1935" i="19" s="1"/>
  <c r="K1936" i="19" s="1"/>
  <c r="K1937" i="19" s="1"/>
  <c r="K1938" i="19" s="1"/>
  <c r="K1939" i="19" s="1"/>
  <c r="K1940" i="19" s="1"/>
  <c r="K1941" i="19" s="1"/>
  <c r="K1942" i="19" s="1"/>
  <c r="K1943" i="19" s="1"/>
  <c r="K1944" i="19" s="1"/>
  <c r="K1945" i="19" s="1"/>
  <c r="K1946" i="19" s="1"/>
  <c r="K1947" i="19" s="1"/>
  <c r="K1948" i="19" s="1"/>
  <c r="K1949" i="19" s="1"/>
  <c r="K1950" i="19" s="1"/>
  <c r="K1951" i="19" s="1"/>
  <c r="K1952" i="19" s="1"/>
  <c r="K1953" i="19" s="1"/>
  <c r="K1954" i="19" s="1"/>
  <c r="K1955" i="19" s="1"/>
  <c r="K1956" i="19" s="1"/>
  <c r="K1957" i="19" s="1"/>
  <c r="K1958" i="19" s="1"/>
  <c r="K1959" i="19" s="1"/>
  <c r="K1960" i="19" s="1"/>
  <c r="K1961" i="19" s="1"/>
  <c r="K1962" i="19" s="1"/>
  <c r="K1963" i="19" s="1"/>
  <c r="K1964" i="19" s="1"/>
  <c r="K1965" i="19" s="1"/>
  <c r="K1966" i="19" s="1"/>
  <c r="K1967" i="19" s="1"/>
  <c r="K1968" i="19" s="1"/>
  <c r="K1969" i="19" s="1"/>
  <c r="K1970" i="19" s="1"/>
  <c r="K1971" i="19" s="1"/>
  <c r="K1972" i="19" s="1"/>
  <c r="K1973" i="19" s="1"/>
  <c r="K1974" i="19" s="1"/>
  <c r="K1975" i="19" s="1"/>
  <c r="K1976" i="19" s="1"/>
  <c r="K1977" i="19" s="1"/>
  <c r="K1978" i="19" s="1"/>
  <c r="K1979" i="19" s="1"/>
  <c r="K1980" i="19" s="1"/>
  <c r="K1981" i="19" s="1"/>
  <c r="K1982" i="19" s="1"/>
  <c r="K1983" i="19" s="1"/>
  <c r="K1984" i="19" s="1"/>
  <c r="K1985" i="19" s="1"/>
  <c r="K1986" i="19" s="1"/>
  <c r="K1987" i="19" s="1"/>
  <c r="K1988" i="19" s="1"/>
  <c r="K1989" i="19" s="1"/>
  <c r="K1990" i="19" s="1"/>
  <c r="K1991" i="19" s="1"/>
  <c r="K1992" i="19" s="1"/>
  <c r="K1993" i="19" s="1"/>
  <c r="K1994" i="19" s="1"/>
  <c r="K1995" i="19" s="1"/>
  <c r="K1996" i="19" s="1"/>
  <c r="K1997" i="19" s="1"/>
  <c r="K1998" i="19" s="1"/>
  <c r="K1999" i="19" s="1"/>
  <c r="K2000" i="19" s="1"/>
  <c r="K2001" i="19" s="1"/>
  <c r="K2002" i="19" s="1"/>
  <c r="K2003" i="19" s="1"/>
  <c r="K2004" i="19" s="1"/>
  <c r="K2005" i="19" s="1"/>
  <c r="K2006" i="19" s="1"/>
  <c r="K2007" i="19" s="1"/>
  <c r="K2008" i="19" s="1"/>
  <c r="K2009" i="19" s="1"/>
  <c r="K2010" i="19" s="1"/>
  <c r="K2011" i="19" s="1"/>
  <c r="K2012" i="19" s="1"/>
  <c r="K2013" i="19" s="1"/>
  <c r="K2014" i="19" s="1"/>
  <c r="K2015" i="19" s="1"/>
  <c r="K2016" i="19" s="1"/>
  <c r="K2017" i="19" s="1"/>
  <c r="K2018" i="19" s="1"/>
  <c r="K2019" i="19" s="1"/>
  <c r="K2020" i="19" s="1"/>
  <c r="K2021" i="19" s="1"/>
  <c r="K2022" i="19" s="1"/>
  <c r="K2023" i="19" s="1"/>
  <c r="K2024" i="19" s="1"/>
  <c r="K2025" i="19" s="1"/>
  <c r="K2026" i="19" s="1"/>
  <c r="K2027" i="19" s="1"/>
  <c r="K2028" i="19" s="1"/>
  <c r="K2029" i="19" s="1"/>
  <c r="K2030" i="19" s="1"/>
  <c r="K2031" i="19" s="1"/>
  <c r="K2032" i="19" s="1"/>
  <c r="K2033" i="19" s="1"/>
  <c r="K2034" i="19" s="1"/>
  <c r="K2035" i="19" s="1"/>
  <c r="K2036" i="19" s="1"/>
  <c r="K2037" i="19" s="1"/>
  <c r="K2038" i="19" s="1"/>
  <c r="K2039" i="19" s="1"/>
  <c r="K2040" i="19" s="1"/>
  <c r="K2041" i="19" s="1"/>
  <c r="K2042" i="19" s="1"/>
  <c r="K2043" i="19" s="1"/>
  <c r="K2044" i="19" s="1"/>
  <c r="K2045" i="19" s="1"/>
  <c r="K2046" i="19" s="1"/>
  <c r="K2047" i="19" s="1"/>
  <c r="K2048" i="19" s="1"/>
  <c r="K2049" i="19" s="1"/>
  <c r="K2050" i="19" s="1"/>
  <c r="K2051" i="19" s="1"/>
  <c r="K2052" i="19" s="1"/>
  <c r="K2053" i="19" s="1"/>
  <c r="K2054" i="19" s="1"/>
  <c r="K2055" i="19" s="1"/>
  <c r="K2056" i="19" s="1"/>
  <c r="K2057" i="19" s="1"/>
  <c r="K2058" i="19" s="1"/>
  <c r="K2059" i="19" s="1"/>
  <c r="K2060" i="19" s="1"/>
  <c r="K2061" i="19" s="1"/>
  <c r="K2062" i="19" s="1"/>
  <c r="K2063" i="19" s="1"/>
  <c r="K2064" i="19" s="1"/>
  <c r="K2065" i="19" s="1"/>
  <c r="K2066" i="19" s="1"/>
  <c r="K2067" i="19" s="1"/>
  <c r="K2068" i="19" s="1"/>
  <c r="K2069" i="19" s="1"/>
  <c r="K2070" i="19" s="1"/>
  <c r="K2071" i="19" s="1"/>
  <c r="K2072" i="19" s="1"/>
  <c r="K2073" i="19" s="1"/>
  <c r="K2074" i="19" s="1"/>
  <c r="K2075" i="19" s="1"/>
  <c r="K2076" i="19" s="1"/>
  <c r="K2077" i="19" s="1"/>
  <c r="K2078" i="19" s="1"/>
  <c r="K2079" i="19" s="1"/>
  <c r="K2080" i="19" s="1"/>
  <c r="K2081" i="19" s="1"/>
  <c r="K2082" i="19" s="1"/>
  <c r="K2083" i="19" s="1"/>
  <c r="K2084" i="19" s="1"/>
  <c r="K2085" i="19" s="1"/>
  <c r="K2086" i="19" s="1"/>
  <c r="K2087" i="19" s="1"/>
  <c r="K2088" i="19" s="1"/>
  <c r="K2089" i="19" s="1"/>
  <c r="K2090" i="19" s="1"/>
  <c r="K2091" i="19" s="1"/>
  <c r="K2092" i="19" s="1"/>
  <c r="K2093" i="19" s="1"/>
  <c r="K2094" i="19" s="1"/>
  <c r="K2095" i="19" s="1"/>
  <c r="K2096" i="19" s="1"/>
  <c r="K2097" i="19" s="1"/>
  <c r="K2098" i="19" s="1"/>
  <c r="K2099" i="19" s="1"/>
  <c r="K2100" i="19" s="1"/>
  <c r="K2101" i="19" s="1"/>
  <c r="K2102" i="19" s="1"/>
  <c r="K2103" i="19" s="1"/>
  <c r="K2104" i="19" s="1"/>
  <c r="K2105" i="19" s="1"/>
  <c r="K2106" i="19" s="1"/>
  <c r="K2107" i="19" s="1"/>
  <c r="K2108" i="19" s="1"/>
  <c r="K2109" i="19" s="1"/>
  <c r="K2110" i="19" s="1"/>
  <c r="K2111" i="19" s="1"/>
  <c r="K2112" i="19" s="1"/>
  <c r="K2113" i="19" s="1"/>
  <c r="K2114" i="19" s="1"/>
  <c r="K2115" i="19" s="1"/>
  <c r="K2116" i="19" s="1"/>
  <c r="K2117" i="19" s="1"/>
  <c r="K2118" i="19" s="1"/>
  <c r="K2119" i="19" s="1"/>
  <c r="K2120" i="19" s="1"/>
  <c r="K2121" i="19" s="1"/>
  <c r="K2122" i="19" s="1"/>
  <c r="K2123" i="19" s="1"/>
  <c r="K2124" i="19" s="1"/>
  <c r="K2125" i="19" s="1"/>
  <c r="K2126" i="19" s="1"/>
  <c r="K2127" i="19" s="1"/>
  <c r="K2128" i="19" s="1"/>
  <c r="K2129" i="19" s="1"/>
  <c r="K2130" i="19" s="1"/>
  <c r="K2131" i="19" s="1"/>
  <c r="K2132" i="19" s="1"/>
  <c r="K2133" i="19" s="1"/>
  <c r="K2134" i="19" s="1"/>
  <c r="K2135" i="19" s="1"/>
  <c r="K2136" i="19" s="1"/>
  <c r="K2137" i="19" s="1"/>
  <c r="K2138" i="19" s="1"/>
  <c r="K2139" i="19" s="1"/>
  <c r="K2140" i="19" s="1"/>
  <c r="K2141" i="19" s="1"/>
  <c r="K2142" i="19" s="1"/>
  <c r="K2143" i="19" s="1"/>
  <c r="K2144" i="19" s="1"/>
  <c r="K2145" i="19" s="1"/>
  <c r="K2146" i="19" s="1"/>
  <c r="K2147" i="19" s="1"/>
  <c r="K2148" i="19" s="1"/>
  <c r="K2149" i="19" s="1"/>
  <c r="K2150" i="19" s="1"/>
  <c r="K2151" i="19" s="1"/>
  <c r="K2152" i="19" s="1"/>
  <c r="K2153" i="19" s="1"/>
  <c r="K2154" i="19" s="1"/>
  <c r="K2155" i="19" s="1"/>
  <c r="K2156" i="19" s="1"/>
  <c r="K2157" i="19" s="1"/>
  <c r="K2158" i="19" s="1"/>
  <c r="K2159" i="19" s="1"/>
  <c r="K2160" i="19" s="1"/>
  <c r="K2161" i="19" s="1"/>
  <c r="K2162" i="19" s="1"/>
  <c r="K2163" i="19" s="1"/>
  <c r="K2164" i="19" s="1"/>
  <c r="K2165" i="19" s="1"/>
  <c r="K2166" i="19" s="1"/>
  <c r="K2167" i="19" s="1"/>
  <c r="K2168" i="19" s="1"/>
  <c r="K2169" i="19" s="1"/>
  <c r="K2170" i="19" s="1"/>
  <c r="K2171" i="19" s="1"/>
  <c r="K2172" i="19" s="1"/>
  <c r="K2173" i="19" s="1"/>
  <c r="K2174" i="19" s="1"/>
  <c r="K2175" i="19" s="1"/>
  <c r="K2176" i="19" s="1"/>
  <c r="K2177" i="19" s="1"/>
  <c r="K2178" i="19" s="1"/>
  <c r="K2179" i="19" s="1"/>
  <c r="K2180" i="19" s="1"/>
  <c r="K2181" i="19" s="1"/>
  <c r="K2182" i="19" s="1"/>
  <c r="K2183" i="19" s="1"/>
  <c r="K2184" i="19" s="1"/>
  <c r="K2185" i="19" s="1"/>
  <c r="K2186" i="19" s="1"/>
  <c r="K2187" i="19" s="1"/>
  <c r="K2188" i="19" s="1"/>
  <c r="K2189" i="19" s="1"/>
  <c r="K2190" i="19" s="1"/>
  <c r="K2191" i="19" s="1"/>
  <c r="K2192" i="19" s="1"/>
  <c r="K2193" i="19" s="1"/>
  <c r="K2194" i="19" s="1"/>
  <c r="K2195" i="19" s="1"/>
  <c r="K2196" i="19" s="1"/>
  <c r="K2197" i="19" s="1"/>
  <c r="K2198" i="19" s="1"/>
  <c r="K2199" i="19" s="1"/>
  <c r="K2200" i="19" s="1"/>
  <c r="K2201" i="19" s="1"/>
  <c r="K2202" i="19" s="1"/>
  <c r="K2203" i="19" s="1"/>
  <c r="K2204" i="19" s="1"/>
  <c r="K2205" i="19" s="1"/>
  <c r="K2206" i="19" s="1"/>
  <c r="K2207" i="19" s="1"/>
  <c r="K2208" i="19" s="1"/>
  <c r="K2209" i="19" s="1"/>
  <c r="K2210" i="19" s="1"/>
  <c r="K2211" i="19" s="1"/>
  <c r="K2212" i="19" s="1"/>
  <c r="K2213" i="19" s="1"/>
  <c r="K2214" i="19" s="1"/>
  <c r="K2215" i="19" s="1"/>
  <c r="K2216" i="19" s="1"/>
  <c r="K2217" i="19" s="1"/>
  <c r="K2218" i="19" s="1"/>
  <c r="K2219" i="19" s="1"/>
  <c r="K2220" i="19" s="1"/>
  <c r="K2221" i="19" s="1"/>
  <c r="K2222" i="19" s="1"/>
  <c r="K2223" i="19" s="1"/>
  <c r="K2224" i="19" s="1"/>
  <c r="K2225" i="19" s="1"/>
  <c r="K2226" i="19" s="1"/>
  <c r="K2227" i="19" s="1"/>
  <c r="K2228" i="19" s="1"/>
  <c r="K2229" i="19" s="1"/>
  <c r="K2230" i="19" s="1"/>
  <c r="K2231" i="19" s="1"/>
  <c r="K2232" i="19" s="1"/>
  <c r="K2233" i="19" s="1"/>
  <c r="K2234" i="19" s="1"/>
  <c r="K2235" i="19" s="1"/>
  <c r="K2236" i="19" s="1"/>
  <c r="K2237" i="19" s="1"/>
  <c r="K2238" i="19" s="1"/>
  <c r="K2239" i="19" s="1"/>
  <c r="K2240" i="19" s="1"/>
  <c r="K2241" i="19" s="1"/>
  <c r="K2242" i="19" s="1"/>
  <c r="K2243" i="19" s="1"/>
  <c r="K2244" i="19" s="1"/>
  <c r="K2245" i="19" s="1"/>
  <c r="K2246" i="19" s="1"/>
  <c r="K2247" i="19" s="1"/>
  <c r="K2248" i="19" s="1"/>
  <c r="K2249" i="19" s="1"/>
  <c r="K2250" i="19" s="1"/>
  <c r="K2251" i="19" s="1"/>
  <c r="K2252" i="19" s="1"/>
  <c r="K2253" i="19" s="1"/>
  <c r="K2254" i="19" s="1"/>
  <c r="K2255" i="19" s="1"/>
  <c r="K2256" i="19" s="1"/>
  <c r="K2257" i="19" s="1"/>
  <c r="K2258" i="19" s="1"/>
  <c r="K2259" i="19" s="1"/>
  <c r="K2260" i="19" s="1"/>
  <c r="K2261" i="19" s="1"/>
  <c r="K2262" i="19" s="1"/>
  <c r="K2263" i="19" s="1"/>
  <c r="K2264" i="19" s="1"/>
  <c r="K2265" i="19" s="1"/>
  <c r="K2266" i="19" s="1"/>
  <c r="K2267" i="19" s="1"/>
  <c r="K2268" i="19" s="1"/>
  <c r="K2269" i="19" s="1"/>
  <c r="K2270" i="19" s="1"/>
  <c r="K2271" i="19" s="1"/>
  <c r="K2272" i="19" s="1"/>
  <c r="K2273" i="19" s="1"/>
  <c r="K2274" i="19" s="1"/>
  <c r="K2275" i="19" s="1"/>
  <c r="K2276" i="19" s="1"/>
  <c r="K2277" i="19" s="1"/>
  <c r="K2278" i="19" s="1"/>
  <c r="K2279" i="19" s="1"/>
  <c r="K2280" i="19" s="1"/>
  <c r="K2281" i="19" s="1"/>
  <c r="K2282" i="19" s="1"/>
  <c r="K2283" i="19" s="1"/>
  <c r="K2284" i="19" s="1"/>
  <c r="K2285" i="19" s="1"/>
  <c r="K2286" i="19" s="1"/>
  <c r="K2287" i="19" s="1"/>
  <c r="K2288" i="19" s="1"/>
  <c r="K2289" i="19" s="1"/>
  <c r="K2290" i="19" s="1"/>
  <c r="K2291" i="19" s="1"/>
  <c r="K2292" i="19" s="1"/>
  <c r="K2293" i="19" s="1"/>
  <c r="K2294" i="19" s="1"/>
  <c r="K2295" i="19" s="1"/>
  <c r="K2296" i="19" s="1"/>
  <c r="K2297" i="19" s="1"/>
  <c r="K2298" i="19" s="1"/>
  <c r="F152" i="19" a="1"/>
  <c r="D312" i="6" l="1"/>
  <c r="C312" i="6" s="1"/>
  <c r="B314" i="6"/>
  <c r="E313" i="6"/>
  <c r="F313" i="6"/>
  <c r="G313" i="6" s="1"/>
  <c r="F152" i="19"/>
  <c r="D152" i="19" a="1"/>
  <c r="D152" i="19" l="1"/>
  <c r="L152" i="19" a="1"/>
  <c r="L152" i="19" s="1"/>
  <c r="D313" i="6"/>
  <c r="C313" i="6" s="1"/>
  <c r="B315" i="6"/>
  <c r="F314" i="6"/>
  <c r="G314" i="6" s="1"/>
  <c r="E314" i="6"/>
  <c r="AL2" i="1"/>
  <c r="F3" i="132" s="1"/>
  <c r="D5" i="19" a="1"/>
  <c r="D3" i="19" a="1"/>
  <c r="D4" i="19" a="1"/>
  <c r="D4" i="19" l="1"/>
  <c r="D5" i="19"/>
  <c r="D3" i="19"/>
  <c r="AP7" i="1" s="1" a="1"/>
  <c r="AP7" i="1" s="1"/>
  <c r="I24" i="1" a="1"/>
  <c r="I24" i="1" s="1"/>
  <c r="I18" i="1" a="1"/>
  <c r="I18" i="1" s="1"/>
  <c r="AA8" i="1" s="1"/>
  <c r="D314" i="6"/>
  <c r="C314" i="6" s="1"/>
  <c r="B316" i="6"/>
  <c r="E315" i="6"/>
  <c r="F315" i="6"/>
  <c r="G315" i="6" s="1"/>
  <c r="AA12" i="1"/>
  <c r="F2" i="132" s="1"/>
  <c r="AH17" i="1"/>
  <c r="AA11" i="1"/>
  <c r="AU4" i="1"/>
  <c r="AV4" i="1" s="1"/>
  <c r="G3" i="19" a="1"/>
  <c r="I19" i="1" l="1"/>
  <c r="D315" i="6"/>
  <c r="C315" i="6" s="1"/>
  <c r="B317" i="6"/>
  <c r="F316" i="6"/>
  <c r="G316" i="6" s="1"/>
  <c r="E316" i="6"/>
  <c r="AJ19" i="1" a="1"/>
  <c r="AJ19" i="1" s="1"/>
  <c r="H27" i="1"/>
  <c r="G3" i="19"/>
  <c r="I20" i="1" l="1"/>
  <c r="D316" i="6"/>
  <c r="C316" i="6" s="1"/>
  <c r="B318" i="6"/>
  <c r="E317" i="6"/>
  <c r="F317" i="6"/>
  <c r="G317" i="6" s="1"/>
  <c r="M3" i="19"/>
  <c r="I3" i="19" a="1"/>
  <c r="I21" i="1" l="1"/>
  <c r="D317" i="6"/>
  <c r="C317" i="6" s="1"/>
  <c r="B319" i="6"/>
  <c r="F318" i="6"/>
  <c r="G318" i="6" s="1"/>
  <c r="E318" i="6"/>
  <c r="I3" i="19"/>
  <c r="D318" i="6" l="1"/>
  <c r="C318" i="6" s="1"/>
  <c r="B320" i="6"/>
  <c r="E319" i="6"/>
  <c r="F319" i="6"/>
  <c r="G319" i="6" s="1"/>
  <c r="O3" i="19"/>
  <c r="E3" i="19" a="1"/>
  <c r="D319" i="6" l="1"/>
  <c r="C319" i="6" s="1"/>
  <c r="B321" i="6"/>
  <c r="F320" i="6"/>
  <c r="G320" i="6" s="1"/>
  <c r="E320" i="6"/>
  <c r="E3" i="19"/>
  <c r="G4" i="19" a="1"/>
  <c r="D320" i="6" l="1"/>
  <c r="C320" i="6" s="1"/>
  <c r="B322" i="6"/>
  <c r="E321" i="6"/>
  <c r="F321" i="6"/>
  <c r="G321" i="6" s="1"/>
  <c r="G4" i="19"/>
  <c r="M4" i="19"/>
  <c r="J4" i="19" a="1"/>
  <c r="D321" i="6" l="1"/>
  <c r="C321" i="6" s="1"/>
  <c r="B323" i="6"/>
  <c r="F322" i="6"/>
  <c r="G322" i="6" s="1"/>
  <c r="E322" i="6"/>
  <c r="J4" i="19"/>
  <c r="E4" i="19" a="1"/>
  <c r="D322" i="6" l="1"/>
  <c r="C322" i="6" s="1"/>
  <c r="B324" i="6"/>
  <c r="E323" i="6"/>
  <c r="F323" i="6"/>
  <c r="G323" i="6" s="1"/>
  <c r="E4" i="19"/>
  <c r="G5" i="19" a="1"/>
  <c r="D323" i="6" l="1"/>
  <c r="C323" i="6" s="1"/>
  <c r="B325" i="6"/>
  <c r="F324" i="6"/>
  <c r="G324" i="6" s="1"/>
  <c r="E324" i="6"/>
  <c r="G5" i="19"/>
  <c r="M5" i="19"/>
  <c r="J5" i="19" a="1"/>
  <c r="D324" i="6" l="1"/>
  <c r="C324" i="6" s="1"/>
  <c r="B326" i="6"/>
  <c r="E325" i="6"/>
  <c r="F325" i="6"/>
  <c r="G325" i="6" s="1"/>
  <c r="J5" i="19"/>
  <c r="E5" i="19" a="1"/>
  <c r="D325" i="6" l="1"/>
  <c r="C325" i="6" s="1"/>
  <c r="B327" i="6"/>
  <c r="F326" i="6"/>
  <c r="G326" i="6" s="1"/>
  <c r="E326" i="6"/>
  <c r="E5" i="19"/>
  <c r="G6" i="19" a="1"/>
  <c r="D326" i="6" l="1"/>
  <c r="C326" i="6" s="1"/>
  <c r="B328" i="6"/>
  <c r="E327" i="6"/>
  <c r="F327" i="6"/>
  <c r="G327" i="6" s="1"/>
  <c r="G6" i="19"/>
  <c r="M6" i="19"/>
  <c r="J6" i="19" a="1"/>
  <c r="D327" i="6" l="1"/>
  <c r="C327" i="6" s="1"/>
  <c r="B329" i="6"/>
  <c r="F328" i="6"/>
  <c r="G328" i="6" s="1"/>
  <c r="E328" i="6"/>
  <c r="J6" i="19"/>
  <c r="E6" i="19" a="1"/>
  <c r="D328" i="6" l="1"/>
  <c r="C328" i="6" s="1"/>
  <c r="B330" i="6"/>
  <c r="E329" i="6"/>
  <c r="F329" i="6"/>
  <c r="G329" i="6" s="1"/>
  <c r="E6" i="19"/>
  <c r="G7" i="19" a="1"/>
  <c r="D329" i="6" l="1"/>
  <c r="C329" i="6" s="1"/>
  <c r="B331" i="6"/>
  <c r="F330" i="6"/>
  <c r="G330" i="6" s="1"/>
  <c r="E330" i="6"/>
  <c r="G7" i="19"/>
  <c r="M7" i="19"/>
  <c r="H7" i="19" a="1"/>
  <c r="D330" i="6" l="1"/>
  <c r="C330" i="6" s="1"/>
  <c r="B332" i="6"/>
  <c r="E331" i="6"/>
  <c r="F331" i="6"/>
  <c r="G331" i="6" s="1"/>
  <c r="H7" i="19"/>
  <c r="I7" i="19" a="1"/>
  <c r="D331" i="6" l="1"/>
  <c r="C331" i="6" s="1"/>
  <c r="B333" i="6"/>
  <c r="F332" i="6"/>
  <c r="G332" i="6" s="1"/>
  <c r="E332" i="6"/>
  <c r="I7" i="19"/>
  <c r="J7" i="19" a="1"/>
  <c r="D332" i="6" l="1"/>
  <c r="C332" i="6" s="1"/>
  <c r="B334" i="6"/>
  <c r="F333" i="6"/>
  <c r="G333" i="6" s="1"/>
  <c r="E333" i="6"/>
  <c r="J7" i="19"/>
  <c r="O7" i="19"/>
  <c r="D333" i="6" l="1"/>
  <c r="C333" i="6" s="1"/>
  <c r="B335" i="6"/>
  <c r="F334" i="6"/>
  <c r="G334" i="6" s="1"/>
  <c r="E334" i="6"/>
  <c r="E7" i="19" a="1"/>
  <c r="E7" i="19" s="1"/>
  <c r="G8" i="19" a="1"/>
  <c r="D334" i="6" l="1"/>
  <c r="C334" i="6" s="1"/>
  <c r="B336" i="6"/>
  <c r="F335" i="6"/>
  <c r="G335" i="6" s="1"/>
  <c r="E335" i="6"/>
  <c r="G8" i="19"/>
  <c r="M8" i="19" s="1"/>
  <c r="H8" i="19" a="1"/>
  <c r="D335" i="6" l="1"/>
  <c r="C335" i="6" s="1"/>
  <c r="B337" i="6"/>
  <c r="F336" i="6"/>
  <c r="G336" i="6" s="1"/>
  <c r="E336" i="6"/>
  <c r="H8" i="19"/>
  <c r="I8" i="19" a="1"/>
  <c r="D336" i="6" l="1"/>
  <c r="C336" i="6" s="1"/>
  <c r="B338" i="6"/>
  <c r="F337" i="6"/>
  <c r="G337" i="6" s="1"/>
  <c r="E337" i="6"/>
  <c r="I8" i="19"/>
  <c r="J8" i="19" a="1"/>
  <c r="D337" i="6" l="1"/>
  <c r="C337" i="6" s="1"/>
  <c r="B339" i="6"/>
  <c r="F338" i="6"/>
  <c r="G338" i="6" s="1"/>
  <c r="E338" i="6"/>
  <c r="J8" i="19"/>
  <c r="E8" i="19" s="1" a="1"/>
  <c r="E8" i="19" s="1"/>
  <c r="O8" i="19"/>
  <c r="D338" i="6" l="1"/>
  <c r="C338" i="6" s="1"/>
  <c r="B340" i="6"/>
  <c r="F339" i="6"/>
  <c r="G339" i="6" s="1"/>
  <c r="E339" i="6"/>
  <c r="G9" i="19" a="1"/>
  <c r="D339" i="6" l="1"/>
  <c r="C339" i="6" s="1"/>
  <c r="B341" i="6"/>
  <c r="F340" i="6"/>
  <c r="G340" i="6" s="1"/>
  <c r="E340" i="6"/>
  <c r="G9" i="19"/>
  <c r="M9" i="19" s="1"/>
  <c r="H9" i="19" a="1"/>
  <c r="D340" i="6" l="1"/>
  <c r="C340" i="6" s="1"/>
  <c r="B342" i="6"/>
  <c r="E341" i="6"/>
  <c r="F341" i="6"/>
  <c r="G341" i="6" s="1"/>
  <c r="H9" i="19"/>
  <c r="I9" i="19" a="1"/>
  <c r="D341" i="6" l="1"/>
  <c r="C341" i="6" s="1"/>
  <c r="B343" i="6"/>
  <c r="F342" i="6"/>
  <c r="G342" i="6" s="1"/>
  <c r="E342" i="6"/>
  <c r="I9" i="19"/>
  <c r="J9" i="19" a="1"/>
  <c r="D342" i="6" l="1"/>
  <c r="C342" i="6" s="1"/>
  <c r="B344" i="6"/>
  <c r="F343" i="6"/>
  <c r="G343" i="6" s="1"/>
  <c r="E343" i="6"/>
  <c r="J9" i="19"/>
  <c r="O9" i="19"/>
  <c r="E9" i="19" a="1"/>
  <c r="D343" i="6" l="1"/>
  <c r="C343" i="6" s="1"/>
  <c r="B345" i="6"/>
  <c r="F344" i="6"/>
  <c r="G344" i="6" s="1"/>
  <c r="E344" i="6"/>
  <c r="E9" i="19"/>
  <c r="G10" i="19" a="1"/>
  <c r="D344" i="6" l="1"/>
  <c r="C344" i="6" s="1"/>
  <c r="B346" i="6"/>
  <c r="F345" i="6"/>
  <c r="G345" i="6" s="1"/>
  <c r="E345" i="6"/>
  <c r="G10" i="19"/>
  <c r="M10" i="19"/>
  <c r="H10" i="19" a="1"/>
  <c r="D345" i="6" l="1"/>
  <c r="C345" i="6" s="1"/>
  <c r="B347" i="6"/>
  <c r="F346" i="6"/>
  <c r="G346" i="6" s="1"/>
  <c r="E346" i="6"/>
  <c r="H10" i="19"/>
  <c r="I10" i="19" a="1"/>
  <c r="D346" i="6" l="1"/>
  <c r="C346" i="6" s="1"/>
  <c r="B348" i="6"/>
  <c r="F347" i="6"/>
  <c r="G347" i="6" s="1"/>
  <c r="E347" i="6"/>
  <c r="I10" i="19"/>
  <c r="J10" i="19" a="1"/>
  <c r="D347" i="6" l="1"/>
  <c r="C347" i="6" s="1"/>
  <c r="B349" i="6"/>
  <c r="F348" i="6"/>
  <c r="G348" i="6" s="1"/>
  <c r="E348" i="6"/>
  <c r="J10" i="19"/>
  <c r="O10" i="19"/>
  <c r="E10" i="19" a="1"/>
  <c r="D348" i="6" l="1"/>
  <c r="C348" i="6" s="1"/>
  <c r="B350" i="6"/>
  <c r="F349" i="6"/>
  <c r="G349" i="6" s="1"/>
  <c r="E349" i="6"/>
  <c r="E10" i="19"/>
  <c r="G11" i="19" a="1"/>
  <c r="D349" i="6" l="1"/>
  <c r="C349" i="6" s="1"/>
  <c r="B351" i="6"/>
  <c r="F350" i="6"/>
  <c r="G350" i="6" s="1"/>
  <c r="E350" i="6"/>
  <c r="G11" i="19"/>
  <c r="M11" i="19"/>
  <c r="H11" i="19" a="1"/>
  <c r="D350" i="6" l="1"/>
  <c r="C350" i="6" s="1"/>
  <c r="B352" i="6"/>
  <c r="E351" i="6"/>
  <c r="F351" i="6"/>
  <c r="G351" i="6" s="1"/>
  <c r="H11" i="19"/>
  <c r="I11" i="19" a="1"/>
  <c r="D351" i="6" l="1"/>
  <c r="C351" i="6" s="1"/>
  <c r="B353" i="6"/>
  <c r="F352" i="6"/>
  <c r="G352" i="6" s="1"/>
  <c r="E352" i="6"/>
  <c r="I11" i="19"/>
  <c r="J11" i="19" a="1"/>
  <c r="D352" i="6" l="1"/>
  <c r="C352" i="6" s="1"/>
  <c r="B354" i="6"/>
  <c r="F353" i="6"/>
  <c r="G353" i="6" s="1"/>
  <c r="E353" i="6"/>
  <c r="J11" i="19"/>
  <c r="O11" i="19"/>
  <c r="E11" i="19" a="1"/>
  <c r="D353" i="6" l="1"/>
  <c r="C353" i="6" s="1"/>
  <c r="B355" i="6"/>
  <c r="F354" i="6"/>
  <c r="G354" i="6" s="1"/>
  <c r="E354" i="6"/>
  <c r="E11" i="19"/>
  <c r="G12" i="19" a="1"/>
  <c r="D354" i="6" l="1"/>
  <c r="C354" i="6" s="1"/>
  <c r="B356" i="6"/>
  <c r="F355" i="6"/>
  <c r="G355" i="6" s="1"/>
  <c r="E355" i="6"/>
  <c r="G12" i="19"/>
  <c r="M12" i="19"/>
  <c r="H12" i="19" a="1"/>
  <c r="D355" i="6" l="1"/>
  <c r="C355" i="6" s="1"/>
  <c r="B357" i="6"/>
  <c r="F356" i="6"/>
  <c r="G356" i="6" s="1"/>
  <c r="E356" i="6"/>
  <c r="H12" i="19"/>
  <c r="I12" i="19" a="1"/>
  <c r="D356" i="6" l="1"/>
  <c r="C356" i="6" s="1"/>
  <c r="B358" i="6"/>
  <c r="F357" i="6"/>
  <c r="G357" i="6" s="1"/>
  <c r="E357" i="6"/>
  <c r="I12" i="19"/>
  <c r="J12" i="19" a="1"/>
  <c r="D357" i="6" l="1"/>
  <c r="C357" i="6" s="1"/>
  <c r="B359" i="6"/>
  <c r="F358" i="6"/>
  <c r="G358" i="6" s="1"/>
  <c r="E358" i="6"/>
  <c r="J12" i="19"/>
  <c r="O12" i="19"/>
  <c r="E12" i="19" a="1"/>
  <c r="D358" i="6" l="1"/>
  <c r="C358" i="6" s="1"/>
  <c r="B360" i="6"/>
  <c r="F359" i="6"/>
  <c r="G359" i="6" s="1"/>
  <c r="E359" i="6"/>
  <c r="E12" i="19"/>
  <c r="G13" i="19" a="1"/>
  <c r="D359" i="6" l="1"/>
  <c r="C359" i="6" s="1"/>
  <c r="B361" i="6"/>
  <c r="F360" i="6"/>
  <c r="G360" i="6" s="1"/>
  <c r="E360" i="6"/>
  <c r="G13" i="19"/>
  <c r="M13" i="19" s="1"/>
  <c r="H13" i="19" a="1"/>
  <c r="D360" i="6" l="1"/>
  <c r="C360" i="6" s="1"/>
  <c r="B362" i="6"/>
  <c r="F361" i="6"/>
  <c r="G361" i="6" s="1"/>
  <c r="E361" i="6"/>
  <c r="H13" i="19"/>
  <c r="I13" i="19" a="1"/>
  <c r="D361" i="6" l="1"/>
  <c r="C361" i="6" s="1"/>
  <c r="B363" i="6"/>
  <c r="F362" i="6"/>
  <c r="G362" i="6" s="1"/>
  <c r="E362" i="6"/>
  <c r="I13" i="19"/>
  <c r="J13" i="19" a="1"/>
  <c r="D362" i="6" l="1"/>
  <c r="C362" i="6" s="1"/>
  <c r="B364" i="6"/>
  <c r="F363" i="6"/>
  <c r="G363" i="6" s="1"/>
  <c r="E363" i="6"/>
  <c r="J13" i="19"/>
  <c r="O13" i="19"/>
  <c r="E13" i="19" a="1"/>
  <c r="D363" i="6" l="1"/>
  <c r="C363" i="6" s="1"/>
  <c r="B365" i="6"/>
  <c r="F364" i="6"/>
  <c r="G364" i="6" s="1"/>
  <c r="E364" i="6"/>
  <c r="E13" i="19"/>
  <c r="G14" i="19" a="1"/>
  <c r="D364" i="6" l="1"/>
  <c r="C364" i="6" s="1"/>
  <c r="B366" i="6"/>
  <c r="E365" i="6"/>
  <c r="F365" i="6"/>
  <c r="G365" i="6" s="1"/>
  <c r="G14" i="19"/>
  <c r="M14" i="19"/>
  <c r="H14" i="19" a="1"/>
  <c r="D365" i="6" l="1"/>
  <c r="C365" i="6" s="1"/>
  <c r="B367" i="6"/>
  <c r="F366" i="6"/>
  <c r="G366" i="6" s="1"/>
  <c r="E366" i="6"/>
  <c r="H14" i="19"/>
  <c r="I14" i="19" a="1"/>
  <c r="D366" i="6" l="1"/>
  <c r="C366" i="6" s="1"/>
  <c r="B368" i="6"/>
  <c r="F367" i="6"/>
  <c r="G367" i="6" s="1"/>
  <c r="E367" i="6"/>
  <c r="I14" i="19"/>
  <c r="J14" i="19" a="1"/>
  <c r="D367" i="6" l="1"/>
  <c r="C367" i="6" s="1"/>
  <c r="B369" i="6"/>
  <c r="F368" i="6"/>
  <c r="G368" i="6" s="1"/>
  <c r="E368" i="6"/>
  <c r="J14" i="19"/>
  <c r="O14" i="19"/>
  <c r="E14" i="19" a="1"/>
  <c r="D368" i="6" l="1"/>
  <c r="C368" i="6" s="1"/>
  <c r="B370" i="6"/>
  <c r="F369" i="6"/>
  <c r="G369" i="6" s="1"/>
  <c r="E369" i="6"/>
  <c r="E14" i="19"/>
  <c r="G15" i="19" a="1"/>
  <c r="D369" i="6" l="1"/>
  <c r="C369" i="6" s="1"/>
  <c r="B371" i="6"/>
  <c r="F370" i="6"/>
  <c r="G370" i="6" s="1"/>
  <c r="E370" i="6"/>
  <c r="G15" i="19"/>
  <c r="M15" i="19"/>
  <c r="H15" i="19" a="1"/>
  <c r="D370" i="6" l="1"/>
  <c r="C370" i="6" s="1"/>
  <c r="B372" i="6"/>
  <c r="F371" i="6"/>
  <c r="G371" i="6" s="1"/>
  <c r="E371" i="6"/>
  <c r="H15" i="19"/>
  <c r="I15" i="19" a="1"/>
  <c r="D371" i="6" l="1"/>
  <c r="C371" i="6" s="1"/>
  <c r="B373" i="6"/>
  <c r="F372" i="6"/>
  <c r="G372" i="6" s="1"/>
  <c r="E372" i="6"/>
  <c r="I15" i="19"/>
  <c r="J15" i="19" a="1"/>
  <c r="D372" i="6" l="1"/>
  <c r="C372" i="6" s="1"/>
  <c r="B374" i="6"/>
  <c r="F373" i="6"/>
  <c r="G373" i="6" s="1"/>
  <c r="E373" i="6"/>
  <c r="J15" i="19"/>
  <c r="O15" i="19"/>
  <c r="E15" i="19" a="1"/>
  <c r="D373" i="6" l="1"/>
  <c r="C373" i="6" s="1"/>
  <c r="B375" i="6"/>
  <c r="F374" i="6"/>
  <c r="G374" i="6" s="1"/>
  <c r="E374" i="6"/>
  <c r="E15" i="19"/>
  <c r="G16" i="19" a="1"/>
  <c r="D374" i="6" l="1"/>
  <c r="C374" i="6" s="1"/>
  <c r="B376" i="6"/>
  <c r="E375" i="6"/>
  <c r="F375" i="6"/>
  <c r="G375" i="6" s="1"/>
  <c r="G16" i="19"/>
  <c r="M16" i="19"/>
  <c r="H16" i="19" a="1"/>
  <c r="D375" i="6" l="1"/>
  <c r="C375" i="6" s="1"/>
  <c r="B377" i="6"/>
  <c r="F376" i="6"/>
  <c r="G376" i="6" s="1"/>
  <c r="E376" i="6"/>
  <c r="H16" i="19"/>
  <c r="I16" i="19" a="1"/>
  <c r="D376" i="6" l="1"/>
  <c r="C376" i="6" s="1"/>
  <c r="B378" i="6"/>
  <c r="F377" i="6"/>
  <c r="G377" i="6" s="1"/>
  <c r="E377" i="6"/>
  <c r="I16" i="19"/>
  <c r="J16" i="19" a="1"/>
  <c r="D377" i="6" l="1"/>
  <c r="C377" i="6" s="1"/>
  <c r="B379" i="6"/>
  <c r="F378" i="6"/>
  <c r="G378" i="6" s="1"/>
  <c r="E378" i="6"/>
  <c r="J16" i="19"/>
  <c r="O16" i="19"/>
  <c r="E16" i="19" a="1"/>
  <c r="D378" i="6" l="1"/>
  <c r="C378" i="6" s="1"/>
  <c r="B380" i="6"/>
  <c r="F379" i="6"/>
  <c r="G379" i="6" s="1"/>
  <c r="E379" i="6"/>
  <c r="E16" i="19"/>
  <c r="G17" i="19" a="1"/>
  <c r="D379" i="6" l="1"/>
  <c r="C379" i="6" s="1"/>
  <c r="B381" i="6"/>
  <c r="F380" i="6"/>
  <c r="G380" i="6" s="1"/>
  <c r="E380" i="6"/>
  <c r="G17" i="19"/>
  <c r="M17" i="19"/>
  <c r="H17" i="19" a="1"/>
  <c r="D380" i="6" l="1"/>
  <c r="C380" i="6" s="1"/>
  <c r="B382" i="6"/>
  <c r="F381" i="6"/>
  <c r="G381" i="6" s="1"/>
  <c r="E381" i="6"/>
  <c r="H17" i="19"/>
  <c r="I17" i="19" a="1"/>
  <c r="D381" i="6" l="1"/>
  <c r="C381" i="6" s="1"/>
  <c r="B383" i="6"/>
  <c r="F382" i="6"/>
  <c r="G382" i="6" s="1"/>
  <c r="E382" i="6"/>
  <c r="I17" i="19"/>
  <c r="J17" i="19" a="1"/>
  <c r="D382" i="6" l="1"/>
  <c r="C382" i="6" s="1"/>
  <c r="B384" i="6"/>
  <c r="F383" i="6"/>
  <c r="G383" i="6" s="1"/>
  <c r="E383" i="6"/>
  <c r="J17" i="19"/>
  <c r="O17" i="19"/>
  <c r="E17" i="19" a="1"/>
  <c r="D383" i="6" l="1"/>
  <c r="C383" i="6" s="1"/>
  <c r="B385" i="6"/>
  <c r="F384" i="6"/>
  <c r="G384" i="6" s="1"/>
  <c r="E384" i="6"/>
  <c r="E17" i="19"/>
  <c r="G18" i="19" a="1"/>
  <c r="D384" i="6" l="1"/>
  <c r="C384" i="6" s="1"/>
  <c r="F385" i="6"/>
  <c r="G385" i="6" s="1"/>
  <c r="B386" i="6"/>
  <c r="E385" i="6"/>
  <c r="G18" i="19"/>
  <c r="M18" i="19"/>
  <c r="H18" i="19" a="1"/>
  <c r="D385" i="6" l="1"/>
  <c r="C385" i="6" s="1"/>
  <c r="B387" i="6"/>
  <c r="F386" i="6"/>
  <c r="G386" i="6" s="1"/>
  <c r="E386" i="6"/>
  <c r="H18" i="19"/>
  <c r="I18" i="19" a="1"/>
  <c r="D386" i="6" l="1"/>
  <c r="C386" i="6" s="1"/>
  <c r="F387" i="6"/>
  <c r="G387" i="6" s="1"/>
  <c r="B388" i="6"/>
  <c r="E387" i="6"/>
  <c r="I18" i="19"/>
  <c r="J18" i="19" a="1"/>
  <c r="D387" i="6" l="1"/>
  <c r="C387" i="6" s="1"/>
  <c r="B389" i="6"/>
  <c r="F388" i="6"/>
  <c r="G388" i="6" s="1"/>
  <c r="E388" i="6"/>
  <c r="J18" i="19"/>
  <c r="O18" i="19"/>
  <c r="E18" i="19" a="1"/>
  <c r="D388" i="6" l="1"/>
  <c r="C388" i="6" s="1"/>
  <c r="F389" i="6"/>
  <c r="G389" i="6" s="1"/>
  <c r="B390" i="6"/>
  <c r="E389" i="6"/>
  <c r="E18" i="19"/>
  <c r="G19" i="19" a="1"/>
  <c r="D389" i="6" l="1"/>
  <c r="C389" i="6" s="1"/>
  <c r="B391" i="6"/>
  <c r="F390" i="6"/>
  <c r="G390" i="6" s="1"/>
  <c r="E390" i="6"/>
  <c r="G19" i="19"/>
  <c r="M19" i="19"/>
  <c r="H19" i="19" a="1"/>
  <c r="D390" i="6" l="1"/>
  <c r="C390" i="6" s="1"/>
  <c r="F391" i="6"/>
  <c r="G391" i="6" s="1"/>
  <c r="B392" i="6"/>
  <c r="E391" i="6"/>
  <c r="H19" i="19"/>
  <c r="I19" i="19" a="1"/>
  <c r="D391" i="6" l="1"/>
  <c r="C391" i="6" s="1"/>
  <c r="B393" i="6"/>
  <c r="F392" i="6"/>
  <c r="G392" i="6" s="1"/>
  <c r="E392" i="6"/>
  <c r="I19" i="19"/>
  <c r="J19" i="19" a="1"/>
  <c r="D392" i="6" l="1"/>
  <c r="C392" i="6" s="1"/>
  <c r="F393" i="6"/>
  <c r="G393" i="6" s="1"/>
  <c r="B394" i="6"/>
  <c r="E393" i="6"/>
  <c r="J19" i="19"/>
  <c r="O19" i="19"/>
  <c r="E19" i="19" a="1"/>
  <c r="D393" i="6" l="1"/>
  <c r="C393" i="6" s="1"/>
  <c r="B395" i="6"/>
  <c r="F394" i="6"/>
  <c r="G394" i="6" s="1"/>
  <c r="E394" i="6"/>
  <c r="E19" i="19"/>
  <c r="G20" i="19" a="1"/>
  <c r="D394" i="6" l="1"/>
  <c r="C394" i="6" s="1"/>
  <c r="F395" i="6"/>
  <c r="G395" i="6" s="1"/>
  <c r="B396" i="6"/>
  <c r="E395" i="6"/>
  <c r="G20" i="19"/>
  <c r="M20" i="19"/>
  <c r="H20" i="19" a="1"/>
  <c r="D395" i="6" l="1"/>
  <c r="C395" i="6" s="1"/>
  <c r="B397" i="6"/>
  <c r="F396" i="6"/>
  <c r="G396" i="6" s="1"/>
  <c r="E396" i="6"/>
  <c r="H20" i="19"/>
  <c r="I20" i="19" a="1"/>
  <c r="D396" i="6" l="1"/>
  <c r="C396" i="6" s="1"/>
  <c r="F397" i="6"/>
  <c r="G397" i="6" s="1"/>
  <c r="B398" i="6"/>
  <c r="E397" i="6"/>
  <c r="I20" i="19"/>
  <c r="J20" i="19" a="1"/>
  <c r="D397" i="6" l="1"/>
  <c r="C397" i="6" s="1"/>
  <c r="B399" i="6"/>
  <c r="F398" i="6"/>
  <c r="G398" i="6" s="1"/>
  <c r="E398" i="6"/>
  <c r="J20" i="19"/>
  <c r="O20" i="19"/>
  <c r="E20" i="19" a="1"/>
  <c r="D398" i="6" l="1"/>
  <c r="C398" i="6" s="1"/>
  <c r="F399" i="6"/>
  <c r="G399" i="6" s="1"/>
  <c r="B400" i="6"/>
  <c r="E399" i="6"/>
  <c r="E20" i="19"/>
  <c r="G21" i="19" a="1"/>
  <c r="D399" i="6" l="1"/>
  <c r="C399" i="6" s="1"/>
  <c r="B401" i="6"/>
  <c r="F400" i="6"/>
  <c r="G400" i="6" s="1"/>
  <c r="E400" i="6"/>
  <c r="G21" i="19"/>
  <c r="M21" i="19"/>
  <c r="H21" i="19" a="1"/>
  <c r="D400" i="6" l="1"/>
  <c r="C400" i="6" s="1"/>
  <c r="F401" i="6"/>
  <c r="G401" i="6" s="1"/>
  <c r="B402" i="6"/>
  <c r="E401" i="6"/>
  <c r="H21" i="19"/>
  <c r="I21" i="19" a="1"/>
  <c r="D401" i="6" l="1"/>
  <c r="C401" i="6" s="1"/>
  <c r="B403" i="6"/>
  <c r="F402" i="6"/>
  <c r="G402" i="6" s="1"/>
  <c r="E402" i="6"/>
  <c r="I21" i="19"/>
  <c r="J21" i="19" a="1"/>
  <c r="D402" i="6" l="1"/>
  <c r="C402" i="6" s="1"/>
  <c r="F403" i="6"/>
  <c r="G403" i="6" s="1"/>
  <c r="B404" i="6"/>
  <c r="E403" i="6"/>
  <c r="J21" i="19"/>
  <c r="O21" i="19"/>
  <c r="E21" i="19" a="1"/>
  <c r="D403" i="6" l="1"/>
  <c r="C403" i="6" s="1"/>
  <c r="B405" i="6"/>
  <c r="F404" i="6"/>
  <c r="G404" i="6" s="1"/>
  <c r="E404" i="6"/>
  <c r="E21" i="19"/>
  <c r="G22" i="19" a="1"/>
  <c r="D404" i="6" l="1"/>
  <c r="C404" i="6" s="1"/>
  <c r="F405" i="6"/>
  <c r="G405" i="6" s="1"/>
  <c r="B406" i="6"/>
  <c r="E405" i="6"/>
  <c r="G22" i="19"/>
  <c r="M22" i="19"/>
  <c r="H22" i="19" a="1"/>
  <c r="D405" i="6" l="1"/>
  <c r="C405" i="6" s="1"/>
  <c r="B407" i="6"/>
  <c r="F406" i="6"/>
  <c r="G406" i="6" s="1"/>
  <c r="E406" i="6"/>
  <c r="H22" i="19"/>
  <c r="I22" i="19" a="1"/>
  <c r="D406" i="6" l="1"/>
  <c r="C406" i="6" s="1"/>
  <c r="F407" i="6"/>
  <c r="G407" i="6" s="1"/>
  <c r="B408" i="6"/>
  <c r="E407" i="6"/>
  <c r="I22" i="19"/>
  <c r="J22" i="19" a="1"/>
  <c r="D407" i="6" l="1"/>
  <c r="C407" i="6" s="1"/>
  <c r="B409" i="6"/>
  <c r="F408" i="6"/>
  <c r="G408" i="6" s="1"/>
  <c r="E408" i="6"/>
  <c r="J22" i="19"/>
  <c r="O22" i="19"/>
  <c r="E22" i="19" a="1"/>
  <c r="D408" i="6" l="1"/>
  <c r="C408" i="6" s="1"/>
  <c r="F409" i="6"/>
  <c r="G409" i="6" s="1"/>
  <c r="B410" i="6"/>
  <c r="E409" i="6"/>
  <c r="E22" i="19"/>
  <c r="G23" i="19" a="1"/>
  <c r="D409" i="6" l="1"/>
  <c r="C409" i="6" s="1"/>
  <c r="B411" i="6"/>
  <c r="F410" i="6"/>
  <c r="G410" i="6" s="1"/>
  <c r="E410" i="6"/>
  <c r="G23" i="19"/>
  <c r="M23" i="19"/>
  <c r="H23" i="19" a="1"/>
  <c r="D410" i="6" l="1"/>
  <c r="C410" i="6" s="1"/>
  <c r="F411" i="6"/>
  <c r="G411" i="6" s="1"/>
  <c r="B412" i="6"/>
  <c r="E411" i="6"/>
  <c r="H23" i="19"/>
  <c r="I23" i="19" a="1"/>
  <c r="D411" i="6" l="1"/>
  <c r="C411" i="6" s="1"/>
  <c r="B413" i="6"/>
  <c r="F412" i="6"/>
  <c r="G412" i="6" s="1"/>
  <c r="E412" i="6"/>
  <c r="I23" i="19"/>
  <c r="J23" i="19" a="1"/>
  <c r="D412" i="6" l="1"/>
  <c r="C412" i="6" s="1"/>
  <c r="F413" i="6"/>
  <c r="G413" i="6" s="1"/>
  <c r="B414" i="6"/>
  <c r="E413" i="6"/>
  <c r="J23" i="19"/>
  <c r="O23" i="19"/>
  <c r="B24" i="19"/>
  <c r="E23" i="19" a="1"/>
  <c r="D413" i="6" l="1"/>
  <c r="C413" i="6" s="1"/>
  <c r="B415" i="6"/>
  <c r="F414" i="6"/>
  <c r="G414" i="6" s="1"/>
  <c r="E414" i="6"/>
  <c r="E23" i="19"/>
  <c r="G24" i="19" a="1"/>
  <c r="D414" i="6" l="1"/>
  <c r="C414" i="6" s="1"/>
  <c r="F415" i="6"/>
  <c r="G415" i="6" s="1"/>
  <c r="B416" i="6"/>
  <c r="E415" i="6"/>
  <c r="G24" i="19"/>
  <c r="M24" i="19"/>
  <c r="E24" i="19" a="1"/>
  <c r="H24" i="19" a="1"/>
  <c r="D415" i="6" l="1"/>
  <c r="C415" i="6" s="1"/>
  <c r="B417" i="6"/>
  <c r="F416" i="6"/>
  <c r="G416" i="6" s="1"/>
  <c r="E416" i="6"/>
  <c r="E24" i="19"/>
  <c r="H24" i="19"/>
  <c r="I24" i="19" a="1"/>
  <c r="D416" i="6" l="1"/>
  <c r="C416" i="6" s="1"/>
  <c r="F417" i="6"/>
  <c r="G417" i="6" s="1"/>
  <c r="B418" i="6"/>
  <c r="E417" i="6"/>
  <c r="I24" i="19"/>
  <c r="J24" i="19" a="1"/>
  <c r="D417" i="6" l="1"/>
  <c r="C417" i="6" s="1"/>
  <c r="B419" i="6"/>
  <c r="F418" i="6"/>
  <c r="G418" i="6" s="1"/>
  <c r="E418" i="6"/>
  <c r="J24" i="19"/>
  <c r="O24" i="19"/>
  <c r="B25" i="19"/>
  <c r="D418" i="6" l="1"/>
  <c r="C418" i="6" s="1"/>
  <c r="F419" i="6"/>
  <c r="G419" i="6" s="1"/>
  <c r="B420" i="6"/>
  <c r="E419" i="6"/>
  <c r="G25" i="19" a="1"/>
  <c r="D419" i="6" l="1"/>
  <c r="C419" i="6" s="1"/>
  <c r="B421" i="6"/>
  <c r="F420" i="6"/>
  <c r="G420" i="6" s="1"/>
  <c r="E420" i="6"/>
  <c r="G25" i="19"/>
  <c r="M25" i="19"/>
  <c r="E25" i="19" a="1"/>
  <c r="H25" i="19" a="1"/>
  <c r="D420" i="6" l="1"/>
  <c r="C420" i="6" s="1"/>
  <c r="F421" i="6"/>
  <c r="G421" i="6" s="1"/>
  <c r="B422" i="6"/>
  <c r="E421" i="6"/>
  <c r="E25" i="19"/>
  <c r="H25" i="19"/>
  <c r="I25" i="19" a="1"/>
  <c r="D421" i="6" l="1"/>
  <c r="C421" i="6" s="1"/>
  <c r="B423" i="6"/>
  <c r="F422" i="6"/>
  <c r="G422" i="6" s="1"/>
  <c r="E422" i="6"/>
  <c r="I25" i="19"/>
  <c r="J25" i="19" a="1"/>
  <c r="D422" i="6" l="1"/>
  <c r="C422" i="6" s="1"/>
  <c r="F423" i="6"/>
  <c r="G423" i="6" s="1"/>
  <c r="B424" i="6"/>
  <c r="E423" i="6"/>
  <c r="J25" i="19"/>
  <c r="O25" i="19"/>
  <c r="B26" i="19"/>
  <c r="D423" i="6" l="1"/>
  <c r="C423" i="6" s="1"/>
  <c r="B425" i="6"/>
  <c r="F424" i="6"/>
  <c r="G424" i="6" s="1"/>
  <c r="E424" i="6"/>
  <c r="G26" i="19" a="1"/>
  <c r="D424" i="6" l="1"/>
  <c r="C424" i="6" s="1"/>
  <c r="F425" i="6"/>
  <c r="G425" i="6" s="1"/>
  <c r="B426" i="6"/>
  <c r="E425" i="6"/>
  <c r="G26" i="19"/>
  <c r="M26" i="19"/>
  <c r="E26" i="19" a="1"/>
  <c r="H26" i="19" a="1"/>
  <c r="D425" i="6" l="1"/>
  <c r="C425" i="6" s="1"/>
  <c r="B427" i="6"/>
  <c r="F426" i="6"/>
  <c r="G426" i="6" s="1"/>
  <c r="E426" i="6"/>
  <c r="E26" i="19"/>
  <c r="H26" i="19"/>
  <c r="I26" i="19" a="1"/>
  <c r="D426" i="6" l="1"/>
  <c r="C426" i="6" s="1"/>
  <c r="F427" i="6"/>
  <c r="G427" i="6" s="1"/>
  <c r="B428" i="6"/>
  <c r="E427" i="6"/>
  <c r="I26" i="19"/>
  <c r="J26" i="19" a="1"/>
  <c r="D427" i="6" l="1"/>
  <c r="C427" i="6" s="1"/>
  <c r="B429" i="6"/>
  <c r="F428" i="6"/>
  <c r="G428" i="6" s="1"/>
  <c r="E428" i="6"/>
  <c r="J26" i="19"/>
  <c r="O26" i="19"/>
  <c r="B27" i="19"/>
  <c r="D428" i="6" l="1"/>
  <c r="C428" i="6" s="1"/>
  <c r="F429" i="6"/>
  <c r="G429" i="6" s="1"/>
  <c r="B430" i="6"/>
  <c r="E429" i="6"/>
  <c r="G27" i="19" a="1"/>
  <c r="D429" i="6" l="1"/>
  <c r="C429" i="6" s="1"/>
  <c r="B431" i="6"/>
  <c r="F430" i="6"/>
  <c r="G430" i="6" s="1"/>
  <c r="E430" i="6"/>
  <c r="G27" i="19"/>
  <c r="M27" i="19"/>
  <c r="E27" i="19" a="1"/>
  <c r="H27" i="19" a="1"/>
  <c r="D430" i="6" l="1"/>
  <c r="C430" i="6" s="1"/>
  <c r="F431" i="6"/>
  <c r="G431" i="6" s="1"/>
  <c r="B432" i="6"/>
  <c r="E431" i="6"/>
  <c r="E27" i="19"/>
  <c r="H27" i="19"/>
  <c r="I27" i="19" a="1"/>
  <c r="D431" i="6" l="1"/>
  <c r="C431" i="6" s="1"/>
  <c r="B433" i="6"/>
  <c r="F432" i="6"/>
  <c r="G432" i="6" s="1"/>
  <c r="E432" i="6"/>
  <c r="I27" i="19"/>
  <c r="J27" i="19" a="1"/>
  <c r="D432" i="6" l="1"/>
  <c r="C432" i="6" s="1"/>
  <c r="F433" i="6"/>
  <c r="G433" i="6" s="1"/>
  <c r="B434" i="6"/>
  <c r="E433" i="6"/>
  <c r="J27" i="19"/>
  <c r="O27" i="19"/>
  <c r="B28" i="19"/>
  <c r="D433" i="6" l="1"/>
  <c r="C433" i="6" s="1"/>
  <c r="B435" i="6"/>
  <c r="F434" i="6"/>
  <c r="G434" i="6" s="1"/>
  <c r="E434" i="6"/>
  <c r="G28" i="19" a="1"/>
  <c r="D434" i="6" l="1"/>
  <c r="C434" i="6" s="1"/>
  <c r="F435" i="6"/>
  <c r="G435" i="6" s="1"/>
  <c r="B436" i="6"/>
  <c r="E435" i="6"/>
  <c r="G28" i="19"/>
  <c r="M28" i="19"/>
  <c r="E28" i="19" a="1"/>
  <c r="H28" i="19" a="1"/>
  <c r="D435" i="6" l="1"/>
  <c r="C435" i="6" s="1"/>
  <c r="B437" i="6"/>
  <c r="F436" i="6"/>
  <c r="G436" i="6" s="1"/>
  <c r="E436" i="6"/>
  <c r="E28" i="19"/>
  <c r="H28" i="19"/>
  <c r="I28" i="19" a="1"/>
  <c r="D436" i="6" l="1"/>
  <c r="C436" i="6" s="1"/>
  <c r="F437" i="6"/>
  <c r="G437" i="6" s="1"/>
  <c r="B438" i="6"/>
  <c r="E437" i="6"/>
  <c r="I28" i="19"/>
  <c r="J28" i="19" a="1"/>
  <c r="D437" i="6" l="1"/>
  <c r="C437" i="6" s="1"/>
  <c r="B439" i="6"/>
  <c r="F438" i="6"/>
  <c r="G438" i="6" s="1"/>
  <c r="E438" i="6"/>
  <c r="J28" i="19"/>
  <c r="O28" i="19"/>
  <c r="B29" i="19"/>
  <c r="D438" i="6" l="1"/>
  <c r="C438" i="6" s="1"/>
  <c r="F439" i="6"/>
  <c r="G439" i="6" s="1"/>
  <c r="B440" i="6"/>
  <c r="E439" i="6"/>
  <c r="G29" i="19" a="1"/>
  <c r="D439" i="6" l="1"/>
  <c r="C439" i="6" s="1"/>
  <c r="B441" i="6"/>
  <c r="F440" i="6"/>
  <c r="G440" i="6" s="1"/>
  <c r="E440" i="6"/>
  <c r="G29" i="19"/>
  <c r="M29" i="19"/>
  <c r="E29" i="19" a="1"/>
  <c r="H29" i="19" a="1"/>
  <c r="D440" i="6" l="1"/>
  <c r="C440" i="6" s="1"/>
  <c r="F441" i="6"/>
  <c r="G441" i="6" s="1"/>
  <c r="B442" i="6"/>
  <c r="E441" i="6"/>
  <c r="E29" i="19"/>
  <c r="H29" i="19"/>
  <c r="I29" i="19" a="1"/>
  <c r="D441" i="6" l="1"/>
  <c r="C441" i="6" s="1"/>
  <c r="B443" i="6"/>
  <c r="F442" i="6"/>
  <c r="G442" i="6" s="1"/>
  <c r="E442" i="6"/>
  <c r="I29" i="19"/>
  <c r="J29" i="19" a="1"/>
  <c r="D442" i="6" l="1"/>
  <c r="C442" i="6" s="1"/>
  <c r="F443" i="6"/>
  <c r="G443" i="6" s="1"/>
  <c r="B444" i="6"/>
  <c r="E443" i="6"/>
  <c r="J29" i="19"/>
  <c r="O29" i="19"/>
  <c r="B30" i="19"/>
  <c r="D443" i="6" l="1"/>
  <c r="C443" i="6" s="1"/>
  <c r="B445" i="6"/>
  <c r="F444" i="6"/>
  <c r="G444" i="6" s="1"/>
  <c r="E444" i="6"/>
  <c r="G30" i="19" a="1"/>
  <c r="D444" i="6" l="1"/>
  <c r="C444" i="6" s="1"/>
  <c r="F445" i="6"/>
  <c r="G445" i="6" s="1"/>
  <c r="B446" i="6"/>
  <c r="E445" i="6"/>
  <c r="G30" i="19"/>
  <c r="M30" i="19"/>
  <c r="E30" i="19" a="1"/>
  <c r="H30" i="19" a="1"/>
  <c r="D445" i="6" l="1"/>
  <c r="C445" i="6" s="1"/>
  <c r="B447" i="6"/>
  <c r="F446" i="6"/>
  <c r="G446" i="6" s="1"/>
  <c r="E446" i="6"/>
  <c r="E30" i="19"/>
  <c r="H30" i="19"/>
  <c r="I30" i="19" a="1"/>
  <c r="D446" i="6" l="1"/>
  <c r="C446" i="6" s="1"/>
  <c r="F447" i="6"/>
  <c r="G447" i="6" s="1"/>
  <c r="B448" i="6"/>
  <c r="E447" i="6"/>
  <c r="I30" i="19"/>
  <c r="J30" i="19" a="1"/>
  <c r="D447" i="6" l="1"/>
  <c r="C447" i="6" s="1"/>
  <c r="B449" i="6"/>
  <c r="F448" i="6"/>
  <c r="G448" i="6" s="1"/>
  <c r="E448" i="6"/>
  <c r="J30" i="19"/>
  <c r="O30" i="19"/>
  <c r="B31" i="19"/>
  <c r="D448" i="6" l="1"/>
  <c r="C448" i="6" s="1"/>
  <c r="F449" i="6"/>
  <c r="G449" i="6" s="1"/>
  <c r="B450" i="6"/>
  <c r="E449" i="6"/>
  <c r="G31" i="19" a="1"/>
  <c r="D449" i="6" l="1"/>
  <c r="C449" i="6" s="1"/>
  <c r="B451" i="6"/>
  <c r="F450" i="6"/>
  <c r="G450" i="6" s="1"/>
  <c r="E450" i="6"/>
  <c r="G31" i="19"/>
  <c r="M31" i="19"/>
  <c r="E31" i="19" a="1"/>
  <c r="H31" i="19" a="1"/>
  <c r="D450" i="6" l="1"/>
  <c r="C450" i="6" s="1"/>
  <c r="F451" i="6"/>
  <c r="G451" i="6" s="1"/>
  <c r="B452" i="6"/>
  <c r="E451" i="6"/>
  <c r="E31" i="19"/>
  <c r="H31" i="19"/>
  <c r="I31" i="19" a="1"/>
  <c r="D451" i="6" l="1"/>
  <c r="C451" i="6" s="1"/>
  <c r="B453" i="6"/>
  <c r="F452" i="6"/>
  <c r="G452" i="6" s="1"/>
  <c r="E452" i="6"/>
  <c r="I31" i="19"/>
  <c r="J31" i="19" a="1"/>
  <c r="D452" i="6" l="1"/>
  <c r="C452" i="6" s="1"/>
  <c r="F453" i="6"/>
  <c r="G453" i="6" s="1"/>
  <c r="B454" i="6"/>
  <c r="E453" i="6"/>
  <c r="J31" i="19"/>
  <c r="O31" i="19"/>
  <c r="B32" i="19"/>
  <c r="D453" i="6" l="1"/>
  <c r="C453" i="6" s="1"/>
  <c r="B455" i="6"/>
  <c r="F454" i="6"/>
  <c r="G454" i="6" s="1"/>
  <c r="E454" i="6"/>
  <c r="G32" i="19" a="1"/>
  <c r="D454" i="6" l="1"/>
  <c r="C454" i="6" s="1"/>
  <c r="F455" i="6"/>
  <c r="G455" i="6" s="1"/>
  <c r="B456" i="6"/>
  <c r="E455" i="6"/>
  <c r="G32" i="19"/>
  <c r="M32" i="19"/>
  <c r="E32" i="19" a="1"/>
  <c r="H32" i="19" a="1"/>
  <c r="D455" i="6" l="1"/>
  <c r="C455" i="6" s="1"/>
  <c r="B457" i="6"/>
  <c r="F456" i="6"/>
  <c r="G456" i="6" s="1"/>
  <c r="E456" i="6"/>
  <c r="E32" i="19"/>
  <c r="H32" i="19"/>
  <c r="I32" i="19" a="1"/>
  <c r="D456" i="6" l="1"/>
  <c r="C456" i="6" s="1"/>
  <c r="F457" i="6"/>
  <c r="G457" i="6" s="1"/>
  <c r="B458" i="6"/>
  <c r="E457" i="6"/>
  <c r="I32" i="19"/>
  <c r="J32" i="19" a="1"/>
  <c r="D457" i="6" l="1"/>
  <c r="C457" i="6" s="1"/>
  <c r="B459" i="6"/>
  <c r="F458" i="6"/>
  <c r="G458" i="6" s="1"/>
  <c r="E458" i="6"/>
  <c r="J32" i="19"/>
  <c r="O32" i="19"/>
  <c r="B33" i="19"/>
  <c r="D458" i="6" l="1"/>
  <c r="C458" i="6" s="1"/>
  <c r="F459" i="6"/>
  <c r="G459" i="6" s="1"/>
  <c r="B460" i="6"/>
  <c r="E459" i="6"/>
  <c r="G33" i="19" a="1"/>
  <c r="D459" i="6" l="1"/>
  <c r="C459" i="6" s="1"/>
  <c r="B461" i="6"/>
  <c r="F460" i="6"/>
  <c r="G460" i="6" s="1"/>
  <c r="E460" i="6"/>
  <c r="G33" i="19"/>
  <c r="M33" i="19"/>
  <c r="E33" i="19" a="1"/>
  <c r="H33" i="19" a="1"/>
  <c r="D460" i="6" l="1"/>
  <c r="C460" i="6" s="1"/>
  <c r="F461" i="6"/>
  <c r="G461" i="6" s="1"/>
  <c r="E461" i="6"/>
  <c r="B462" i="6"/>
  <c r="E33" i="19"/>
  <c r="H33" i="19"/>
  <c r="I33" i="19" a="1"/>
  <c r="D461" i="6" l="1"/>
  <c r="C461" i="6" s="1"/>
  <c r="B463" i="6"/>
  <c r="F462" i="6"/>
  <c r="G462" i="6" s="1"/>
  <c r="E462" i="6"/>
  <c r="I33" i="19"/>
  <c r="J33" i="19" a="1"/>
  <c r="D462" i="6" l="1"/>
  <c r="C462" i="6" s="1"/>
  <c r="F463" i="6"/>
  <c r="G463" i="6" s="1"/>
  <c r="E463" i="6"/>
  <c r="B464" i="6"/>
  <c r="J33" i="19"/>
  <c r="O33" i="19"/>
  <c r="B34" i="19"/>
  <c r="D463" i="6" l="1"/>
  <c r="C463" i="6" s="1"/>
  <c r="B465" i="6"/>
  <c r="F464" i="6"/>
  <c r="G464" i="6" s="1"/>
  <c r="E464" i="6"/>
  <c r="G34" i="19" a="1"/>
  <c r="D464" i="6" l="1"/>
  <c r="C464" i="6" s="1"/>
  <c r="F465" i="6"/>
  <c r="G465" i="6" s="1"/>
  <c r="E465" i="6"/>
  <c r="B466" i="6"/>
  <c r="G34" i="19"/>
  <c r="M34" i="19"/>
  <c r="E34" i="19" a="1"/>
  <c r="H34" i="19" a="1"/>
  <c r="D465" i="6" l="1"/>
  <c r="C465" i="6" s="1"/>
  <c r="B467" i="6"/>
  <c r="F466" i="6"/>
  <c r="G466" i="6" s="1"/>
  <c r="E466" i="6"/>
  <c r="E34" i="19"/>
  <c r="H34" i="19"/>
  <c r="I34" i="19" a="1"/>
  <c r="D466" i="6" l="1"/>
  <c r="C466" i="6" s="1"/>
  <c r="F467" i="6"/>
  <c r="G467" i="6" s="1"/>
  <c r="E467" i="6"/>
  <c r="B468" i="6"/>
  <c r="I34" i="19"/>
  <c r="J34" i="19" a="1"/>
  <c r="D467" i="6" l="1"/>
  <c r="C467" i="6" s="1"/>
  <c r="B469" i="6"/>
  <c r="F468" i="6"/>
  <c r="G468" i="6" s="1"/>
  <c r="E468" i="6"/>
  <c r="J34" i="19"/>
  <c r="O34" i="19"/>
  <c r="B35" i="19"/>
  <c r="D468" i="6" l="1"/>
  <c r="C468" i="6" s="1"/>
  <c r="F469" i="6"/>
  <c r="G469" i="6" s="1"/>
  <c r="E469" i="6"/>
  <c r="B470" i="6"/>
  <c r="G35" i="19" a="1"/>
  <c r="D469" i="6" l="1"/>
  <c r="C469" i="6" s="1"/>
  <c r="B471" i="6"/>
  <c r="F470" i="6"/>
  <c r="G470" i="6" s="1"/>
  <c r="E470" i="6"/>
  <c r="G35" i="19"/>
  <c r="M35" i="19"/>
  <c r="E35" i="19" a="1"/>
  <c r="H35" i="19" a="1"/>
  <c r="D470" i="6" l="1"/>
  <c r="C470" i="6" s="1"/>
  <c r="F471" i="6"/>
  <c r="G471" i="6" s="1"/>
  <c r="E471" i="6"/>
  <c r="B472" i="6"/>
  <c r="E35" i="19"/>
  <c r="H35" i="19"/>
  <c r="I35" i="19" a="1"/>
  <c r="D471" i="6" l="1"/>
  <c r="C471" i="6" s="1"/>
  <c r="B473" i="6"/>
  <c r="F472" i="6"/>
  <c r="G472" i="6" s="1"/>
  <c r="E472" i="6"/>
  <c r="I35" i="19"/>
  <c r="J35" i="19" a="1"/>
  <c r="D472" i="6" l="1"/>
  <c r="C472" i="6" s="1"/>
  <c r="F473" i="6"/>
  <c r="G473" i="6" s="1"/>
  <c r="E473" i="6"/>
  <c r="B474" i="6"/>
  <c r="J35" i="19"/>
  <c r="O35" i="19"/>
  <c r="D473" i="6" l="1"/>
  <c r="C473" i="6" s="1"/>
  <c r="B475" i="6"/>
  <c r="F474" i="6"/>
  <c r="G474" i="6" s="1"/>
  <c r="E474" i="6"/>
  <c r="G36" i="19" a="1"/>
  <c r="D474" i="6" l="1"/>
  <c r="C474" i="6" s="1"/>
  <c r="F475" i="6"/>
  <c r="G475" i="6" s="1"/>
  <c r="E475" i="6"/>
  <c r="B476" i="6"/>
  <c r="G36" i="19"/>
  <c r="M36" i="19"/>
  <c r="E36" i="19" a="1"/>
  <c r="H36" i="19" a="1"/>
  <c r="D475" i="6" l="1"/>
  <c r="C475" i="6" s="1"/>
  <c r="B477" i="6"/>
  <c r="F476" i="6"/>
  <c r="G476" i="6" s="1"/>
  <c r="E476" i="6"/>
  <c r="E36" i="19"/>
  <c r="H36" i="19"/>
  <c r="I36" i="19" a="1"/>
  <c r="D476" i="6" l="1"/>
  <c r="C476" i="6" s="1"/>
  <c r="F477" i="6"/>
  <c r="G477" i="6" s="1"/>
  <c r="E477" i="6"/>
  <c r="B478" i="6"/>
  <c r="I36" i="19"/>
  <c r="J36" i="19" a="1"/>
  <c r="D477" i="6" l="1"/>
  <c r="C477" i="6" s="1"/>
  <c r="B479" i="6"/>
  <c r="F478" i="6"/>
  <c r="G478" i="6" s="1"/>
  <c r="E478" i="6"/>
  <c r="J36" i="19"/>
  <c r="O36" i="19"/>
  <c r="D478" i="6" l="1"/>
  <c r="C478" i="6" s="1"/>
  <c r="F479" i="6"/>
  <c r="G479" i="6" s="1"/>
  <c r="E479" i="6"/>
  <c r="B480" i="6"/>
  <c r="G37" i="19" a="1"/>
  <c r="D479" i="6" l="1"/>
  <c r="C479" i="6" s="1"/>
  <c r="B481" i="6"/>
  <c r="F480" i="6"/>
  <c r="G480" i="6" s="1"/>
  <c r="E480" i="6"/>
  <c r="G37" i="19"/>
  <c r="M37" i="19"/>
  <c r="E37" i="19" a="1"/>
  <c r="H37" i="19" a="1"/>
  <c r="D480" i="6" l="1"/>
  <c r="C480" i="6" s="1"/>
  <c r="F481" i="6"/>
  <c r="G481" i="6" s="1"/>
  <c r="E481" i="6"/>
  <c r="B482" i="6"/>
  <c r="E37" i="19"/>
  <c r="H37" i="19"/>
  <c r="I37" i="19" a="1"/>
  <c r="D481" i="6" l="1"/>
  <c r="C481" i="6" s="1"/>
  <c r="B483" i="6"/>
  <c r="F482" i="6"/>
  <c r="G482" i="6" s="1"/>
  <c r="E482" i="6"/>
  <c r="I37" i="19"/>
  <c r="J37" i="19" a="1"/>
  <c r="D482" i="6" l="1"/>
  <c r="C482" i="6" s="1"/>
  <c r="F483" i="6"/>
  <c r="G483" i="6" s="1"/>
  <c r="E483" i="6"/>
  <c r="B484" i="6"/>
  <c r="J37" i="19"/>
  <c r="O37" i="19"/>
  <c r="D483" i="6" l="1"/>
  <c r="C483" i="6" s="1"/>
  <c r="B485" i="6"/>
  <c r="F484" i="6"/>
  <c r="G484" i="6" s="1"/>
  <c r="E484" i="6"/>
  <c r="G38" i="19" a="1"/>
  <c r="D484" i="6" l="1"/>
  <c r="C484" i="6" s="1"/>
  <c r="F485" i="6"/>
  <c r="G485" i="6" s="1"/>
  <c r="E485" i="6"/>
  <c r="B486" i="6"/>
  <c r="G38" i="19"/>
  <c r="M38" i="19" s="1"/>
  <c r="E38" i="19" a="1"/>
  <c r="H38" i="19" a="1"/>
  <c r="D485" i="6" l="1"/>
  <c r="C485" i="6" s="1"/>
  <c r="B487" i="6"/>
  <c r="F486" i="6"/>
  <c r="G486" i="6" s="1"/>
  <c r="E486" i="6"/>
  <c r="E38" i="19"/>
  <c r="H38" i="19"/>
  <c r="I38" i="19" a="1"/>
  <c r="D486" i="6" l="1"/>
  <c r="C486" i="6" s="1"/>
  <c r="F487" i="6"/>
  <c r="G487" i="6" s="1"/>
  <c r="E487" i="6"/>
  <c r="B488" i="6"/>
  <c r="I38" i="19"/>
  <c r="J38" i="19" a="1"/>
  <c r="D487" i="6" l="1"/>
  <c r="C487" i="6" s="1"/>
  <c r="B489" i="6"/>
  <c r="F488" i="6"/>
  <c r="G488" i="6" s="1"/>
  <c r="E488" i="6"/>
  <c r="J38" i="19"/>
  <c r="O38" i="19"/>
  <c r="D488" i="6" l="1"/>
  <c r="C488" i="6" s="1"/>
  <c r="F489" i="6"/>
  <c r="G489" i="6" s="1"/>
  <c r="E489" i="6"/>
  <c r="B490" i="6"/>
  <c r="G39" i="19" a="1"/>
  <c r="D489" i="6" l="1"/>
  <c r="C489" i="6" s="1"/>
  <c r="B491" i="6"/>
  <c r="F490" i="6"/>
  <c r="G490" i="6" s="1"/>
  <c r="E490" i="6"/>
  <c r="G39" i="19"/>
  <c r="M39" i="19" s="1"/>
  <c r="E39" i="19" a="1"/>
  <c r="H39" i="19" a="1"/>
  <c r="D490" i="6" l="1"/>
  <c r="C490" i="6" s="1"/>
  <c r="F491" i="6"/>
  <c r="G491" i="6" s="1"/>
  <c r="E491" i="6"/>
  <c r="B492" i="6"/>
  <c r="E39" i="19"/>
  <c r="H39" i="19"/>
  <c r="I39" i="19" a="1"/>
  <c r="D491" i="6" l="1"/>
  <c r="C491" i="6" s="1"/>
  <c r="B493" i="6"/>
  <c r="F492" i="6"/>
  <c r="G492" i="6" s="1"/>
  <c r="E492" i="6"/>
  <c r="I39" i="19"/>
  <c r="J39" i="19" a="1"/>
  <c r="D492" i="6" l="1"/>
  <c r="C492" i="6" s="1"/>
  <c r="F493" i="6"/>
  <c r="G493" i="6" s="1"/>
  <c r="E493" i="6"/>
  <c r="B494" i="6"/>
  <c r="J39" i="19"/>
  <c r="O39" i="19"/>
  <c r="D493" i="6" l="1"/>
  <c r="C493" i="6" s="1"/>
  <c r="B495" i="6"/>
  <c r="F494" i="6"/>
  <c r="G494" i="6" s="1"/>
  <c r="E494" i="6"/>
  <c r="G40" i="19" a="1"/>
  <c r="D494" i="6" l="1"/>
  <c r="C494" i="6" s="1"/>
  <c r="F495" i="6"/>
  <c r="G495" i="6" s="1"/>
  <c r="E495" i="6"/>
  <c r="B496" i="6"/>
  <c r="G40" i="19"/>
  <c r="M40" i="19"/>
  <c r="E40" i="19" a="1"/>
  <c r="H40" i="19" a="1"/>
  <c r="D495" i="6" l="1"/>
  <c r="C495" i="6" s="1"/>
  <c r="B497" i="6"/>
  <c r="F496" i="6"/>
  <c r="G496" i="6" s="1"/>
  <c r="E496" i="6"/>
  <c r="E40" i="19"/>
  <c r="H40" i="19"/>
  <c r="I40" i="19" a="1"/>
  <c r="D496" i="6" l="1"/>
  <c r="C496" i="6" s="1"/>
  <c r="F497" i="6"/>
  <c r="G497" i="6" s="1"/>
  <c r="E497" i="6"/>
  <c r="B498" i="6"/>
  <c r="I40" i="19"/>
  <c r="J40" i="19" a="1"/>
  <c r="D497" i="6" l="1"/>
  <c r="C497" i="6" s="1"/>
  <c r="B499" i="6"/>
  <c r="F498" i="6"/>
  <c r="G498" i="6" s="1"/>
  <c r="E498" i="6"/>
  <c r="J40" i="19"/>
  <c r="O40" i="19"/>
  <c r="D498" i="6" l="1"/>
  <c r="C498" i="6" s="1"/>
  <c r="F499" i="6"/>
  <c r="G499" i="6" s="1"/>
  <c r="E499" i="6"/>
  <c r="B500" i="6"/>
  <c r="G41" i="19" a="1"/>
  <c r="D499" i="6" l="1"/>
  <c r="C499" i="6" s="1"/>
  <c r="B501" i="6"/>
  <c r="F500" i="6"/>
  <c r="G500" i="6" s="1"/>
  <c r="E500" i="6"/>
  <c r="G41" i="19"/>
  <c r="M41" i="19"/>
  <c r="E41" i="19" a="1"/>
  <c r="H41" i="19" a="1"/>
  <c r="D500" i="6" l="1"/>
  <c r="C500" i="6" s="1"/>
  <c r="F501" i="6"/>
  <c r="G501" i="6" s="1"/>
  <c r="D501" i="6" s="1"/>
  <c r="C501" i="6" s="1"/>
  <c r="E501" i="6"/>
  <c r="E41" i="19"/>
  <c r="H41" i="19"/>
  <c r="I41" i="19" a="1"/>
  <c r="I41" i="19" l="1"/>
  <c r="L3" i="19" a="1"/>
  <c r="L6" i="19" a="1"/>
  <c r="L4" i="19" a="1"/>
  <c r="J41" i="19" a="1"/>
  <c r="L3" i="19" l="1"/>
  <c r="L6" i="19"/>
  <c r="L4" i="19"/>
  <c r="J41" i="19"/>
  <c r="O41" i="19"/>
  <c r="G42" i="19" a="1"/>
  <c r="G42" i="19" l="1"/>
  <c r="M42" i="19" s="1"/>
  <c r="H42" i="19" a="1"/>
  <c r="E42" i="19" l="1" a="1"/>
  <c r="E42" i="19" s="1"/>
  <c r="H42" i="19"/>
  <c r="I42" i="19" a="1"/>
  <c r="I42" i="19" l="1"/>
  <c r="J42" i="19" a="1"/>
  <c r="J42" i="19" l="1"/>
  <c r="O42" i="19"/>
  <c r="G43" i="19" a="1"/>
  <c r="G43" i="19" l="1"/>
  <c r="M43" i="19" s="1"/>
  <c r="H43" i="19" a="1"/>
  <c r="E43" i="19" l="1" a="1"/>
  <c r="E43" i="19" s="1"/>
  <c r="H43" i="19"/>
  <c r="I43" i="19" a="1"/>
  <c r="I43" i="19" l="1"/>
  <c r="J43" i="19" a="1"/>
  <c r="J43" i="19" l="1"/>
  <c r="O43" i="19"/>
  <c r="G44" i="19" a="1"/>
  <c r="G44" i="19" l="1"/>
  <c r="M44" i="19" s="1"/>
  <c r="E44" i="19" a="1"/>
  <c r="H44" i="19" a="1"/>
  <c r="E44" i="19" l="1"/>
  <c r="H44" i="19"/>
  <c r="I44" i="19" a="1"/>
  <c r="I44" i="19" l="1"/>
  <c r="J44" i="19" a="1"/>
  <c r="J44" i="19" l="1"/>
  <c r="O44" i="19"/>
  <c r="G45" i="19" a="1"/>
  <c r="G45" i="19" l="1"/>
  <c r="M45" i="19" s="1"/>
  <c r="H45" i="19" a="1"/>
  <c r="H45" i="19" l="1"/>
  <c r="E45" i="19" a="1"/>
  <c r="I45" i="19" a="1"/>
  <c r="E45" i="19" l="1"/>
  <c r="I45" i="19"/>
  <c r="J45" i="19" a="1"/>
  <c r="J45" i="19" l="1"/>
  <c r="O45" i="19"/>
  <c r="G46" i="19" a="1"/>
  <c r="G46" i="19" l="1"/>
  <c r="M46" i="19" s="1"/>
  <c r="H46" i="19" a="1"/>
  <c r="H46" i="19" l="1"/>
  <c r="E46" i="19" a="1"/>
  <c r="I46" i="19" a="1"/>
  <c r="E46" i="19" l="1"/>
  <c r="I46" i="19"/>
  <c r="J46" i="19" a="1"/>
  <c r="J46" i="19" l="1"/>
  <c r="O46" i="19"/>
  <c r="O47" i="19" l="1"/>
  <c r="G47" i="19" a="1"/>
  <c r="H47" i="19" a="1"/>
  <c r="J47" i="19" a="1"/>
  <c r="J47" i="19" l="1"/>
  <c r="H47" i="19"/>
  <c r="G47" i="19"/>
  <c r="M47" i="19" s="1"/>
  <c r="O48" i="19"/>
  <c r="E47" i="19" a="1"/>
  <c r="H48" i="19" a="1"/>
  <c r="J48" i="19" a="1"/>
  <c r="G48" i="19" a="1"/>
  <c r="I47" i="19" a="1"/>
  <c r="E47" i="19" l="1"/>
  <c r="I47" i="19"/>
  <c r="G48" i="19"/>
  <c r="M48" i="19" s="1"/>
  <c r="J48" i="19"/>
  <c r="H48" i="19"/>
  <c r="I48" i="19" a="1"/>
  <c r="J49" i="19" a="1"/>
  <c r="H49" i="19" a="1"/>
  <c r="G49" i="19" a="1"/>
  <c r="E48" i="19" a="1"/>
  <c r="E48" i="19" l="1"/>
  <c r="G49" i="19"/>
  <c r="M49" i="19" s="1"/>
  <c r="H49" i="19"/>
  <c r="J49" i="19"/>
  <c r="I48" i="19"/>
  <c r="O49" i="19"/>
  <c r="O50" i="19"/>
  <c r="J50" i="19" a="1"/>
  <c r="I49" i="19" a="1"/>
  <c r="E49" i="19" a="1"/>
  <c r="G50" i="19" a="1"/>
  <c r="H50" i="19" a="1"/>
  <c r="H50" i="19" l="1"/>
  <c r="G50" i="19"/>
  <c r="M50" i="19" s="1"/>
  <c r="E49" i="19"/>
  <c r="I49" i="19"/>
  <c r="J50" i="19"/>
  <c r="I50" i="19" a="1"/>
  <c r="G51" i="19" a="1"/>
  <c r="H51" i="19" a="1"/>
  <c r="J51" i="19" a="1"/>
  <c r="J51" i="19" l="1"/>
  <c r="H51" i="19"/>
  <c r="G51" i="19"/>
  <c r="M51" i="19" s="1"/>
  <c r="I50" i="19"/>
  <c r="O51" i="19"/>
  <c r="O52" i="19"/>
  <c r="G52" i="19" a="1"/>
  <c r="H52" i="19" a="1"/>
  <c r="E50" i="19" a="1"/>
  <c r="E51" i="19" a="1"/>
  <c r="I51" i="19" a="1"/>
  <c r="J52" i="19" a="1"/>
  <c r="J52" i="19" l="1"/>
  <c r="I51" i="19"/>
  <c r="E51" i="19"/>
  <c r="E50" i="19"/>
  <c r="H52" i="19"/>
  <c r="G52" i="19"/>
  <c r="O53" i="19"/>
  <c r="J53" i="19" a="1"/>
  <c r="I52" i="19" a="1"/>
  <c r="G53" i="19" a="1"/>
  <c r="H53" i="19" a="1"/>
  <c r="E52" i="19" l="1" a="1"/>
  <c r="E52" i="19" s="1"/>
  <c r="P52" i="19" s="1"/>
  <c r="M52" i="19"/>
  <c r="H53" i="19"/>
  <c r="G53" i="19"/>
  <c r="M53" i="19" s="1"/>
  <c r="I52" i="19"/>
  <c r="J53" i="19"/>
  <c r="O54" i="19"/>
  <c r="G54" i="19" a="1"/>
  <c r="G54" i="19" s="1"/>
  <c r="M54" i="19" s="1"/>
  <c r="H54" i="19" a="1"/>
  <c r="H54" i="19" s="1"/>
  <c r="I54" i="19" a="1"/>
  <c r="I54" i="19" s="1"/>
  <c r="J54" i="19" a="1"/>
  <c r="J54" i="19" s="1"/>
  <c r="I53" i="19" a="1"/>
  <c r="E53" i="19" l="1" a="1"/>
  <c r="E53" i="19" s="1"/>
  <c r="P53" i="19" s="1"/>
  <c r="I53" i="19"/>
  <c r="E54" i="19" a="1"/>
  <c r="E54" i="19" s="1"/>
  <c r="P54" i="19" s="1"/>
  <c r="O55" i="19"/>
  <c r="G55" i="19" a="1"/>
  <c r="G55" i="19" s="1"/>
  <c r="M55" i="19" s="1"/>
  <c r="H55" i="19" a="1"/>
  <c r="H55" i="19" s="1"/>
  <c r="I55" i="19" a="1"/>
  <c r="I55" i="19" s="1"/>
  <c r="J55" i="19" a="1"/>
  <c r="J55" i="19" s="1"/>
  <c r="E55" i="19" l="1" a="1"/>
  <c r="E55" i="19" s="1"/>
  <c r="P55" i="19" s="1"/>
  <c r="O56" i="19"/>
  <c r="G56" i="19" a="1"/>
  <c r="G56" i="19" s="1"/>
  <c r="M56" i="19" s="1"/>
  <c r="H56" i="19" a="1"/>
  <c r="H56" i="19" s="1"/>
  <c r="I56" i="19" a="1"/>
  <c r="I56" i="19" s="1"/>
  <c r="J56" i="19" a="1"/>
  <c r="J56" i="19" s="1"/>
  <c r="E56" i="19" l="1" a="1"/>
  <c r="E56" i="19" s="1"/>
  <c r="O57" i="19"/>
  <c r="G57" i="19" a="1"/>
  <c r="G57" i="19" s="1"/>
  <c r="M57" i="19" s="1"/>
  <c r="H57" i="19" a="1"/>
  <c r="H57" i="19" s="1"/>
  <c r="I57" i="19" a="1"/>
  <c r="I57" i="19" s="1"/>
  <c r="J57" i="19" a="1"/>
  <c r="J57" i="19" s="1"/>
  <c r="P56" i="19" l="1"/>
  <c r="E57" i="19" a="1"/>
  <c r="E57" i="19" s="1"/>
  <c r="P57" i="19" s="1"/>
  <c r="O58" i="19"/>
  <c r="G58" i="19" a="1"/>
  <c r="G58" i="19" s="1"/>
  <c r="M58" i="19" s="1"/>
  <c r="H58" i="19" a="1"/>
  <c r="H58" i="19" s="1"/>
  <c r="I58" i="19" a="1"/>
  <c r="I58" i="19" s="1"/>
  <c r="J58" i="19" a="1"/>
  <c r="J58" i="19" s="1"/>
  <c r="E58" i="19" l="1" a="1"/>
  <c r="E58" i="19" s="1"/>
  <c r="O59" i="19"/>
  <c r="G59" i="19" a="1"/>
  <c r="G59" i="19" s="1"/>
  <c r="M59" i="19" s="1"/>
  <c r="H59" i="19" a="1"/>
  <c r="H59" i="19" s="1"/>
  <c r="I59" i="19" a="1"/>
  <c r="I59" i="19" s="1"/>
  <c r="J59" i="19" a="1"/>
  <c r="J59" i="19" s="1"/>
  <c r="P58" i="19" l="1"/>
  <c r="E59" i="19" a="1"/>
  <c r="E59" i="19" s="1"/>
  <c r="P59" i="19" s="1"/>
  <c r="O60" i="19"/>
  <c r="G60" i="19" a="1"/>
  <c r="G60" i="19" s="1"/>
  <c r="M60" i="19" s="1"/>
  <c r="H60" i="19" a="1"/>
  <c r="H60" i="19" s="1"/>
  <c r="I60" i="19" a="1"/>
  <c r="I60" i="19" s="1"/>
  <c r="J60" i="19" a="1"/>
  <c r="J60" i="19" s="1"/>
  <c r="E60" i="19" l="1" a="1"/>
  <c r="E60" i="19" s="1"/>
  <c r="P60" i="19" s="1"/>
  <c r="O61" i="19"/>
  <c r="G61" i="19" a="1"/>
  <c r="G61" i="19" s="1"/>
  <c r="M61" i="19" s="1"/>
  <c r="H61" i="19" a="1"/>
  <c r="H61" i="19" s="1"/>
  <c r="I61" i="19" a="1"/>
  <c r="I61" i="19" s="1"/>
  <c r="J61" i="19" a="1"/>
  <c r="J61" i="19" s="1"/>
  <c r="E61" i="19" l="1" a="1"/>
  <c r="E61" i="19" s="1"/>
  <c r="P61" i="19" s="1"/>
  <c r="O62" i="19"/>
  <c r="G62" i="19" a="1"/>
  <c r="G62" i="19" s="1"/>
  <c r="M62" i="19" s="1"/>
  <c r="H62" i="19" a="1"/>
  <c r="H62" i="19" s="1"/>
  <c r="I62" i="19" a="1"/>
  <c r="I62" i="19" s="1"/>
  <c r="J62" i="19" a="1"/>
  <c r="J62" i="19" s="1"/>
  <c r="E62" i="19" l="1" a="1"/>
  <c r="E62" i="19" s="1"/>
  <c r="P62" i="19" s="1"/>
  <c r="O63" i="19"/>
  <c r="G63" i="19" a="1"/>
  <c r="G63" i="19" s="1"/>
  <c r="M63" i="19" s="1"/>
  <c r="H63" i="19" a="1"/>
  <c r="H63" i="19" s="1"/>
  <c r="I63" i="19" a="1"/>
  <c r="I63" i="19" s="1"/>
  <c r="J63" i="19" a="1"/>
  <c r="J63" i="19" s="1"/>
  <c r="E63" i="19" l="1" a="1"/>
  <c r="E63" i="19" s="1"/>
  <c r="P63" i="19" s="1"/>
  <c r="O64" i="19"/>
  <c r="G64" i="19" a="1"/>
  <c r="G64" i="19" s="1"/>
  <c r="M64" i="19" s="1"/>
  <c r="H64" i="19" a="1"/>
  <c r="H64" i="19" s="1"/>
  <c r="I64" i="19" a="1"/>
  <c r="I64" i="19" s="1"/>
  <c r="J64" i="19" a="1"/>
  <c r="J64" i="19" s="1"/>
  <c r="E64" i="19" l="1" a="1"/>
  <c r="E64" i="19" s="1"/>
  <c r="P64" i="19" s="1"/>
  <c r="O65" i="19"/>
  <c r="G65" i="19" a="1"/>
  <c r="G65" i="19" s="1"/>
  <c r="M65" i="19" s="1"/>
  <c r="H65" i="19" a="1"/>
  <c r="H65" i="19" s="1"/>
  <c r="I65" i="19" a="1"/>
  <c r="I65" i="19" s="1"/>
  <c r="J65" i="19" a="1"/>
  <c r="J65" i="19" s="1"/>
  <c r="E65" i="19" l="1" a="1"/>
  <c r="E65" i="19" s="1"/>
  <c r="P65" i="19" s="1"/>
  <c r="O66" i="19"/>
  <c r="G66" i="19" a="1"/>
  <c r="G66" i="19" s="1"/>
  <c r="M66" i="19" s="1"/>
  <c r="H66" i="19" a="1"/>
  <c r="H66" i="19" s="1"/>
  <c r="I66" i="19" a="1"/>
  <c r="I66" i="19" s="1"/>
  <c r="J66" i="19" a="1"/>
  <c r="J66" i="19" s="1"/>
  <c r="E66" i="19" l="1" a="1"/>
  <c r="E66" i="19" s="1"/>
  <c r="P66" i="19" s="1"/>
  <c r="O67" i="19"/>
  <c r="G67" i="19" a="1"/>
  <c r="G67" i="19" s="1"/>
  <c r="M67" i="19" s="1"/>
  <c r="H67" i="19" a="1"/>
  <c r="H67" i="19" s="1"/>
  <c r="I67" i="19" a="1"/>
  <c r="I67" i="19" s="1"/>
  <c r="J67" i="19" a="1"/>
  <c r="J67" i="19" s="1"/>
  <c r="E67" i="19" l="1" a="1"/>
  <c r="E67" i="19" s="1"/>
  <c r="P67" i="19" s="1"/>
  <c r="O68" i="19"/>
  <c r="G68" i="19" a="1"/>
  <c r="G68" i="19" s="1"/>
  <c r="M68" i="19" s="1"/>
  <c r="H68" i="19" a="1"/>
  <c r="H68" i="19" s="1"/>
  <c r="I68" i="19" a="1"/>
  <c r="I68" i="19" s="1"/>
  <c r="J68" i="19" a="1"/>
  <c r="J68" i="19" s="1"/>
  <c r="E68" i="19" l="1" a="1"/>
  <c r="E68" i="19" s="1"/>
  <c r="P68" i="19" s="1"/>
  <c r="O69" i="19"/>
  <c r="G69" i="19" a="1"/>
  <c r="G69" i="19" s="1"/>
  <c r="M69" i="19" s="1"/>
  <c r="H69" i="19" a="1"/>
  <c r="H69" i="19" s="1"/>
  <c r="I69" i="19" a="1"/>
  <c r="I69" i="19" s="1"/>
  <c r="J69" i="19" a="1"/>
  <c r="J69" i="19" s="1"/>
  <c r="E69" i="19" l="1" a="1"/>
  <c r="E69" i="19" s="1"/>
  <c r="P69" i="19" s="1"/>
  <c r="O70" i="19"/>
  <c r="G70" i="19" a="1"/>
  <c r="G70" i="19" s="1"/>
  <c r="M70" i="19" s="1"/>
  <c r="H70" i="19" a="1"/>
  <c r="H70" i="19" s="1"/>
  <c r="I70" i="19" a="1"/>
  <c r="I70" i="19" s="1"/>
  <c r="J70" i="19" a="1"/>
  <c r="J70" i="19" s="1"/>
  <c r="E70" i="19" l="1" a="1"/>
  <c r="E70" i="19" s="1"/>
  <c r="P70" i="19" s="1"/>
  <c r="O71" i="19"/>
  <c r="G71" i="19" a="1"/>
  <c r="G71" i="19" s="1"/>
  <c r="M71" i="19" s="1"/>
  <c r="H71" i="19" a="1"/>
  <c r="H71" i="19" s="1"/>
  <c r="I71" i="19" a="1"/>
  <c r="I71" i="19" s="1"/>
  <c r="J71" i="19" a="1"/>
  <c r="J71" i="19" s="1"/>
  <c r="E71" i="19" l="1" a="1"/>
  <c r="E71" i="19" s="1"/>
  <c r="P71" i="19" s="1"/>
  <c r="O72" i="19"/>
  <c r="G72" i="19" a="1"/>
  <c r="G72" i="19" s="1"/>
  <c r="M72" i="19" s="1"/>
  <c r="H72" i="19" a="1"/>
  <c r="H72" i="19" s="1"/>
  <c r="I72" i="19" a="1"/>
  <c r="I72" i="19" s="1"/>
  <c r="J72" i="19" a="1"/>
  <c r="J72" i="19" s="1"/>
  <c r="E72" i="19" l="1" a="1"/>
  <c r="E72" i="19" s="1"/>
  <c r="P72" i="19" s="1"/>
  <c r="O73" i="19"/>
  <c r="G73" i="19" a="1"/>
  <c r="G73" i="19" s="1"/>
  <c r="M73" i="19" s="1"/>
  <c r="H73" i="19" a="1"/>
  <c r="H73" i="19" s="1"/>
  <c r="I73" i="19" a="1"/>
  <c r="I73" i="19" s="1"/>
  <c r="J73" i="19" a="1"/>
  <c r="J73" i="19" s="1"/>
  <c r="E73" i="19" l="1" a="1"/>
  <c r="E73" i="19" s="1"/>
  <c r="P73" i="19" s="1"/>
  <c r="O74" i="19"/>
  <c r="G74" i="19" a="1"/>
  <c r="G74" i="19" s="1"/>
  <c r="M74" i="19" s="1"/>
  <c r="H74" i="19" a="1"/>
  <c r="H74" i="19" s="1"/>
  <c r="I74" i="19" a="1"/>
  <c r="I74" i="19" s="1"/>
  <c r="J74" i="19" a="1"/>
  <c r="J74" i="19" s="1"/>
  <c r="E74" i="19" l="1" a="1"/>
  <c r="E74" i="19" s="1"/>
  <c r="P74" i="19" s="1"/>
  <c r="G75" i="19" a="1"/>
  <c r="G75" i="19" s="1"/>
  <c r="M75" i="19" s="1"/>
  <c r="H75" i="19" a="1"/>
  <c r="H75" i="19" s="1"/>
  <c r="I75" i="19" a="1"/>
  <c r="I75" i="19" s="1"/>
  <c r="J75" i="19" a="1"/>
  <c r="J75" i="19" s="1"/>
  <c r="O75" i="19"/>
  <c r="E75" i="19" l="1" a="1"/>
  <c r="E75" i="19" s="1"/>
  <c r="P75" i="19" s="1"/>
  <c r="O76" i="19"/>
  <c r="G76" i="19" a="1"/>
  <c r="G76" i="19" s="1"/>
  <c r="M76" i="19" s="1"/>
  <c r="H76" i="19" a="1"/>
  <c r="H76" i="19" s="1"/>
  <c r="I76" i="19" a="1"/>
  <c r="I76" i="19" s="1"/>
  <c r="J76" i="19" a="1"/>
  <c r="J76" i="19" s="1"/>
  <c r="E76" i="19" l="1" a="1"/>
  <c r="E76" i="19" s="1"/>
  <c r="P76" i="19" s="1"/>
  <c r="O77" i="19"/>
  <c r="G77" i="19" a="1"/>
  <c r="G77" i="19" s="1"/>
  <c r="M77" i="19" s="1"/>
  <c r="H77" i="19" a="1"/>
  <c r="H77" i="19" s="1"/>
  <c r="I77" i="19" a="1"/>
  <c r="I77" i="19" s="1"/>
  <c r="J77" i="19" a="1"/>
  <c r="J77" i="19" s="1"/>
  <c r="E77" i="19" l="1" a="1"/>
  <c r="E77" i="19" s="1"/>
  <c r="P77" i="19" s="1"/>
  <c r="O78" i="19"/>
  <c r="G78" i="19" a="1"/>
  <c r="G78" i="19" s="1"/>
  <c r="M78" i="19" s="1"/>
  <c r="H78" i="19" a="1"/>
  <c r="H78" i="19" s="1"/>
  <c r="I78" i="19" a="1"/>
  <c r="I78" i="19" s="1"/>
  <c r="J78" i="19" a="1"/>
  <c r="J78" i="19" s="1"/>
  <c r="E78" i="19" l="1" a="1"/>
  <c r="E78" i="19" s="1"/>
  <c r="P78" i="19" s="1"/>
  <c r="O79" i="19"/>
  <c r="G79" i="19" a="1"/>
  <c r="G79" i="19" s="1"/>
  <c r="H79" i="19" a="1"/>
  <c r="H79" i="19" s="1"/>
  <c r="I79" i="19" a="1"/>
  <c r="I79" i="19" s="1"/>
  <c r="J79" i="19" a="1"/>
  <c r="J79" i="19" s="1"/>
  <c r="E79" i="19" l="1" a="1"/>
  <c r="E79" i="19" s="1"/>
  <c r="P79" i="19" s="1"/>
  <c r="M79" i="19"/>
  <c r="O80" i="19"/>
  <c r="G80" i="19" a="1"/>
  <c r="G80" i="19" s="1"/>
  <c r="M80" i="19" s="1"/>
  <c r="H80" i="19" a="1"/>
  <c r="H80" i="19" s="1"/>
  <c r="I80" i="19" a="1"/>
  <c r="I80" i="19" s="1"/>
  <c r="J80" i="19" a="1"/>
  <c r="J80" i="19" s="1"/>
  <c r="E80" i="19" l="1" a="1"/>
  <c r="E80" i="19" s="1"/>
  <c r="P80" i="19" s="1"/>
  <c r="O81" i="19"/>
  <c r="G81" i="19" a="1"/>
  <c r="G81" i="19" s="1"/>
  <c r="M81" i="19" s="1"/>
  <c r="H81" i="19" a="1"/>
  <c r="H81" i="19" s="1"/>
  <c r="I81" i="19" a="1"/>
  <c r="I81" i="19" s="1"/>
  <c r="J81" i="19" a="1"/>
  <c r="J81" i="19" s="1"/>
  <c r="E81" i="19" l="1" a="1"/>
  <c r="E81" i="19" s="1"/>
  <c r="P81" i="19" s="1"/>
  <c r="O82" i="19"/>
  <c r="G82" i="19" a="1"/>
  <c r="G82" i="19" s="1"/>
  <c r="M82" i="19" s="1"/>
  <c r="H82" i="19" a="1"/>
  <c r="H82" i="19" s="1"/>
  <c r="I82" i="19" a="1"/>
  <c r="I82" i="19" s="1"/>
  <c r="J82" i="19" a="1"/>
  <c r="J82" i="19" s="1"/>
  <c r="E82" i="19" l="1" a="1"/>
  <c r="E82" i="19" s="1"/>
  <c r="P82" i="19" s="1"/>
  <c r="O83" i="19"/>
  <c r="G83" i="19" a="1"/>
  <c r="G83" i="19" s="1"/>
  <c r="M83" i="19" s="1"/>
  <c r="H83" i="19" a="1"/>
  <c r="H83" i="19" s="1"/>
  <c r="I83" i="19" a="1"/>
  <c r="I83" i="19" s="1"/>
  <c r="J83" i="19" a="1"/>
  <c r="J83" i="19" s="1"/>
  <c r="E83" i="19" l="1" a="1"/>
  <c r="E83" i="19" s="1"/>
  <c r="P83" i="19" s="1"/>
  <c r="O84" i="19"/>
  <c r="G84" i="19" a="1"/>
  <c r="G84" i="19" s="1"/>
  <c r="M84" i="19" s="1"/>
  <c r="H84" i="19" a="1"/>
  <c r="H84" i="19" s="1"/>
  <c r="I84" i="19" a="1"/>
  <c r="I84" i="19" s="1"/>
  <c r="J84" i="19" a="1"/>
  <c r="J84" i="19" s="1"/>
  <c r="E84" i="19" l="1" a="1"/>
  <c r="E84" i="19" s="1"/>
  <c r="P84" i="19" s="1"/>
  <c r="O85" i="19"/>
  <c r="G85" i="19" a="1"/>
  <c r="G85" i="19" s="1"/>
  <c r="M85" i="19" s="1"/>
  <c r="H85" i="19" a="1"/>
  <c r="H85" i="19" s="1"/>
  <c r="I85" i="19" a="1"/>
  <c r="I85" i="19" s="1"/>
  <c r="J85" i="19" a="1"/>
  <c r="J85" i="19" s="1"/>
  <c r="E85" i="19" l="1" a="1"/>
  <c r="E85" i="19" s="1"/>
  <c r="P85" i="19" s="1"/>
  <c r="O86" i="19"/>
  <c r="G86" i="19" a="1"/>
  <c r="G86" i="19" s="1"/>
  <c r="M86" i="19" s="1"/>
  <c r="H86" i="19" a="1"/>
  <c r="H86" i="19" s="1"/>
  <c r="I86" i="19" a="1"/>
  <c r="I86" i="19" s="1"/>
  <c r="J86" i="19" a="1"/>
  <c r="J86" i="19" s="1"/>
  <c r="E86" i="19" l="1" a="1"/>
  <c r="E86" i="19" s="1"/>
  <c r="P86" i="19" s="1"/>
  <c r="O87" i="19"/>
  <c r="G87" i="19" a="1"/>
  <c r="G87" i="19" s="1"/>
  <c r="M87" i="19" s="1"/>
  <c r="H87" i="19" a="1"/>
  <c r="H87" i="19" s="1"/>
  <c r="I87" i="19" a="1"/>
  <c r="I87" i="19" s="1"/>
  <c r="J87" i="19" a="1"/>
  <c r="J87" i="19" s="1"/>
  <c r="E87" i="19" l="1" a="1"/>
  <c r="E87" i="19" s="1"/>
  <c r="P87" i="19" s="1"/>
  <c r="O88" i="19"/>
  <c r="G88" i="19" a="1"/>
  <c r="G88" i="19" s="1"/>
  <c r="M88" i="19" s="1"/>
  <c r="H88" i="19" a="1"/>
  <c r="H88" i="19" s="1"/>
  <c r="I88" i="19" a="1"/>
  <c r="I88" i="19" s="1"/>
  <c r="J88" i="19" a="1"/>
  <c r="J88" i="19" s="1"/>
  <c r="E88" i="19" l="1" a="1"/>
  <c r="E88" i="19" s="1"/>
  <c r="P88" i="19" s="1"/>
  <c r="O89" i="19"/>
  <c r="G89" i="19" a="1"/>
  <c r="G89" i="19" s="1"/>
  <c r="M89" i="19" s="1"/>
  <c r="H89" i="19" a="1"/>
  <c r="H89" i="19" s="1"/>
  <c r="I89" i="19" a="1"/>
  <c r="I89" i="19" s="1"/>
  <c r="J89" i="19" a="1"/>
  <c r="J89" i="19" s="1"/>
  <c r="E89" i="19" l="1" a="1"/>
  <c r="E89" i="19" s="1"/>
  <c r="P89" i="19" s="1"/>
  <c r="O90" i="19"/>
  <c r="G90" i="19" a="1"/>
  <c r="G90" i="19" s="1"/>
  <c r="M90" i="19" s="1"/>
  <c r="H90" i="19" a="1"/>
  <c r="H90" i="19" s="1"/>
  <c r="I90" i="19" a="1"/>
  <c r="I90" i="19" s="1"/>
  <c r="J90" i="19" a="1"/>
  <c r="J90" i="19" s="1"/>
  <c r="E90" i="19" l="1" a="1"/>
  <c r="E90" i="19" s="1"/>
  <c r="P90" i="19" s="1"/>
  <c r="O91" i="19"/>
  <c r="G91" i="19" a="1"/>
  <c r="G91" i="19" s="1"/>
  <c r="M91" i="19" s="1"/>
  <c r="H91" i="19" a="1"/>
  <c r="H91" i="19" s="1"/>
  <c r="I91" i="19" a="1"/>
  <c r="I91" i="19" s="1"/>
  <c r="J91" i="19" a="1"/>
  <c r="J91" i="19" s="1"/>
  <c r="E91" i="19" l="1" a="1"/>
  <c r="E91" i="19" s="1"/>
  <c r="P91" i="19" s="1"/>
  <c r="O92" i="19"/>
  <c r="G92" i="19" a="1"/>
  <c r="G92" i="19" s="1"/>
  <c r="M92" i="19" s="1"/>
  <c r="H92" i="19" a="1"/>
  <c r="H92" i="19" s="1"/>
  <c r="I92" i="19" a="1"/>
  <c r="I92" i="19" s="1"/>
  <c r="J92" i="19" a="1"/>
  <c r="J92" i="19" s="1"/>
  <c r="E92" i="19" l="1" a="1"/>
  <c r="E92" i="19" s="1"/>
  <c r="P92" i="19" s="1"/>
  <c r="O93" i="19"/>
  <c r="G93" i="19" a="1"/>
  <c r="G93" i="19" s="1"/>
  <c r="M93" i="19" s="1"/>
  <c r="H93" i="19" a="1"/>
  <c r="H93" i="19" s="1"/>
  <c r="I93" i="19" a="1"/>
  <c r="I93" i="19" s="1"/>
  <c r="J93" i="19" a="1"/>
  <c r="J93" i="19" s="1"/>
  <c r="E93" i="19" l="1" a="1"/>
  <c r="E93" i="19" s="1"/>
  <c r="P93" i="19" s="1"/>
  <c r="O94" i="19"/>
  <c r="G94" i="19" a="1"/>
  <c r="G94" i="19" s="1"/>
  <c r="M94" i="19" s="1"/>
  <c r="H94" i="19" a="1"/>
  <c r="H94" i="19" s="1"/>
  <c r="I94" i="19" a="1"/>
  <c r="I94" i="19" s="1"/>
  <c r="J94" i="19" a="1"/>
  <c r="J94" i="19" s="1"/>
  <c r="E94" i="19" l="1" a="1"/>
  <c r="E94" i="19" s="1"/>
  <c r="P94" i="19" s="1"/>
  <c r="O95" i="19"/>
  <c r="G95" i="19" a="1"/>
  <c r="G95" i="19" s="1"/>
  <c r="M95" i="19" s="1"/>
  <c r="H95" i="19" a="1"/>
  <c r="H95" i="19" s="1"/>
  <c r="I95" i="19" a="1"/>
  <c r="I95" i="19" s="1"/>
  <c r="J95" i="19" a="1"/>
  <c r="J95" i="19" s="1"/>
  <c r="E95" i="19" l="1" a="1"/>
  <c r="E95" i="19" s="1"/>
  <c r="P95" i="19" s="1"/>
  <c r="O96" i="19"/>
  <c r="G96" i="19" a="1"/>
  <c r="G96" i="19" s="1"/>
  <c r="M96" i="19" s="1"/>
  <c r="H96" i="19" a="1"/>
  <c r="H96" i="19" s="1"/>
  <c r="I96" i="19" a="1"/>
  <c r="I96" i="19" s="1"/>
  <c r="J96" i="19" a="1"/>
  <c r="J96" i="19" s="1"/>
  <c r="E96" i="19" l="1" a="1"/>
  <c r="E96" i="19" s="1"/>
  <c r="P96" i="19" s="1"/>
  <c r="O97" i="19"/>
  <c r="G97" i="19" a="1"/>
  <c r="G97" i="19" s="1"/>
  <c r="M97" i="19" s="1"/>
  <c r="H97" i="19" a="1"/>
  <c r="H97" i="19" s="1"/>
  <c r="I97" i="19" a="1"/>
  <c r="I97" i="19" s="1"/>
  <c r="J97" i="19" a="1"/>
  <c r="J97" i="19" s="1"/>
  <c r="E97" i="19" l="1" a="1"/>
  <c r="E97" i="19" s="1"/>
  <c r="P97" i="19" s="1"/>
  <c r="O98" i="19"/>
  <c r="G98" i="19" a="1"/>
  <c r="G98" i="19" s="1"/>
  <c r="M98" i="19" s="1"/>
  <c r="H98" i="19" a="1"/>
  <c r="H98" i="19" s="1"/>
  <c r="I98" i="19" a="1"/>
  <c r="I98" i="19" s="1"/>
  <c r="J98" i="19" a="1"/>
  <c r="J98" i="19" s="1"/>
  <c r="E98" i="19" l="1" a="1"/>
  <c r="E98" i="19" s="1"/>
  <c r="P98" i="19" s="1"/>
  <c r="G99" i="19" a="1"/>
  <c r="G99" i="19" s="1"/>
  <c r="M99" i="19" s="1"/>
  <c r="H99" i="19" a="1"/>
  <c r="H99" i="19" s="1"/>
  <c r="I99" i="19" a="1"/>
  <c r="I99" i="19" s="1"/>
  <c r="J99" i="19" a="1"/>
  <c r="J99" i="19" s="1"/>
  <c r="O99" i="19"/>
  <c r="E99" i="19" l="1" a="1"/>
  <c r="E99" i="19" s="1"/>
  <c r="P99" i="19" s="1"/>
  <c r="O100" i="19"/>
  <c r="G100" i="19" a="1"/>
  <c r="G100" i="19" s="1"/>
  <c r="M100" i="19" s="1"/>
  <c r="H100" i="19" a="1"/>
  <c r="H100" i="19" s="1"/>
  <c r="I100" i="19" a="1"/>
  <c r="I100" i="19" s="1"/>
  <c r="J100" i="19" a="1"/>
  <c r="J100" i="19" s="1"/>
  <c r="E100" i="19" l="1" a="1"/>
  <c r="E100" i="19" s="1"/>
  <c r="P100" i="19" s="1"/>
  <c r="O101" i="19"/>
  <c r="G101" i="19" a="1"/>
  <c r="G101" i="19" s="1"/>
  <c r="M101" i="19" s="1"/>
  <c r="H101" i="19" a="1"/>
  <c r="H101" i="19" s="1"/>
  <c r="I101" i="19" a="1"/>
  <c r="I101" i="19" s="1"/>
  <c r="J101" i="19" a="1"/>
  <c r="J101" i="19" s="1"/>
  <c r="E101" i="19" l="1" a="1"/>
  <c r="E101" i="19" s="1"/>
  <c r="P101" i="19" s="1"/>
  <c r="O102" i="19"/>
  <c r="G102" i="19" a="1"/>
  <c r="G102" i="19" s="1"/>
  <c r="M102" i="19" s="1"/>
  <c r="H102" i="19" a="1"/>
  <c r="H102" i="19" s="1"/>
  <c r="I102" i="19" a="1"/>
  <c r="I102" i="19" s="1"/>
  <c r="J102" i="19" a="1"/>
  <c r="J102" i="19" s="1"/>
  <c r="E102" i="19" l="1" a="1"/>
  <c r="E102" i="19" s="1"/>
  <c r="P102" i="19" s="1"/>
  <c r="O103" i="19"/>
  <c r="G103" i="19" a="1"/>
  <c r="G103" i="19" s="1"/>
  <c r="M103" i="19" s="1"/>
  <c r="H103" i="19" a="1"/>
  <c r="H103" i="19" s="1"/>
  <c r="I103" i="19" a="1"/>
  <c r="I103" i="19" s="1"/>
  <c r="J103" i="19" a="1"/>
  <c r="J103" i="19" s="1"/>
  <c r="E103" i="19" l="1" a="1"/>
  <c r="E103" i="19" s="1"/>
  <c r="P103" i="19" s="1"/>
  <c r="O104" i="19"/>
  <c r="G104" i="19" a="1"/>
  <c r="G104" i="19" s="1"/>
  <c r="M104" i="19" s="1"/>
  <c r="H104" i="19" a="1"/>
  <c r="H104" i="19" s="1"/>
  <c r="I104" i="19" a="1"/>
  <c r="I104" i="19" s="1"/>
  <c r="J104" i="19" a="1"/>
  <c r="J104" i="19" s="1"/>
  <c r="E104" i="19" l="1" a="1"/>
  <c r="E104" i="19" s="1"/>
  <c r="P104" i="19" s="1"/>
  <c r="O105" i="19"/>
  <c r="G105" i="19" a="1"/>
  <c r="G105" i="19" s="1"/>
  <c r="M105" i="19" s="1"/>
  <c r="H105" i="19" a="1"/>
  <c r="H105" i="19" s="1"/>
  <c r="I105" i="19" a="1"/>
  <c r="I105" i="19" s="1"/>
  <c r="J105" i="19" a="1"/>
  <c r="J105" i="19" s="1"/>
  <c r="E105" i="19" l="1" a="1"/>
  <c r="E105" i="19" s="1"/>
  <c r="P105" i="19" s="1"/>
  <c r="O106" i="19"/>
  <c r="G106" i="19" a="1"/>
  <c r="G106" i="19" s="1"/>
  <c r="M106" i="19" s="1"/>
  <c r="H106" i="19" a="1"/>
  <c r="H106" i="19" s="1"/>
  <c r="I106" i="19" a="1"/>
  <c r="I106" i="19" s="1"/>
  <c r="J106" i="19" a="1"/>
  <c r="J106" i="19" s="1"/>
  <c r="E106" i="19" l="1" a="1"/>
  <c r="E106" i="19" s="1"/>
  <c r="P106" i="19" s="1"/>
  <c r="O107" i="19"/>
  <c r="G107" i="19" a="1"/>
  <c r="G107" i="19" s="1"/>
  <c r="M107" i="19" s="1"/>
  <c r="H107" i="19" a="1"/>
  <c r="H107" i="19" s="1"/>
  <c r="I107" i="19" a="1"/>
  <c r="I107" i="19" s="1"/>
  <c r="J107" i="19" a="1"/>
  <c r="J107" i="19" s="1"/>
  <c r="E107" i="19" l="1" a="1"/>
  <c r="E107" i="19" s="1"/>
  <c r="P107" i="19" s="1"/>
  <c r="O108" i="19"/>
  <c r="G108" i="19" a="1"/>
  <c r="G108" i="19" s="1"/>
  <c r="M108" i="19" s="1"/>
  <c r="H108" i="19" a="1"/>
  <c r="H108" i="19" s="1"/>
  <c r="I108" i="19" a="1"/>
  <c r="I108" i="19" s="1"/>
  <c r="J108" i="19" a="1"/>
  <c r="J108" i="19" s="1"/>
  <c r="E108" i="19" l="1" a="1"/>
  <c r="E108" i="19" s="1"/>
  <c r="P108" i="19" s="1"/>
  <c r="O109" i="19"/>
  <c r="G109" i="19" a="1"/>
  <c r="G109" i="19" s="1"/>
  <c r="M109" i="19" s="1"/>
  <c r="H109" i="19" a="1"/>
  <c r="H109" i="19" s="1"/>
  <c r="I109" i="19" a="1"/>
  <c r="I109" i="19" s="1"/>
  <c r="J109" i="19" a="1"/>
  <c r="J109" i="19" s="1"/>
  <c r="E109" i="19" l="1" a="1"/>
  <c r="E109" i="19" s="1"/>
  <c r="P109" i="19" s="1"/>
  <c r="O110" i="19"/>
  <c r="G110" i="19" a="1"/>
  <c r="G110" i="19" s="1"/>
  <c r="M110" i="19" s="1"/>
  <c r="H110" i="19" a="1"/>
  <c r="H110" i="19" s="1"/>
  <c r="I110" i="19" a="1"/>
  <c r="I110" i="19" s="1"/>
  <c r="J110" i="19" a="1"/>
  <c r="J110" i="19" s="1"/>
  <c r="E110" i="19" l="1" a="1"/>
  <c r="E110" i="19" s="1"/>
  <c r="P110" i="19" s="1"/>
  <c r="O111" i="19"/>
  <c r="G111" i="19" a="1"/>
  <c r="G111" i="19" s="1"/>
  <c r="M111" i="19" s="1"/>
  <c r="H111" i="19" a="1"/>
  <c r="H111" i="19" s="1"/>
  <c r="I111" i="19" a="1"/>
  <c r="I111" i="19" s="1"/>
  <c r="J111" i="19" a="1"/>
  <c r="J111" i="19" s="1"/>
  <c r="E111" i="19" l="1" a="1"/>
  <c r="E111" i="19" s="1"/>
  <c r="P111" i="19" s="1"/>
  <c r="O112" i="19"/>
  <c r="G112" i="19" a="1"/>
  <c r="G112" i="19" s="1"/>
  <c r="M112" i="19" s="1"/>
  <c r="H112" i="19" a="1"/>
  <c r="H112" i="19" s="1"/>
  <c r="I112" i="19" a="1"/>
  <c r="I112" i="19" s="1"/>
  <c r="J112" i="19" a="1"/>
  <c r="J112" i="19" s="1"/>
  <c r="E112" i="19" l="1" a="1"/>
  <c r="E112" i="19" s="1"/>
  <c r="P112" i="19" s="1"/>
  <c r="O113" i="19"/>
  <c r="G113" i="19" a="1"/>
  <c r="G113" i="19" s="1"/>
  <c r="M113" i="19" s="1"/>
  <c r="H113" i="19" a="1"/>
  <c r="H113" i="19" s="1"/>
  <c r="I113" i="19" a="1"/>
  <c r="I113" i="19" s="1"/>
  <c r="J113" i="19" a="1"/>
  <c r="J113" i="19" s="1"/>
  <c r="E113" i="19" l="1" a="1"/>
  <c r="E113" i="19" s="1"/>
  <c r="P113" i="19" s="1"/>
  <c r="O114" i="19"/>
  <c r="G114" i="19" a="1"/>
  <c r="G114" i="19" s="1"/>
  <c r="M114" i="19" s="1"/>
  <c r="H114" i="19" a="1"/>
  <c r="H114" i="19" s="1"/>
  <c r="I114" i="19" a="1"/>
  <c r="I114" i="19" s="1"/>
  <c r="J114" i="19" a="1"/>
  <c r="J114" i="19" s="1"/>
  <c r="E114" i="19" l="1" a="1"/>
  <c r="E114" i="19" s="1"/>
  <c r="P114" i="19" s="1"/>
  <c r="G115" i="19" a="1"/>
  <c r="G115" i="19" s="1"/>
  <c r="M115" i="19" s="1"/>
  <c r="H115" i="19" a="1"/>
  <c r="H115" i="19" s="1"/>
  <c r="I115" i="19" a="1"/>
  <c r="I115" i="19" s="1"/>
  <c r="J115" i="19" a="1"/>
  <c r="J115" i="19" s="1"/>
  <c r="O115" i="19"/>
  <c r="E115" i="19" l="1" a="1"/>
  <c r="E115" i="19" s="1"/>
  <c r="P115" i="19" s="1"/>
  <c r="O116" i="19"/>
  <c r="G116" i="19" a="1"/>
  <c r="G116" i="19" s="1"/>
  <c r="M116" i="19" s="1"/>
  <c r="H116" i="19" a="1"/>
  <c r="H116" i="19" s="1"/>
  <c r="I116" i="19" a="1"/>
  <c r="I116" i="19" s="1"/>
  <c r="J116" i="19" a="1"/>
  <c r="J116" i="19" s="1"/>
  <c r="E116" i="19" l="1" a="1"/>
  <c r="E116" i="19" s="1"/>
  <c r="P116" i="19" s="1"/>
  <c r="O117" i="19"/>
  <c r="G117" i="19" a="1"/>
  <c r="G117" i="19" s="1"/>
  <c r="M117" i="19" s="1"/>
  <c r="H117" i="19" a="1"/>
  <c r="H117" i="19" s="1"/>
  <c r="I117" i="19" a="1"/>
  <c r="I117" i="19" s="1"/>
  <c r="J117" i="19" a="1"/>
  <c r="J117" i="19" s="1"/>
  <c r="E117" i="19" l="1" a="1"/>
  <c r="E117" i="19" s="1"/>
  <c r="P117" i="19" s="1"/>
  <c r="O118" i="19"/>
  <c r="G118" i="19" a="1"/>
  <c r="G118" i="19" s="1"/>
  <c r="M118" i="19" s="1"/>
  <c r="H118" i="19" a="1"/>
  <c r="H118" i="19" s="1"/>
  <c r="I118" i="19" a="1"/>
  <c r="I118" i="19" s="1"/>
  <c r="J118" i="19" a="1"/>
  <c r="J118" i="19" s="1"/>
  <c r="E118" i="19" l="1" a="1"/>
  <c r="E118" i="19" s="1"/>
  <c r="P118" i="19" s="1"/>
  <c r="O119" i="19"/>
  <c r="G119" i="19" a="1"/>
  <c r="G119" i="19" s="1"/>
  <c r="M119" i="19" s="1"/>
  <c r="H119" i="19" a="1"/>
  <c r="H119" i="19" s="1"/>
  <c r="I119" i="19" a="1"/>
  <c r="I119" i="19" s="1"/>
  <c r="J119" i="19" a="1"/>
  <c r="J119" i="19" s="1"/>
  <c r="E119" i="19" l="1" a="1"/>
  <c r="E119" i="19" s="1"/>
  <c r="P119" i="19" s="1"/>
  <c r="O120" i="19"/>
  <c r="G120" i="19" a="1"/>
  <c r="G120" i="19" s="1"/>
  <c r="M120" i="19" s="1"/>
  <c r="H120" i="19" a="1"/>
  <c r="H120" i="19" s="1"/>
  <c r="I120" i="19" a="1"/>
  <c r="I120" i="19" s="1"/>
  <c r="J120" i="19" a="1"/>
  <c r="J120" i="19" s="1"/>
  <c r="E120" i="19" l="1" a="1"/>
  <c r="E120" i="19" s="1"/>
  <c r="P120" i="19" s="1"/>
  <c r="O121" i="19"/>
  <c r="G121" i="19" a="1"/>
  <c r="G121" i="19" s="1"/>
  <c r="M121" i="19" s="1"/>
  <c r="H121" i="19" a="1"/>
  <c r="H121" i="19" s="1"/>
  <c r="I121" i="19" a="1"/>
  <c r="I121" i="19" s="1"/>
  <c r="J121" i="19" a="1"/>
  <c r="J121" i="19" s="1"/>
  <c r="E121" i="19" l="1" a="1"/>
  <c r="E121" i="19" s="1"/>
  <c r="P121" i="19" s="1"/>
  <c r="O122" i="19"/>
  <c r="G122" i="19" a="1"/>
  <c r="G122" i="19" s="1"/>
  <c r="M122" i="19" s="1"/>
  <c r="H122" i="19" a="1"/>
  <c r="H122" i="19" s="1"/>
  <c r="I122" i="19" a="1"/>
  <c r="I122" i="19" s="1"/>
  <c r="J122" i="19" a="1"/>
  <c r="J122" i="19" s="1"/>
  <c r="E122" i="19" l="1" a="1"/>
  <c r="E122" i="19" s="1"/>
  <c r="P122" i="19" s="1"/>
  <c r="O123" i="19"/>
  <c r="G123" i="19" a="1"/>
  <c r="G123" i="19" s="1"/>
  <c r="M123" i="19" s="1"/>
  <c r="H123" i="19" a="1"/>
  <c r="H123" i="19" s="1"/>
  <c r="I123" i="19" a="1"/>
  <c r="I123" i="19" s="1"/>
  <c r="J123" i="19" a="1"/>
  <c r="J123" i="19" s="1"/>
  <c r="E123" i="19" l="1" a="1"/>
  <c r="E123" i="19" s="1"/>
  <c r="P123" i="19" s="1"/>
  <c r="O124" i="19"/>
  <c r="G124" i="19" a="1"/>
  <c r="G124" i="19" s="1"/>
  <c r="M124" i="19" s="1"/>
  <c r="H124" i="19" a="1"/>
  <c r="H124" i="19" s="1"/>
  <c r="I124" i="19" a="1"/>
  <c r="I124" i="19" s="1"/>
  <c r="J124" i="19" a="1"/>
  <c r="J124" i="19" s="1"/>
  <c r="E124" i="19" l="1" a="1"/>
  <c r="E124" i="19" s="1"/>
  <c r="P124" i="19" s="1"/>
  <c r="O125" i="19"/>
  <c r="G125" i="19" a="1"/>
  <c r="G125" i="19" s="1"/>
  <c r="M125" i="19" s="1"/>
  <c r="H125" i="19" a="1"/>
  <c r="H125" i="19" s="1"/>
  <c r="I125" i="19" a="1"/>
  <c r="I125" i="19" s="1"/>
  <c r="J125" i="19" a="1"/>
  <c r="J125" i="19" s="1"/>
  <c r="E125" i="19" l="1" a="1"/>
  <c r="E125" i="19" s="1"/>
  <c r="P125" i="19" s="1"/>
  <c r="O126" i="19"/>
  <c r="G126" i="19" a="1"/>
  <c r="G126" i="19" s="1"/>
  <c r="M126" i="19" s="1"/>
  <c r="H126" i="19" a="1"/>
  <c r="H126" i="19" s="1"/>
  <c r="I126" i="19" a="1"/>
  <c r="I126" i="19" s="1"/>
  <c r="J126" i="19" a="1"/>
  <c r="J126" i="19" s="1"/>
  <c r="E126" i="19" l="1" a="1"/>
  <c r="E126" i="19" s="1"/>
  <c r="P126" i="19" s="1"/>
  <c r="O127" i="19"/>
  <c r="G127" i="19" a="1"/>
  <c r="G127" i="19" s="1"/>
  <c r="M127" i="19" s="1"/>
  <c r="H127" i="19" a="1"/>
  <c r="H127" i="19" s="1"/>
  <c r="I127" i="19" a="1"/>
  <c r="I127" i="19" s="1"/>
  <c r="J127" i="19" a="1"/>
  <c r="J127" i="19" s="1"/>
  <c r="E127" i="19" l="1" a="1"/>
  <c r="E127" i="19" s="1"/>
  <c r="P127" i="19" s="1"/>
  <c r="O128" i="19"/>
  <c r="G128" i="19" a="1"/>
  <c r="G128" i="19" s="1"/>
  <c r="M128" i="19" s="1"/>
  <c r="H128" i="19" a="1"/>
  <c r="H128" i="19" s="1"/>
  <c r="I128" i="19" a="1"/>
  <c r="I128" i="19" s="1"/>
  <c r="J128" i="19" a="1"/>
  <c r="J128" i="19" s="1"/>
  <c r="E128" i="19" l="1" a="1"/>
  <c r="E128" i="19" s="1"/>
  <c r="P128" i="19" s="1"/>
  <c r="G129" i="19" a="1"/>
  <c r="G129" i="19" s="1"/>
  <c r="M129" i="19" s="1"/>
  <c r="H129" i="19" a="1"/>
  <c r="H129" i="19" s="1"/>
  <c r="I129" i="19" a="1"/>
  <c r="I129" i="19" s="1"/>
  <c r="J129" i="19" a="1"/>
  <c r="J129" i="19" s="1"/>
  <c r="O129" i="19"/>
  <c r="E129" i="19" l="1" a="1"/>
  <c r="E129" i="19" s="1"/>
  <c r="P129" i="19" s="1"/>
  <c r="O130" i="19"/>
  <c r="G130" i="19" a="1"/>
  <c r="G130" i="19" s="1"/>
  <c r="M130" i="19" s="1"/>
  <c r="H130" i="19" a="1"/>
  <c r="H130" i="19" s="1"/>
  <c r="I130" i="19" a="1"/>
  <c r="I130" i="19" s="1"/>
  <c r="J130" i="19" a="1"/>
  <c r="J130" i="19" s="1"/>
  <c r="E130" i="19" l="1" a="1"/>
  <c r="E130" i="19" s="1"/>
  <c r="P130" i="19" s="1"/>
  <c r="O131" i="19"/>
  <c r="G131" i="19" a="1"/>
  <c r="G131" i="19" s="1"/>
  <c r="M131" i="19" s="1"/>
  <c r="H131" i="19" a="1"/>
  <c r="H131" i="19" s="1"/>
  <c r="I131" i="19" a="1"/>
  <c r="I131" i="19" s="1"/>
  <c r="J131" i="19" a="1"/>
  <c r="J131" i="19" s="1"/>
  <c r="E131" i="19" l="1" a="1"/>
  <c r="E131" i="19" s="1"/>
  <c r="P131" i="19" s="1"/>
  <c r="O132" i="19"/>
  <c r="G132" i="19" a="1"/>
  <c r="G132" i="19" s="1"/>
  <c r="M132" i="19" s="1"/>
  <c r="H132" i="19" a="1"/>
  <c r="H132" i="19" s="1"/>
  <c r="I132" i="19" a="1"/>
  <c r="I132" i="19" s="1"/>
  <c r="J132" i="19" a="1"/>
  <c r="J132" i="19" s="1"/>
  <c r="E132" i="19" l="1" a="1"/>
  <c r="E132" i="19" s="1"/>
  <c r="P132" i="19" s="1"/>
  <c r="O133" i="19"/>
  <c r="G133" i="19" a="1"/>
  <c r="G133" i="19" s="1"/>
  <c r="M133" i="19" s="1"/>
  <c r="H133" i="19" a="1"/>
  <c r="H133" i="19" s="1"/>
  <c r="I133" i="19" a="1"/>
  <c r="I133" i="19" s="1"/>
  <c r="J133" i="19" a="1"/>
  <c r="J133" i="19" s="1"/>
  <c r="E133" i="19" l="1" a="1"/>
  <c r="E133" i="19" s="1"/>
  <c r="P133" i="19" s="1"/>
  <c r="O134" i="19"/>
  <c r="G134" i="19" a="1"/>
  <c r="G134" i="19" s="1"/>
  <c r="M134" i="19" s="1"/>
  <c r="H134" i="19" a="1"/>
  <c r="H134" i="19" s="1"/>
  <c r="I134" i="19" a="1"/>
  <c r="I134" i="19" s="1"/>
  <c r="J134" i="19" a="1"/>
  <c r="J134" i="19" s="1"/>
  <c r="E134" i="19" l="1" a="1"/>
  <c r="E134" i="19" s="1"/>
  <c r="P134" i="19" s="1"/>
  <c r="O135" i="19"/>
  <c r="G135" i="19" a="1"/>
  <c r="G135" i="19" s="1"/>
  <c r="M135" i="19" s="1"/>
  <c r="H135" i="19" a="1"/>
  <c r="H135" i="19" s="1"/>
  <c r="I135" i="19" a="1"/>
  <c r="I135" i="19" s="1"/>
  <c r="J135" i="19" a="1"/>
  <c r="J135" i="19" s="1"/>
  <c r="E135" i="19" l="1" a="1"/>
  <c r="E135" i="19" s="1"/>
  <c r="P135" i="19" s="1"/>
  <c r="O136" i="19"/>
  <c r="G136" i="19" a="1"/>
  <c r="G136" i="19" s="1"/>
  <c r="M136" i="19" s="1"/>
  <c r="H136" i="19" a="1"/>
  <c r="H136" i="19" s="1"/>
  <c r="I136" i="19" a="1"/>
  <c r="I136" i="19" s="1"/>
  <c r="J136" i="19" a="1"/>
  <c r="J136" i="19" s="1"/>
  <c r="E136" i="19" l="1" a="1"/>
  <c r="E136" i="19" s="1"/>
  <c r="P136" i="19" s="1"/>
  <c r="O137" i="19"/>
  <c r="G137" i="19" a="1"/>
  <c r="G137" i="19" s="1"/>
  <c r="M137" i="19" s="1"/>
  <c r="H137" i="19" a="1"/>
  <c r="H137" i="19" s="1"/>
  <c r="I137" i="19" a="1"/>
  <c r="I137" i="19" s="1"/>
  <c r="J137" i="19" a="1"/>
  <c r="J137" i="19" s="1"/>
  <c r="E137" i="19" l="1" a="1"/>
  <c r="E137" i="19" s="1"/>
  <c r="P137" i="19" s="1"/>
  <c r="O138" i="19"/>
  <c r="G138" i="19" a="1"/>
  <c r="G138" i="19" s="1"/>
  <c r="M138" i="19" s="1"/>
  <c r="H138" i="19" a="1"/>
  <c r="H138" i="19" s="1"/>
  <c r="I138" i="19" a="1"/>
  <c r="I138" i="19" s="1"/>
  <c r="J138" i="19" a="1"/>
  <c r="J138" i="19" s="1"/>
  <c r="E138" i="19" l="1" a="1"/>
  <c r="E138" i="19" s="1"/>
  <c r="P138" i="19" s="1"/>
  <c r="G139" i="19" a="1"/>
  <c r="G139" i="19" s="1"/>
  <c r="M139" i="19" s="1"/>
  <c r="H139" i="19" a="1"/>
  <c r="H139" i="19" s="1"/>
  <c r="I139" i="19" a="1"/>
  <c r="I139" i="19" s="1"/>
  <c r="J139" i="19" a="1"/>
  <c r="J139" i="19" s="1"/>
  <c r="O139" i="19"/>
  <c r="E139" i="19" l="1" a="1"/>
  <c r="E139" i="19" s="1"/>
  <c r="P139" i="19" s="1"/>
  <c r="O140" i="19"/>
  <c r="G140" i="19" a="1"/>
  <c r="G140" i="19" s="1"/>
  <c r="M140" i="19" s="1"/>
  <c r="H140" i="19" a="1"/>
  <c r="H140" i="19" s="1"/>
  <c r="I140" i="19" a="1"/>
  <c r="I140" i="19" s="1"/>
  <c r="J140" i="19" a="1"/>
  <c r="J140" i="19" s="1"/>
  <c r="E140" i="19" l="1" a="1"/>
  <c r="E140" i="19" s="1"/>
  <c r="P140" i="19" s="1"/>
  <c r="O141" i="19"/>
  <c r="G141" i="19" a="1"/>
  <c r="G141" i="19" s="1"/>
  <c r="M141" i="19" s="1"/>
  <c r="H141" i="19" a="1"/>
  <c r="H141" i="19" s="1"/>
  <c r="I141" i="19" a="1"/>
  <c r="I141" i="19" s="1"/>
  <c r="J141" i="19" a="1"/>
  <c r="J141" i="19" s="1"/>
  <c r="E141" i="19" l="1" a="1"/>
  <c r="E141" i="19" s="1"/>
  <c r="P141" i="19" s="1"/>
  <c r="O142" i="19"/>
  <c r="G142" i="19" a="1"/>
  <c r="G142" i="19" s="1"/>
  <c r="M142" i="19" s="1"/>
  <c r="H142" i="19" a="1"/>
  <c r="H142" i="19" s="1"/>
  <c r="I142" i="19" a="1"/>
  <c r="I142" i="19" s="1"/>
  <c r="J142" i="19" a="1"/>
  <c r="J142" i="19" s="1"/>
  <c r="E142" i="19" l="1" a="1"/>
  <c r="E142" i="19" s="1"/>
  <c r="P142" i="19" s="1"/>
  <c r="O143" i="19"/>
  <c r="G143" i="19" a="1"/>
  <c r="G143" i="19" s="1"/>
  <c r="M143" i="19" s="1"/>
  <c r="H143" i="19" a="1"/>
  <c r="H143" i="19" s="1"/>
  <c r="I143" i="19" a="1"/>
  <c r="I143" i="19" s="1"/>
  <c r="J143" i="19" a="1"/>
  <c r="J143" i="19" s="1"/>
  <c r="E143" i="19" l="1" a="1"/>
  <c r="E143" i="19" s="1"/>
  <c r="P143" i="19" s="1"/>
  <c r="O144" i="19"/>
  <c r="G144" i="19" a="1"/>
  <c r="G144" i="19" s="1"/>
  <c r="M144" i="19" s="1"/>
  <c r="H144" i="19" a="1"/>
  <c r="H144" i="19" s="1"/>
  <c r="I144" i="19" a="1"/>
  <c r="I144" i="19" s="1"/>
  <c r="J144" i="19" a="1"/>
  <c r="J144" i="19" s="1"/>
  <c r="E144" i="19" l="1" a="1"/>
  <c r="E144" i="19" s="1"/>
  <c r="P144" i="19" s="1"/>
  <c r="O145" i="19"/>
  <c r="G145" i="19" a="1"/>
  <c r="G145" i="19" s="1"/>
  <c r="M145" i="19" s="1"/>
  <c r="H145" i="19" a="1"/>
  <c r="H145" i="19" s="1"/>
  <c r="I145" i="19" a="1"/>
  <c r="I145" i="19" s="1"/>
  <c r="J145" i="19" a="1"/>
  <c r="J145" i="19" s="1"/>
  <c r="E145" i="19" l="1" a="1"/>
  <c r="E145" i="19" s="1"/>
  <c r="P145" i="19" s="1"/>
  <c r="O146" i="19"/>
  <c r="G146" i="19" a="1"/>
  <c r="G146" i="19" s="1"/>
  <c r="M146" i="19" s="1"/>
  <c r="H146" i="19" a="1"/>
  <c r="H146" i="19" s="1"/>
  <c r="I146" i="19" a="1"/>
  <c r="I146" i="19" s="1"/>
  <c r="J146" i="19" a="1"/>
  <c r="J146" i="19" s="1"/>
  <c r="E146" i="19" l="1" a="1"/>
  <c r="E146" i="19" s="1"/>
  <c r="P146" i="19" s="1"/>
  <c r="O147" i="19"/>
  <c r="G147" i="19" a="1"/>
  <c r="G147" i="19" s="1"/>
  <c r="M147" i="19" s="1"/>
  <c r="H147" i="19" a="1"/>
  <c r="H147" i="19" s="1"/>
  <c r="I147" i="19" a="1"/>
  <c r="I147" i="19" s="1"/>
  <c r="J147" i="19" a="1"/>
  <c r="J147" i="19" s="1"/>
  <c r="E147" i="19" l="1" a="1"/>
  <c r="E147" i="19" s="1"/>
  <c r="P147" i="19" s="1"/>
  <c r="O148" i="19"/>
  <c r="G148" i="19" a="1"/>
  <c r="G148" i="19" s="1"/>
  <c r="M148" i="19" s="1"/>
  <c r="H148" i="19" a="1"/>
  <c r="H148" i="19" s="1"/>
  <c r="I148" i="19" a="1"/>
  <c r="I148" i="19" s="1"/>
  <c r="J148" i="19" a="1"/>
  <c r="J148" i="19" s="1"/>
  <c r="E148" i="19" l="1" a="1"/>
  <c r="E148" i="19" s="1"/>
  <c r="P148" i="19" s="1"/>
  <c r="G149" i="19" a="1"/>
  <c r="G149" i="19" s="1"/>
  <c r="M149" i="19" s="1"/>
  <c r="H149" i="19" a="1"/>
  <c r="H149" i="19" s="1"/>
  <c r="I149" i="19" a="1"/>
  <c r="I149" i="19" s="1"/>
  <c r="J149" i="19" a="1"/>
  <c r="J149" i="19" s="1"/>
  <c r="O149" i="19"/>
  <c r="E149" i="19" l="1" a="1"/>
  <c r="E149" i="19" s="1"/>
  <c r="P149" i="19" s="1"/>
  <c r="G150" i="19" a="1"/>
  <c r="G150" i="19" s="1"/>
  <c r="M150" i="19" s="1"/>
  <c r="H150" i="19" a="1"/>
  <c r="H150" i="19" s="1"/>
  <c r="I150" i="19" a="1"/>
  <c r="I150" i="19" s="1"/>
  <c r="J150" i="19" a="1"/>
  <c r="J150" i="19" s="1"/>
  <c r="O150" i="19"/>
  <c r="E150" i="19" l="1" a="1"/>
  <c r="E150" i="19" s="1"/>
  <c r="P150" i="19" s="1"/>
  <c r="O151" i="19"/>
  <c r="G151" i="19" a="1"/>
  <c r="G151" i="19" s="1"/>
  <c r="M151" i="19" s="1"/>
  <c r="H151" i="19" a="1"/>
  <c r="H151" i="19" s="1"/>
  <c r="I151" i="19" a="1"/>
  <c r="I151" i="19" s="1"/>
  <c r="J151" i="19" a="1"/>
  <c r="J151" i="19" s="1"/>
  <c r="E151" i="19" l="1" a="1"/>
  <c r="E151" i="19" s="1"/>
  <c r="P151" i="19" s="1"/>
  <c r="O152" i="19"/>
  <c r="G152" i="19" a="1"/>
  <c r="G152" i="19" s="1"/>
  <c r="M152" i="19" s="1"/>
  <c r="H152" i="19" a="1"/>
  <c r="H152" i="19" s="1"/>
  <c r="I152" i="19" a="1"/>
  <c r="I152" i="19" s="1"/>
  <c r="J152" i="19" a="1"/>
  <c r="J152" i="19" s="1"/>
  <c r="N12" i="1" s="1"/>
  <c r="AB35" i="1" l="1"/>
  <c r="V35" i="1" s="1"/>
  <c r="AB32" i="1"/>
  <c r="V32" i="1" s="1"/>
  <c r="AB31" i="1"/>
  <c r="V31" i="1" s="1"/>
  <c r="AB33" i="1"/>
  <c r="V33" i="1" s="1"/>
  <c r="AB30" i="1"/>
  <c r="V30" i="1" s="1"/>
  <c r="AB29" i="1"/>
  <c r="AB34" i="1"/>
  <c r="V34" i="1" s="1"/>
  <c r="B5" i="1" a="1"/>
  <c r="F5" i="1" a="1"/>
  <c r="F5" i="1" s="1"/>
  <c r="E152" i="19" a="1"/>
  <c r="E152" i="19" s="1"/>
  <c r="O153" i="19"/>
  <c r="G153" i="19" a="1"/>
  <c r="G153" i="19" s="1"/>
  <c r="M153" i="19" s="1"/>
  <c r="I153" i="19" a="1"/>
  <c r="I153" i="19" s="1"/>
  <c r="P47" i="19" l="1"/>
  <c r="P46" i="19"/>
  <c r="C38" i="1"/>
  <c r="D38" i="1" a="1"/>
  <c r="D38" i="1" s="1"/>
  <c r="P39" i="19"/>
  <c r="P45" i="19"/>
  <c r="P49" i="19"/>
  <c r="P51" i="19"/>
  <c r="P48" i="19"/>
  <c r="P50" i="19"/>
  <c r="P38" i="19"/>
  <c r="P44" i="19"/>
  <c r="U27" i="1"/>
  <c r="V29" i="1"/>
  <c r="D11" i="1" a="1"/>
  <c r="D11" i="1" s="1"/>
  <c r="C20" i="1"/>
  <c r="D25" i="1" a="1"/>
  <c r="D25" i="1" s="1"/>
  <c r="D28" i="1" a="1"/>
  <c r="D28" i="1" s="1"/>
  <c r="C30" i="1"/>
  <c r="C36" i="1"/>
  <c r="C19" i="1"/>
  <c r="D20" i="1" a="1"/>
  <c r="D20" i="1" s="1"/>
  <c r="D30" i="1" a="1"/>
  <c r="D30" i="1" s="1"/>
  <c r="D36" i="1" a="1"/>
  <c r="D36" i="1" s="1"/>
  <c r="C29" i="1"/>
  <c r="C10" i="1"/>
  <c r="D19" i="1" a="1"/>
  <c r="D19" i="1" s="1"/>
  <c r="D10" i="1" a="1"/>
  <c r="D10" i="1" s="1"/>
  <c r="C24" i="1"/>
  <c r="C16" i="1"/>
  <c r="C18" i="1"/>
  <c r="C22" i="1"/>
  <c r="D24" i="1" a="1"/>
  <c r="D24" i="1" s="1"/>
  <c r="C26" i="1"/>
  <c r="C34" i="1"/>
  <c r="D37" i="1" a="1"/>
  <c r="D37" i="1" s="1"/>
  <c r="C6" i="1"/>
  <c r="C8" i="1"/>
  <c r="D9" i="1" a="1"/>
  <c r="D9" i="1" s="1"/>
  <c r="D14" i="1" a="1"/>
  <c r="D14" i="1" s="1"/>
  <c r="C33" i="1"/>
  <c r="C32" i="1"/>
  <c r="D8" i="1" a="1"/>
  <c r="D8" i="1" s="1"/>
  <c r="C27" i="1"/>
  <c r="D33" i="1" a="1"/>
  <c r="D33" i="1" s="1"/>
  <c r="C13" i="1"/>
  <c r="C21" i="1"/>
  <c r="D27" i="1" a="1"/>
  <c r="D27" i="1" s="1"/>
  <c r="B5" i="1"/>
  <c r="C7" i="1"/>
  <c r="C12" i="1"/>
  <c r="D13" i="1" a="1"/>
  <c r="D13" i="1" s="1"/>
  <c r="D21" i="1" a="1"/>
  <c r="D21" i="1" s="1"/>
  <c r="C23" i="1"/>
  <c r="D32" i="1" a="1"/>
  <c r="D32" i="1" s="1"/>
  <c r="D12" i="1" a="1"/>
  <c r="D12" i="1" s="1"/>
  <c r="C15" i="1"/>
  <c r="C17" i="1"/>
  <c r="D23" i="1" a="1"/>
  <c r="D23" i="1" s="1"/>
  <c r="C31" i="1"/>
  <c r="D35" i="1" a="1"/>
  <c r="D35" i="1" s="1"/>
  <c r="D29" i="1" a="1"/>
  <c r="D29" i="1" s="1"/>
  <c r="C35" i="1"/>
  <c r="C14" i="1"/>
  <c r="D15" i="1" a="1"/>
  <c r="D15" i="1" s="1"/>
  <c r="C25" i="1"/>
  <c r="D18" i="1" a="1"/>
  <c r="D18" i="1" s="1"/>
  <c r="D22" i="1" a="1"/>
  <c r="D22" i="1" s="1"/>
  <c r="D16" i="1" a="1"/>
  <c r="D16" i="1" s="1"/>
  <c r="D26" i="1" a="1"/>
  <c r="D26" i="1" s="1"/>
  <c r="C37" i="1"/>
  <c r="D17" i="1" a="1"/>
  <c r="D17" i="1" s="1"/>
  <c r="C28" i="1"/>
  <c r="C9" i="1"/>
  <c r="D34" i="1" a="1"/>
  <c r="D34" i="1" s="1"/>
  <c r="C11" i="1"/>
  <c r="D31" i="1" a="1"/>
  <c r="D31" i="1" s="1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40" i="19"/>
  <c r="P41" i="19"/>
  <c r="P42" i="19"/>
  <c r="P43" i="19"/>
  <c r="P152" i="19"/>
  <c r="O154" i="19"/>
  <c r="G154" i="19" a="1"/>
  <c r="G154" i="19" s="1"/>
  <c r="M154" i="19" s="1"/>
  <c r="I154" i="19" a="1"/>
  <c r="I154" i="19" s="1"/>
  <c r="C5" i="1" l="1"/>
  <c r="O155" i="19"/>
  <c r="G155" i="19" a="1"/>
  <c r="G155" i="19" s="1"/>
  <c r="M155" i="19" s="1"/>
  <c r="I155" i="19" a="1"/>
  <c r="I155" i="19" s="1"/>
  <c r="O156" i="19" l="1"/>
  <c r="G156" i="19" a="1"/>
  <c r="G156" i="19" s="1"/>
  <c r="M156" i="19" s="1"/>
  <c r="I156" i="19" a="1"/>
  <c r="I156" i="19" s="1"/>
  <c r="O157" i="19" l="1"/>
  <c r="G157" i="19" a="1"/>
  <c r="G157" i="19" s="1"/>
  <c r="M157" i="19" s="1"/>
  <c r="I157" i="19" a="1"/>
  <c r="I157" i="19" s="1"/>
  <c r="O158" i="19" l="1"/>
  <c r="G158" i="19" a="1"/>
  <c r="G158" i="19" s="1"/>
  <c r="M158" i="19" s="1"/>
  <c r="I158" i="19" a="1"/>
  <c r="I158" i="19" s="1"/>
  <c r="O159" i="19" l="1"/>
  <c r="G159" i="19" a="1"/>
  <c r="G159" i="19" s="1"/>
  <c r="M159" i="19" s="1"/>
  <c r="I159" i="19" a="1"/>
  <c r="I159" i="19" s="1"/>
  <c r="O160" i="19" l="1"/>
  <c r="G160" i="19" a="1"/>
  <c r="G160" i="19" s="1"/>
  <c r="M160" i="19" s="1"/>
  <c r="I160" i="19" a="1"/>
  <c r="I160" i="19" s="1"/>
  <c r="O161" i="19" l="1"/>
  <c r="G161" i="19" a="1"/>
  <c r="G161" i="19" s="1"/>
  <c r="M161" i="19" s="1"/>
  <c r="I161" i="19" a="1"/>
  <c r="I161" i="19" s="1"/>
  <c r="O162" i="19" l="1"/>
  <c r="G162" i="19" a="1"/>
  <c r="G162" i="19" s="1"/>
  <c r="M162" i="19" s="1"/>
  <c r="I162" i="19" a="1"/>
  <c r="I162" i="19" s="1"/>
  <c r="O163" i="19" l="1"/>
  <c r="G163" i="19" a="1"/>
  <c r="G163" i="19" s="1"/>
  <c r="M163" i="19" s="1"/>
  <c r="I163" i="19" a="1"/>
  <c r="I163" i="19" s="1"/>
  <c r="O164" i="19" l="1"/>
  <c r="G164" i="19" a="1"/>
  <c r="G164" i="19" s="1"/>
  <c r="M164" i="19" s="1"/>
  <c r="I164" i="19" a="1"/>
  <c r="I164" i="19" s="1"/>
  <c r="O165" i="19" l="1"/>
  <c r="G165" i="19" a="1"/>
  <c r="G165" i="19" s="1"/>
  <c r="M165" i="19" s="1"/>
  <c r="I165" i="19" a="1"/>
  <c r="I165" i="19" s="1"/>
  <c r="O166" i="19" l="1"/>
  <c r="G166" i="19" a="1"/>
  <c r="G166" i="19" s="1"/>
  <c r="M166" i="19" s="1"/>
  <c r="I166" i="19" a="1"/>
  <c r="I166" i="19" s="1"/>
  <c r="O167" i="19" l="1"/>
  <c r="G167" i="19" a="1"/>
  <c r="G167" i="19" s="1"/>
  <c r="M167" i="19" s="1"/>
  <c r="I167" i="19" a="1"/>
  <c r="I167" i="19" s="1"/>
  <c r="O168" i="19" l="1"/>
  <c r="G168" i="19" a="1"/>
  <c r="G168" i="19" s="1"/>
  <c r="M168" i="19" s="1"/>
  <c r="I168" i="19" a="1"/>
  <c r="I168" i="19" s="1"/>
  <c r="O169" i="19" l="1"/>
  <c r="G169" i="19" a="1"/>
  <c r="G169" i="19" s="1"/>
  <c r="M169" i="19" s="1"/>
  <c r="I169" i="19" a="1"/>
  <c r="I169" i="19" s="1"/>
  <c r="O170" i="19" l="1"/>
  <c r="G170" i="19" a="1"/>
  <c r="G170" i="19" s="1"/>
  <c r="M170" i="19" s="1"/>
  <c r="I170" i="19" a="1"/>
  <c r="I170" i="19" s="1"/>
  <c r="O171" i="19" l="1"/>
  <c r="G171" i="19" a="1"/>
  <c r="G171" i="19" s="1"/>
  <c r="M171" i="19" s="1"/>
  <c r="I171" i="19" a="1"/>
  <c r="I171" i="19" s="1"/>
  <c r="O172" i="19" l="1"/>
  <c r="G172" i="19" a="1"/>
  <c r="G172" i="19" s="1"/>
  <c r="M172" i="19" s="1"/>
  <c r="I172" i="19" a="1"/>
  <c r="I172" i="19" s="1"/>
  <c r="O173" i="19" l="1"/>
  <c r="G173" i="19" a="1"/>
  <c r="G173" i="19" s="1"/>
  <c r="M173" i="19" s="1"/>
  <c r="I173" i="19" a="1"/>
  <c r="I173" i="19" s="1"/>
  <c r="O174" i="19" l="1"/>
  <c r="G174" i="19" a="1"/>
  <c r="G174" i="19" s="1"/>
  <c r="M174" i="19" s="1"/>
  <c r="I174" i="19" a="1"/>
  <c r="I174" i="19" s="1"/>
  <c r="O175" i="19" l="1"/>
  <c r="G175" i="19" a="1"/>
  <c r="G175" i="19" s="1"/>
  <c r="M175" i="19" s="1"/>
  <c r="I175" i="19" a="1"/>
  <c r="I175" i="19" s="1"/>
  <c r="O176" i="19" l="1"/>
  <c r="G176" i="19" a="1"/>
  <c r="G176" i="19" s="1"/>
  <c r="M176" i="19" s="1"/>
  <c r="I176" i="19" a="1"/>
  <c r="I176" i="19" s="1"/>
  <c r="O177" i="19" l="1"/>
  <c r="G177" i="19" a="1"/>
  <c r="G177" i="19" s="1"/>
  <c r="M177" i="19" s="1"/>
  <c r="I177" i="19" a="1"/>
  <c r="I177" i="19" s="1"/>
  <c r="O178" i="19" l="1"/>
  <c r="G178" i="19" a="1"/>
  <c r="G178" i="19" s="1"/>
  <c r="M178" i="19" s="1"/>
  <c r="I178" i="19" a="1"/>
  <c r="I178" i="19" s="1"/>
  <c r="O179" i="19" l="1"/>
  <c r="G179" i="19" a="1"/>
  <c r="G179" i="19" s="1"/>
  <c r="M179" i="19" s="1"/>
  <c r="I179" i="19" a="1"/>
  <c r="I179" i="19" s="1"/>
  <c r="O180" i="19" l="1"/>
  <c r="G180" i="19" a="1"/>
  <c r="G180" i="19" s="1"/>
  <c r="M180" i="19" s="1"/>
  <c r="I180" i="19" a="1"/>
  <c r="I180" i="19" s="1"/>
  <c r="O181" i="19" l="1"/>
  <c r="G181" i="19" a="1"/>
  <c r="G181" i="19" s="1"/>
  <c r="M181" i="19" s="1"/>
  <c r="I181" i="19" a="1"/>
  <c r="I181" i="19" s="1"/>
  <c r="O182" i="19" l="1"/>
  <c r="G182" i="19" a="1"/>
  <c r="G182" i="19" s="1"/>
  <c r="M182" i="19" s="1"/>
  <c r="I182" i="19" a="1"/>
  <c r="I182" i="19" s="1"/>
  <c r="O183" i="19" l="1"/>
  <c r="G183" i="19" a="1"/>
  <c r="G183" i="19" s="1"/>
  <c r="M183" i="19" s="1"/>
  <c r="I183" i="19" a="1"/>
  <c r="I183" i="19" s="1"/>
  <c r="O184" i="19" l="1"/>
  <c r="G184" i="19" a="1"/>
  <c r="G184" i="19" s="1"/>
  <c r="M184" i="19" s="1"/>
  <c r="I184" i="19" a="1"/>
  <c r="I184" i="19" s="1"/>
  <c r="O185" i="19" l="1"/>
  <c r="G185" i="19" a="1"/>
  <c r="G185" i="19" s="1"/>
  <c r="M185" i="19" s="1"/>
  <c r="I185" i="19" a="1"/>
  <c r="I185" i="19" s="1"/>
  <c r="O186" i="19" l="1"/>
  <c r="G186" i="19" a="1"/>
  <c r="G186" i="19" s="1"/>
  <c r="M186" i="19" s="1"/>
  <c r="I186" i="19" a="1"/>
  <c r="I186" i="19" s="1"/>
  <c r="O187" i="19" l="1"/>
  <c r="G187" i="19" a="1"/>
  <c r="G187" i="19" s="1"/>
  <c r="M187" i="19" s="1"/>
  <c r="I187" i="19" a="1"/>
  <c r="I187" i="19" s="1"/>
  <c r="O188" i="19" l="1"/>
  <c r="G188" i="19" a="1"/>
  <c r="G188" i="19" s="1"/>
  <c r="M188" i="19" s="1"/>
  <c r="I188" i="19" a="1"/>
  <c r="I188" i="19" s="1"/>
  <c r="O189" i="19" l="1"/>
  <c r="G189" i="19" a="1"/>
  <c r="G189" i="19" s="1"/>
  <c r="M189" i="19" s="1"/>
  <c r="I189" i="19" a="1"/>
  <c r="I189" i="19" s="1"/>
  <c r="O190" i="19" l="1"/>
  <c r="G190" i="19" a="1"/>
  <c r="G190" i="19" s="1"/>
  <c r="M190" i="19" s="1"/>
  <c r="I190" i="19" a="1"/>
  <c r="I190" i="19" s="1"/>
  <c r="O191" i="19" l="1"/>
  <c r="G191" i="19" a="1"/>
  <c r="G191" i="19" s="1"/>
  <c r="M191" i="19" s="1"/>
  <c r="I191" i="19" a="1"/>
  <c r="I191" i="19" s="1"/>
  <c r="O192" i="19" l="1"/>
  <c r="G192" i="19" a="1"/>
  <c r="G192" i="19" s="1"/>
  <c r="M192" i="19" s="1"/>
  <c r="I192" i="19" a="1"/>
  <c r="I192" i="19" s="1"/>
  <c r="O193" i="19" l="1"/>
  <c r="G193" i="19" a="1"/>
  <c r="G193" i="19" s="1"/>
  <c r="M193" i="19" s="1"/>
  <c r="I193" i="19" a="1"/>
  <c r="I193" i="19" s="1"/>
  <c r="O194" i="19" l="1"/>
  <c r="G194" i="19" a="1"/>
  <c r="G194" i="19" s="1"/>
  <c r="M194" i="19" s="1"/>
  <c r="I194" i="19" a="1"/>
  <c r="I194" i="19" s="1"/>
  <c r="O195" i="19" l="1"/>
  <c r="G195" i="19" a="1"/>
  <c r="G195" i="19" s="1"/>
  <c r="M195" i="19" s="1"/>
  <c r="I195" i="19" a="1"/>
  <c r="I195" i="19" s="1"/>
  <c r="O196" i="19" l="1"/>
  <c r="G196" i="19" a="1"/>
  <c r="G196" i="19" s="1"/>
  <c r="M196" i="19" s="1"/>
  <c r="I196" i="19" a="1"/>
  <c r="I196" i="19" s="1"/>
  <c r="O197" i="19" l="1"/>
  <c r="G197" i="19" a="1"/>
  <c r="G197" i="19" s="1"/>
  <c r="M197" i="19" s="1"/>
  <c r="I197" i="19" a="1"/>
  <c r="I197" i="19" s="1"/>
  <c r="O198" i="19" l="1"/>
  <c r="G198" i="19" a="1"/>
  <c r="G198" i="19" s="1"/>
  <c r="M198" i="19" s="1"/>
  <c r="I198" i="19" a="1"/>
  <c r="I198" i="19" s="1"/>
  <c r="O199" i="19" l="1"/>
  <c r="G199" i="19" a="1"/>
  <c r="G199" i="19" s="1"/>
  <c r="M199" i="19" s="1"/>
  <c r="I199" i="19" a="1"/>
  <c r="I199" i="19" s="1"/>
  <c r="O200" i="19" l="1"/>
  <c r="G200" i="19" a="1"/>
  <c r="G200" i="19" s="1"/>
  <c r="M200" i="19" s="1"/>
  <c r="I200" i="19" a="1"/>
  <c r="I200" i="19" s="1"/>
  <c r="O201" i="19" l="1"/>
  <c r="G201" i="19" a="1"/>
  <c r="G201" i="19" s="1"/>
  <c r="M201" i="19" s="1"/>
  <c r="I201" i="19" a="1"/>
  <c r="I201" i="19" s="1"/>
  <c r="O202" i="19" l="1"/>
  <c r="G202" i="19" a="1"/>
  <c r="G202" i="19" s="1"/>
  <c r="M202" i="19" s="1"/>
  <c r="I202" i="19" a="1"/>
  <c r="I202" i="19" s="1"/>
  <c r="O203" i="19" l="1"/>
  <c r="G203" i="19" a="1"/>
  <c r="G203" i="19" s="1"/>
  <c r="M203" i="19" s="1"/>
  <c r="I203" i="19" a="1"/>
  <c r="I203" i="19" s="1"/>
  <c r="O204" i="19" l="1"/>
  <c r="G204" i="19" a="1"/>
  <c r="G204" i="19" s="1"/>
  <c r="M204" i="19" s="1"/>
  <c r="I204" i="19" a="1"/>
  <c r="I204" i="19" s="1"/>
  <c r="O205" i="19" l="1"/>
  <c r="G205" i="19" a="1"/>
  <c r="G205" i="19" s="1"/>
  <c r="M205" i="19" s="1"/>
  <c r="I205" i="19" a="1"/>
  <c r="I205" i="19" s="1"/>
  <c r="O206" i="19" l="1"/>
  <c r="G206" i="19" a="1"/>
  <c r="G206" i="19" s="1"/>
  <c r="M206" i="19" s="1"/>
  <c r="I206" i="19" a="1"/>
  <c r="I206" i="19" s="1"/>
  <c r="O207" i="19" l="1"/>
  <c r="G207" i="19" a="1"/>
  <c r="G207" i="19" s="1"/>
  <c r="M207" i="19" s="1"/>
  <c r="I207" i="19" a="1"/>
  <c r="I207" i="19" s="1"/>
  <c r="O208" i="19" l="1"/>
  <c r="G208" i="19" a="1"/>
  <c r="G208" i="19" s="1"/>
  <c r="M208" i="19" s="1"/>
  <c r="I208" i="19" a="1"/>
  <c r="I208" i="19" s="1"/>
  <c r="O209" i="19" l="1"/>
  <c r="G209" i="19" a="1"/>
  <c r="G209" i="19" s="1"/>
  <c r="M209" i="19" s="1"/>
  <c r="I209" i="19" a="1"/>
  <c r="I209" i="19" s="1"/>
  <c r="G210" i="19" l="1" a="1"/>
  <c r="G210" i="19" s="1"/>
  <c r="M210" i="19" s="1"/>
  <c r="I210" i="19" a="1"/>
  <c r="I210" i="19" s="1"/>
  <c r="O210" i="19"/>
  <c r="O211" i="19" l="1"/>
  <c r="G211" i="19" a="1"/>
  <c r="G211" i="19" s="1"/>
  <c r="M211" i="19" s="1"/>
  <c r="I211" i="19" a="1"/>
  <c r="I211" i="19" s="1"/>
  <c r="O212" i="19" l="1"/>
  <c r="G212" i="19" a="1"/>
  <c r="G212" i="19" s="1"/>
  <c r="M212" i="19" s="1"/>
  <c r="I212" i="19" a="1"/>
  <c r="I212" i="19" s="1"/>
  <c r="O213" i="19" l="1"/>
  <c r="G213" i="19" a="1"/>
  <c r="G213" i="19" s="1"/>
  <c r="M213" i="19" s="1"/>
  <c r="I213" i="19" a="1"/>
  <c r="I213" i="19" s="1"/>
  <c r="O214" i="19" l="1"/>
  <c r="G214" i="19" a="1"/>
  <c r="G214" i="19" s="1"/>
  <c r="M214" i="19" s="1"/>
  <c r="I214" i="19" a="1"/>
  <c r="I214" i="19" s="1"/>
  <c r="O215" i="19" l="1"/>
  <c r="G215" i="19" a="1"/>
  <c r="G215" i="19" s="1"/>
  <c r="M215" i="19" s="1"/>
  <c r="I215" i="19" a="1"/>
  <c r="I215" i="19" s="1"/>
  <c r="O216" i="19" l="1"/>
  <c r="G216" i="19" a="1"/>
  <c r="G216" i="19" s="1"/>
  <c r="M216" i="19" s="1"/>
  <c r="I216" i="19" a="1"/>
  <c r="I216" i="19" s="1"/>
  <c r="O217" i="19" l="1"/>
  <c r="G217" i="19" a="1"/>
  <c r="G217" i="19" s="1"/>
  <c r="M217" i="19" s="1"/>
  <c r="I217" i="19" a="1"/>
  <c r="I217" i="19" s="1"/>
  <c r="O218" i="19" l="1"/>
  <c r="G218" i="19" a="1"/>
  <c r="G218" i="19" s="1"/>
  <c r="M218" i="19" s="1"/>
  <c r="I218" i="19" a="1"/>
  <c r="I218" i="19" s="1"/>
  <c r="O219" i="19" l="1"/>
  <c r="G219" i="19" a="1"/>
  <c r="G219" i="19" s="1"/>
  <c r="M219" i="19" s="1"/>
  <c r="I219" i="19" a="1"/>
  <c r="I219" i="19" s="1"/>
  <c r="O220" i="19" l="1"/>
  <c r="G220" i="19" a="1"/>
  <c r="G220" i="19" s="1"/>
  <c r="M220" i="19" s="1"/>
  <c r="I220" i="19" a="1"/>
  <c r="I220" i="19" s="1"/>
  <c r="O221" i="19" l="1"/>
  <c r="G221" i="19" a="1"/>
  <c r="G221" i="19" s="1"/>
  <c r="M221" i="19" s="1"/>
  <c r="I221" i="19" a="1"/>
  <c r="I221" i="19" s="1"/>
  <c r="O222" i="19" l="1"/>
  <c r="G222" i="19" a="1"/>
  <c r="G222" i="19" s="1"/>
  <c r="M222" i="19" s="1"/>
  <c r="I222" i="19" a="1"/>
  <c r="I222" i="19" s="1"/>
  <c r="O223" i="19" l="1"/>
  <c r="G223" i="19" a="1"/>
  <c r="G223" i="19" s="1"/>
  <c r="M223" i="19" s="1"/>
  <c r="I223" i="19" a="1"/>
  <c r="I223" i="19" s="1"/>
  <c r="O224" i="19" l="1"/>
  <c r="G224" i="19" a="1"/>
  <c r="G224" i="19" s="1"/>
  <c r="M224" i="19" s="1"/>
  <c r="I224" i="19" a="1"/>
  <c r="I224" i="19" s="1"/>
  <c r="O225" i="19" l="1"/>
  <c r="G225" i="19" a="1"/>
  <c r="G225" i="19" s="1"/>
  <c r="M225" i="19" s="1"/>
  <c r="I225" i="19" a="1"/>
  <c r="I225" i="19" s="1"/>
  <c r="O226" i="19" l="1"/>
  <c r="G226" i="19" a="1"/>
  <c r="G226" i="19" s="1"/>
  <c r="M226" i="19" s="1"/>
  <c r="I226" i="19" a="1"/>
  <c r="I226" i="19" s="1"/>
  <c r="O227" i="19" l="1"/>
  <c r="G227" i="19" a="1"/>
  <c r="G227" i="19" s="1"/>
  <c r="M227" i="19" s="1"/>
  <c r="I227" i="19" a="1"/>
  <c r="I227" i="19" s="1"/>
  <c r="O228" i="19" l="1"/>
  <c r="G228" i="19" a="1"/>
  <c r="G228" i="19" s="1"/>
  <c r="M228" i="19" s="1"/>
  <c r="I228" i="19" a="1"/>
  <c r="I228" i="19" s="1"/>
  <c r="O229" i="19" l="1"/>
  <c r="G229" i="19" a="1"/>
  <c r="G229" i="19" s="1"/>
  <c r="M229" i="19" s="1"/>
  <c r="I229" i="19" a="1"/>
  <c r="I229" i="19" s="1"/>
  <c r="O230" i="19" l="1"/>
  <c r="G230" i="19" a="1"/>
  <c r="G230" i="19" s="1"/>
  <c r="M230" i="19" s="1"/>
  <c r="I230" i="19" a="1"/>
  <c r="I230" i="19" s="1"/>
  <c r="O231" i="19" l="1"/>
  <c r="G231" i="19" a="1"/>
  <c r="G231" i="19" s="1"/>
  <c r="M231" i="19" s="1"/>
  <c r="I231" i="19" a="1"/>
  <c r="I231" i="19" s="1"/>
  <c r="O232" i="19" l="1"/>
  <c r="G232" i="19" a="1"/>
  <c r="G232" i="19" s="1"/>
  <c r="M232" i="19" s="1"/>
  <c r="I232" i="19" a="1"/>
  <c r="I232" i="19" s="1"/>
  <c r="G233" i="19" l="1" a="1"/>
  <c r="G233" i="19" s="1"/>
  <c r="M233" i="19" s="1"/>
  <c r="I233" i="19" a="1"/>
  <c r="I233" i="19" s="1"/>
  <c r="O233" i="19"/>
  <c r="O234" i="19" l="1"/>
  <c r="G234" i="19" a="1"/>
  <c r="G234" i="19" s="1"/>
  <c r="M234" i="19" s="1"/>
  <c r="I234" i="19" a="1"/>
  <c r="I234" i="19" s="1"/>
  <c r="O235" i="19" l="1"/>
  <c r="G235" i="19" a="1"/>
  <c r="G235" i="19" s="1"/>
  <c r="M235" i="19" s="1"/>
  <c r="I235" i="19" a="1"/>
  <c r="I235" i="19" s="1"/>
  <c r="O236" i="19" l="1"/>
  <c r="G236" i="19" a="1"/>
  <c r="G236" i="19" s="1"/>
  <c r="M236" i="19" s="1"/>
  <c r="I236" i="19" a="1"/>
  <c r="I236" i="19" s="1"/>
  <c r="O237" i="19" l="1"/>
  <c r="G237" i="19" a="1"/>
  <c r="G237" i="19" s="1"/>
  <c r="M237" i="19" s="1"/>
  <c r="I237" i="19" a="1"/>
  <c r="I237" i="19" s="1"/>
  <c r="O238" i="19" l="1"/>
  <c r="G238" i="19" a="1"/>
  <c r="G238" i="19" s="1"/>
  <c r="M238" i="19" s="1"/>
  <c r="I238" i="19" a="1"/>
  <c r="I238" i="19" s="1"/>
  <c r="O239" i="19" l="1"/>
  <c r="G239" i="19" a="1"/>
  <c r="G239" i="19" s="1"/>
  <c r="M239" i="19" s="1"/>
  <c r="I239" i="19" a="1"/>
  <c r="I239" i="19" s="1"/>
  <c r="O240" i="19" l="1"/>
  <c r="G240" i="19" a="1"/>
  <c r="G240" i="19" s="1"/>
  <c r="M240" i="19" s="1"/>
  <c r="I240" i="19" a="1"/>
  <c r="I240" i="19" s="1"/>
  <c r="O241" i="19" l="1"/>
  <c r="G241" i="19" a="1"/>
  <c r="G241" i="19" s="1"/>
  <c r="M241" i="19" s="1"/>
  <c r="I241" i="19" a="1"/>
  <c r="I241" i="19" s="1"/>
  <c r="O242" i="19" l="1"/>
  <c r="G242" i="19" a="1"/>
  <c r="G242" i="19" s="1"/>
  <c r="M242" i="19" s="1"/>
  <c r="I242" i="19" a="1"/>
  <c r="I242" i="19" s="1"/>
  <c r="O243" i="19" l="1"/>
  <c r="G243" i="19" a="1"/>
  <c r="G243" i="19" s="1"/>
  <c r="M243" i="19" s="1"/>
  <c r="I243" i="19" a="1"/>
  <c r="I243" i="19" s="1"/>
  <c r="O244" i="19" l="1"/>
  <c r="G244" i="19" a="1"/>
  <c r="G244" i="19" s="1"/>
  <c r="M244" i="19" s="1"/>
  <c r="I244" i="19" a="1"/>
  <c r="I244" i="19" s="1"/>
  <c r="O245" i="19" l="1"/>
  <c r="G245" i="19" a="1"/>
  <c r="G245" i="19" s="1"/>
  <c r="M245" i="19" s="1"/>
  <c r="I245" i="19" a="1"/>
  <c r="I245" i="19" s="1"/>
  <c r="O246" i="19" l="1"/>
  <c r="G246" i="19" a="1"/>
  <c r="G246" i="19" s="1"/>
  <c r="M246" i="19" s="1"/>
  <c r="I246" i="19" a="1"/>
  <c r="I246" i="19" s="1"/>
  <c r="O247" i="19" l="1"/>
  <c r="G247" i="19" a="1"/>
  <c r="G247" i="19" s="1"/>
  <c r="M247" i="19" s="1"/>
  <c r="I247" i="19" a="1"/>
  <c r="I247" i="19" s="1"/>
  <c r="O248" i="19" l="1"/>
  <c r="G248" i="19" a="1"/>
  <c r="G248" i="19" s="1"/>
  <c r="M248" i="19" s="1"/>
  <c r="I248" i="19" a="1"/>
  <c r="I248" i="19" s="1"/>
  <c r="O249" i="19" l="1"/>
  <c r="G249" i="19" a="1"/>
  <c r="G249" i="19" s="1"/>
  <c r="M249" i="19" s="1"/>
  <c r="I249" i="19" a="1"/>
  <c r="I249" i="19" s="1"/>
  <c r="O250" i="19" l="1"/>
  <c r="G250" i="19" a="1"/>
  <c r="G250" i="19" s="1"/>
  <c r="M250" i="19" s="1"/>
  <c r="I250" i="19" a="1"/>
  <c r="I250" i="19" s="1"/>
  <c r="O251" i="19" l="1"/>
  <c r="G251" i="19" a="1"/>
  <c r="G251" i="19" s="1"/>
  <c r="M251" i="19" s="1"/>
  <c r="I251" i="19" a="1"/>
  <c r="I251" i="19" s="1"/>
  <c r="O252" i="19" l="1"/>
  <c r="G252" i="19" a="1"/>
  <c r="G252" i="19" s="1"/>
  <c r="M252" i="19" s="1"/>
  <c r="I252" i="19" a="1"/>
  <c r="I252" i="19" s="1"/>
  <c r="O253" i="19" l="1"/>
  <c r="G253" i="19" a="1"/>
  <c r="G253" i="19" s="1"/>
  <c r="M253" i="19" s="1"/>
  <c r="I253" i="19" a="1"/>
  <c r="I253" i="19" s="1"/>
  <c r="O254" i="19" l="1"/>
  <c r="G254" i="19" a="1"/>
  <c r="G254" i="19" s="1"/>
  <c r="M254" i="19" s="1"/>
  <c r="I254" i="19" a="1"/>
  <c r="I254" i="19" s="1"/>
  <c r="O255" i="19" l="1"/>
  <c r="G255" i="19" a="1"/>
  <c r="G255" i="19" s="1"/>
  <c r="M255" i="19" s="1"/>
  <c r="I255" i="19" a="1"/>
  <c r="I255" i="19" s="1"/>
  <c r="O256" i="19" l="1"/>
  <c r="G256" i="19" a="1"/>
  <c r="G256" i="19" s="1"/>
  <c r="M256" i="19" s="1"/>
  <c r="I256" i="19" a="1"/>
  <c r="I256" i="19" s="1"/>
  <c r="O257" i="19" l="1"/>
  <c r="G257" i="19" a="1"/>
  <c r="G257" i="19" s="1"/>
  <c r="M257" i="19" s="1"/>
  <c r="I257" i="19" a="1"/>
  <c r="I257" i="19" s="1"/>
  <c r="O258" i="19" l="1"/>
  <c r="G258" i="19" a="1"/>
  <c r="G258" i="19" s="1"/>
  <c r="M258" i="19" s="1"/>
  <c r="I258" i="19" a="1"/>
  <c r="I258" i="19" s="1"/>
  <c r="O259" i="19" l="1"/>
  <c r="G259" i="19" a="1"/>
  <c r="G259" i="19" s="1"/>
  <c r="M259" i="19" s="1"/>
  <c r="I259" i="19" a="1"/>
  <c r="I259" i="19" s="1"/>
  <c r="O260" i="19" l="1"/>
  <c r="G260" i="19" a="1"/>
  <c r="G260" i="19" s="1"/>
  <c r="M260" i="19" s="1"/>
  <c r="I260" i="19" a="1"/>
  <c r="I260" i="19" s="1"/>
  <c r="O261" i="19" l="1"/>
  <c r="G261" i="19" a="1"/>
  <c r="G261" i="19" s="1"/>
  <c r="M261" i="19" s="1"/>
  <c r="I261" i="19" a="1"/>
  <c r="I261" i="19" s="1"/>
  <c r="O262" i="19" l="1"/>
  <c r="G262" i="19" a="1"/>
  <c r="G262" i="19" s="1"/>
  <c r="M262" i="19" s="1"/>
  <c r="I262" i="19" a="1"/>
  <c r="I262" i="19" s="1"/>
  <c r="O263" i="19" l="1"/>
  <c r="G263" i="19" a="1"/>
  <c r="G263" i="19" s="1"/>
  <c r="M263" i="19" s="1"/>
  <c r="I263" i="19" a="1"/>
  <c r="I263" i="19" s="1"/>
  <c r="O264" i="19" l="1"/>
  <c r="G264" i="19" a="1"/>
  <c r="G264" i="19" s="1"/>
  <c r="M264" i="19" s="1"/>
  <c r="I264" i="19" a="1"/>
  <c r="I264" i="19" s="1"/>
  <c r="O265" i="19" l="1"/>
  <c r="G265" i="19" a="1"/>
  <c r="G265" i="19" s="1"/>
  <c r="M265" i="19" s="1"/>
  <c r="I265" i="19" a="1"/>
  <c r="I265" i="19" s="1"/>
  <c r="O266" i="19" l="1"/>
  <c r="G266" i="19" a="1"/>
  <c r="G266" i="19" s="1"/>
  <c r="M266" i="19" s="1"/>
  <c r="I266" i="19" a="1"/>
  <c r="I266" i="19" s="1"/>
  <c r="O267" i="19" l="1"/>
  <c r="G267" i="19" a="1"/>
  <c r="G267" i="19" s="1"/>
  <c r="M267" i="19" s="1"/>
  <c r="I267" i="19" a="1"/>
  <c r="I267" i="19" s="1"/>
  <c r="O268" i="19" l="1"/>
  <c r="G268" i="19" a="1"/>
  <c r="G268" i="19" s="1"/>
  <c r="M268" i="19" s="1"/>
  <c r="I268" i="19" a="1"/>
  <c r="I268" i="19" s="1"/>
  <c r="O269" i="19" l="1"/>
  <c r="G269" i="19" a="1"/>
  <c r="G269" i="19" s="1"/>
  <c r="M269" i="19" s="1"/>
  <c r="I269" i="19" a="1"/>
  <c r="I269" i="19" s="1"/>
  <c r="O270" i="19" l="1"/>
  <c r="G270" i="19" a="1"/>
  <c r="G270" i="19" s="1"/>
  <c r="M270" i="19" s="1"/>
  <c r="I270" i="19" a="1"/>
  <c r="I270" i="19" s="1"/>
  <c r="O271" i="19" l="1"/>
  <c r="G271" i="19" a="1"/>
  <c r="G271" i="19" s="1"/>
  <c r="M271" i="19" s="1"/>
  <c r="I271" i="19" a="1"/>
  <c r="I271" i="19" s="1"/>
  <c r="O272" i="19" l="1"/>
  <c r="G272" i="19" a="1"/>
  <c r="G272" i="19" s="1"/>
  <c r="M272" i="19" s="1"/>
  <c r="I272" i="19" a="1"/>
  <c r="I272" i="19" s="1"/>
  <c r="O273" i="19" l="1"/>
  <c r="G273" i="19" a="1"/>
  <c r="G273" i="19" s="1"/>
  <c r="M273" i="19" s="1"/>
  <c r="I273" i="19" a="1"/>
  <c r="I273" i="19" s="1"/>
  <c r="O274" i="19" l="1"/>
  <c r="G274" i="19" a="1"/>
  <c r="G274" i="19" s="1"/>
  <c r="M274" i="19" s="1"/>
  <c r="I274" i="19" a="1"/>
  <c r="I274" i="19" s="1"/>
  <c r="O275" i="19" l="1"/>
  <c r="G275" i="19" a="1"/>
  <c r="G275" i="19" s="1"/>
  <c r="M275" i="19" s="1"/>
  <c r="I275" i="19" a="1"/>
  <c r="I275" i="19" s="1"/>
  <c r="O276" i="19" l="1"/>
  <c r="G276" i="19" a="1"/>
  <c r="G276" i="19" s="1"/>
  <c r="M276" i="19" s="1"/>
  <c r="I276" i="19" a="1"/>
  <c r="I276" i="19" s="1"/>
  <c r="O277" i="19" l="1"/>
  <c r="G277" i="19" a="1"/>
  <c r="G277" i="19" s="1"/>
  <c r="M277" i="19" s="1"/>
  <c r="I277" i="19" a="1"/>
  <c r="I277" i="19" s="1"/>
  <c r="O278" i="19" l="1"/>
  <c r="G278" i="19" a="1"/>
  <c r="G278" i="19" s="1"/>
  <c r="M278" i="19" s="1"/>
  <c r="I278" i="19" a="1"/>
  <c r="I278" i="19" s="1"/>
  <c r="O279" i="19" l="1"/>
  <c r="G279" i="19" a="1"/>
  <c r="G279" i="19" s="1"/>
  <c r="M279" i="19" s="1"/>
  <c r="I279" i="19" a="1"/>
  <c r="I279" i="19" s="1"/>
  <c r="O280" i="19" l="1"/>
  <c r="G280" i="19" a="1"/>
  <c r="G280" i="19" s="1"/>
  <c r="M280" i="19" s="1"/>
  <c r="I280" i="19" a="1"/>
  <c r="I280" i="19" s="1"/>
  <c r="O281" i="19" l="1"/>
  <c r="G281" i="19" a="1"/>
  <c r="G281" i="19" s="1"/>
  <c r="M281" i="19" s="1"/>
  <c r="I281" i="19" a="1"/>
  <c r="I281" i="19" s="1"/>
  <c r="O282" i="19" l="1"/>
  <c r="G282" i="19" a="1"/>
  <c r="G282" i="19" s="1"/>
  <c r="M282" i="19" s="1"/>
  <c r="I282" i="19" a="1"/>
  <c r="I282" i="19" s="1"/>
  <c r="O283" i="19" l="1"/>
  <c r="G283" i="19" a="1"/>
  <c r="G283" i="19" s="1"/>
  <c r="M283" i="19" s="1"/>
  <c r="I283" i="19" a="1"/>
  <c r="I283" i="19" s="1"/>
  <c r="O284" i="19" l="1"/>
  <c r="G284" i="19" a="1"/>
  <c r="G284" i="19" s="1"/>
  <c r="M284" i="19" s="1"/>
  <c r="I284" i="19" a="1"/>
  <c r="I284" i="19" s="1"/>
  <c r="O285" i="19" l="1"/>
  <c r="G285" i="19" a="1"/>
  <c r="G285" i="19" s="1"/>
  <c r="M285" i="19" s="1"/>
  <c r="I285" i="19" a="1"/>
  <c r="I285" i="19" s="1"/>
  <c r="O286" i="19" l="1"/>
  <c r="G286" i="19" a="1"/>
  <c r="G286" i="19" s="1"/>
  <c r="M286" i="19" s="1"/>
  <c r="I286" i="19" a="1"/>
  <c r="I286" i="19" s="1"/>
  <c r="O287" i="19" l="1"/>
  <c r="G287" i="19" a="1"/>
  <c r="G287" i="19" s="1"/>
  <c r="M287" i="19" s="1"/>
  <c r="I287" i="19" a="1"/>
  <c r="I287" i="19" s="1"/>
  <c r="O288" i="19" l="1"/>
  <c r="G288" i="19" a="1"/>
  <c r="G288" i="19" s="1"/>
  <c r="M288" i="19" s="1"/>
  <c r="I288" i="19" a="1"/>
  <c r="I288" i="19" s="1"/>
  <c r="O289" i="19" l="1"/>
  <c r="G289" i="19" a="1"/>
  <c r="G289" i="19" s="1"/>
  <c r="M289" i="19" s="1"/>
  <c r="I289" i="19" a="1"/>
  <c r="I289" i="19" s="1"/>
  <c r="O290" i="19" l="1"/>
  <c r="G290" i="19" a="1"/>
  <c r="G290" i="19" s="1"/>
  <c r="M290" i="19" s="1"/>
  <c r="I290" i="19" a="1"/>
  <c r="I290" i="19" s="1"/>
  <c r="O291" i="19" l="1"/>
  <c r="G291" i="19" a="1"/>
  <c r="G291" i="19" s="1"/>
  <c r="M291" i="19" s="1"/>
  <c r="I291" i="19" a="1"/>
  <c r="I291" i="19" s="1"/>
  <c r="O292" i="19" l="1"/>
  <c r="G292" i="19" a="1"/>
  <c r="G292" i="19" s="1"/>
  <c r="M292" i="19" s="1"/>
  <c r="I292" i="19" a="1"/>
  <c r="I292" i="19" s="1"/>
  <c r="O293" i="19" l="1"/>
  <c r="G293" i="19" a="1"/>
  <c r="G293" i="19" s="1"/>
  <c r="M293" i="19" s="1"/>
  <c r="I293" i="19" a="1"/>
  <c r="I293" i="19" s="1"/>
  <c r="O294" i="19" l="1"/>
  <c r="G294" i="19" a="1"/>
  <c r="G294" i="19" s="1"/>
  <c r="M294" i="19" s="1"/>
  <c r="I294" i="19" a="1"/>
  <c r="I294" i="19" s="1"/>
  <c r="O295" i="19" l="1"/>
  <c r="G295" i="19" a="1"/>
  <c r="G295" i="19" s="1"/>
  <c r="M295" i="19" s="1"/>
  <c r="I295" i="19" a="1"/>
  <c r="I295" i="19" s="1"/>
  <c r="O296" i="19" l="1"/>
  <c r="G296" i="19" a="1"/>
  <c r="G296" i="19" s="1"/>
  <c r="M296" i="19" s="1"/>
  <c r="I296" i="19" a="1"/>
  <c r="I296" i="19" s="1"/>
  <c r="O297" i="19" l="1"/>
  <c r="G297" i="19" a="1"/>
  <c r="G297" i="19" s="1"/>
  <c r="M297" i="19" s="1"/>
  <c r="I297" i="19" a="1"/>
  <c r="I297" i="19" s="1"/>
  <c r="O298" i="19" l="1"/>
  <c r="G298" i="19" a="1"/>
  <c r="G298" i="19" s="1"/>
  <c r="M298" i="19" s="1"/>
  <c r="I298" i="19" a="1"/>
  <c r="I298" i="19" s="1"/>
  <c r="O299" i="19" l="1"/>
  <c r="G299" i="19" a="1"/>
  <c r="G299" i="19" s="1"/>
  <c r="M299" i="19" s="1"/>
  <c r="I299" i="19" a="1"/>
  <c r="I299" i="19" s="1"/>
  <c r="O300" i="19" l="1"/>
  <c r="G300" i="19" a="1"/>
  <c r="G300" i="19" s="1"/>
  <c r="M300" i="19" s="1"/>
  <c r="I300" i="19" a="1"/>
  <c r="I300" i="19" s="1"/>
  <c r="O301" i="19" l="1"/>
  <c r="G301" i="19" a="1"/>
  <c r="G301" i="19" s="1"/>
  <c r="M301" i="19" s="1"/>
  <c r="I301" i="19" a="1"/>
  <c r="I301" i="19" s="1"/>
  <c r="O302" i="19" l="1"/>
  <c r="G302" i="19" a="1"/>
  <c r="G302" i="19" s="1"/>
  <c r="M302" i="19" s="1"/>
  <c r="I302" i="19" a="1"/>
  <c r="I302" i="19" s="1"/>
  <c r="O303" i="19" l="1"/>
  <c r="G303" i="19" a="1"/>
  <c r="G303" i="19" s="1"/>
  <c r="M303" i="19" s="1"/>
  <c r="I303" i="19" a="1"/>
  <c r="I303" i="19" s="1"/>
  <c r="O304" i="19" l="1"/>
  <c r="G304" i="19" a="1"/>
  <c r="G304" i="19" s="1"/>
  <c r="M304" i="19" s="1"/>
  <c r="I304" i="19" a="1"/>
  <c r="I304" i="19" s="1"/>
  <c r="O305" i="19" l="1"/>
  <c r="G305" i="19" a="1"/>
  <c r="G305" i="19" s="1"/>
  <c r="M305" i="19" s="1"/>
  <c r="I305" i="19" a="1"/>
  <c r="I305" i="19" s="1"/>
  <c r="O306" i="19" l="1"/>
  <c r="G306" i="19" a="1"/>
  <c r="G306" i="19" s="1"/>
  <c r="M306" i="19" s="1"/>
  <c r="I306" i="19" a="1"/>
  <c r="I306" i="19" s="1"/>
  <c r="O307" i="19" l="1"/>
  <c r="G307" i="19" a="1"/>
  <c r="G307" i="19" s="1"/>
  <c r="M307" i="19" s="1"/>
  <c r="I307" i="19" a="1"/>
  <c r="I307" i="19" s="1"/>
  <c r="O308" i="19" l="1"/>
  <c r="G308" i="19" a="1"/>
  <c r="G308" i="19" s="1"/>
  <c r="M308" i="19" s="1"/>
  <c r="I308" i="19" a="1"/>
  <c r="I308" i="19" s="1"/>
  <c r="O309" i="19" l="1"/>
  <c r="G309" i="19" a="1"/>
  <c r="G309" i="19" s="1"/>
  <c r="M309" i="19" s="1"/>
  <c r="I309" i="19" a="1"/>
  <c r="I309" i="19" s="1"/>
  <c r="O310" i="19" l="1"/>
  <c r="G310" i="19" a="1"/>
  <c r="G310" i="19" s="1"/>
  <c r="M310" i="19" s="1"/>
  <c r="I310" i="19" a="1"/>
  <c r="I310" i="19" s="1"/>
  <c r="O311" i="19" l="1"/>
  <c r="G311" i="19" a="1"/>
  <c r="G311" i="19" s="1"/>
  <c r="M311" i="19" s="1"/>
  <c r="I311" i="19" a="1"/>
  <c r="I311" i="19" s="1"/>
  <c r="O312" i="19" l="1"/>
  <c r="G312" i="19" a="1"/>
  <c r="G312" i="19" s="1"/>
  <c r="M312" i="19" s="1"/>
  <c r="I312" i="19" a="1"/>
  <c r="I312" i="19" s="1"/>
  <c r="O313" i="19" l="1"/>
  <c r="G313" i="19" a="1"/>
  <c r="G313" i="19" s="1"/>
  <c r="M313" i="19" s="1"/>
  <c r="I313" i="19" a="1"/>
  <c r="I313" i="19" s="1"/>
  <c r="O314" i="19" l="1"/>
  <c r="G314" i="19" a="1"/>
  <c r="G314" i="19" s="1"/>
  <c r="M314" i="19" s="1"/>
  <c r="I314" i="19" a="1"/>
  <c r="I314" i="19" s="1"/>
  <c r="O315" i="19" l="1"/>
  <c r="G315" i="19" a="1"/>
  <c r="G315" i="19" s="1"/>
  <c r="M315" i="19" s="1"/>
  <c r="I315" i="19" a="1"/>
  <c r="I315" i="19" s="1"/>
  <c r="O316" i="19" l="1"/>
  <c r="G316" i="19" a="1"/>
  <c r="G316" i="19" s="1"/>
  <c r="M316" i="19" s="1"/>
  <c r="I316" i="19" a="1"/>
  <c r="I316" i="19" s="1"/>
  <c r="O317" i="19" l="1"/>
  <c r="G317" i="19" a="1"/>
  <c r="G317" i="19" s="1"/>
  <c r="M317" i="19" s="1"/>
  <c r="I317" i="19" a="1"/>
  <c r="I317" i="19" s="1"/>
  <c r="O318" i="19" l="1"/>
  <c r="G318" i="19" a="1"/>
  <c r="G318" i="19" s="1"/>
  <c r="M318" i="19" s="1"/>
  <c r="I318" i="19" a="1"/>
  <c r="I318" i="19" s="1"/>
  <c r="O319" i="19" l="1"/>
  <c r="G319" i="19" a="1"/>
  <c r="G319" i="19" s="1"/>
  <c r="M319" i="19" s="1"/>
  <c r="I319" i="19" a="1"/>
  <c r="I319" i="19" s="1"/>
  <c r="O320" i="19" l="1"/>
  <c r="G320" i="19" a="1"/>
  <c r="G320" i="19" s="1"/>
  <c r="M320" i="19" s="1"/>
  <c r="I320" i="19" a="1"/>
  <c r="I320" i="19" s="1"/>
  <c r="O321" i="19" l="1"/>
  <c r="G321" i="19" a="1"/>
  <c r="G321" i="19" s="1"/>
  <c r="M321" i="19" s="1"/>
  <c r="I321" i="19" a="1"/>
  <c r="I321" i="19" s="1"/>
  <c r="O322" i="19" l="1"/>
  <c r="G322" i="19" a="1"/>
  <c r="G322" i="19" s="1"/>
  <c r="M322" i="19" s="1"/>
  <c r="I322" i="19" a="1"/>
  <c r="I322" i="19" s="1"/>
  <c r="O323" i="19" l="1"/>
  <c r="G323" i="19" a="1"/>
  <c r="G323" i="19" s="1"/>
  <c r="M323" i="19" s="1"/>
  <c r="I323" i="19" a="1"/>
  <c r="I323" i="19" s="1"/>
  <c r="O324" i="19" l="1"/>
  <c r="G324" i="19" a="1"/>
  <c r="G324" i="19" s="1"/>
  <c r="M324" i="19" s="1"/>
  <c r="I324" i="19" a="1"/>
  <c r="I324" i="19" s="1"/>
  <c r="O325" i="19" l="1"/>
  <c r="G325" i="19" a="1"/>
  <c r="G325" i="19" s="1"/>
  <c r="M325" i="19" s="1"/>
  <c r="I325" i="19" a="1"/>
  <c r="I325" i="19" s="1"/>
  <c r="O326" i="19" l="1"/>
  <c r="G326" i="19" a="1"/>
  <c r="G326" i="19" s="1"/>
  <c r="M326" i="19" s="1"/>
  <c r="I326" i="19" a="1"/>
  <c r="I326" i="19" s="1"/>
  <c r="O327" i="19" l="1"/>
  <c r="G327" i="19" a="1"/>
  <c r="G327" i="19" s="1"/>
  <c r="M327" i="19" s="1"/>
  <c r="I327" i="19" a="1"/>
  <c r="I327" i="19" s="1"/>
  <c r="O328" i="19" l="1"/>
  <c r="G328" i="19" a="1"/>
  <c r="G328" i="19" s="1"/>
  <c r="M328" i="19" s="1"/>
  <c r="I328" i="19" a="1"/>
  <c r="I328" i="19" s="1"/>
  <c r="O329" i="19" l="1"/>
  <c r="G329" i="19" a="1"/>
  <c r="G329" i="19" s="1"/>
  <c r="M329" i="19" s="1"/>
  <c r="I329" i="19" a="1"/>
  <c r="I329" i="19" s="1"/>
  <c r="O330" i="19" l="1"/>
  <c r="G330" i="19" a="1"/>
  <c r="G330" i="19" s="1"/>
  <c r="M330" i="19" s="1"/>
  <c r="I330" i="19" a="1"/>
  <c r="I330" i="19" s="1"/>
  <c r="O331" i="19" l="1"/>
  <c r="G331" i="19" a="1"/>
  <c r="G331" i="19" s="1"/>
  <c r="M331" i="19" s="1"/>
  <c r="I331" i="19" a="1"/>
  <c r="I331" i="19" s="1"/>
  <c r="O332" i="19" l="1"/>
  <c r="G332" i="19" a="1"/>
  <c r="G332" i="19" s="1"/>
  <c r="M332" i="19" s="1"/>
  <c r="I332" i="19" a="1"/>
  <c r="I332" i="19" s="1"/>
  <c r="O333" i="19" l="1"/>
  <c r="G333" i="19" a="1"/>
  <c r="G333" i="19" s="1"/>
  <c r="M333" i="19" s="1"/>
  <c r="I333" i="19" a="1"/>
  <c r="I333" i="19" s="1"/>
  <c r="O334" i="19" l="1"/>
  <c r="G334" i="19" a="1"/>
  <c r="G334" i="19" s="1"/>
  <c r="M334" i="19" s="1"/>
  <c r="I334" i="19" a="1"/>
  <c r="I334" i="19" s="1"/>
  <c r="O335" i="19" l="1"/>
  <c r="G335" i="19" a="1"/>
  <c r="G335" i="19" s="1"/>
  <c r="M335" i="19" s="1"/>
  <c r="I335" i="19" a="1"/>
  <c r="I335" i="19" s="1"/>
  <c r="O336" i="19" l="1"/>
  <c r="G336" i="19" a="1"/>
  <c r="G336" i="19" s="1"/>
  <c r="M336" i="19" s="1"/>
  <c r="I336" i="19" a="1"/>
  <c r="I336" i="19" s="1"/>
  <c r="O337" i="19" l="1"/>
  <c r="G337" i="19" a="1"/>
  <c r="G337" i="19" s="1"/>
  <c r="M337" i="19" s="1"/>
  <c r="I337" i="19" a="1"/>
  <c r="I337" i="19" s="1"/>
  <c r="O338" i="19" l="1"/>
  <c r="G338" i="19" a="1"/>
  <c r="G338" i="19" s="1"/>
  <c r="M338" i="19" s="1"/>
  <c r="I338" i="19" a="1"/>
  <c r="I338" i="19" s="1"/>
  <c r="O339" i="19" l="1"/>
  <c r="G339" i="19" a="1"/>
  <c r="G339" i="19" s="1"/>
  <c r="M339" i="19" s="1"/>
  <c r="I339" i="19" a="1"/>
  <c r="I339" i="19" s="1"/>
  <c r="O340" i="19" l="1"/>
  <c r="G340" i="19" a="1"/>
  <c r="G340" i="19" s="1"/>
  <c r="M340" i="19" s="1"/>
  <c r="I340" i="19" a="1"/>
  <c r="I340" i="19" s="1"/>
  <c r="G341" i="19" l="1" a="1"/>
  <c r="G341" i="19" s="1"/>
  <c r="M341" i="19" s="1"/>
  <c r="I341" i="19" a="1"/>
  <c r="I341" i="19" s="1"/>
  <c r="O341" i="19"/>
  <c r="O342" i="19" l="1"/>
  <c r="G342" i="19" a="1"/>
  <c r="G342" i="19" s="1"/>
  <c r="M342" i="19" s="1"/>
  <c r="I342" i="19" a="1"/>
  <c r="I342" i="19" s="1"/>
  <c r="O343" i="19" l="1"/>
  <c r="G343" i="19" a="1"/>
  <c r="G343" i="19" s="1"/>
  <c r="M343" i="19" s="1"/>
  <c r="I343" i="19" a="1"/>
  <c r="I343" i="19" s="1"/>
  <c r="O344" i="19" l="1"/>
  <c r="G344" i="19" a="1"/>
  <c r="G344" i="19" s="1"/>
  <c r="M344" i="19" s="1"/>
  <c r="I344" i="19" a="1"/>
  <c r="I344" i="19" s="1"/>
  <c r="O345" i="19" l="1"/>
  <c r="G345" i="19" a="1"/>
  <c r="G345" i="19" s="1"/>
  <c r="M345" i="19" s="1"/>
  <c r="I345" i="19" a="1"/>
  <c r="I345" i="19" s="1"/>
  <c r="O346" i="19" l="1"/>
  <c r="G346" i="19" a="1"/>
  <c r="G346" i="19" s="1"/>
  <c r="M346" i="19" s="1"/>
  <c r="I346" i="19" a="1"/>
  <c r="I346" i="19" s="1"/>
  <c r="O347" i="19" l="1"/>
  <c r="G347" i="19" a="1"/>
  <c r="G347" i="19" s="1"/>
  <c r="M347" i="19" s="1"/>
  <c r="I347" i="19" a="1"/>
  <c r="I347" i="19" s="1"/>
  <c r="O348" i="19" l="1"/>
  <c r="G348" i="19" a="1"/>
  <c r="G348" i="19" s="1"/>
  <c r="M348" i="19" s="1"/>
  <c r="I348" i="19" a="1"/>
  <c r="I348" i="19" s="1"/>
  <c r="O349" i="19" l="1"/>
  <c r="G349" i="19" a="1"/>
  <c r="G349" i="19" s="1"/>
  <c r="M349" i="19" s="1"/>
  <c r="I349" i="19" a="1"/>
  <c r="I349" i="19" s="1"/>
  <c r="O350" i="19" l="1"/>
  <c r="G350" i="19" a="1"/>
  <c r="G350" i="19" s="1"/>
  <c r="M350" i="19" s="1"/>
  <c r="I350" i="19" a="1"/>
  <c r="I350" i="19" s="1"/>
  <c r="O351" i="19" l="1"/>
  <c r="G351" i="19" a="1"/>
  <c r="G351" i="19" s="1"/>
  <c r="M351" i="19" s="1"/>
  <c r="I351" i="19" a="1"/>
  <c r="I351" i="19" s="1"/>
  <c r="O352" i="19" l="1"/>
  <c r="G352" i="19" a="1"/>
  <c r="G352" i="19" s="1"/>
  <c r="M352" i="19" s="1"/>
  <c r="I352" i="19" a="1"/>
  <c r="I352" i="19" s="1"/>
  <c r="O353" i="19" l="1"/>
  <c r="G353" i="19" a="1"/>
  <c r="G353" i="19" s="1"/>
  <c r="M353" i="19" s="1"/>
  <c r="I353" i="19" a="1"/>
  <c r="I353" i="19" s="1"/>
  <c r="O354" i="19" l="1"/>
  <c r="G354" i="19" a="1"/>
  <c r="G354" i="19" s="1"/>
  <c r="M354" i="19" s="1"/>
  <c r="I354" i="19" a="1"/>
  <c r="I354" i="19" s="1"/>
  <c r="O355" i="19" l="1"/>
  <c r="G355" i="19" a="1"/>
  <c r="G355" i="19" s="1"/>
  <c r="M355" i="19" s="1"/>
  <c r="I355" i="19" a="1"/>
  <c r="I355" i="19" s="1"/>
  <c r="O356" i="19" l="1"/>
  <c r="G356" i="19" a="1"/>
  <c r="G356" i="19" s="1"/>
  <c r="M356" i="19" s="1"/>
  <c r="I356" i="19" a="1"/>
  <c r="I356" i="19" s="1"/>
  <c r="O357" i="19" l="1"/>
  <c r="G357" i="19" a="1"/>
  <c r="G357" i="19" s="1"/>
  <c r="M357" i="19" s="1"/>
  <c r="I357" i="19" a="1"/>
  <c r="I357" i="19" s="1"/>
  <c r="O358" i="19" l="1"/>
  <c r="G358" i="19" a="1"/>
  <c r="G358" i="19" s="1"/>
  <c r="M358" i="19" s="1"/>
  <c r="I358" i="19" a="1"/>
  <c r="I358" i="19" s="1"/>
  <c r="O359" i="19" l="1"/>
  <c r="G359" i="19" a="1"/>
  <c r="G359" i="19" s="1"/>
  <c r="M359" i="19" s="1"/>
  <c r="I359" i="19" a="1"/>
  <c r="I359" i="19" s="1"/>
  <c r="O360" i="19" l="1"/>
  <c r="G360" i="19" a="1"/>
  <c r="G360" i="19" s="1"/>
  <c r="M360" i="19" s="1"/>
  <c r="I360" i="19" a="1"/>
  <c r="I360" i="19" s="1"/>
  <c r="O361" i="19" l="1"/>
  <c r="G361" i="19" a="1"/>
  <c r="G361" i="19" s="1"/>
  <c r="M361" i="19" s="1"/>
  <c r="I361" i="19" a="1"/>
  <c r="I361" i="19" s="1"/>
  <c r="O362" i="19" l="1"/>
  <c r="G362" i="19" a="1"/>
  <c r="G362" i="19" s="1"/>
  <c r="M362" i="19" s="1"/>
  <c r="I362" i="19" a="1"/>
  <c r="I362" i="19" s="1"/>
  <c r="O363" i="19" l="1"/>
  <c r="G363" i="19" a="1"/>
  <c r="G363" i="19" s="1"/>
  <c r="M363" i="19" s="1"/>
  <c r="I363" i="19" a="1"/>
  <c r="I363" i="19" s="1"/>
  <c r="O364" i="19" l="1"/>
  <c r="G364" i="19" a="1"/>
  <c r="G364" i="19" s="1"/>
  <c r="M364" i="19" s="1"/>
  <c r="I364" i="19" a="1"/>
  <c r="I364" i="19" s="1"/>
  <c r="O365" i="19" l="1"/>
  <c r="G365" i="19" a="1"/>
  <c r="G365" i="19" s="1"/>
  <c r="M365" i="19" s="1"/>
  <c r="I365" i="19" a="1"/>
  <c r="I365" i="19" s="1"/>
  <c r="O366" i="19" l="1"/>
  <c r="G366" i="19" a="1"/>
  <c r="G366" i="19" s="1"/>
  <c r="M366" i="19" s="1"/>
  <c r="I366" i="19" a="1"/>
  <c r="I366" i="19" s="1"/>
  <c r="O367" i="19" l="1"/>
  <c r="G367" i="19" a="1"/>
  <c r="G367" i="19" s="1"/>
  <c r="M367" i="19" s="1"/>
  <c r="I367" i="19" a="1"/>
  <c r="I367" i="19" s="1"/>
  <c r="O368" i="19" l="1"/>
  <c r="G368" i="19" a="1"/>
  <c r="G368" i="19" s="1"/>
  <c r="M368" i="19" s="1"/>
  <c r="I368" i="19" a="1"/>
  <c r="I368" i="19" s="1"/>
  <c r="O369" i="19" l="1"/>
  <c r="G369" i="19" a="1"/>
  <c r="G369" i="19" s="1"/>
  <c r="M369" i="19" s="1"/>
  <c r="I369" i="19" a="1"/>
  <c r="I369" i="19" s="1"/>
  <c r="O370" i="19" l="1"/>
  <c r="G370" i="19" a="1"/>
  <c r="G370" i="19" s="1"/>
  <c r="M370" i="19" s="1"/>
  <c r="I370" i="19" a="1"/>
  <c r="I370" i="19" s="1"/>
  <c r="O371" i="19" l="1"/>
  <c r="G371" i="19" a="1"/>
  <c r="G371" i="19" s="1"/>
  <c r="M371" i="19" s="1"/>
  <c r="I371" i="19" a="1"/>
  <c r="I371" i="19" s="1"/>
  <c r="O372" i="19" l="1"/>
  <c r="G372" i="19" a="1"/>
  <c r="G372" i="19" s="1"/>
  <c r="M372" i="19" s="1"/>
  <c r="I372" i="19" a="1"/>
  <c r="I372" i="19" s="1"/>
  <c r="O373" i="19" l="1"/>
  <c r="G373" i="19" a="1"/>
  <c r="G373" i="19" s="1"/>
  <c r="M373" i="19" s="1"/>
  <c r="I373" i="19" a="1"/>
  <c r="I373" i="19" s="1"/>
  <c r="O374" i="19" l="1"/>
  <c r="G374" i="19" a="1"/>
  <c r="G374" i="19" s="1"/>
  <c r="M374" i="19" s="1"/>
  <c r="I374" i="19" a="1"/>
  <c r="I374" i="19" s="1"/>
  <c r="O375" i="19" l="1"/>
  <c r="G375" i="19" a="1"/>
  <c r="G375" i="19" s="1"/>
  <c r="M375" i="19" s="1"/>
  <c r="I375" i="19" a="1"/>
  <c r="I375" i="19" s="1"/>
  <c r="O376" i="19" l="1"/>
  <c r="G376" i="19" a="1"/>
  <c r="G376" i="19" s="1"/>
  <c r="M376" i="19" s="1"/>
  <c r="I376" i="19" a="1"/>
  <c r="I376" i="19" s="1"/>
  <c r="O377" i="19" l="1"/>
  <c r="G377" i="19" a="1"/>
  <c r="G377" i="19" s="1"/>
  <c r="M377" i="19" s="1"/>
  <c r="I377" i="19" a="1"/>
  <c r="I377" i="19" s="1"/>
  <c r="O378" i="19" l="1"/>
  <c r="G378" i="19" a="1"/>
  <c r="G378" i="19" s="1"/>
  <c r="M378" i="19" s="1"/>
  <c r="I378" i="19" a="1"/>
  <c r="I378" i="19" s="1"/>
  <c r="O379" i="19" l="1"/>
  <c r="G379" i="19" a="1"/>
  <c r="G379" i="19" s="1"/>
  <c r="M379" i="19" s="1"/>
  <c r="I379" i="19" a="1"/>
  <c r="I379" i="19" s="1"/>
  <c r="O380" i="19" l="1"/>
  <c r="G380" i="19" a="1"/>
  <c r="G380" i="19" s="1"/>
  <c r="M380" i="19" s="1"/>
  <c r="I380" i="19" a="1"/>
  <c r="I380" i="19" s="1"/>
  <c r="O381" i="19" l="1"/>
  <c r="G381" i="19" a="1"/>
  <c r="G381" i="19" s="1"/>
  <c r="M381" i="19" s="1"/>
  <c r="I381" i="19" a="1"/>
  <c r="I381" i="19" s="1"/>
  <c r="O382" i="19" l="1"/>
  <c r="G382" i="19" a="1"/>
  <c r="G382" i="19" s="1"/>
  <c r="M382" i="19" s="1"/>
  <c r="I382" i="19" a="1"/>
  <c r="I382" i="19" s="1"/>
  <c r="O383" i="19" l="1"/>
  <c r="G383" i="19" a="1"/>
  <c r="G383" i="19" s="1"/>
  <c r="M383" i="19" s="1"/>
  <c r="I383" i="19" a="1"/>
  <c r="I383" i="19" s="1"/>
  <c r="O384" i="19" l="1"/>
  <c r="G384" i="19" a="1"/>
  <c r="G384" i="19" s="1"/>
  <c r="M384" i="19" s="1"/>
  <c r="I384" i="19" a="1"/>
  <c r="I384" i="19" s="1"/>
  <c r="G385" i="19" l="1" a="1"/>
  <c r="G385" i="19" s="1"/>
  <c r="M385" i="19" s="1"/>
  <c r="I385" i="19" a="1"/>
  <c r="I385" i="19" s="1"/>
  <c r="O385" i="19"/>
  <c r="O386" i="19" l="1"/>
  <c r="G386" i="19" a="1"/>
  <c r="G386" i="19" s="1"/>
  <c r="M386" i="19" s="1"/>
  <c r="I386" i="19" a="1"/>
  <c r="I386" i="19" s="1"/>
  <c r="O387" i="19" l="1"/>
  <c r="G387" i="19" a="1"/>
  <c r="G387" i="19" s="1"/>
  <c r="M387" i="19" s="1"/>
  <c r="I387" i="19" a="1"/>
  <c r="I387" i="19" s="1"/>
  <c r="O388" i="19" l="1"/>
  <c r="G388" i="19" a="1"/>
  <c r="G388" i="19" s="1"/>
  <c r="M388" i="19" s="1"/>
  <c r="I388" i="19" a="1"/>
  <c r="I388" i="19" s="1"/>
  <c r="O389" i="19" l="1"/>
  <c r="G389" i="19" a="1"/>
  <c r="G389" i="19" s="1"/>
  <c r="M389" i="19" s="1"/>
  <c r="I389" i="19" a="1"/>
  <c r="I389" i="19" s="1"/>
  <c r="O390" i="19" l="1"/>
  <c r="G390" i="19" a="1"/>
  <c r="G390" i="19" s="1"/>
  <c r="M390" i="19" s="1"/>
  <c r="I390" i="19" a="1"/>
  <c r="I390" i="19" s="1"/>
  <c r="O391" i="19" l="1"/>
  <c r="G391" i="19" a="1"/>
  <c r="G391" i="19" s="1"/>
  <c r="M391" i="19" s="1"/>
  <c r="I391" i="19" a="1"/>
  <c r="I391" i="19" s="1"/>
  <c r="O392" i="19" l="1"/>
  <c r="G392" i="19" a="1"/>
  <c r="G392" i="19" s="1"/>
  <c r="M392" i="19" s="1"/>
  <c r="I392" i="19" a="1"/>
  <c r="I392" i="19" s="1"/>
  <c r="O393" i="19" l="1"/>
  <c r="G393" i="19" a="1"/>
  <c r="G393" i="19" s="1"/>
  <c r="M393" i="19" s="1"/>
  <c r="I393" i="19" a="1"/>
  <c r="I393" i="19" s="1"/>
  <c r="O394" i="19" l="1"/>
  <c r="G394" i="19" a="1"/>
  <c r="G394" i="19" s="1"/>
  <c r="M394" i="19" s="1"/>
  <c r="I394" i="19" a="1"/>
  <c r="I394" i="19" s="1"/>
  <c r="O395" i="19" l="1"/>
  <c r="G395" i="19" a="1"/>
  <c r="G395" i="19" s="1"/>
  <c r="M395" i="19" s="1"/>
  <c r="I395" i="19" a="1"/>
  <c r="I395" i="19" s="1"/>
  <c r="O396" i="19" l="1"/>
  <c r="G396" i="19" a="1"/>
  <c r="G396" i="19" s="1"/>
  <c r="M396" i="19" s="1"/>
  <c r="I396" i="19" a="1"/>
  <c r="I396" i="19" s="1"/>
  <c r="O397" i="19" l="1"/>
  <c r="G397" i="19" a="1"/>
  <c r="G397" i="19" s="1"/>
  <c r="M397" i="19" s="1"/>
  <c r="I397" i="19" a="1"/>
  <c r="I397" i="19" s="1"/>
  <c r="O398" i="19" l="1"/>
  <c r="G398" i="19" a="1"/>
  <c r="G398" i="19" s="1"/>
  <c r="M398" i="19" s="1"/>
  <c r="I398" i="19" a="1"/>
  <c r="I398" i="19" s="1"/>
  <c r="O399" i="19" l="1"/>
  <c r="G399" i="19" a="1"/>
  <c r="G399" i="19" s="1"/>
  <c r="M399" i="19" s="1"/>
  <c r="I399" i="19" a="1"/>
  <c r="I399" i="19" s="1"/>
  <c r="O400" i="19" l="1"/>
  <c r="G400" i="19" a="1"/>
  <c r="G400" i="19" s="1"/>
  <c r="M400" i="19" s="1"/>
  <c r="I400" i="19" a="1"/>
  <c r="I400" i="19" s="1"/>
  <c r="O401" i="19" l="1"/>
  <c r="G401" i="19" a="1"/>
  <c r="G401" i="19" s="1"/>
  <c r="M401" i="19" s="1"/>
  <c r="I401" i="19" a="1"/>
  <c r="I401" i="19" s="1"/>
  <c r="O402" i="19" l="1"/>
  <c r="G402" i="19" a="1"/>
  <c r="G402" i="19" s="1"/>
  <c r="M402" i="19" s="1"/>
  <c r="I402" i="19" a="1"/>
  <c r="I402" i="19" s="1"/>
  <c r="O403" i="19" l="1"/>
  <c r="G403" i="19" a="1"/>
  <c r="G403" i="19" s="1"/>
  <c r="M403" i="19" s="1"/>
  <c r="I403" i="19" a="1"/>
  <c r="I403" i="19" s="1"/>
  <c r="O404" i="19" l="1"/>
  <c r="G404" i="19" a="1"/>
  <c r="G404" i="19" s="1"/>
  <c r="M404" i="19" s="1"/>
  <c r="I404" i="19" a="1"/>
  <c r="I404" i="19" s="1"/>
  <c r="O405" i="19" l="1"/>
  <c r="G405" i="19" a="1"/>
  <c r="G405" i="19" s="1"/>
  <c r="M405" i="19" s="1"/>
  <c r="I405" i="19" a="1"/>
  <c r="I405" i="19" s="1"/>
  <c r="O406" i="19" l="1"/>
  <c r="G406" i="19" a="1"/>
  <c r="G406" i="19" s="1"/>
  <c r="M406" i="19" s="1"/>
  <c r="I406" i="19" a="1"/>
  <c r="I406" i="19" s="1"/>
  <c r="O407" i="19" l="1"/>
  <c r="G407" i="19" a="1"/>
  <c r="G407" i="19" s="1"/>
  <c r="M407" i="19" s="1"/>
  <c r="I407" i="19" a="1"/>
  <c r="I407" i="19" s="1"/>
  <c r="O408" i="19" l="1"/>
  <c r="G408" i="19" a="1"/>
  <c r="G408" i="19" s="1"/>
  <c r="M408" i="19" s="1"/>
  <c r="I408" i="19" a="1"/>
  <c r="I408" i="19" s="1"/>
  <c r="O409" i="19" l="1"/>
  <c r="G409" i="19" a="1"/>
  <c r="G409" i="19" s="1"/>
  <c r="M409" i="19" s="1"/>
  <c r="I409" i="19" a="1"/>
  <c r="I409" i="19" s="1"/>
  <c r="O410" i="19" l="1"/>
  <c r="G410" i="19" a="1"/>
  <c r="G410" i="19" s="1"/>
  <c r="M410" i="19" s="1"/>
  <c r="I410" i="19" a="1"/>
  <c r="I410" i="19" s="1"/>
  <c r="O411" i="19" l="1"/>
  <c r="G411" i="19" a="1"/>
  <c r="G411" i="19" s="1"/>
  <c r="M411" i="19" s="1"/>
  <c r="I411" i="19" a="1"/>
  <c r="I411" i="19" s="1"/>
  <c r="O412" i="19" l="1"/>
  <c r="G412" i="19" a="1"/>
  <c r="G412" i="19" s="1"/>
  <c r="M412" i="19" s="1"/>
  <c r="I412" i="19" a="1"/>
  <c r="I412" i="19" s="1"/>
  <c r="O413" i="19" l="1"/>
  <c r="G413" i="19" a="1"/>
  <c r="G413" i="19" s="1"/>
  <c r="M413" i="19" s="1"/>
  <c r="I413" i="19" a="1"/>
  <c r="I413" i="19" s="1"/>
  <c r="O414" i="19" l="1"/>
  <c r="G414" i="19" a="1"/>
  <c r="G414" i="19" s="1"/>
  <c r="M414" i="19" s="1"/>
  <c r="I414" i="19" a="1"/>
  <c r="I414" i="19" s="1"/>
  <c r="O415" i="19" l="1"/>
  <c r="G415" i="19" a="1"/>
  <c r="G415" i="19" s="1"/>
  <c r="M415" i="19" s="1"/>
  <c r="I415" i="19" a="1"/>
  <c r="I415" i="19" s="1"/>
  <c r="O416" i="19" l="1"/>
  <c r="G416" i="19" a="1"/>
  <c r="G416" i="19" s="1"/>
  <c r="M416" i="19" s="1"/>
  <c r="I416" i="19" a="1"/>
  <c r="I416" i="19" s="1"/>
  <c r="O417" i="19" l="1"/>
  <c r="G417" i="19" a="1"/>
  <c r="G417" i="19" s="1"/>
  <c r="M417" i="19" s="1"/>
  <c r="I417" i="19" a="1"/>
  <c r="I417" i="19" s="1"/>
  <c r="O418" i="19" l="1"/>
  <c r="G418" i="19" a="1"/>
  <c r="G418" i="19" s="1"/>
  <c r="M418" i="19" s="1"/>
  <c r="I418" i="19" a="1"/>
  <c r="I418" i="19" s="1"/>
  <c r="O419" i="19" l="1"/>
  <c r="G419" i="19" a="1"/>
  <c r="G419" i="19" s="1"/>
  <c r="M419" i="19" s="1"/>
  <c r="I419" i="19" a="1"/>
  <c r="I419" i="19" s="1"/>
  <c r="O420" i="19" l="1"/>
  <c r="G420" i="19" a="1"/>
  <c r="G420" i="19" s="1"/>
  <c r="M420" i="19" s="1"/>
  <c r="I420" i="19" a="1"/>
  <c r="I420" i="19" s="1"/>
  <c r="O421" i="19" l="1"/>
  <c r="G421" i="19" a="1"/>
  <c r="G421" i="19" s="1"/>
  <c r="M421" i="19" s="1"/>
  <c r="I421" i="19" a="1"/>
  <c r="I421" i="19" s="1"/>
  <c r="O422" i="19" l="1"/>
  <c r="G422" i="19" a="1"/>
  <c r="G422" i="19" s="1"/>
  <c r="M422" i="19" s="1"/>
  <c r="I422" i="19" a="1"/>
  <c r="I422" i="19" s="1"/>
  <c r="O423" i="19" l="1"/>
  <c r="G423" i="19" a="1"/>
  <c r="G423" i="19" s="1"/>
  <c r="M423" i="19" s="1"/>
  <c r="I423" i="19" a="1"/>
  <c r="I423" i="19" s="1"/>
  <c r="O424" i="19" l="1"/>
  <c r="G424" i="19" a="1"/>
  <c r="G424" i="19" s="1"/>
  <c r="M424" i="19" s="1"/>
  <c r="I424" i="19" a="1"/>
  <c r="I424" i="19" s="1"/>
  <c r="O425" i="19" l="1"/>
  <c r="G425" i="19" a="1"/>
  <c r="G425" i="19" s="1"/>
  <c r="M425" i="19" s="1"/>
  <c r="I425" i="19" a="1"/>
  <c r="I425" i="19" s="1"/>
  <c r="O426" i="19" l="1"/>
  <c r="G426" i="19" a="1"/>
  <c r="G426" i="19" s="1"/>
  <c r="M426" i="19" s="1"/>
  <c r="I426" i="19" a="1"/>
  <c r="I426" i="19" s="1"/>
  <c r="O427" i="19" l="1"/>
  <c r="G427" i="19" a="1"/>
  <c r="G427" i="19" s="1"/>
  <c r="M427" i="19" s="1"/>
  <c r="I427" i="19" a="1"/>
  <c r="I427" i="19" s="1"/>
  <c r="O428" i="19" l="1"/>
  <c r="G428" i="19" a="1"/>
  <c r="G428" i="19" s="1"/>
  <c r="M428" i="19" s="1"/>
  <c r="I428" i="19" a="1"/>
  <c r="I428" i="19" s="1"/>
  <c r="O429" i="19" l="1"/>
  <c r="G429" i="19" a="1"/>
  <c r="G429" i="19" s="1"/>
  <c r="M429" i="19" s="1"/>
  <c r="I429" i="19" a="1"/>
  <c r="I429" i="19" s="1"/>
  <c r="O430" i="19" l="1"/>
  <c r="G430" i="19" a="1"/>
  <c r="G430" i="19" s="1"/>
  <c r="M430" i="19" s="1"/>
  <c r="I430" i="19" a="1"/>
  <c r="I430" i="19" s="1"/>
  <c r="O431" i="19" l="1"/>
  <c r="G431" i="19" a="1"/>
  <c r="G431" i="19" s="1"/>
  <c r="M431" i="19" s="1"/>
  <c r="I431" i="19" a="1"/>
  <c r="I431" i="19" s="1"/>
  <c r="O432" i="19" l="1"/>
  <c r="G432" i="19" a="1"/>
  <c r="G432" i="19" s="1"/>
  <c r="M432" i="19" s="1"/>
  <c r="I432" i="19" a="1"/>
  <c r="I432" i="19" s="1"/>
  <c r="O433" i="19" l="1"/>
  <c r="G433" i="19" a="1"/>
  <c r="G433" i="19" s="1"/>
  <c r="M433" i="19" s="1"/>
  <c r="I433" i="19" a="1"/>
  <c r="I433" i="19" s="1"/>
  <c r="O434" i="19" l="1"/>
  <c r="G434" i="19" a="1"/>
  <c r="G434" i="19" s="1"/>
  <c r="M434" i="19" s="1"/>
  <c r="I434" i="19" a="1"/>
  <c r="I434" i="19" s="1"/>
  <c r="O435" i="19" l="1"/>
  <c r="G435" i="19" a="1"/>
  <c r="G435" i="19" s="1"/>
  <c r="M435" i="19" s="1"/>
  <c r="I435" i="19" a="1"/>
  <c r="I435" i="19" s="1"/>
  <c r="O436" i="19" l="1"/>
  <c r="G436" i="19" a="1"/>
  <c r="G436" i="19" s="1"/>
  <c r="M436" i="19" s="1"/>
  <c r="I436" i="19" a="1"/>
  <c r="I436" i="19" s="1"/>
  <c r="O437" i="19" l="1"/>
  <c r="G437" i="19" a="1"/>
  <c r="G437" i="19" s="1"/>
  <c r="M437" i="19" s="1"/>
  <c r="I437" i="19" a="1"/>
  <c r="I437" i="19" s="1"/>
  <c r="O438" i="19" l="1"/>
  <c r="G438" i="19" a="1"/>
  <c r="G438" i="19" s="1"/>
  <c r="M438" i="19" s="1"/>
  <c r="I438" i="19" a="1"/>
  <c r="I438" i="19" s="1"/>
  <c r="O439" i="19" l="1"/>
  <c r="G439" i="19" a="1"/>
  <c r="G439" i="19" s="1"/>
  <c r="M439" i="19" s="1"/>
  <c r="I439" i="19" a="1"/>
  <c r="I439" i="19" s="1"/>
  <c r="O440" i="19" l="1"/>
  <c r="G440" i="19" a="1"/>
  <c r="G440" i="19" s="1"/>
  <c r="M440" i="19" s="1"/>
  <c r="I440" i="19" a="1"/>
  <c r="I440" i="19" s="1"/>
  <c r="O441" i="19" l="1"/>
  <c r="G441" i="19" a="1"/>
  <c r="G441" i="19" s="1"/>
  <c r="M441" i="19" s="1"/>
  <c r="I441" i="19" a="1"/>
  <c r="I441" i="19" s="1"/>
  <c r="O442" i="19" l="1"/>
  <c r="G442" i="19" a="1"/>
  <c r="G442" i="19" s="1"/>
  <c r="M442" i="19" s="1"/>
  <c r="I442" i="19" a="1"/>
  <c r="I442" i="19" s="1"/>
  <c r="O443" i="19" l="1"/>
  <c r="G443" i="19" a="1"/>
  <c r="G443" i="19" s="1"/>
  <c r="M443" i="19" s="1"/>
  <c r="I443" i="19" a="1"/>
  <c r="I443" i="19" s="1"/>
  <c r="O444" i="19" l="1"/>
  <c r="G444" i="19" a="1"/>
  <c r="G444" i="19" s="1"/>
  <c r="M444" i="19" s="1"/>
  <c r="I444" i="19" a="1"/>
  <c r="I444" i="19" s="1"/>
  <c r="O445" i="19" l="1"/>
  <c r="G445" i="19" a="1"/>
  <c r="G445" i="19" s="1"/>
  <c r="M445" i="19" s="1"/>
  <c r="I445" i="19" a="1"/>
  <c r="I445" i="19" s="1"/>
  <c r="O446" i="19" l="1"/>
  <c r="G446" i="19" a="1"/>
  <c r="G446" i="19" s="1"/>
  <c r="M446" i="19" s="1"/>
  <c r="I446" i="19" a="1"/>
  <c r="I446" i="19" s="1"/>
  <c r="O447" i="19" l="1"/>
  <c r="G447" i="19" a="1"/>
  <c r="G447" i="19" s="1"/>
  <c r="M447" i="19" s="1"/>
  <c r="I447" i="19" a="1"/>
  <c r="I447" i="19" s="1"/>
  <c r="O448" i="19" l="1"/>
  <c r="G448" i="19" a="1"/>
  <c r="G448" i="19" s="1"/>
  <c r="M448" i="19" s="1"/>
  <c r="I448" i="19" a="1"/>
  <c r="I448" i="19" s="1"/>
  <c r="O449" i="19" l="1"/>
  <c r="G449" i="19" a="1"/>
  <c r="G449" i="19" s="1"/>
  <c r="M449" i="19" s="1"/>
  <c r="I449" i="19" a="1"/>
  <c r="I449" i="19" s="1"/>
  <c r="O450" i="19" l="1"/>
  <c r="G450" i="19" a="1"/>
  <c r="G450" i="19" s="1"/>
  <c r="M450" i="19" s="1"/>
  <c r="I450" i="19" a="1"/>
  <c r="I450" i="19" s="1"/>
  <c r="O451" i="19" l="1"/>
  <c r="G451" i="19" a="1"/>
  <c r="G451" i="19" s="1"/>
  <c r="M451" i="19" s="1"/>
  <c r="I451" i="19" a="1"/>
  <c r="I451" i="19" s="1"/>
  <c r="O452" i="19" l="1"/>
  <c r="G452" i="19" a="1"/>
  <c r="G452" i="19" s="1"/>
  <c r="M452" i="19" s="1"/>
  <c r="I452" i="19" a="1"/>
  <c r="I452" i="19" s="1"/>
  <c r="O453" i="19" l="1"/>
  <c r="G453" i="19" a="1"/>
  <c r="G453" i="19" s="1"/>
  <c r="M453" i="19" s="1"/>
  <c r="I453" i="19" a="1"/>
  <c r="I453" i="19" s="1"/>
  <c r="O454" i="19" l="1"/>
  <c r="G454" i="19" a="1"/>
  <c r="G454" i="19" s="1"/>
  <c r="M454" i="19" s="1"/>
  <c r="I454" i="19" a="1"/>
  <c r="I454" i="19" s="1"/>
  <c r="O455" i="19" l="1"/>
  <c r="G455" i="19" a="1"/>
  <c r="G455" i="19" s="1"/>
  <c r="M455" i="19" s="1"/>
  <c r="I455" i="19" a="1"/>
  <c r="I455" i="19" s="1"/>
  <c r="O456" i="19" l="1"/>
  <c r="G456" i="19" a="1"/>
  <c r="G456" i="19" s="1"/>
  <c r="M456" i="19" s="1"/>
  <c r="I456" i="19" a="1"/>
  <c r="I456" i="19" s="1"/>
  <c r="O457" i="19" l="1"/>
  <c r="G457" i="19" a="1"/>
  <c r="G457" i="19" s="1"/>
  <c r="M457" i="19" s="1"/>
  <c r="I457" i="19" a="1"/>
  <c r="I457" i="19" s="1"/>
  <c r="O458" i="19" l="1"/>
  <c r="G458" i="19" a="1"/>
  <c r="G458" i="19" s="1"/>
  <c r="M458" i="19" s="1"/>
  <c r="I458" i="19" a="1"/>
  <c r="I458" i="19" s="1"/>
  <c r="O459" i="19" l="1"/>
  <c r="G459" i="19" a="1"/>
  <c r="G459" i="19" s="1"/>
  <c r="M459" i="19" s="1"/>
  <c r="I459" i="19" a="1"/>
  <c r="I459" i="19" s="1"/>
  <c r="O460" i="19" l="1"/>
  <c r="G460" i="19" a="1"/>
  <c r="G460" i="19" s="1"/>
  <c r="M460" i="19" s="1"/>
  <c r="I460" i="19" a="1"/>
  <c r="I460" i="19" s="1"/>
  <c r="O461" i="19" l="1"/>
  <c r="G461" i="19" a="1"/>
  <c r="G461" i="19" s="1"/>
  <c r="M461" i="19" s="1"/>
  <c r="I461" i="19" a="1"/>
  <c r="I461" i="19" s="1"/>
  <c r="O462" i="19" l="1"/>
  <c r="G462" i="19" a="1"/>
  <c r="G462" i="19" s="1"/>
  <c r="M462" i="19" s="1"/>
  <c r="I462" i="19" a="1"/>
  <c r="I462" i="19" s="1"/>
  <c r="O463" i="19" l="1"/>
  <c r="G463" i="19" a="1"/>
  <c r="G463" i="19" s="1"/>
  <c r="M463" i="19" s="1"/>
  <c r="I463" i="19" a="1"/>
  <c r="I463" i="19" s="1"/>
  <c r="O464" i="19" l="1"/>
  <c r="G464" i="19" a="1"/>
  <c r="G464" i="19" s="1"/>
  <c r="M464" i="19" s="1"/>
  <c r="I464" i="19" a="1"/>
  <c r="I464" i="19" s="1"/>
  <c r="O465" i="19" l="1"/>
  <c r="G465" i="19" a="1"/>
  <c r="G465" i="19" s="1"/>
  <c r="M465" i="19" s="1"/>
  <c r="I465" i="19" a="1"/>
  <c r="I465" i="19" s="1"/>
  <c r="O466" i="19" l="1"/>
  <c r="G466" i="19" a="1"/>
  <c r="G466" i="19" s="1"/>
  <c r="M466" i="19" s="1"/>
  <c r="I466" i="19" a="1"/>
  <c r="I466" i="19" s="1"/>
  <c r="O467" i="19" l="1"/>
  <c r="G467" i="19" a="1"/>
  <c r="G467" i="19" s="1"/>
  <c r="M467" i="19" s="1"/>
  <c r="I467" i="19" a="1"/>
  <c r="I467" i="19" s="1"/>
  <c r="O468" i="19" l="1"/>
  <c r="G468" i="19" a="1"/>
  <c r="G468" i="19" s="1"/>
  <c r="M468" i="19" s="1"/>
  <c r="I468" i="19" a="1"/>
  <c r="I468" i="19" s="1"/>
  <c r="O469" i="19" l="1"/>
  <c r="G469" i="19" a="1"/>
  <c r="G469" i="19" s="1"/>
  <c r="M469" i="19" s="1"/>
  <c r="I469" i="19" a="1"/>
  <c r="I469" i="19" s="1"/>
  <c r="O470" i="19" l="1"/>
  <c r="G470" i="19" a="1"/>
  <c r="G470" i="19" s="1"/>
  <c r="M470" i="19" s="1"/>
  <c r="I470" i="19" a="1"/>
  <c r="I470" i="19" s="1"/>
  <c r="O471" i="19" l="1"/>
  <c r="G471" i="19" a="1"/>
  <c r="G471" i="19" s="1"/>
  <c r="M471" i="19" s="1"/>
  <c r="I471" i="19" a="1"/>
  <c r="I471" i="19" s="1"/>
  <c r="O472" i="19" l="1"/>
  <c r="G472" i="19" a="1"/>
  <c r="G472" i="19" s="1"/>
  <c r="M472" i="19" s="1"/>
  <c r="I472" i="19" a="1"/>
  <c r="I472" i="19" s="1"/>
  <c r="O473" i="19" l="1"/>
  <c r="G473" i="19" a="1"/>
  <c r="G473" i="19" s="1"/>
  <c r="M473" i="19" s="1"/>
  <c r="I473" i="19" a="1"/>
  <c r="I473" i="19" s="1"/>
  <c r="O474" i="19" l="1"/>
  <c r="G474" i="19" a="1"/>
  <c r="G474" i="19" s="1"/>
  <c r="M474" i="19" s="1"/>
  <c r="I474" i="19" a="1"/>
  <c r="I474" i="19" s="1"/>
  <c r="O475" i="19" l="1"/>
  <c r="G475" i="19" a="1"/>
  <c r="G475" i="19" s="1"/>
  <c r="M475" i="19" s="1"/>
  <c r="I475" i="19" a="1"/>
  <c r="I475" i="19" s="1"/>
  <c r="O476" i="19" l="1"/>
  <c r="G476" i="19" a="1"/>
  <c r="G476" i="19" s="1"/>
  <c r="M476" i="19" s="1"/>
  <c r="I476" i="19" a="1"/>
  <c r="I476" i="19" s="1"/>
  <c r="O477" i="19" l="1"/>
  <c r="G477" i="19" a="1"/>
  <c r="G477" i="19" s="1"/>
  <c r="M477" i="19" s="1"/>
  <c r="I477" i="19" a="1"/>
  <c r="I477" i="19" s="1"/>
  <c r="O478" i="19" l="1"/>
  <c r="G478" i="19" a="1"/>
  <c r="G478" i="19" s="1"/>
  <c r="M478" i="19" s="1"/>
  <c r="I478" i="19" a="1"/>
  <c r="I478" i="19" s="1"/>
  <c r="O479" i="19" l="1"/>
  <c r="G479" i="19" a="1"/>
  <c r="G479" i="19" s="1"/>
  <c r="M479" i="19" s="1"/>
  <c r="I479" i="19" a="1"/>
  <c r="I479" i="19" s="1"/>
  <c r="O480" i="19" l="1"/>
  <c r="G480" i="19" a="1"/>
  <c r="G480" i="19" s="1"/>
  <c r="M480" i="19" s="1"/>
  <c r="I480" i="19" a="1"/>
  <c r="I480" i="19" s="1"/>
  <c r="O481" i="19" l="1"/>
  <c r="G481" i="19" a="1"/>
  <c r="G481" i="19" s="1"/>
  <c r="M481" i="19" s="1"/>
  <c r="I481" i="19" a="1"/>
  <c r="I481" i="19" s="1"/>
  <c r="O482" i="19" l="1"/>
  <c r="G482" i="19" a="1"/>
  <c r="G482" i="19" s="1"/>
  <c r="M482" i="19" s="1"/>
  <c r="I482" i="19" a="1"/>
  <c r="I482" i="19" s="1"/>
  <c r="O483" i="19" l="1"/>
  <c r="G483" i="19" a="1"/>
  <c r="G483" i="19" s="1"/>
  <c r="M483" i="19" s="1"/>
  <c r="I483" i="19" a="1"/>
  <c r="I483" i="19" s="1"/>
  <c r="O484" i="19" l="1"/>
  <c r="G484" i="19" a="1"/>
  <c r="G484" i="19" s="1"/>
  <c r="M484" i="19" s="1"/>
  <c r="I484" i="19" a="1"/>
  <c r="I484" i="19" s="1"/>
  <c r="O485" i="19" l="1"/>
  <c r="G485" i="19" a="1"/>
  <c r="G485" i="19" s="1"/>
  <c r="M485" i="19" s="1"/>
  <c r="I485" i="19" a="1"/>
  <c r="I485" i="19" s="1"/>
  <c r="O486" i="19" l="1"/>
  <c r="G486" i="19" a="1"/>
  <c r="G486" i="19" s="1"/>
  <c r="M486" i="19" s="1"/>
  <c r="I486" i="19" a="1"/>
  <c r="I486" i="19" s="1"/>
  <c r="O487" i="19" l="1"/>
  <c r="G487" i="19" a="1"/>
  <c r="G487" i="19" s="1"/>
  <c r="M487" i="19" s="1"/>
  <c r="I487" i="19" a="1"/>
  <c r="I487" i="19" s="1"/>
  <c r="O488" i="19" l="1"/>
  <c r="G488" i="19" a="1"/>
  <c r="G488" i="19" s="1"/>
  <c r="M488" i="19" s="1"/>
  <c r="I488" i="19" a="1"/>
  <c r="I488" i="19" s="1"/>
  <c r="O489" i="19" l="1"/>
  <c r="G489" i="19" a="1"/>
  <c r="G489" i="19" s="1"/>
  <c r="M489" i="19" s="1"/>
  <c r="I489" i="19" a="1"/>
  <c r="I489" i="19" s="1"/>
  <c r="O490" i="19" l="1"/>
  <c r="G490" i="19" a="1"/>
  <c r="G490" i="19" s="1"/>
  <c r="M490" i="19" s="1"/>
  <c r="I490" i="19" a="1"/>
  <c r="I490" i="19" s="1"/>
  <c r="O491" i="19" l="1"/>
  <c r="G491" i="19" a="1"/>
  <c r="G491" i="19" s="1"/>
  <c r="M491" i="19" s="1"/>
  <c r="I491" i="19" a="1"/>
  <c r="I491" i="19" s="1"/>
  <c r="O492" i="19" l="1"/>
  <c r="G492" i="19" a="1"/>
  <c r="G492" i="19" s="1"/>
  <c r="M492" i="19" s="1"/>
  <c r="I492" i="19" a="1"/>
  <c r="I492" i="19" s="1"/>
  <c r="O493" i="19" l="1"/>
  <c r="G493" i="19" a="1"/>
  <c r="G493" i="19" s="1"/>
  <c r="M493" i="19" s="1"/>
  <c r="I493" i="19" a="1"/>
  <c r="I493" i="19" s="1"/>
  <c r="O494" i="19" l="1"/>
  <c r="G494" i="19" a="1"/>
  <c r="G494" i="19" s="1"/>
  <c r="M494" i="19" s="1"/>
  <c r="I494" i="19" a="1"/>
  <c r="I494" i="19" s="1"/>
  <c r="O495" i="19" l="1"/>
  <c r="G495" i="19" a="1"/>
  <c r="G495" i="19" s="1"/>
  <c r="M495" i="19" s="1"/>
  <c r="I495" i="19" a="1"/>
  <c r="I495" i="19" s="1"/>
  <c r="O496" i="19" l="1"/>
  <c r="G496" i="19" a="1"/>
  <c r="G496" i="19" s="1"/>
  <c r="M496" i="19" s="1"/>
  <c r="I496" i="19" a="1"/>
  <c r="I496" i="19" s="1"/>
  <c r="O497" i="19" l="1"/>
  <c r="G497" i="19" a="1"/>
  <c r="G497" i="19" s="1"/>
  <c r="M497" i="19" s="1"/>
  <c r="I497" i="19" a="1"/>
  <c r="I497" i="19" s="1"/>
  <c r="O498" i="19" l="1"/>
  <c r="G498" i="19" a="1"/>
  <c r="G498" i="19" s="1"/>
  <c r="M498" i="19" s="1"/>
  <c r="I498" i="19" a="1"/>
  <c r="I498" i="19" s="1"/>
  <c r="O499" i="19" l="1"/>
  <c r="G499" i="19" a="1"/>
  <c r="G499" i="19" s="1"/>
  <c r="M499" i="19" s="1"/>
  <c r="I499" i="19" a="1"/>
  <c r="I499" i="19" s="1"/>
  <c r="O500" i="19" l="1"/>
  <c r="G500" i="19" a="1"/>
  <c r="G500" i="19" s="1"/>
  <c r="M500" i="19" s="1"/>
  <c r="I500" i="19" a="1"/>
  <c r="I500" i="19" s="1"/>
  <c r="G501" i="19" l="1" a="1"/>
  <c r="G501" i="19" s="1"/>
  <c r="M501" i="19" s="1"/>
  <c r="I501" i="19" a="1"/>
  <c r="I501" i="19" s="1"/>
  <c r="O501" i="19" l="1"/>
  <c r="G502" i="19" a="1"/>
  <c r="G502" i="19" s="1"/>
  <c r="M502" i="19" s="1"/>
  <c r="I502" i="19" a="1"/>
  <c r="I502" i="19" s="1"/>
  <c r="O502" i="19" l="1"/>
  <c r="O503" i="19"/>
  <c r="G503" i="19" a="1"/>
  <c r="G503" i="19" s="1"/>
  <c r="M503" i="19" s="1"/>
  <c r="I503" i="19" a="1"/>
  <c r="I503" i="19" s="1"/>
  <c r="G504" i="19" l="1" a="1"/>
  <c r="G504" i="19" s="1"/>
  <c r="M504" i="19" s="1"/>
  <c r="I504" i="19" a="1"/>
  <c r="I504" i="19" s="1"/>
  <c r="O504" i="19" l="1"/>
  <c r="C28" i="19"/>
  <c r="G505" i="19" a="1"/>
  <c r="G505" i="19" s="1"/>
  <c r="M505" i="19" s="1"/>
  <c r="I505" i="19" a="1"/>
  <c r="I505" i="19" s="1"/>
  <c r="O505" i="19" l="1"/>
  <c r="C29" i="19"/>
  <c r="G506" i="19" a="1"/>
  <c r="G506" i="19" s="1"/>
  <c r="M506" i="19" s="1"/>
  <c r="I506" i="19" a="1"/>
  <c r="I506" i="19" s="1"/>
  <c r="O506" i="19"/>
  <c r="C30" i="19" l="1"/>
  <c r="G507" i="19" a="1"/>
  <c r="G507" i="19" s="1"/>
  <c r="M507" i="19" s="1"/>
  <c r="I507" i="19" a="1"/>
  <c r="I507" i="19" s="1"/>
  <c r="O507" i="19" l="1"/>
  <c r="C31" i="19"/>
  <c r="G508" i="19" a="1"/>
  <c r="G508" i="19" s="1"/>
  <c r="M508" i="19" s="1"/>
  <c r="I508" i="19" a="1"/>
  <c r="I508" i="19" s="1"/>
  <c r="O508" i="19" l="1"/>
  <c r="C32" i="19"/>
  <c r="G509" i="19" a="1"/>
  <c r="G509" i="19" s="1"/>
  <c r="M509" i="19" s="1"/>
  <c r="I509" i="19" a="1"/>
  <c r="I509" i="19" s="1"/>
  <c r="O509" i="19" l="1"/>
  <c r="C33" i="19"/>
  <c r="G510" i="19" a="1"/>
  <c r="G510" i="19" s="1"/>
  <c r="M510" i="19" s="1"/>
  <c r="I510" i="19" a="1"/>
  <c r="I510" i="19" s="1"/>
  <c r="O510" i="19" l="1"/>
  <c r="C34" i="19"/>
  <c r="G511" i="19" a="1"/>
  <c r="G511" i="19" s="1"/>
  <c r="M511" i="19" s="1"/>
  <c r="I511" i="19" a="1"/>
  <c r="I511" i="19" s="1"/>
  <c r="O511" i="19" l="1"/>
  <c r="C35" i="19"/>
  <c r="G512" i="19" a="1"/>
  <c r="G512" i="19" s="1"/>
  <c r="M512" i="19" s="1"/>
  <c r="I512" i="19" a="1"/>
  <c r="I512" i="19" s="1"/>
  <c r="O512" i="19" l="1"/>
  <c r="O513" i="19"/>
  <c r="G513" i="19" a="1"/>
  <c r="G513" i="19" s="1"/>
  <c r="M513" i="19" s="1"/>
  <c r="I513" i="19" a="1"/>
  <c r="I513" i="19" s="1"/>
  <c r="O514" i="19" l="1"/>
  <c r="G514" i="19" a="1"/>
  <c r="G514" i="19" s="1"/>
  <c r="M514" i="19" s="1"/>
  <c r="I514" i="19" a="1"/>
  <c r="I514" i="19" s="1"/>
  <c r="O515" i="19" l="1"/>
  <c r="G515" i="19" a="1"/>
  <c r="G515" i="19" s="1"/>
  <c r="M515" i="19" s="1"/>
  <c r="I515" i="19" a="1"/>
  <c r="I515" i="19" s="1"/>
  <c r="O516" i="19" l="1"/>
  <c r="G516" i="19" a="1"/>
  <c r="G516" i="19" s="1"/>
  <c r="M516" i="19" s="1"/>
  <c r="I516" i="19" a="1"/>
  <c r="I516" i="19" s="1"/>
  <c r="O517" i="19" l="1"/>
  <c r="G517" i="19" a="1"/>
  <c r="G517" i="19" s="1"/>
  <c r="M517" i="19" s="1"/>
  <c r="I517" i="19" a="1"/>
  <c r="I517" i="19" s="1"/>
  <c r="O518" i="19" l="1"/>
  <c r="G518" i="19" a="1"/>
  <c r="G518" i="19" s="1"/>
  <c r="M518" i="19" s="1"/>
  <c r="I518" i="19" a="1"/>
  <c r="I518" i="19" s="1"/>
  <c r="O519" i="19" l="1"/>
  <c r="G519" i="19" a="1"/>
  <c r="G519" i="19" s="1"/>
  <c r="M519" i="19" s="1"/>
  <c r="I519" i="19" a="1"/>
  <c r="I519" i="19" s="1"/>
  <c r="O520" i="19" l="1"/>
  <c r="G520" i="19" a="1"/>
  <c r="G520" i="19" s="1"/>
  <c r="M520" i="19" s="1"/>
  <c r="I520" i="19" a="1"/>
  <c r="I520" i="19" s="1"/>
  <c r="O521" i="19" l="1"/>
  <c r="G521" i="19" a="1"/>
  <c r="G521" i="19" s="1"/>
  <c r="M521" i="19" s="1"/>
  <c r="I521" i="19" a="1"/>
  <c r="I521" i="19" s="1"/>
  <c r="O522" i="19" l="1"/>
  <c r="G522" i="19" a="1"/>
  <c r="G522" i="19" s="1"/>
  <c r="M522" i="19" s="1"/>
  <c r="I522" i="19" a="1"/>
  <c r="I522" i="19" s="1"/>
  <c r="O523" i="19" l="1"/>
  <c r="G523" i="19" a="1"/>
  <c r="G523" i="19" s="1"/>
  <c r="M523" i="19" s="1"/>
  <c r="I523" i="19" a="1"/>
  <c r="I523" i="19" s="1"/>
  <c r="O524" i="19" l="1"/>
  <c r="G524" i="19" a="1"/>
  <c r="G524" i="19" s="1"/>
  <c r="M524" i="19" s="1"/>
  <c r="I524" i="19" a="1"/>
  <c r="I524" i="19" s="1"/>
  <c r="O525" i="19" l="1"/>
  <c r="G525" i="19" a="1"/>
  <c r="G525" i="19" s="1"/>
  <c r="M525" i="19" s="1"/>
  <c r="I525" i="19" a="1"/>
  <c r="I525" i="19" s="1"/>
  <c r="O526" i="19" l="1"/>
  <c r="G526" i="19" a="1"/>
  <c r="G526" i="19" s="1"/>
  <c r="M526" i="19" s="1"/>
  <c r="I526" i="19" a="1"/>
  <c r="I526" i="19" s="1"/>
  <c r="O527" i="19" l="1"/>
  <c r="G527" i="19" a="1"/>
  <c r="G527" i="19" s="1"/>
  <c r="M527" i="19" s="1"/>
  <c r="I527" i="19" a="1"/>
  <c r="I527" i="19" s="1"/>
  <c r="O528" i="19" l="1"/>
  <c r="G528" i="19" a="1"/>
  <c r="G528" i="19" s="1"/>
  <c r="M528" i="19" s="1"/>
  <c r="I528" i="19" a="1"/>
  <c r="I528" i="19" s="1"/>
  <c r="O529" i="19" l="1"/>
  <c r="G529" i="19" a="1"/>
  <c r="G529" i="19" s="1"/>
  <c r="M529" i="19" s="1"/>
  <c r="I529" i="19" a="1"/>
  <c r="I529" i="19" s="1"/>
  <c r="O530" i="19" l="1"/>
  <c r="G530" i="19" a="1"/>
  <c r="G530" i="19" s="1"/>
  <c r="M530" i="19" s="1"/>
  <c r="I530" i="19" a="1"/>
  <c r="I530" i="19" s="1"/>
  <c r="O531" i="19" l="1"/>
  <c r="G531" i="19" a="1"/>
  <c r="G531" i="19" s="1"/>
  <c r="M531" i="19" s="1"/>
  <c r="I531" i="19" a="1"/>
  <c r="I531" i="19" s="1"/>
  <c r="O532" i="19" l="1"/>
  <c r="G532" i="19" a="1"/>
  <c r="G532" i="19" s="1"/>
  <c r="M532" i="19" s="1"/>
  <c r="I532" i="19" a="1"/>
  <c r="I532" i="19" s="1"/>
  <c r="O533" i="19" l="1"/>
  <c r="G533" i="19" a="1"/>
  <c r="G533" i="19" s="1"/>
  <c r="M533" i="19" s="1"/>
  <c r="I533" i="19" a="1"/>
  <c r="I533" i="19" s="1"/>
  <c r="O534" i="19" l="1"/>
  <c r="G534" i="19" a="1"/>
  <c r="G534" i="19" s="1"/>
  <c r="M534" i="19" s="1"/>
  <c r="I534" i="19" a="1"/>
  <c r="I534" i="19" s="1"/>
  <c r="O535" i="19" l="1"/>
  <c r="G535" i="19" a="1"/>
  <c r="G535" i="19" s="1"/>
  <c r="M535" i="19" s="1"/>
  <c r="I535" i="19" a="1"/>
  <c r="I535" i="19" s="1"/>
  <c r="O536" i="19" l="1"/>
  <c r="G536" i="19" a="1"/>
  <c r="G536" i="19" s="1"/>
  <c r="M536" i="19" s="1"/>
  <c r="I536" i="19" a="1"/>
  <c r="I536" i="19" s="1"/>
  <c r="O537" i="19" l="1"/>
  <c r="G537" i="19" a="1"/>
  <c r="G537" i="19" s="1"/>
  <c r="M537" i="19" s="1"/>
  <c r="I537" i="19" a="1"/>
  <c r="I537" i="19" s="1"/>
  <c r="O538" i="19" l="1"/>
  <c r="G538" i="19" a="1"/>
  <c r="G538" i="19" s="1"/>
  <c r="M538" i="19" s="1"/>
  <c r="I538" i="19" a="1"/>
  <c r="I538" i="19" s="1"/>
  <c r="O539" i="19" l="1"/>
  <c r="G539" i="19" a="1"/>
  <c r="G539" i="19" s="1"/>
  <c r="M539" i="19" s="1"/>
  <c r="I539" i="19" a="1"/>
  <c r="I539" i="19" s="1"/>
  <c r="O540" i="19" l="1"/>
  <c r="G540" i="19" a="1"/>
  <c r="G540" i="19" s="1"/>
  <c r="M540" i="19" s="1"/>
  <c r="I540" i="19" a="1"/>
  <c r="I540" i="19" s="1"/>
  <c r="O541" i="19" l="1"/>
  <c r="G541" i="19" a="1"/>
  <c r="G541" i="19" s="1"/>
  <c r="M541" i="19" s="1"/>
  <c r="I541" i="19" a="1"/>
  <c r="I541" i="19" s="1"/>
  <c r="O542" i="19" l="1"/>
  <c r="G542" i="19" a="1"/>
  <c r="G542" i="19" s="1"/>
  <c r="M542" i="19" s="1"/>
  <c r="I542" i="19" a="1"/>
  <c r="I542" i="19" s="1"/>
  <c r="O543" i="19" l="1"/>
  <c r="G543" i="19" a="1"/>
  <c r="G543" i="19" s="1"/>
  <c r="M543" i="19" s="1"/>
  <c r="I543" i="19" a="1"/>
  <c r="I543" i="19" s="1"/>
  <c r="O544" i="19" l="1"/>
  <c r="G544" i="19" a="1"/>
  <c r="G544" i="19" s="1"/>
  <c r="M544" i="19" s="1"/>
  <c r="I544" i="19" a="1"/>
  <c r="I544" i="19" s="1"/>
  <c r="O545" i="19" l="1"/>
  <c r="G545" i="19" a="1"/>
  <c r="G545" i="19" s="1"/>
  <c r="M545" i="19" s="1"/>
  <c r="I545" i="19" a="1"/>
  <c r="I545" i="19" s="1"/>
  <c r="O546" i="19" l="1"/>
  <c r="G546" i="19" a="1"/>
  <c r="G546" i="19" s="1"/>
  <c r="M546" i="19" s="1"/>
  <c r="I546" i="19" a="1"/>
  <c r="I546" i="19" s="1"/>
  <c r="O547" i="19" l="1"/>
  <c r="G547" i="19" a="1"/>
  <c r="G547" i="19" s="1"/>
  <c r="M547" i="19" s="1"/>
  <c r="I547" i="19" a="1"/>
  <c r="I547" i="19" s="1"/>
  <c r="O548" i="19" l="1"/>
  <c r="G548" i="19" a="1"/>
  <c r="G548" i="19" s="1"/>
  <c r="M548" i="19" s="1"/>
  <c r="I548" i="19" a="1"/>
  <c r="I548" i="19" s="1"/>
  <c r="O549" i="19" l="1"/>
  <c r="G549" i="19" a="1"/>
  <c r="G549" i="19" s="1"/>
  <c r="M549" i="19" s="1"/>
  <c r="I549" i="19" a="1"/>
  <c r="I549" i="19" s="1"/>
  <c r="O550" i="19" l="1"/>
  <c r="G550" i="19" a="1"/>
  <c r="G550" i="19" s="1"/>
  <c r="M550" i="19" s="1"/>
  <c r="I550" i="19" a="1"/>
  <c r="I550" i="19" s="1"/>
  <c r="O551" i="19" l="1"/>
  <c r="G551" i="19" a="1"/>
  <c r="G551" i="19" s="1"/>
  <c r="M551" i="19" s="1"/>
  <c r="I551" i="19" a="1"/>
  <c r="I551" i="19" s="1"/>
  <c r="O552" i="19" l="1"/>
  <c r="G552" i="19" a="1"/>
  <c r="G552" i="19" s="1"/>
  <c r="M552" i="19" s="1"/>
  <c r="I552" i="19" a="1"/>
  <c r="I552" i="19" s="1"/>
  <c r="O553" i="19" l="1"/>
  <c r="G553" i="19" a="1"/>
  <c r="G553" i="19" s="1"/>
  <c r="M553" i="19" s="1"/>
  <c r="I553" i="19" a="1"/>
  <c r="I553" i="19" s="1"/>
  <c r="O554" i="19" l="1"/>
  <c r="G554" i="19" a="1"/>
  <c r="G554" i="19" s="1"/>
  <c r="M554" i="19" s="1"/>
  <c r="I554" i="19" a="1"/>
  <c r="I554" i="19" s="1"/>
  <c r="O555" i="19" l="1"/>
  <c r="G555" i="19" a="1"/>
  <c r="G555" i="19" s="1"/>
  <c r="M555" i="19" s="1"/>
  <c r="I555" i="19" a="1"/>
  <c r="I555" i="19" s="1"/>
  <c r="O556" i="19" l="1"/>
  <c r="G556" i="19" a="1"/>
  <c r="G556" i="19" s="1"/>
  <c r="M556" i="19" s="1"/>
  <c r="I556" i="19" a="1"/>
  <c r="I556" i="19" s="1"/>
  <c r="O557" i="19" l="1"/>
  <c r="G557" i="19" a="1"/>
  <c r="G557" i="19" s="1"/>
  <c r="M557" i="19" s="1"/>
  <c r="I557" i="19" a="1"/>
  <c r="I557" i="19" s="1"/>
  <c r="O558" i="19" l="1"/>
  <c r="G558" i="19" a="1"/>
  <c r="G558" i="19" s="1"/>
  <c r="M558" i="19" s="1"/>
  <c r="I558" i="19" a="1"/>
  <c r="I558" i="19" s="1"/>
  <c r="O559" i="19" l="1"/>
  <c r="G559" i="19" a="1"/>
  <c r="G559" i="19" s="1"/>
  <c r="M559" i="19" s="1"/>
  <c r="I559" i="19" a="1"/>
  <c r="I559" i="19" s="1"/>
  <c r="O560" i="19" l="1"/>
  <c r="G560" i="19" a="1"/>
  <c r="G560" i="19" s="1"/>
  <c r="M560" i="19" s="1"/>
  <c r="I560" i="19" a="1"/>
  <c r="I560" i="19" s="1"/>
  <c r="O561" i="19" l="1"/>
  <c r="G561" i="19" a="1"/>
  <c r="G561" i="19" s="1"/>
  <c r="M561" i="19" s="1"/>
  <c r="I561" i="19" a="1"/>
  <c r="I561" i="19" s="1"/>
  <c r="O562" i="19" l="1"/>
  <c r="G562" i="19" a="1"/>
  <c r="G562" i="19" s="1"/>
  <c r="M562" i="19" s="1"/>
  <c r="I562" i="19" a="1"/>
  <c r="I562" i="19" s="1"/>
  <c r="O563" i="19" l="1"/>
  <c r="G563" i="19" a="1"/>
  <c r="G563" i="19" s="1"/>
  <c r="M563" i="19" s="1"/>
  <c r="I563" i="19" a="1"/>
  <c r="I563" i="19" s="1"/>
  <c r="O564" i="19" l="1"/>
  <c r="G564" i="19" a="1"/>
  <c r="G564" i="19" s="1"/>
  <c r="M564" i="19" s="1"/>
  <c r="I564" i="19" a="1"/>
  <c r="I564" i="19" s="1"/>
  <c r="O565" i="19" l="1"/>
  <c r="G565" i="19" a="1"/>
  <c r="G565" i="19" s="1"/>
  <c r="M565" i="19" s="1"/>
  <c r="I565" i="19" a="1"/>
  <c r="I565" i="19" s="1"/>
  <c r="O566" i="19" l="1"/>
  <c r="G566" i="19" a="1"/>
  <c r="G566" i="19" s="1"/>
  <c r="M566" i="19" s="1"/>
  <c r="I566" i="19" a="1"/>
  <c r="I566" i="19" s="1"/>
  <c r="O567" i="19" l="1"/>
  <c r="G567" i="19" a="1"/>
  <c r="G567" i="19" s="1"/>
  <c r="M567" i="19" s="1"/>
  <c r="I567" i="19" a="1"/>
  <c r="I567" i="19" s="1"/>
  <c r="O568" i="19" l="1"/>
  <c r="G568" i="19" a="1"/>
  <c r="G568" i="19" s="1"/>
  <c r="M568" i="19" s="1"/>
  <c r="I568" i="19" a="1"/>
  <c r="I568" i="19" s="1"/>
  <c r="O569" i="19" l="1"/>
  <c r="G569" i="19" a="1"/>
  <c r="G569" i="19" s="1"/>
  <c r="M569" i="19" s="1"/>
  <c r="I569" i="19" a="1"/>
  <c r="I569" i="19" s="1"/>
  <c r="O570" i="19" l="1"/>
  <c r="G570" i="19" a="1"/>
  <c r="G570" i="19" s="1"/>
  <c r="M570" i="19" s="1"/>
  <c r="I570" i="19" a="1"/>
  <c r="I570" i="19" s="1"/>
  <c r="O571" i="19" l="1"/>
  <c r="G571" i="19" a="1"/>
  <c r="G571" i="19" s="1"/>
  <c r="M571" i="19" s="1"/>
  <c r="I571" i="19" a="1"/>
  <c r="I571" i="19" s="1"/>
  <c r="O572" i="19" l="1"/>
  <c r="G572" i="19" a="1"/>
  <c r="G572" i="19" s="1"/>
  <c r="M572" i="19" s="1"/>
  <c r="I572" i="19" a="1"/>
  <c r="I572" i="19" s="1"/>
  <c r="O573" i="19" l="1"/>
  <c r="G573" i="19" a="1"/>
  <c r="G573" i="19" s="1"/>
  <c r="M573" i="19" s="1"/>
  <c r="I573" i="19" a="1"/>
  <c r="I573" i="19" s="1"/>
  <c r="O574" i="19" l="1"/>
  <c r="G574" i="19" a="1"/>
  <c r="G574" i="19" s="1"/>
  <c r="M574" i="19" s="1"/>
  <c r="I574" i="19" a="1"/>
  <c r="I574" i="19" s="1"/>
  <c r="O575" i="19" l="1"/>
  <c r="G575" i="19" a="1"/>
  <c r="G575" i="19" s="1"/>
  <c r="M575" i="19" s="1"/>
  <c r="I575" i="19" a="1"/>
  <c r="I575" i="19" s="1"/>
  <c r="O576" i="19" l="1"/>
  <c r="G576" i="19" a="1"/>
  <c r="G576" i="19" s="1"/>
  <c r="M576" i="19" s="1"/>
  <c r="I576" i="19" a="1"/>
  <c r="I576" i="19" s="1"/>
  <c r="O577" i="19" l="1"/>
  <c r="G577" i="19" a="1"/>
  <c r="G577" i="19" s="1"/>
  <c r="M577" i="19" s="1"/>
  <c r="I577" i="19" a="1"/>
  <c r="I577" i="19" s="1"/>
  <c r="O578" i="19" l="1"/>
  <c r="G578" i="19" a="1"/>
  <c r="G578" i="19" s="1"/>
  <c r="M578" i="19" s="1"/>
  <c r="I578" i="19" a="1"/>
  <c r="I578" i="19" s="1"/>
  <c r="O579" i="19" l="1"/>
  <c r="G579" i="19" a="1"/>
  <c r="G579" i="19" s="1"/>
  <c r="M579" i="19" s="1"/>
  <c r="I579" i="19" a="1"/>
  <c r="I579" i="19" s="1"/>
  <c r="O580" i="19" l="1"/>
  <c r="G580" i="19" a="1"/>
  <c r="G580" i="19" s="1"/>
  <c r="M580" i="19" s="1"/>
  <c r="I580" i="19" a="1"/>
  <c r="I580" i="19" s="1"/>
  <c r="O581" i="19" l="1"/>
  <c r="G581" i="19" a="1"/>
  <c r="G581" i="19" s="1"/>
  <c r="M581" i="19" s="1"/>
  <c r="I581" i="19" a="1"/>
  <c r="I581" i="19" s="1"/>
  <c r="O582" i="19" l="1"/>
  <c r="G582" i="19" a="1"/>
  <c r="G582" i="19" s="1"/>
  <c r="M582" i="19" s="1"/>
  <c r="I582" i="19" a="1"/>
  <c r="I582" i="19" s="1"/>
  <c r="O583" i="19" l="1"/>
  <c r="G583" i="19" a="1"/>
  <c r="G583" i="19" s="1"/>
  <c r="M583" i="19" s="1"/>
  <c r="I583" i="19" a="1"/>
  <c r="I583" i="19" s="1"/>
  <c r="G584" i="19" l="1" a="1"/>
  <c r="G584" i="19" s="1"/>
  <c r="M584" i="19" s="1"/>
  <c r="I584" i="19" a="1"/>
  <c r="I584" i="19" s="1"/>
  <c r="O584" i="19"/>
  <c r="O585" i="19" l="1"/>
  <c r="G585" i="19" a="1"/>
  <c r="G585" i="19" s="1"/>
  <c r="M585" i="19" s="1"/>
  <c r="I585" i="19" a="1"/>
  <c r="I585" i="19" s="1"/>
  <c r="O586" i="19" l="1"/>
  <c r="G586" i="19" a="1"/>
  <c r="G586" i="19" s="1"/>
  <c r="M586" i="19" s="1"/>
  <c r="I586" i="19" a="1"/>
  <c r="I586" i="19" s="1"/>
  <c r="O587" i="19" l="1"/>
  <c r="G587" i="19" a="1"/>
  <c r="G587" i="19" s="1"/>
  <c r="M587" i="19" s="1"/>
  <c r="I587" i="19" a="1"/>
  <c r="I587" i="19" s="1"/>
  <c r="O588" i="19" l="1"/>
  <c r="G588" i="19" a="1"/>
  <c r="G588" i="19" s="1"/>
  <c r="M588" i="19" s="1"/>
  <c r="I588" i="19" a="1"/>
  <c r="I588" i="19" s="1"/>
  <c r="O589" i="19" l="1"/>
  <c r="G589" i="19" a="1"/>
  <c r="G589" i="19" s="1"/>
  <c r="M589" i="19" s="1"/>
  <c r="I589" i="19" a="1"/>
  <c r="I589" i="19" s="1"/>
  <c r="O590" i="19" l="1"/>
  <c r="G590" i="19" a="1"/>
  <c r="G590" i="19" s="1"/>
  <c r="M590" i="19" s="1"/>
  <c r="I590" i="19" a="1"/>
  <c r="I590" i="19" s="1"/>
  <c r="O591" i="19" l="1"/>
  <c r="G591" i="19" a="1"/>
  <c r="G591" i="19" s="1"/>
  <c r="M591" i="19" s="1"/>
  <c r="I591" i="19" a="1"/>
  <c r="I591" i="19" s="1"/>
  <c r="O592" i="19" l="1"/>
  <c r="G592" i="19" a="1"/>
  <c r="G592" i="19" s="1"/>
  <c r="M592" i="19" s="1"/>
  <c r="I592" i="19" a="1"/>
  <c r="I592" i="19" s="1"/>
  <c r="O593" i="19" l="1"/>
  <c r="G593" i="19" a="1"/>
  <c r="G593" i="19" s="1"/>
  <c r="M593" i="19" s="1"/>
  <c r="I593" i="19" a="1"/>
  <c r="I593" i="19" s="1"/>
  <c r="O594" i="19" l="1"/>
  <c r="G594" i="19" a="1"/>
  <c r="G594" i="19" s="1"/>
  <c r="M594" i="19" s="1"/>
  <c r="I594" i="19" a="1"/>
  <c r="I594" i="19" s="1"/>
  <c r="O595" i="19" l="1"/>
  <c r="G595" i="19" a="1"/>
  <c r="G595" i="19" s="1"/>
  <c r="M595" i="19" s="1"/>
  <c r="I595" i="19" a="1"/>
  <c r="I595" i="19" s="1"/>
  <c r="O596" i="19" l="1"/>
  <c r="G596" i="19" a="1"/>
  <c r="G596" i="19" s="1"/>
  <c r="M596" i="19" s="1"/>
  <c r="I596" i="19" a="1"/>
  <c r="I596" i="19" s="1"/>
  <c r="O597" i="19" l="1"/>
  <c r="G597" i="19" a="1"/>
  <c r="G597" i="19" s="1"/>
  <c r="M597" i="19" s="1"/>
  <c r="I597" i="19" a="1"/>
  <c r="I597" i="19" s="1"/>
  <c r="O598" i="19" l="1"/>
  <c r="G598" i="19" a="1"/>
  <c r="G598" i="19" s="1"/>
  <c r="M598" i="19" s="1"/>
  <c r="I598" i="19" a="1"/>
  <c r="I598" i="19" s="1"/>
  <c r="O599" i="19" l="1"/>
  <c r="G599" i="19" a="1"/>
  <c r="G599" i="19" s="1"/>
  <c r="M599" i="19" s="1"/>
  <c r="I599" i="19" a="1"/>
  <c r="I599" i="19" s="1"/>
  <c r="O600" i="19" l="1"/>
  <c r="G600" i="19" a="1"/>
  <c r="G600" i="19" s="1"/>
  <c r="M600" i="19" s="1"/>
  <c r="I600" i="19" a="1"/>
  <c r="I600" i="19" s="1"/>
  <c r="O601" i="19" l="1"/>
  <c r="G601" i="19" a="1"/>
  <c r="G601" i="19" s="1"/>
  <c r="M601" i="19" s="1"/>
  <c r="I601" i="19" a="1"/>
  <c r="I601" i="19" s="1"/>
  <c r="O602" i="19" l="1"/>
  <c r="G602" i="19" a="1"/>
  <c r="G602" i="19" s="1"/>
  <c r="M602" i="19" s="1"/>
  <c r="I602" i="19" a="1"/>
  <c r="I602" i="19" s="1"/>
  <c r="O603" i="19" l="1"/>
  <c r="G603" i="19" a="1"/>
  <c r="G603" i="19" s="1"/>
  <c r="M603" i="19" s="1"/>
  <c r="I603" i="19" a="1"/>
  <c r="I603" i="19" s="1"/>
  <c r="O604" i="19" l="1"/>
  <c r="G604" i="19" a="1"/>
  <c r="G604" i="19" s="1"/>
  <c r="M604" i="19" s="1"/>
  <c r="I604" i="19" a="1"/>
  <c r="I604" i="19" s="1"/>
  <c r="O605" i="19" l="1"/>
  <c r="G605" i="19" a="1"/>
  <c r="G605" i="19" s="1"/>
  <c r="M605" i="19" s="1"/>
  <c r="I605" i="19" a="1"/>
  <c r="I605" i="19" s="1"/>
  <c r="O606" i="19" l="1"/>
  <c r="G606" i="19" a="1"/>
  <c r="G606" i="19" s="1"/>
  <c r="M606" i="19" s="1"/>
  <c r="I606" i="19" a="1"/>
  <c r="I606" i="19" s="1"/>
  <c r="O607" i="19" l="1"/>
  <c r="G607" i="19" a="1"/>
  <c r="G607" i="19" s="1"/>
  <c r="M607" i="19" s="1"/>
  <c r="I607" i="19" a="1"/>
  <c r="I607" i="19" s="1"/>
  <c r="O608" i="19" l="1"/>
  <c r="G608" i="19" a="1"/>
  <c r="G608" i="19" s="1"/>
  <c r="M608" i="19" s="1"/>
  <c r="I608" i="19" a="1"/>
  <c r="I608" i="19" s="1"/>
  <c r="O609" i="19" l="1"/>
  <c r="G609" i="19" a="1"/>
  <c r="G609" i="19" s="1"/>
  <c r="M609" i="19" s="1"/>
  <c r="I609" i="19" a="1"/>
  <c r="I609" i="19" s="1"/>
  <c r="O610" i="19" l="1"/>
  <c r="G610" i="19" a="1"/>
  <c r="G610" i="19" s="1"/>
  <c r="M610" i="19" s="1"/>
  <c r="I610" i="19" a="1"/>
  <c r="I610" i="19" s="1"/>
  <c r="O611" i="19" l="1"/>
  <c r="G611" i="19" a="1"/>
  <c r="G611" i="19" s="1"/>
  <c r="M611" i="19" s="1"/>
  <c r="I611" i="19" a="1"/>
  <c r="I611" i="19" s="1"/>
  <c r="O612" i="19" l="1"/>
  <c r="G612" i="19" a="1"/>
  <c r="G612" i="19" s="1"/>
  <c r="M612" i="19" s="1"/>
  <c r="I612" i="19" a="1"/>
  <c r="I612" i="19" s="1"/>
  <c r="O613" i="19" l="1"/>
  <c r="G613" i="19" a="1"/>
  <c r="G613" i="19" s="1"/>
  <c r="M613" i="19" s="1"/>
  <c r="I613" i="19" a="1"/>
  <c r="I613" i="19" s="1"/>
  <c r="O614" i="19" l="1"/>
  <c r="G614" i="19" a="1"/>
  <c r="G614" i="19" s="1"/>
  <c r="M614" i="19" s="1"/>
  <c r="I614" i="19" a="1"/>
  <c r="I614" i="19" s="1"/>
  <c r="O615" i="19" l="1"/>
  <c r="G615" i="19" a="1"/>
  <c r="G615" i="19" s="1"/>
  <c r="M615" i="19" s="1"/>
  <c r="I615" i="19" a="1"/>
  <c r="I615" i="19" s="1"/>
  <c r="O616" i="19" l="1"/>
  <c r="G616" i="19" a="1"/>
  <c r="G616" i="19" s="1"/>
  <c r="M616" i="19" s="1"/>
  <c r="I616" i="19" a="1"/>
  <c r="I616" i="19" s="1"/>
  <c r="O617" i="19" l="1"/>
  <c r="G617" i="19" a="1"/>
  <c r="G617" i="19" s="1"/>
  <c r="M617" i="19" s="1"/>
  <c r="I617" i="19" a="1"/>
  <c r="I617" i="19" s="1"/>
  <c r="O618" i="19" l="1"/>
  <c r="G618" i="19" a="1"/>
  <c r="G618" i="19" s="1"/>
  <c r="M618" i="19" s="1"/>
  <c r="I618" i="19" a="1"/>
  <c r="I618" i="19" s="1"/>
  <c r="O619" i="19" l="1"/>
  <c r="G619" i="19" a="1"/>
  <c r="G619" i="19" s="1"/>
  <c r="M619" i="19" s="1"/>
  <c r="I619" i="19" a="1"/>
  <c r="I619" i="19" s="1"/>
  <c r="O620" i="19" l="1"/>
  <c r="G620" i="19" a="1"/>
  <c r="G620" i="19" s="1"/>
  <c r="M620" i="19" s="1"/>
  <c r="I620" i="19" a="1"/>
  <c r="I620" i="19" s="1"/>
  <c r="O621" i="19" l="1"/>
  <c r="G621" i="19" a="1"/>
  <c r="G621" i="19" s="1"/>
  <c r="M621" i="19" s="1"/>
  <c r="I621" i="19" a="1"/>
  <c r="I621" i="19" s="1"/>
  <c r="O622" i="19" l="1"/>
  <c r="G622" i="19" a="1"/>
  <c r="G622" i="19" s="1"/>
  <c r="M622" i="19" s="1"/>
  <c r="I622" i="19" a="1"/>
  <c r="I622" i="19" s="1"/>
  <c r="O623" i="19" l="1"/>
  <c r="G623" i="19" a="1"/>
  <c r="G623" i="19" s="1"/>
  <c r="M623" i="19" s="1"/>
  <c r="I623" i="19" a="1"/>
  <c r="I623" i="19" s="1"/>
  <c r="O624" i="19" l="1"/>
  <c r="G624" i="19" a="1"/>
  <c r="G624" i="19" s="1"/>
  <c r="M624" i="19" s="1"/>
  <c r="I624" i="19" a="1"/>
  <c r="I624" i="19" s="1"/>
  <c r="O625" i="19" l="1"/>
  <c r="G625" i="19" a="1"/>
  <c r="G625" i="19" s="1"/>
  <c r="M625" i="19" s="1"/>
  <c r="I625" i="19" a="1"/>
  <c r="I625" i="19" s="1"/>
  <c r="O626" i="19" l="1"/>
  <c r="G626" i="19" a="1"/>
  <c r="G626" i="19" s="1"/>
  <c r="M626" i="19" s="1"/>
  <c r="I626" i="19" a="1"/>
  <c r="I626" i="19" s="1"/>
  <c r="O627" i="19" l="1"/>
  <c r="G627" i="19" a="1"/>
  <c r="G627" i="19" s="1"/>
  <c r="M627" i="19" s="1"/>
  <c r="I627" i="19" a="1"/>
  <c r="I627" i="19" s="1"/>
  <c r="O628" i="19" l="1"/>
  <c r="G628" i="19" a="1"/>
  <c r="G628" i="19" s="1"/>
  <c r="M628" i="19" s="1"/>
  <c r="I628" i="19" a="1"/>
  <c r="I628" i="19" s="1"/>
  <c r="O629" i="19" l="1"/>
  <c r="G629" i="19" a="1"/>
  <c r="G629" i="19" s="1"/>
  <c r="M629" i="19" s="1"/>
  <c r="I629" i="19" a="1"/>
  <c r="I629" i="19" s="1"/>
  <c r="O630" i="19" l="1"/>
  <c r="G630" i="19" a="1"/>
  <c r="G630" i="19" s="1"/>
  <c r="M630" i="19" s="1"/>
  <c r="I630" i="19" a="1"/>
  <c r="I630" i="19" s="1"/>
  <c r="O631" i="19" l="1"/>
  <c r="G631" i="19" a="1"/>
  <c r="G631" i="19" s="1"/>
  <c r="M631" i="19" s="1"/>
  <c r="I631" i="19" a="1"/>
  <c r="I631" i="19" s="1"/>
  <c r="O632" i="19" l="1"/>
  <c r="G632" i="19" a="1"/>
  <c r="G632" i="19" s="1"/>
  <c r="M632" i="19" s="1"/>
  <c r="I632" i="19" a="1"/>
  <c r="I632" i="19" s="1"/>
  <c r="O633" i="19" l="1"/>
  <c r="G633" i="19" a="1"/>
  <c r="G633" i="19" s="1"/>
  <c r="M633" i="19" s="1"/>
  <c r="I633" i="19" a="1"/>
  <c r="I633" i="19" s="1"/>
  <c r="O634" i="19" l="1"/>
  <c r="G634" i="19" a="1"/>
  <c r="G634" i="19" s="1"/>
  <c r="M634" i="19" s="1"/>
  <c r="I634" i="19" a="1"/>
  <c r="I634" i="19" s="1"/>
  <c r="O635" i="19" l="1"/>
  <c r="G635" i="19" a="1"/>
  <c r="G635" i="19" s="1"/>
  <c r="M635" i="19" s="1"/>
  <c r="I635" i="19" a="1"/>
  <c r="I635" i="19" s="1"/>
  <c r="O636" i="19" l="1"/>
  <c r="G636" i="19" a="1"/>
  <c r="G636" i="19" s="1"/>
  <c r="M636" i="19" s="1"/>
  <c r="I636" i="19" a="1"/>
  <c r="I636" i="19" s="1"/>
  <c r="O637" i="19" l="1"/>
  <c r="G637" i="19" a="1"/>
  <c r="G637" i="19" s="1"/>
  <c r="M637" i="19" s="1"/>
  <c r="I637" i="19" a="1"/>
  <c r="I637" i="19" s="1"/>
  <c r="O638" i="19" l="1"/>
  <c r="G638" i="19" a="1"/>
  <c r="G638" i="19" s="1"/>
  <c r="M638" i="19" s="1"/>
  <c r="I638" i="19" a="1"/>
  <c r="I638" i="19" s="1"/>
  <c r="O639" i="19" l="1"/>
  <c r="G639" i="19" a="1"/>
  <c r="G639" i="19" s="1"/>
  <c r="M639" i="19" s="1"/>
  <c r="I639" i="19" a="1"/>
  <c r="I639" i="19" s="1"/>
  <c r="O640" i="19" l="1"/>
  <c r="G640" i="19" a="1"/>
  <c r="G640" i="19" s="1"/>
  <c r="M640" i="19" s="1"/>
  <c r="I640" i="19" a="1"/>
  <c r="I640" i="19" s="1"/>
  <c r="O641" i="19" l="1"/>
  <c r="G641" i="19" a="1"/>
  <c r="G641" i="19" s="1"/>
  <c r="M641" i="19" s="1"/>
  <c r="I641" i="19" a="1"/>
  <c r="I641" i="19" s="1"/>
  <c r="O642" i="19" l="1"/>
  <c r="G642" i="19" a="1"/>
  <c r="G642" i="19" s="1"/>
  <c r="M642" i="19" s="1"/>
  <c r="I642" i="19" a="1"/>
  <c r="I642" i="19" s="1"/>
  <c r="O643" i="19" l="1"/>
  <c r="G643" i="19" a="1"/>
  <c r="G643" i="19" s="1"/>
  <c r="M643" i="19" s="1"/>
  <c r="I643" i="19" a="1"/>
  <c r="I643" i="19" s="1"/>
  <c r="O644" i="19" l="1"/>
  <c r="G644" i="19" a="1"/>
  <c r="G644" i="19" s="1"/>
  <c r="M644" i="19" s="1"/>
  <c r="I644" i="19" a="1"/>
  <c r="I644" i="19" s="1"/>
  <c r="O645" i="19" l="1"/>
  <c r="G645" i="19" a="1"/>
  <c r="G645" i="19" s="1"/>
  <c r="M645" i="19" s="1"/>
  <c r="I645" i="19" a="1"/>
  <c r="I645" i="19" s="1"/>
  <c r="O646" i="19" l="1"/>
  <c r="G646" i="19" a="1"/>
  <c r="G646" i="19" s="1"/>
  <c r="M646" i="19" s="1"/>
  <c r="I646" i="19" a="1"/>
  <c r="I646" i="19" s="1"/>
  <c r="O647" i="19" l="1"/>
  <c r="G647" i="19" a="1"/>
  <c r="G647" i="19" s="1"/>
  <c r="M647" i="19" s="1"/>
  <c r="I647" i="19" a="1"/>
  <c r="I647" i="19" s="1"/>
  <c r="O648" i="19" l="1"/>
  <c r="G648" i="19" a="1"/>
  <c r="G648" i="19" s="1"/>
  <c r="M648" i="19" s="1"/>
  <c r="I648" i="19" a="1"/>
  <c r="I648" i="19" s="1"/>
  <c r="O649" i="19" l="1"/>
  <c r="G649" i="19" a="1"/>
  <c r="G649" i="19" s="1"/>
  <c r="M649" i="19" s="1"/>
  <c r="I649" i="19" a="1"/>
  <c r="I649" i="19" s="1"/>
  <c r="O650" i="19" l="1"/>
  <c r="G650" i="19" a="1"/>
  <c r="G650" i="19" s="1"/>
  <c r="M650" i="19" s="1"/>
  <c r="I650" i="19" a="1"/>
  <c r="I650" i="19" s="1"/>
  <c r="O651" i="19" l="1"/>
  <c r="G651" i="19" a="1"/>
  <c r="G651" i="19" s="1"/>
  <c r="M651" i="19" s="1"/>
  <c r="I651" i="19" a="1"/>
  <c r="I651" i="19" s="1"/>
  <c r="O652" i="19" l="1"/>
  <c r="G652" i="19" a="1"/>
  <c r="G652" i="19" s="1"/>
  <c r="M652" i="19" s="1"/>
  <c r="I652" i="19" a="1"/>
  <c r="I652" i="19" s="1"/>
  <c r="O653" i="19" l="1"/>
  <c r="G653" i="19" a="1"/>
  <c r="G653" i="19" s="1"/>
  <c r="M653" i="19" s="1"/>
  <c r="I653" i="19" a="1"/>
  <c r="I653" i="19" s="1"/>
  <c r="O654" i="19" l="1"/>
  <c r="G654" i="19" a="1"/>
  <c r="G654" i="19" s="1"/>
  <c r="M654" i="19" s="1"/>
  <c r="I654" i="19" a="1"/>
  <c r="I654" i="19" s="1"/>
  <c r="O655" i="19" l="1"/>
  <c r="G655" i="19" a="1"/>
  <c r="G655" i="19" s="1"/>
  <c r="M655" i="19" s="1"/>
  <c r="I655" i="19" a="1"/>
  <c r="I655" i="19" s="1"/>
  <c r="O656" i="19" l="1"/>
  <c r="G656" i="19" a="1"/>
  <c r="G656" i="19" s="1"/>
  <c r="M656" i="19" s="1"/>
  <c r="I656" i="19" a="1"/>
  <c r="I656" i="19" s="1"/>
  <c r="O657" i="19" l="1"/>
  <c r="G657" i="19" a="1"/>
  <c r="G657" i="19" s="1"/>
  <c r="M657" i="19" s="1"/>
  <c r="I657" i="19" a="1"/>
  <c r="I657" i="19" s="1"/>
  <c r="O658" i="19" l="1"/>
  <c r="G658" i="19" a="1"/>
  <c r="G658" i="19" s="1"/>
  <c r="M658" i="19" s="1"/>
  <c r="I658" i="19" a="1"/>
  <c r="I658" i="19" s="1"/>
  <c r="O659" i="19" l="1"/>
  <c r="G659" i="19" a="1"/>
  <c r="G659" i="19" s="1"/>
  <c r="M659" i="19" s="1"/>
  <c r="I659" i="19" a="1"/>
  <c r="I659" i="19" s="1"/>
  <c r="O660" i="19" l="1"/>
  <c r="G660" i="19" a="1"/>
  <c r="G660" i="19" s="1"/>
  <c r="M660" i="19" s="1"/>
  <c r="I660" i="19" a="1"/>
  <c r="I660" i="19" s="1"/>
  <c r="O661" i="19" l="1"/>
  <c r="G661" i="19" a="1"/>
  <c r="G661" i="19" s="1"/>
  <c r="M661" i="19" s="1"/>
  <c r="I661" i="19" a="1"/>
  <c r="I661" i="19" s="1"/>
  <c r="O662" i="19" l="1"/>
  <c r="G662" i="19" a="1"/>
  <c r="G662" i="19" s="1"/>
  <c r="M662" i="19" s="1"/>
  <c r="I662" i="19" a="1"/>
  <c r="I662" i="19" s="1"/>
  <c r="O663" i="19" l="1"/>
  <c r="G663" i="19" a="1"/>
  <c r="G663" i="19" s="1"/>
  <c r="M663" i="19" s="1"/>
  <c r="I663" i="19" a="1"/>
  <c r="I663" i="19" s="1"/>
  <c r="O664" i="19" l="1"/>
  <c r="G664" i="19" a="1"/>
  <c r="G664" i="19" s="1"/>
  <c r="M664" i="19" s="1"/>
  <c r="I664" i="19" a="1"/>
  <c r="I664" i="19" s="1"/>
  <c r="O665" i="19" l="1"/>
  <c r="G665" i="19" a="1"/>
  <c r="G665" i="19" s="1"/>
  <c r="M665" i="19" s="1"/>
  <c r="I665" i="19" a="1"/>
  <c r="I665" i="19" s="1"/>
  <c r="O666" i="19" l="1"/>
  <c r="G666" i="19" a="1"/>
  <c r="G666" i="19" s="1"/>
  <c r="M666" i="19" s="1"/>
  <c r="I666" i="19" a="1"/>
  <c r="I666" i="19" s="1"/>
  <c r="O667" i="19" l="1"/>
  <c r="G667" i="19" a="1"/>
  <c r="G667" i="19" s="1"/>
  <c r="M667" i="19" s="1"/>
  <c r="I667" i="19" a="1"/>
  <c r="I667" i="19" s="1"/>
  <c r="O668" i="19" l="1"/>
  <c r="G668" i="19" a="1"/>
  <c r="G668" i="19" s="1"/>
  <c r="M668" i="19" s="1"/>
  <c r="I668" i="19" a="1"/>
  <c r="I668" i="19" s="1"/>
  <c r="O669" i="19" l="1"/>
  <c r="G669" i="19" a="1"/>
  <c r="G669" i="19" s="1"/>
  <c r="M669" i="19" s="1"/>
  <c r="I669" i="19" a="1"/>
  <c r="I669" i="19" s="1"/>
  <c r="O670" i="19" l="1"/>
  <c r="G670" i="19" a="1"/>
  <c r="G670" i="19" s="1"/>
  <c r="M670" i="19" s="1"/>
  <c r="I670" i="19" a="1"/>
  <c r="I670" i="19" s="1"/>
  <c r="O671" i="19" l="1"/>
  <c r="G671" i="19" a="1"/>
  <c r="G671" i="19" s="1"/>
  <c r="M671" i="19" s="1"/>
  <c r="I671" i="19" a="1"/>
  <c r="I671" i="19" s="1"/>
  <c r="O672" i="19" l="1"/>
  <c r="G672" i="19" a="1"/>
  <c r="G672" i="19" s="1"/>
  <c r="M672" i="19" s="1"/>
  <c r="I672" i="19" a="1"/>
  <c r="I672" i="19" s="1"/>
  <c r="O673" i="19" l="1"/>
  <c r="G673" i="19" a="1"/>
  <c r="G673" i="19" s="1"/>
  <c r="M673" i="19" s="1"/>
  <c r="I673" i="19" a="1"/>
  <c r="I673" i="19" s="1"/>
  <c r="O674" i="19" l="1"/>
  <c r="G674" i="19" a="1"/>
  <c r="G674" i="19" s="1"/>
  <c r="M674" i="19" s="1"/>
  <c r="I674" i="19" a="1"/>
  <c r="I674" i="19" s="1"/>
  <c r="O675" i="19" l="1"/>
  <c r="G675" i="19" a="1"/>
  <c r="G675" i="19" s="1"/>
  <c r="M675" i="19" s="1"/>
  <c r="I675" i="19" a="1"/>
  <c r="I675" i="19" s="1"/>
  <c r="O676" i="19" l="1"/>
  <c r="G676" i="19" a="1"/>
  <c r="G676" i="19" s="1"/>
  <c r="M676" i="19" s="1"/>
  <c r="I676" i="19" a="1"/>
  <c r="I676" i="19" s="1"/>
  <c r="O677" i="19" l="1"/>
  <c r="G677" i="19" a="1"/>
  <c r="G677" i="19" s="1"/>
  <c r="M677" i="19" s="1"/>
  <c r="I677" i="19" a="1"/>
  <c r="I677" i="19" s="1"/>
  <c r="O678" i="19" l="1"/>
  <c r="G678" i="19" a="1"/>
  <c r="G678" i="19" s="1"/>
  <c r="M678" i="19" s="1"/>
  <c r="I678" i="19" a="1"/>
  <c r="I678" i="19" s="1"/>
  <c r="O679" i="19" l="1"/>
  <c r="G679" i="19" a="1"/>
  <c r="G679" i="19" s="1"/>
  <c r="M679" i="19" s="1"/>
  <c r="I679" i="19" a="1"/>
  <c r="I679" i="19" s="1"/>
  <c r="O680" i="19" l="1"/>
  <c r="G680" i="19" a="1"/>
  <c r="G680" i="19" s="1"/>
  <c r="M680" i="19" s="1"/>
  <c r="I680" i="19" a="1"/>
  <c r="I680" i="19" s="1"/>
  <c r="O681" i="19" l="1"/>
  <c r="G681" i="19" a="1"/>
  <c r="G681" i="19" s="1"/>
  <c r="M681" i="19" s="1"/>
  <c r="I681" i="19" a="1"/>
  <c r="I681" i="19" s="1"/>
  <c r="O682" i="19" l="1"/>
  <c r="G682" i="19" a="1"/>
  <c r="G682" i="19" s="1"/>
  <c r="M682" i="19" s="1"/>
  <c r="I682" i="19" a="1"/>
  <c r="I682" i="19" s="1"/>
  <c r="O683" i="19" l="1"/>
  <c r="G683" i="19" a="1"/>
  <c r="G683" i="19" s="1"/>
  <c r="M683" i="19" s="1"/>
  <c r="I683" i="19" a="1"/>
  <c r="I683" i="19" s="1"/>
  <c r="O684" i="19" l="1"/>
  <c r="G684" i="19" a="1"/>
  <c r="G684" i="19" s="1"/>
  <c r="M684" i="19" s="1"/>
  <c r="I684" i="19" a="1"/>
  <c r="I684" i="19" s="1"/>
  <c r="O685" i="19" l="1"/>
  <c r="G685" i="19" a="1"/>
  <c r="G685" i="19" s="1"/>
  <c r="M685" i="19" s="1"/>
  <c r="I685" i="19" a="1"/>
  <c r="I685" i="19" s="1"/>
  <c r="O686" i="19" l="1"/>
  <c r="G686" i="19" a="1"/>
  <c r="G686" i="19" s="1"/>
  <c r="M686" i="19" s="1"/>
  <c r="I686" i="19" a="1"/>
  <c r="I686" i="19" s="1"/>
  <c r="O687" i="19" l="1"/>
  <c r="G687" i="19" a="1"/>
  <c r="G687" i="19" s="1"/>
  <c r="M687" i="19" s="1"/>
  <c r="I687" i="19" a="1"/>
  <c r="I687" i="19" s="1"/>
  <c r="O688" i="19" l="1"/>
  <c r="G688" i="19" a="1"/>
  <c r="G688" i="19" s="1"/>
  <c r="M688" i="19" s="1"/>
  <c r="I688" i="19" a="1"/>
  <c r="I688" i="19" s="1"/>
  <c r="O689" i="19" l="1"/>
  <c r="G689" i="19" a="1"/>
  <c r="G689" i="19" s="1"/>
  <c r="M689" i="19" s="1"/>
  <c r="I689" i="19" a="1"/>
  <c r="I689" i="19" s="1"/>
  <c r="O690" i="19" l="1"/>
  <c r="G690" i="19" a="1"/>
  <c r="G690" i="19" s="1"/>
  <c r="M690" i="19" s="1"/>
  <c r="I690" i="19" a="1"/>
  <c r="I690" i="19" s="1"/>
  <c r="O691" i="19" l="1"/>
  <c r="G691" i="19" a="1"/>
  <c r="G691" i="19" s="1"/>
  <c r="M691" i="19" s="1"/>
  <c r="I691" i="19" a="1"/>
  <c r="I691" i="19" s="1"/>
  <c r="O692" i="19" l="1"/>
  <c r="G692" i="19" a="1"/>
  <c r="G692" i="19" s="1"/>
  <c r="M692" i="19" s="1"/>
  <c r="I692" i="19" a="1"/>
  <c r="I692" i="19" s="1"/>
  <c r="O693" i="19" l="1"/>
  <c r="G693" i="19" a="1"/>
  <c r="G693" i="19" s="1"/>
  <c r="M693" i="19" s="1"/>
  <c r="I693" i="19" a="1"/>
  <c r="I693" i="19" s="1"/>
  <c r="O694" i="19" l="1"/>
  <c r="G694" i="19" a="1"/>
  <c r="G694" i="19" s="1"/>
  <c r="M694" i="19" s="1"/>
  <c r="I694" i="19" a="1"/>
  <c r="I694" i="19" s="1"/>
  <c r="O695" i="19" l="1"/>
  <c r="G695" i="19" a="1"/>
  <c r="G695" i="19" s="1"/>
  <c r="M695" i="19" s="1"/>
  <c r="I695" i="19" a="1"/>
  <c r="I695" i="19" s="1"/>
  <c r="O696" i="19" l="1"/>
  <c r="G696" i="19" a="1"/>
  <c r="G696" i="19" s="1"/>
  <c r="M696" i="19" s="1"/>
  <c r="I696" i="19" a="1"/>
  <c r="I696" i="19" s="1"/>
  <c r="O697" i="19" l="1"/>
  <c r="G697" i="19" a="1"/>
  <c r="G697" i="19" s="1"/>
  <c r="M697" i="19" s="1"/>
  <c r="I697" i="19" a="1"/>
  <c r="I697" i="19" s="1"/>
  <c r="O698" i="19" l="1"/>
  <c r="G698" i="19" a="1"/>
  <c r="G698" i="19" s="1"/>
  <c r="M698" i="19" s="1"/>
  <c r="I698" i="19" a="1"/>
  <c r="I698" i="19" s="1"/>
  <c r="O699" i="19" l="1"/>
  <c r="G699" i="19" a="1"/>
  <c r="G699" i="19" s="1"/>
  <c r="M699" i="19" s="1"/>
  <c r="I699" i="19" a="1"/>
  <c r="I699" i="19" s="1"/>
  <c r="O700" i="19" l="1"/>
  <c r="G700" i="19" a="1"/>
  <c r="G700" i="19" s="1"/>
  <c r="M700" i="19" s="1"/>
  <c r="I700" i="19" a="1"/>
  <c r="I700" i="19" s="1"/>
  <c r="O701" i="19" l="1"/>
  <c r="G701" i="19" a="1"/>
  <c r="G701" i="19" s="1"/>
  <c r="M701" i="19" s="1"/>
  <c r="I701" i="19" a="1"/>
  <c r="I701" i="19" s="1"/>
  <c r="O702" i="19" l="1"/>
  <c r="G702" i="19" a="1"/>
  <c r="G702" i="19" s="1"/>
  <c r="M702" i="19" s="1"/>
  <c r="I702" i="19" a="1"/>
  <c r="I702" i="19" s="1"/>
  <c r="O703" i="19" l="1"/>
  <c r="G703" i="19" a="1"/>
  <c r="G703" i="19" s="1"/>
  <c r="M703" i="19" s="1"/>
  <c r="I703" i="19" a="1"/>
  <c r="I703" i="19" s="1"/>
  <c r="O704" i="19" l="1"/>
  <c r="G704" i="19" a="1"/>
  <c r="G704" i="19" s="1"/>
  <c r="M704" i="19" s="1"/>
  <c r="I704" i="19" a="1"/>
  <c r="I704" i="19" s="1"/>
  <c r="O705" i="19" l="1"/>
  <c r="G705" i="19" a="1"/>
  <c r="G705" i="19" s="1"/>
  <c r="M705" i="19" s="1"/>
  <c r="I705" i="19" a="1"/>
  <c r="I705" i="19" s="1"/>
  <c r="O706" i="19" l="1"/>
  <c r="G706" i="19" a="1"/>
  <c r="G706" i="19" s="1"/>
  <c r="M706" i="19" s="1"/>
  <c r="I706" i="19" a="1"/>
  <c r="I706" i="19" s="1"/>
  <c r="O707" i="19" l="1"/>
  <c r="G707" i="19" a="1"/>
  <c r="G707" i="19" s="1"/>
  <c r="M707" i="19" s="1"/>
  <c r="I707" i="19" a="1"/>
  <c r="I707" i="19" s="1"/>
  <c r="O708" i="19" l="1"/>
  <c r="G708" i="19" a="1"/>
  <c r="G708" i="19" s="1"/>
  <c r="M708" i="19" s="1"/>
  <c r="I708" i="19" a="1"/>
  <c r="I708" i="19" s="1"/>
  <c r="O709" i="19" l="1"/>
  <c r="G709" i="19" a="1"/>
  <c r="G709" i="19" s="1"/>
  <c r="M709" i="19" s="1"/>
  <c r="I709" i="19" a="1"/>
  <c r="I709" i="19" s="1"/>
  <c r="O710" i="19" l="1"/>
  <c r="G710" i="19" a="1"/>
  <c r="G710" i="19" s="1"/>
  <c r="M710" i="19" s="1"/>
  <c r="I710" i="19" a="1"/>
  <c r="I710" i="19" s="1"/>
  <c r="O711" i="19" l="1"/>
  <c r="G711" i="19" a="1"/>
  <c r="G711" i="19" s="1"/>
  <c r="M711" i="19" s="1"/>
  <c r="I711" i="19" a="1"/>
  <c r="I711" i="19" s="1"/>
  <c r="O712" i="19" l="1"/>
  <c r="G712" i="19" a="1"/>
  <c r="G712" i="19" s="1"/>
  <c r="M712" i="19" s="1"/>
  <c r="I712" i="19" a="1"/>
  <c r="I712" i="19" s="1"/>
  <c r="O713" i="19" l="1"/>
  <c r="G713" i="19" a="1"/>
  <c r="G713" i="19" s="1"/>
  <c r="M713" i="19" s="1"/>
  <c r="I713" i="19" a="1"/>
  <c r="I713" i="19" s="1"/>
  <c r="O714" i="19" l="1"/>
  <c r="G714" i="19" a="1"/>
  <c r="G714" i="19" s="1"/>
  <c r="M714" i="19" s="1"/>
  <c r="I714" i="19" a="1"/>
  <c r="I714" i="19" s="1"/>
  <c r="O715" i="19" l="1"/>
  <c r="G715" i="19" a="1"/>
  <c r="G715" i="19" s="1"/>
  <c r="M715" i="19" s="1"/>
  <c r="I715" i="19" a="1"/>
  <c r="I715" i="19" s="1"/>
  <c r="O716" i="19" l="1"/>
  <c r="G716" i="19" a="1"/>
  <c r="G716" i="19" s="1"/>
  <c r="M716" i="19" s="1"/>
  <c r="I716" i="19" a="1"/>
  <c r="I716" i="19" s="1"/>
  <c r="O717" i="19" l="1"/>
  <c r="G717" i="19" a="1"/>
  <c r="G717" i="19" s="1"/>
  <c r="M717" i="19" s="1"/>
  <c r="I717" i="19" a="1"/>
  <c r="I717" i="19" s="1"/>
  <c r="O718" i="19" l="1"/>
  <c r="G718" i="19" a="1"/>
  <c r="G718" i="19" s="1"/>
  <c r="M718" i="19" s="1"/>
  <c r="I718" i="19" a="1"/>
  <c r="I718" i="19" s="1"/>
  <c r="O719" i="19" l="1"/>
  <c r="G719" i="19" a="1"/>
  <c r="G719" i="19" s="1"/>
  <c r="M719" i="19" s="1"/>
  <c r="I719" i="19" a="1"/>
  <c r="I719" i="19" s="1"/>
  <c r="G720" i="19" l="1" a="1"/>
  <c r="G720" i="19" s="1"/>
  <c r="M720" i="19" s="1"/>
  <c r="I720" i="19" a="1"/>
  <c r="I720" i="19" s="1"/>
  <c r="O720" i="19"/>
  <c r="O721" i="19" l="1"/>
  <c r="G721" i="19" a="1"/>
  <c r="G721" i="19" s="1"/>
  <c r="M721" i="19" s="1"/>
  <c r="I721" i="19" a="1"/>
  <c r="I721" i="19" s="1"/>
  <c r="O722" i="19" l="1"/>
  <c r="G722" i="19" a="1"/>
  <c r="G722" i="19" s="1"/>
  <c r="M722" i="19" s="1"/>
  <c r="I722" i="19" a="1"/>
  <c r="I722" i="19" s="1"/>
  <c r="O723" i="19" l="1"/>
  <c r="G723" i="19" a="1"/>
  <c r="G723" i="19" s="1"/>
  <c r="M723" i="19" s="1"/>
  <c r="I723" i="19" a="1"/>
  <c r="I723" i="19" s="1"/>
  <c r="O724" i="19" l="1"/>
  <c r="G724" i="19" a="1"/>
  <c r="G724" i="19" s="1"/>
  <c r="M724" i="19" s="1"/>
  <c r="I724" i="19" a="1"/>
  <c r="I724" i="19" s="1"/>
  <c r="O725" i="19" l="1"/>
  <c r="G725" i="19" a="1"/>
  <c r="G725" i="19" s="1"/>
  <c r="M725" i="19" s="1"/>
  <c r="I725" i="19" a="1"/>
  <c r="I725" i="19" s="1"/>
  <c r="O726" i="19" l="1"/>
  <c r="G726" i="19" a="1"/>
  <c r="G726" i="19" s="1"/>
  <c r="M726" i="19" s="1"/>
  <c r="I726" i="19" a="1"/>
  <c r="I726" i="19" s="1"/>
  <c r="O727" i="19" l="1"/>
  <c r="G727" i="19" a="1"/>
  <c r="G727" i="19" s="1"/>
  <c r="M727" i="19" s="1"/>
  <c r="I727" i="19" a="1"/>
  <c r="I727" i="19" s="1"/>
  <c r="O728" i="19" l="1"/>
  <c r="G728" i="19" a="1"/>
  <c r="G728" i="19" s="1"/>
  <c r="M728" i="19" s="1"/>
  <c r="I728" i="19" a="1"/>
  <c r="I728" i="19" s="1"/>
  <c r="O729" i="19" l="1"/>
  <c r="G729" i="19" a="1"/>
  <c r="G729" i="19" s="1"/>
  <c r="M729" i="19" s="1"/>
  <c r="I729" i="19" a="1"/>
  <c r="I729" i="19" s="1"/>
  <c r="O730" i="19" l="1"/>
  <c r="G730" i="19" a="1"/>
  <c r="G730" i="19" s="1"/>
  <c r="M730" i="19" s="1"/>
  <c r="I730" i="19" a="1"/>
  <c r="I730" i="19" s="1"/>
  <c r="O731" i="19" l="1"/>
  <c r="G731" i="19" a="1"/>
  <c r="G731" i="19" s="1"/>
  <c r="M731" i="19" s="1"/>
  <c r="I731" i="19" a="1"/>
  <c r="I731" i="19" s="1"/>
  <c r="O732" i="19" l="1"/>
  <c r="G732" i="19" a="1"/>
  <c r="G732" i="19" s="1"/>
  <c r="M732" i="19" s="1"/>
  <c r="I732" i="19" a="1"/>
  <c r="I732" i="19" s="1"/>
  <c r="O733" i="19" l="1"/>
  <c r="G733" i="19" a="1"/>
  <c r="G733" i="19" s="1"/>
  <c r="M733" i="19" s="1"/>
  <c r="I733" i="19" a="1"/>
  <c r="I733" i="19" s="1"/>
  <c r="O734" i="19" l="1"/>
  <c r="G734" i="19" a="1"/>
  <c r="G734" i="19" s="1"/>
  <c r="M734" i="19" s="1"/>
  <c r="I734" i="19" a="1"/>
  <c r="I734" i="19" s="1"/>
  <c r="O735" i="19" l="1"/>
  <c r="G735" i="19" a="1"/>
  <c r="G735" i="19" s="1"/>
  <c r="M735" i="19" s="1"/>
  <c r="I735" i="19" a="1"/>
  <c r="I735" i="19" s="1"/>
  <c r="O736" i="19" l="1"/>
  <c r="G736" i="19" a="1"/>
  <c r="G736" i="19" s="1"/>
  <c r="M736" i="19" s="1"/>
  <c r="I736" i="19" a="1"/>
  <c r="I736" i="19" s="1"/>
  <c r="O737" i="19" l="1"/>
  <c r="G737" i="19" a="1"/>
  <c r="G737" i="19" s="1"/>
  <c r="M737" i="19" s="1"/>
  <c r="I737" i="19" a="1"/>
  <c r="I737" i="19" s="1"/>
  <c r="O738" i="19" l="1"/>
  <c r="G738" i="19" a="1"/>
  <c r="G738" i="19" s="1"/>
  <c r="M738" i="19" s="1"/>
  <c r="I738" i="19" a="1"/>
  <c r="I738" i="19" s="1"/>
  <c r="O739" i="19" l="1"/>
  <c r="G739" i="19" a="1"/>
  <c r="G739" i="19" s="1"/>
  <c r="M739" i="19" s="1"/>
  <c r="I739" i="19" a="1"/>
  <c r="I739" i="19" s="1"/>
  <c r="O740" i="19" l="1"/>
  <c r="G740" i="19" a="1"/>
  <c r="G740" i="19" s="1"/>
  <c r="M740" i="19" s="1"/>
  <c r="I740" i="19" a="1"/>
  <c r="I740" i="19" s="1"/>
  <c r="O741" i="19" l="1"/>
  <c r="G741" i="19" a="1"/>
  <c r="G741" i="19" s="1"/>
  <c r="M741" i="19" s="1"/>
  <c r="I741" i="19" a="1"/>
  <c r="I741" i="19" s="1"/>
  <c r="O742" i="19" l="1"/>
  <c r="G742" i="19" a="1"/>
  <c r="G742" i="19" s="1"/>
  <c r="M742" i="19" s="1"/>
  <c r="I742" i="19" a="1"/>
  <c r="I742" i="19" s="1"/>
  <c r="O743" i="19" l="1"/>
  <c r="G743" i="19" a="1"/>
  <c r="G743" i="19" s="1"/>
  <c r="M743" i="19" s="1"/>
  <c r="I743" i="19" a="1"/>
  <c r="I743" i="19" s="1"/>
  <c r="O744" i="19" l="1"/>
  <c r="G744" i="19" a="1"/>
  <c r="G744" i="19" s="1"/>
  <c r="M744" i="19" s="1"/>
  <c r="I744" i="19" a="1"/>
  <c r="I744" i="19" s="1"/>
  <c r="O745" i="19" l="1"/>
  <c r="G745" i="19" a="1"/>
  <c r="G745" i="19" s="1"/>
  <c r="M745" i="19" s="1"/>
  <c r="I745" i="19" a="1"/>
  <c r="I745" i="19" s="1"/>
  <c r="O746" i="19" l="1"/>
  <c r="G746" i="19" a="1"/>
  <c r="G746" i="19" s="1"/>
  <c r="M746" i="19" s="1"/>
  <c r="I746" i="19" a="1"/>
  <c r="I746" i="19" s="1"/>
  <c r="O747" i="19" l="1"/>
  <c r="G747" i="19" a="1"/>
  <c r="G747" i="19" s="1"/>
  <c r="M747" i="19" s="1"/>
  <c r="I747" i="19" a="1"/>
  <c r="I747" i="19" s="1"/>
  <c r="O748" i="19" l="1"/>
  <c r="G748" i="19" a="1"/>
  <c r="G748" i="19" s="1"/>
  <c r="M748" i="19" s="1"/>
  <c r="I748" i="19" a="1"/>
  <c r="I748" i="19" s="1"/>
  <c r="O749" i="19" l="1"/>
  <c r="G749" i="19" a="1"/>
  <c r="G749" i="19" s="1"/>
  <c r="M749" i="19" s="1"/>
  <c r="I749" i="19" a="1"/>
  <c r="I749" i="19" s="1"/>
  <c r="O750" i="19" l="1"/>
  <c r="G750" i="19" a="1"/>
  <c r="G750" i="19" s="1"/>
  <c r="M750" i="19" s="1"/>
  <c r="I750" i="19" a="1"/>
  <c r="I750" i="19" s="1"/>
  <c r="O751" i="19" l="1"/>
  <c r="G751" i="19" a="1"/>
  <c r="G751" i="19" s="1"/>
  <c r="M751" i="19" s="1"/>
  <c r="I751" i="19" a="1"/>
  <c r="I751" i="19" s="1"/>
  <c r="O752" i="19" l="1"/>
  <c r="G752" i="19" a="1"/>
  <c r="G752" i="19" s="1"/>
  <c r="M752" i="19" s="1"/>
  <c r="I752" i="19" a="1"/>
  <c r="I752" i="19" s="1"/>
  <c r="O753" i="19" l="1"/>
  <c r="G753" i="19" a="1"/>
  <c r="G753" i="19" s="1"/>
  <c r="M753" i="19" s="1"/>
  <c r="I753" i="19" a="1"/>
  <c r="I753" i="19" s="1"/>
  <c r="O754" i="19" l="1"/>
  <c r="G754" i="19" a="1"/>
  <c r="G754" i="19" s="1"/>
  <c r="M754" i="19" s="1"/>
  <c r="I754" i="19" a="1"/>
  <c r="I754" i="19" s="1"/>
  <c r="O755" i="19" l="1"/>
  <c r="G755" i="19" a="1"/>
  <c r="G755" i="19" s="1"/>
  <c r="M755" i="19" s="1"/>
  <c r="I755" i="19" a="1"/>
  <c r="I755" i="19" s="1"/>
  <c r="O756" i="19" l="1"/>
  <c r="G756" i="19" a="1"/>
  <c r="G756" i="19" s="1"/>
  <c r="M756" i="19" s="1"/>
  <c r="I756" i="19" a="1"/>
  <c r="I756" i="19" s="1"/>
  <c r="O757" i="19" l="1"/>
  <c r="G757" i="19" a="1"/>
  <c r="G757" i="19" s="1"/>
  <c r="M757" i="19" s="1"/>
  <c r="I757" i="19" a="1"/>
  <c r="I757" i="19" s="1"/>
  <c r="O758" i="19" l="1"/>
  <c r="G758" i="19" a="1"/>
  <c r="G758" i="19" s="1"/>
  <c r="M758" i="19" s="1"/>
  <c r="I758" i="19" a="1"/>
  <c r="I758" i="19" s="1"/>
  <c r="O759" i="19" l="1"/>
  <c r="G759" i="19" a="1"/>
  <c r="G759" i="19" s="1"/>
  <c r="M759" i="19" s="1"/>
  <c r="I759" i="19" a="1"/>
  <c r="I759" i="19" s="1"/>
  <c r="O760" i="19" l="1"/>
  <c r="G760" i="19" a="1"/>
  <c r="G760" i="19" s="1"/>
  <c r="M760" i="19" s="1"/>
  <c r="I760" i="19" a="1"/>
  <c r="I760" i="19" s="1"/>
  <c r="O761" i="19" l="1"/>
  <c r="G761" i="19" a="1"/>
  <c r="G761" i="19" s="1"/>
  <c r="M761" i="19" s="1"/>
  <c r="I761" i="19" a="1"/>
  <c r="I761" i="19" s="1"/>
  <c r="O762" i="19" l="1"/>
  <c r="G762" i="19" a="1"/>
  <c r="G762" i="19" s="1"/>
  <c r="M762" i="19" s="1"/>
  <c r="I762" i="19" a="1"/>
  <c r="I762" i="19" s="1"/>
  <c r="O763" i="19" l="1"/>
  <c r="G763" i="19" a="1"/>
  <c r="G763" i="19" s="1"/>
  <c r="M763" i="19" s="1"/>
  <c r="I763" i="19" a="1"/>
  <c r="I763" i="19" s="1"/>
  <c r="O764" i="19" l="1"/>
  <c r="G764" i="19" a="1"/>
  <c r="G764" i="19" s="1"/>
  <c r="M764" i="19" s="1"/>
  <c r="I764" i="19" a="1"/>
  <c r="I764" i="19" s="1"/>
  <c r="O765" i="19" l="1"/>
  <c r="G765" i="19" a="1"/>
  <c r="G765" i="19" s="1"/>
  <c r="M765" i="19" s="1"/>
  <c r="I765" i="19" a="1"/>
  <c r="I765" i="19" s="1"/>
  <c r="O766" i="19" l="1"/>
  <c r="G766" i="19" a="1"/>
  <c r="G766" i="19" s="1"/>
  <c r="M766" i="19" s="1"/>
  <c r="I766" i="19" a="1"/>
  <c r="I766" i="19" s="1"/>
  <c r="O767" i="19" l="1"/>
  <c r="G767" i="19" a="1"/>
  <c r="G767" i="19" s="1"/>
  <c r="M767" i="19" s="1"/>
  <c r="I767" i="19" a="1"/>
  <c r="I767" i="19" s="1"/>
  <c r="O768" i="19" l="1"/>
  <c r="G768" i="19" a="1"/>
  <c r="G768" i="19" s="1"/>
  <c r="M768" i="19" s="1"/>
  <c r="I768" i="19" a="1"/>
  <c r="I768" i="19" s="1"/>
  <c r="O769" i="19" l="1"/>
  <c r="G769" i="19" a="1"/>
  <c r="G769" i="19" s="1"/>
  <c r="M769" i="19" s="1"/>
  <c r="I769" i="19" a="1"/>
  <c r="I769" i="19" s="1"/>
  <c r="G770" i="19" l="1" a="1"/>
  <c r="G770" i="19" s="1"/>
  <c r="M770" i="19" s="1"/>
  <c r="I770" i="19" a="1"/>
  <c r="I770" i="19" s="1"/>
  <c r="O770" i="19"/>
  <c r="G771" i="19" l="1" a="1"/>
  <c r="G771" i="19" s="1"/>
  <c r="M771" i="19" s="1"/>
  <c r="I771" i="19" a="1"/>
  <c r="I771" i="19" s="1"/>
  <c r="O771" i="19"/>
  <c r="O772" i="19" l="1"/>
  <c r="G772" i="19" a="1"/>
  <c r="G772" i="19" s="1"/>
  <c r="M772" i="19" s="1"/>
  <c r="I772" i="19" a="1"/>
  <c r="I772" i="19" s="1"/>
  <c r="O773" i="19" l="1"/>
  <c r="G773" i="19" a="1"/>
  <c r="G773" i="19" s="1"/>
  <c r="M773" i="19" s="1"/>
  <c r="I773" i="19" a="1"/>
  <c r="I773" i="19" s="1"/>
  <c r="O774" i="19" l="1"/>
  <c r="G774" i="19" a="1"/>
  <c r="G774" i="19" s="1"/>
  <c r="M774" i="19" s="1"/>
  <c r="I774" i="19" a="1"/>
  <c r="I774" i="19" s="1"/>
  <c r="O775" i="19" l="1"/>
  <c r="G775" i="19" a="1"/>
  <c r="G775" i="19" s="1"/>
  <c r="M775" i="19" s="1"/>
  <c r="I775" i="19" a="1"/>
  <c r="I775" i="19" s="1"/>
  <c r="O776" i="19" l="1"/>
  <c r="G776" i="19" a="1"/>
  <c r="G776" i="19" s="1"/>
  <c r="M776" i="19" s="1"/>
  <c r="I776" i="19" a="1"/>
  <c r="I776" i="19" s="1"/>
  <c r="G777" i="19" l="1" a="1"/>
  <c r="G777" i="19" s="1"/>
  <c r="M777" i="19" s="1"/>
  <c r="I777" i="19" a="1"/>
  <c r="I777" i="19" s="1"/>
  <c r="O777" i="19"/>
  <c r="G778" i="19" l="1" a="1"/>
  <c r="G778" i="19" s="1"/>
  <c r="M778" i="19" s="1"/>
  <c r="I778" i="19" a="1"/>
  <c r="I778" i="19" s="1"/>
  <c r="O778" i="19"/>
  <c r="O779" i="19" l="1"/>
  <c r="G779" i="19" a="1"/>
  <c r="G779" i="19" s="1"/>
  <c r="M779" i="19" s="1"/>
  <c r="I779" i="19" a="1"/>
  <c r="I779" i="19" s="1"/>
  <c r="O780" i="19" l="1"/>
  <c r="G780" i="19" a="1"/>
  <c r="G780" i="19" s="1"/>
  <c r="M780" i="19" s="1"/>
  <c r="I780" i="19" a="1"/>
  <c r="I780" i="19" s="1"/>
  <c r="O781" i="19" l="1"/>
  <c r="G781" i="19" a="1"/>
  <c r="G781" i="19" s="1"/>
  <c r="M781" i="19" s="1"/>
  <c r="I781" i="19" a="1"/>
  <c r="I781" i="19" s="1"/>
  <c r="O782" i="19" l="1"/>
  <c r="G782" i="19" a="1"/>
  <c r="G782" i="19" s="1"/>
  <c r="M782" i="19" s="1"/>
  <c r="I782" i="19" a="1"/>
  <c r="I782" i="19" s="1"/>
  <c r="O783" i="19" l="1"/>
  <c r="G783" i="19" a="1"/>
  <c r="G783" i="19" s="1"/>
  <c r="M783" i="19" s="1"/>
  <c r="I783" i="19" a="1"/>
  <c r="I783" i="19" s="1"/>
  <c r="O784" i="19" l="1"/>
  <c r="G784" i="19" a="1"/>
  <c r="G784" i="19" s="1"/>
  <c r="M784" i="19" s="1"/>
  <c r="I784" i="19" a="1"/>
  <c r="I784" i="19" s="1"/>
  <c r="O785" i="19" l="1"/>
  <c r="G785" i="19" a="1"/>
  <c r="G785" i="19" s="1"/>
  <c r="M785" i="19" s="1"/>
  <c r="I785" i="19" a="1"/>
  <c r="I785" i="19" s="1"/>
  <c r="O786" i="19" l="1"/>
  <c r="G786" i="19" a="1"/>
  <c r="G786" i="19" s="1"/>
  <c r="M786" i="19" s="1"/>
  <c r="I786" i="19" a="1"/>
  <c r="I786" i="19" s="1"/>
  <c r="O787" i="19" l="1"/>
  <c r="G787" i="19" a="1"/>
  <c r="G787" i="19" s="1"/>
  <c r="M787" i="19" s="1"/>
  <c r="I787" i="19" a="1"/>
  <c r="I787" i="19" s="1"/>
  <c r="O788" i="19" l="1"/>
  <c r="G788" i="19" a="1"/>
  <c r="G788" i="19" s="1"/>
  <c r="M788" i="19" s="1"/>
  <c r="I788" i="19" a="1"/>
  <c r="I788" i="19" s="1"/>
  <c r="O789" i="19" l="1"/>
  <c r="G789" i="19" a="1"/>
  <c r="G789" i="19" s="1"/>
  <c r="M789" i="19" s="1"/>
  <c r="I789" i="19" a="1"/>
  <c r="I789" i="19" s="1"/>
  <c r="O790" i="19" l="1"/>
  <c r="G790" i="19" a="1"/>
  <c r="G790" i="19" s="1"/>
  <c r="M790" i="19" s="1"/>
  <c r="I790" i="19" a="1"/>
  <c r="I790" i="19" s="1"/>
  <c r="O791" i="19" l="1"/>
  <c r="G791" i="19" a="1"/>
  <c r="G791" i="19" s="1"/>
  <c r="M791" i="19" s="1"/>
  <c r="I791" i="19" a="1"/>
  <c r="I791" i="19" s="1"/>
  <c r="O792" i="19" l="1"/>
  <c r="G792" i="19" a="1"/>
  <c r="G792" i="19" s="1"/>
  <c r="M792" i="19" s="1"/>
  <c r="I792" i="19" a="1"/>
  <c r="I792" i="19" s="1"/>
  <c r="O793" i="19" l="1"/>
  <c r="G793" i="19" a="1"/>
  <c r="G793" i="19" s="1"/>
  <c r="M793" i="19" s="1"/>
  <c r="I793" i="19" a="1"/>
  <c r="I793" i="19" s="1"/>
  <c r="O794" i="19" l="1"/>
  <c r="G794" i="19" a="1"/>
  <c r="G794" i="19" s="1"/>
  <c r="M794" i="19" s="1"/>
  <c r="I794" i="19" a="1"/>
  <c r="I794" i="19" s="1"/>
  <c r="O795" i="19" l="1"/>
  <c r="G795" i="19" a="1"/>
  <c r="G795" i="19" s="1"/>
  <c r="M795" i="19" s="1"/>
  <c r="I795" i="19" a="1"/>
  <c r="I795" i="19" s="1"/>
  <c r="O796" i="19" l="1"/>
  <c r="G796" i="19" a="1"/>
  <c r="G796" i="19" s="1"/>
  <c r="M796" i="19" s="1"/>
  <c r="I796" i="19" a="1"/>
  <c r="I796" i="19" s="1"/>
  <c r="O797" i="19" l="1"/>
  <c r="G797" i="19" a="1"/>
  <c r="G797" i="19" s="1"/>
  <c r="M797" i="19" s="1"/>
  <c r="I797" i="19" a="1"/>
  <c r="I797" i="19" s="1"/>
  <c r="O798" i="19" l="1"/>
  <c r="G798" i="19" a="1"/>
  <c r="G798" i="19" s="1"/>
  <c r="M798" i="19" s="1"/>
  <c r="I798" i="19" a="1"/>
  <c r="I798" i="19" s="1"/>
  <c r="O799" i="19" l="1"/>
  <c r="G799" i="19" a="1"/>
  <c r="G799" i="19" s="1"/>
  <c r="M799" i="19" s="1"/>
  <c r="I799" i="19" a="1"/>
  <c r="I799" i="19" s="1"/>
  <c r="O800" i="19" l="1"/>
  <c r="G800" i="19" a="1"/>
  <c r="G800" i="19" s="1"/>
  <c r="M800" i="19" s="1"/>
  <c r="I800" i="19" a="1"/>
  <c r="I800" i="19" s="1"/>
  <c r="O801" i="19" l="1"/>
  <c r="G801" i="19" a="1"/>
  <c r="G801" i="19" s="1"/>
  <c r="M801" i="19" s="1"/>
  <c r="I801" i="19" a="1"/>
  <c r="I801" i="19" s="1"/>
  <c r="O802" i="19" l="1"/>
  <c r="G802" i="19" a="1"/>
  <c r="G802" i="19" s="1"/>
  <c r="M802" i="19" s="1"/>
  <c r="I802" i="19" a="1"/>
  <c r="I802" i="19" s="1"/>
  <c r="O803" i="19" l="1"/>
  <c r="G803" i="19" a="1"/>
  <c r="G803" i="19" s="1"/>
  <c r="M803" i="19" s="1"/>
  <c r="I803" i="19" a="1"/>
  <c r="I803" i="19" s="1"/>
  <c r="O804" i="19" l="1"/>
  <c r="G804" i="19" a="1"/>
  <c r="G804" i="19" s="1"/>
  <c r="M804" i="19" s="1"/>
  <c r="I804" i="19" a="1"/>
  <c r="I804" i="19" s="1"/>
  <c r="O805" i="19" l="1"/>
  <c r="G805" i="19" a="1"/>
  <c r="G805" i="19" s="1"/>
  <c r="M805" i="19" s="1"/>
  <c r="I805" i="19" a="1"/>
  <c r="I805" i="19" s="1"/>
  <c r="O806" i="19" l="1"/>
  <c r="G806" i="19" a="1"/>
  <c r="G806" i="19" s="1"/>
  <c r="M806" i="19" s="1"/>
  <c r="I806" i="19" a="1"/>
  <c r="I806" i="19" s="1"/>
  <c r="O807" i="19" l="1"/>
  <c r="G807" i="19" a="1"/>
  <c r="G807" i="19" s="1"/>
  <c r="M807" i="19" s="1"/>
  <c r="I807" i="19" a="1"/>
  <c r="I807" i="19" s="1"/>
  <c r="O808" i="19" l="1"/>
  <c r="G808" i="19" a="1"/>
  <c r="G808" i="19" s="1"/>
  <c r="M808" i="19" s="1"/>
  <c r="I808" i="19" a="1"/>
  <c r="I808" i="19" s="1"/>
  <c r="O809" i="19" l="1"/>
  <c r="G809" i="19" a="1"/>
  <c r="G809" i="19" s="1"/>
  <c r="M809" i="19" s="1"/>
  <c r="I809" i="19" a="1"/>
  <c r="I809" i="19" s="1"/>
  <c r="O810" i="19" l="1"/>
  <c r="G810" i="19" a="1"/>
  <c r="G810" i="19" s="1"/>
  <c r="M810" i="19" s="1"/>
  <c r="I810" i="19" a="1"/>
  <c r="I810" i="19" s="1"/>
  <c r="O811" i="19" l="1"/>
  <c r="G811" i="19" a="1"/>
  <c r="G811" i="19" s="1"/>
  <c r="M811" i="19" s="1"/>
  <c r="I811" i="19" a="1"/>
  <c r="I811" i="19" s="1"/>
  <c r="O812" i="19" l="1"/>
  <c r="G812" i="19" a="1"/>
  <c r="G812" i="19" s="1"/>
  <c r="M812" i="19" s="1"/>
  <c r="I812" i="19" a="1"/>
  <c r="I812" i="19" s="1"/>
  <c r="O813" i="19" l="1"/>
  <c r="G813" i="19" a="1"/>
  <c r="G813" i="19" s="1"/>
  <c r="M813" i="19" s="1"/>
  <c r="I813" i="19" a="1"/>
  <c r="I813" i="19" s="1"/>
  <c r="O814" i="19" l="1"/>
  <c r="G814" i="19" a="1"/>
  <c r="G814" i="19" s="1"/>
  <c r="M814" i="19" s="1"/>
  <c r="I814" i="19" a="1"/>
  <c r="I814" i="19" s="1"/>
  <c r="O815" i="19" l="1"/>
  <c r="G815" i="19" a="1"/>
  <c r="G815" i="19" s="1"/>
  <c r="M815" i="19" s="1"/>
  <c r="I815" i="19" a="1"/>
  <c r="I815" i="19" s="1"/>
  <c r="O816" i="19" l="1"/>
  <c r="G816" i="19" a="1"/>
  <c r="G816" i="19" s="1"/>
  <c r="M816" i="19" s="1"/>
  <c r="I816" i="19" a="1"/>
  <c r="I816" i="19" s="1"/>
  <c r="O817" i="19" l="1"/>
  <c r="G817" i="19" a="1"/>
  <c r="G817" i="19" s="1"/>
  <c r="M817" i="19" s="1"/>
  <c r="I817" i="19" a="1"/>
  <c r="I817" i="19" s="1"/>
  <c r="O818" i="19" l="1"/>
  <c r="G818" i="19" a="1"/>
  <c r="G818" i="19" s="1"/>
  <c r="M818" i="19" s="1"/>
  <c r="I818" i="19" a="1"/>
  <c r="I818" i="19" s="1"/>
  <c r="O819" i="19" l="1"/>
  <c r="G819" i="19" a="1"/>
  <c r="G819" i="19" s="1"/>
  <c r="M819" i="19" s="1"/>
  <c r="I819" i="19" a="1"/>
  <c r="I819" i="19" s="1"/>
  <c r="O820" i="19" l="1"/>
  <c r="G820" i="19" a="1"/>
  <c r="G820" i="19" s="1"/>
  <c r="M820" i="19" s="1"/>
  <c r="I820" i="19" a="1"/>
  <c r="I820" i="19" s="1"/>
  <c r="O821" i="19" l="1"/>
  <c r="G821" i="19" a="1"/>
  <c r="G821" i="19" s="1"/>
  <c r="M821" i="19" s="1"/>
  <c r="I821" i="19" a="1"/>
  <c r="I821" i="19" s="1"/>
  <c r="O822" i="19" l="1"/>
  <c r="G822" i="19" a="1"/>
  <c r="G822" i="19" s="1"/>
  <c r="M822" i="19" s="1"/>
  <c r="I822" i="19" a="1"/>
  <c r="I822" i="19" s="1"/>
  <c r="O823" i="19" l="1"/>
  <c r="G823" i="19" a="1"/>
  <c r="G823" i="19" s="1"/>
  <c r="M823" i="19" s="1"/>
  <c r="I823" i="19" a="1"/>
  <c r="I823" i="19" s="1"/>
  <c r="O824" i="19" l="1"/>
  <c r="G824" i="19" a="1"/>
  <c r="G824" i="19" s="1"/>
  <c r="M824" i="19" s="1"/>
  <c r="I824" i="19" a="1"/>
  <c r="I824" i="19" s="1"/>
  <c r="O825" i="19" l="1"/>
  <c r="G825" i="19" a="1"/>
  <c r="G825" i="19" s="1"/>
  <c r="M825" i="19" s="1"/>
  <c r="I825" i="19" a="1"/>
  <c r="I825" i="19" s="1"/>
  <c r="O826" i="19" l="1"/>
  <c r="G826" i="19" a="1"/>
  <c r="G826" i="19" s="1"/>
  <c r="M826" i="19" s="1"/>
  <c r="I826" i="19" a="1"/>
  <c r="I826" i="19" s="1"/>
  <c r="O827" i="19" l="1"/>
  <c r="G827" i="19" a="1"/>
  <c r="G827" i="19" s="1"/>
  <c r="M827" i="19" s="1"/>
  <c r="I827" i="19" a="1"/>
  <c r="I827" i="19" s="1"/>
  <c r="O828" i="19" l="1"/>
  <c r="G828" i="19" a="1"/>
  <c r="G828" i="19" s="1"/>
  <c r="M828" i="19" s="1"/>
  <c r="I828" i="19" a="1"/>
  <c r="I828" i="19" s="1"/>
  <c r="O829" i="19" l="1"/>
  <c r="G829" i="19" a="1"/>
  <c r="G829" i="19" s="1"/>
  <c r="M829" i="19" s="1"/>
  <c r="I829" i="19" a="1"/>
  <c r="I829" i="19" s="1"/>
  <c r="O830" i="19" l="1"/>
  <c r="G830" i="19" a="1"/>
  <c r="G830" i="19" s="1"/>
  <c r="M830" i="19" s="1"/>
  <c r="I830" i="19" a="1"/>
  <c r="I830" i="19" s="1"/>
  <c r="O831" i="19" l="1"/>
  <c r="G831" i="19" a="1"/>
  <c r="G831" i="19" s="1"/>
  <c r="M831" i="19" s="1"/>
  <c r="I831" i="19" a="1"/>
  <c r="I831" i="19" s="1"/>
  <c r="O832" i="19" l="1"/>
  <c r="G832" i="19" a="1"/>
  <c r="G832" i="19" s="1"/>
  <c r="M832" i="19" s="1"/>
  <c r="I832" i="19" a="1"/>
  <c r="I832" i="19" s="1"/>
  <c r="O833" i="19" l="1"/>
  <c r="G833" i="19" a="1"/>
  <c r="G833" i="19" s="1"/>
  <c r="M833" i="19" s="1"/>
  <c r="I833" i="19" a="1"/>
  <c r="I833" i="19" s="1"/>
  <c r="O834" i="19" l="1"/>
  <c r="G834" i="19" a="1"/>
  <c r="G834" i="19" s="1"/>
  <c r="M834" i="19" s="1"/>
  <c r="I834" i="19" a="1"/>
  <c r="I834" i="19" s="1"/>
  <c r="O835" i="19" l="1"/>
  <c r="G835" i="19" a="1"/>
  <c r="G835" i="19" s="1"/>
  <c r="M835" i="19" s="1"/>
  <c r="I835" i="19" a="1"/>
  <c r="I835" i="19" s="1"/>
  <c r="O836" i="19" l="1"/>
  <c r="G836" i="19" a="1"/>
  <c r="G836" i="19" s="1"/>
  <c r="M836" i="19" s="1"/>
  <c r="I836" i="19" a="1"/>
  <c r="I836" i="19" s="1"/>
  <c r="O837" i="19" l="1"/>
  <c r="G837" i="19" a="1"/>
  <c r="G837" i="19" s="1"/>
  <c r="M837" i="19" s="1"/>
  <c r="I837" i="19" a="1"/>
  <c r="I837" i="19" s="1"/>
  <c r="O838" i="19" l="1"/>
  <c r="G838" i="19" a="1"/>
  <c r="G838" i="19" s="1"/>
  <c r="M838" i="19" s="1"/>
  <c r="I838" i="19" a="1"/>
  <c r="I838" i="19" s="1"/>
  <c r="O839" i="19" l="1"/>
  <c r="G839" i="19" a="1"/>
  <c r="G839" i="19" s="1"/>
  <c r="M839" i="19" s="1"/>
  <c r="I839" i="19" a="1"/>
  <c r="I839" i="19" s="1"/>
  <c r="O840" i="19" l="1"/>
  <c r="G840" i="19" a="1"/>
  <c r="G840" i="19" s="1"/>
  <c r="M840" i="19" s="1"/>
  <c r="I840" i="19" a="1"/>
  <c r="I840" i="19" s="1"/>
  <c r="O841" i="19" l="1"/>
  <c r="G841" i="19" a="1"/>
  <c r="G841" i="19" s="1"/>
  <c r="M841" i="19" s="1"/>
  <c r="I841" i="19" a="1"/>
  <c r="I841" i="19" s="1"/>
  <c r="O842" i="19" l="1"/>
  <c r="G842" i="19" a="1"/>
  <c r="G842" i="19" s="1"/>
  <c r="M842" i="19" s="1"/>
  <c r="I842" i="19" a="1"/>
  <c r="I842" i="19" s="1"/>
  <c r="O843" i="19" l="1"/>
  <c r="G843" i="19" a="1"/>
  <c r="G843" i="19" s="1"/>
  <c r="M843" i="19" s="1"/>
  <c r="I843" i="19" a="1"/>
  <c r="I843" i="19" s="1"/>
  <c r="G844" i="19" l="1" a="1"/>
  <c r="G844" i="19" s="1"/>
  <c r="M844" i="19" s="1"/>
  <c r="I844" i="19" a="1"/>
  <c r="I844" i="19" s="1"/>
  <c r="O844" i="19"/>
  <c r="O845" i="19" l="1"/>
  <c r="G845" i="19" a="1"/>
  <c r="G845" i="19" s="1"/>
  <c r="M845" i="19" s="1"/>
  <c r="I845" i="19" a="1"/>
  <c r="I845" i="19" s="1"/>
  <c r="O846" i="19" l="1"/>
  <c r="G846" i="19" a="1"/>
  <c r="G846" i="19" s="1"/>
  <c r="M846" i="19" s="1"/>
  <c r="I846" i="19" a="1"/>
  <c r="I846" i="19" s="1"/>
  <c r="O847" i="19" l="1"/>
  <c r="G847" i="19" a="1"/>
  <c r="G847" i="19" s="1"/>
  <c r="M847" i="19" s="1"/>
  <c r="I847" i="19" a="1"/>
  <c r="I847" i="19" s="1"/>
  <c r="O848" i="19" l="1"/>
  <c r="G848" i="19" a="1"/>
  <c r="G848" i="19" s="1"/>
  <c r="M848" i="19" s="1"/>
  <c r="I848" i="19" a="1"/>
  <c r="I848" i="19" s="1"/>
  <c r="G849" i="19" l="1" a="1"/>
  <c r="G849" i="19" s="1"/>
  <c r="M849" i="19" s="1"/>
  <c r="I849" i="19" a="1"/>
  <c r="I849" i="19" s="1"/>
  <c r="O849" i="19"/>
  <c r="O850" i="19" l="1"/>
  <c r="G850" i="19" a="1"/>
  <c r="G850" i="19" s="1"/>
  <c r="M850" i="19" s="1"/>
  <c r="I850" i="19" a="1"/>
  <c r="I850" i="19" s="1"/>
  <c r="O851" i="19" l="1"/>
  <c r="G851" i="19" a="1"/>
  <c r="G851" i="19" s="1"/>
  <c r="M851" i="19" s="1"/>
  <c r="I851" i="19" a="1"/>
  <c r="I851" i="19" s="1"/>
  <c r="O852" i="19" l="1"/>
  <c r="G852" i="19" a="1"/>
  <c r="G852" i="19" s="1"/>
  <c r="M852" i="19" s="1"/>
  <c r="I852" i="19" a="1"/>
  <c r="I852" i="19" s="1"/>
  <c r="O853" i="19" l="1"/>
  <c r="G853" i="19" a="1"/>
  <c r="G853" i="19" s="1"/>
  <c r="M853" i="19" s="1"/>
  <c r="I853" i="19" a="1"/>
  <c r="I853" i="19" s="1"/>
  <c r="O854" i="19" l="1"/>
  <c r="G854" i="19" a="1"/>
  <c r="G854" i="19" s="1"/>
  <c r="M854" i="19" s="1"/>
  <c r="I854" i="19" a="1"/>
  <c r="I854" i="19" s="1"/>
  <c r="O855" i="19" l="1"/>
  <c r="G855" i="19" a="1"/>
  <c r="G855" i="19" s="1"/>
  <c r="M855" i="19" s="1"/>
  <c r="I855" i="19" a="1"/>
  <c r="I855" i="19" s="1"/>
  <c r="O856" i="19" l="1"/>
  <c r="G856" i="19" a="1"/>
  <c r="G856" i="19" s="1"/>
  <c r="M856" i="19" s="1"/>
  <c r="I856" i="19" a="1"/>
  <c r="I856" i="19" s="1"/>
  <c r="O857" i="19" l="1"/>
  <c r="G857" i="19" a="1"/>
  <c r="G857" i="19" s="1"/>
  <c r="M857" i="19" s="1"/>
  <c r="I857" i="19" a="1"/>
  <c r="I857" i="19" s="1"/>
  <c r="O858" i="19" l="1"/>
  <c r="G858" i="19" a="1"/>
  <c r="G858" i="19" s="1"/>
  <c r="M858" i="19" s="1"/>
  <c r="I858" i="19" a="1"/>
  <c r="I858" i="19" s="1"/>
  <c r="O859" i="19" l="1"/>
  <c r="G859" i="19" a="1"/>
  <c r="G859" i="19" s="1"/>
  <c r="M859" i="19" s="1"/>
  <c r="I859" i="19" a="1"/>
  <c r="I859" i="19" s="1"/>
  <c r="O860" i="19" l="1"/>
  <c r="G860" i="19" a="1"/>
  <c r="G860" i="19" s="1"/>
  <c r="M860" i="19" s="1"/>
  <c r="I860" i="19" a="1"/>
  <c r="I860" i="19" s="1"/>
  <c r="O861" i="19" l="1"/>
  <c r="G861" i="19" a="1"/>
  <c r="G861" i="19" s="1"/>
  <c r="M861" i="19" s="1"/>
  <c r="I861" i="19" a="1"/>
  <c r="I861" i="19" s="1"/>
  <c r="O862" i="19" l="1"/>
  <c r="G862" i="19" a="1"/>
  <c r="G862" i="19" s="1"/>
  <c r="M862" i="19" s="1"/>
  <c r="I862" i="19" a="1"/>
  <c r="I862" i="19" s="1"/>
  <c r="O863" i="19" l="1"/>
  <c r="G863" i="19" a="1"/>
  <c r="G863" i="19" s="1"/>
  <c r="M863" i="19" s="1"/>
  <c r="I863" i="19" a="1"/>
  <c r="I863" i="19" s="1"/>
  <c r="O864" i="19" l="1"/>
  <c r="G864" i="19" a="1"/>
  <c r="G864" i="19" s="1"/>
  <c r="M864" i="19" s="1"/>
  <c r="I864" i="19" a="1"/>
  <c r="I864" i="19" s="1"/>
  <c r="O865" i="19" l="1"/>
  <c r="G865" i="19" a="1"/>
  <c r="G865" i="19" s="1"/>
  <c r="M865" i="19" s="1"/>
  <c r="I865" i="19" a="1"/>
  <c r="I865" i="19" s="1"/>
  <c r="O866" i="19" l="1"/>
  <c r="G866" i="19" a="1"/>
  <c r="G866" i="19" s="1"/>
  <c r="M866" i="19" s="1"/>
  <c r="I866" i="19" a="1"/>
  <c r="I866" i="19" s="1"/>
  <c r="O867" i="19" l="1"/>
  <c r="G867" i="19" a="1"/>
  <c r="G867" i="19" s="1"/>
  <c r="M867" i="19" s="1"/>
  <c r="I867" i="19" a="1"/>
  <c r="I867" i="19" s="1"/>
  <c r="O868" i="19" l="1"/>
  <c r="G868" i="19" a="1"/>
  <c r="G868" i="19" s="1"/>
  <c r="M868" i="19" s="1"/>
  <c r="I868" i="19" a="1"/>
  <c r="I868" i="19" s="1"/>
  <c r="O869" i="19" l="1"/>
  <c r="G869" i="19" a="1"/>
  <c r="G869" i="19" s="1"/>
  <c r="M869" i="19" s="1"/>
  <c r="I869" i="19" a="1"/>
  <c r="I869" i="19" s="1"/>
  <c r="O870" i="19" l="1"/>
  <c r="G870" i="19" a="1"/>
  <c r="G870" i="19" s="1"/>
  <c r="M870" i="19" s="1"/>
  <c r="I870" i="19" a="1"/>
  <c r="I870" i="19" s="1"/>
  <c r="O871" i="19" l="1"/>
  <c r="G871" i="19" a="1"/>
  <c r="G871" i="19" s="1"/>
  <c r="M871" i="19" s="1"/>
  <c r="I871" i="19" a="1"/>
  <c r="I871" i="19" s="1"/>
  <c r="O872" i="19" l="1"/>
  <c r="G872" i="19" a="1"/>
  <c r="G872" i="19" s="1"/>
  <c r="M872" i="19" s="1"/>
  <c r="I872" i="19" a="1"/>
  <c r="I872" i="19" s="1"/>
  <c r="O873" i="19" l="1"/>
  <c r="G873" i="19" a="1"/>
  <c r="G873" i="19" s="1"/>
  <c r="M873" i="19" s="1"/>
  <c r="I873" i="19" a="1"/>
  <c r="I873" i="19" s="1"/>
  <c r="O874" i="19" l="1"/>
  <c r="G874" i="19" a="1"/>
  <c r="G874" i="19" s="1"/>
  <c r="M874" i="19" s="1"/>
  <c r="I874" i="19" a="1"/>
  <c r="I874" i="19" s="1"/>
  <c r="O875" i="19" l="1"/>
  <c r="G875" i="19" a="1"/>
  <c r="G875" i="19" s="1"/>
  <c r="M875" i="19" s="1"/>
  <c r="I875" i="19" a="1"/>
  <c r="I875" i="19" s="1"/>
  <c r="O876" i="19" l="1"/>
  <c r="G876" i="19" a="1"/>
  <c r="G876" i="19" s="1"/>
  <c r="M876" i="19" s="1"/>
  <c r="I876" i="19" a="1"/>
  <c r="I876" i="19" s="1"/>
  <c r="O877" i="19" l="1"/>
  <c r="G877" i="19" a="1"/>
  <c r="G877" i="19" s="1"/>
  <c r="M877" i="19" s="1"/>
  <c r="I877" i="19" a="1"/>
  <c r="I877" i="19" s="1"/>
  <c r="O878" i="19" l="1"/>
  <c r="G878" i="19" a="1"/>
  <c r="G878" i="19" s="1"/>
  <c r="M878" i="19" s="1"/>
  <c r="I878" i="19" a="1"/>
  <c r="I878" i="19" s="1"/>
  <c r="O879" i="19" l="1"/>
  <c r="G879" i="19" a="1"/>
  <c r="G879" i="19" s="1"/>
  <c r="M879" i="19" s="1"/>
  <c r="I879" i="19" a="1"/>
  <c r="I879" i="19" s="1"/>
  <c r="O880" i="19" l="1"/>
  <c r="G880" i="19" a="1"/>
  <c r="G880" i="19" s="1"/>
  <c r="M880" i="19" s="1"/>
  <c r="I880" i="19" a="1"/>
  <c r="I880" i="19" s="1"/>
  <c r="O881" i="19" l="1"/>
  <c r="G881" i="19" a="1"/>
  <c r="G881" i="19" s="1"/>
  <c r="M881" i="19" s="1"/>
  <c r="I881" i="19" a="1"/>
  <c r="I881" i="19" s="1"/>
  <c r="O882" i="19" l="1"/>
  <c r="G882" i="19" a="1"/>
  <c r="G882" i="19" s="1"/>
  <c r="M882" i="19" s="1"/>
  <c r="I882" i="19" a="1"/>
  <c r="I882" i="19" s="1"/>
  <c r="O883" i="19" l="1"/>
  <c r="G883" i="19" a="1"/>
  <c r="G883" i="19" s="1"/>
  <c r="M883" i="19" s="1"/>
  <c r="I883" i="19" a="1"/>
  <c r="I883" i="19" s="1"/>
  <c r="O884" i="19" l="1"/>
  <c r="G884" i="19" a="1"/>
  <c r="G884" i="19" s="1"/>
  <c r="M884" i="19" s="1"/>
  <c r="I884" i="19" a="1"/>
  <c r="I884" i="19" s="1"/>
  <c r="O885" i="19" l="1"/>
  <c r="G885" i="19" a="1"/>
  <c r="G885" i="19" s="1"/>
  <c r="M885" i="19" s="1"/>
  <c r="I885" i="19" a="1"/>
  <c r="I885" i="19" s="1"/>
  <c r="O886" i="19" l="1"/>
  <c r="G886" i="19" a="1"/>
  <c r="G886" i="19" s="1"/>
  <c r="M886" i="19" s="1"/>
  <c r="I886" i="19" a="1"/>
  <c r="I886" i="19" s="1"/>
  <c r="O887" i="19" l="1"/>
  <c r="G887" i="19" a="1"/>
  <c r="G887" i="19" s="1"/>
  <c r="M887" i="19" s="1"/>
  <c r="I887" i="19" a="1"/>
  <c r="I887" i="19" s="1"/>
  <c r="O888" i="19" l="1"/>
  <c r="G888" i="19" a="1"/>
  <c r="G888" i="19" s="1"/>
  <c r="M888" i="19" s="1"/>
  <c r="I888" i="19" a="1"/>
  <c r="I888" i="19" s="1"/>
  <c r="O889" i="19" l="1"/>
  <c r="G889" i="19" a="1"/>
  <c r="G889" i="19" s="1"/>
  <c r="M889" i="19" s="1"/>
  <c r="I889" i="19" a="1"/>
  <c r="I889" i="19" s="1"/>
  <c r="O890" i="19" l="1"/>
  <c r="G890" i="19" a="1"/>
  <c r="G890" i="19" s="1"/>
  <c r="M890" i="19" s="1"/>
  <c r="I890" i="19" a="1"/>
  <c r="I890" i="19" s="1"/>
  <c r="O891" i="19" l="1"/>
  <c r="G891" i="19" a="1"/>
  <c r="G891" i="19" s="1"/>
  <c r="M891" i="19" s="1"/>
  <c r="I891" i="19" a="1"/>
  <c r="I891" i="19" s="1"/>
  <c r="O892" i="19" l="1"/>
  <c r="G892" i="19" a="1"/>
  <c r="G892" i="19" s="1"/>
  <c r="M892" i="19" s="1"/>
  <c r="I892" i="19" a="1"/>
  <c r="I892" i="19" s="1"/>
  <c r="O893" i="19" l="1"/>
  <c r="G893" i="19" a="1"/>
  <c r="G893" i="19" s="1"/>
  <c r="M893" i="19" s="1"/>
  <c r="I893" i="19" a="1"/>
  <c r="I893" i="19" s="1"/>
  <c r="O894" i="19" l="1"/>
  <c r="G894" i="19" a="1"/>
  <c r="G894" i="19" s="1"/>
  <c r="M894" i="19" s="1"/>
  <c r="I894" i="19" a="1"/>
  <c r="I894" i="19" s="1"/>
  <c r="O895" i="19" l="1"/>
  <c r="G895" i="19" a="1"/>
  <c r="G895" i="19" s="1"/>
  <c r="M895" i="19" s="1"/>
  <c r="I895" i="19" a="1"/>
  <c r="I895" i="19" s="1"/>
  <c r="O896" i="19" l="1"/>
  <c r="G896" i="19" a="1"/>
  <c r="G896" i="19" s="1"/>
  <c r="M896" i="19" s="1"/>
  <c r="I896" i="19" a="1"/>
  <c r="I896" i="19" s="1"/>
  <c r="O897" i="19" l="1"/>
  <c r="G897" i="19" a="1"/>
  <c r="G897" i="19" s="1"/>
  <c r="M897" i="19" s="1"/>
  <c r="I897" i="19" a="1"/>
  <c r="I897" i="19" s="1"/>
  <c r="O898" i="19" l="1"/>
  <c r="G898" i="19" a="1"/>
  <c r="G898" i="19" s="1"/>
  <c r="M898" i="19" s="1"/>
  <c r="I898" i="19" a="1"/>
  <c r="I898" i="19" s="1"/>
  <c r="O899" i="19" l="1"/>
  <c r="G899" i="19" a="1"/>
  <c r="G899" i="19" s="1"/>
  <c r="M899" i="19" s="1"/>
  <c r="I899" i="19" a="1"/>
  <c r="I899" i="19" s="1"/>
  <c r="O900" i="19" l="1"/>
  <c r="G900" i="19" a="1"/>
  <c r="G900" i="19" s="1"/>
  <c r="M900" i="19" s="1"/>
  <c r="I900" i="19" a="1"/>
  <c r="I900" i="19" s="1"/>
  <c r="O901" i="19" l="1"/>
  <c r="G901" i="19" a="1"/>
  <c r="G901" i="19" s="1"/>
  <c r="M901" i="19" s="1"/>
  <c r="I901" i="19" a="1"/>
  <c r="I901" i="19" s="1"/>
  <c r="O902" i="19" l="1"/>
  <c r="G902" i="19" a="1"/>
  <c r="G902" i="19" s="1"/>
  <c r="M902" i="19" s="1"/>
  <c r="I902" i="19" a="1"/>
  <c r="I902" i="19" s="1"/>
  <c r="O903" i="19" l="1"/>
  <c r="G903" i="19" a="1"/>
  <c r="G903" i="19" s="1"/>
  <c r="M903" i="19" s="1"/>
  <c r="I903" i="19" a="1"/>
  <c r="I903" i="19" s="1"/>
  <c r="O904" i="19" l="1"/>
  <c r="G904" i="19" a="1"/>
  <c r="G904" i="19" s="1"/>
  <c r="M904" i="19" s="1"/>
  <c r="I904" i="19" a="1"/>
  <c r="I904" i="19" s="1"/>
  <c r="O905" i="19" l="1"/>
  <c r="G905" i="19" a="1"/>
  <c r="G905" i="19" s="1"/>
  <c r="M905" i="19" s="1"/>
  <c r="I905" i="19" a="1"/>
  <c r="I905" i="19" s="1"/>
  <c r="O906" i="19" l="1"/>
  <c r="G906" i="19" a="1"/>
  <c r="G906" i="19" s="1"/>
  <c r="M906" i="19" s="1"/>
  <c r="I906" i="19" a="1"/>
  <c r="I906" i="19" s="1"/>
  <c r="O907" i="19" l="1"/>
  <c r="G907" i="19" a="1"/>
  <c r="G907" i="19" s="1"/>
  <c r="M907" i="19" s="1"/>
  <c r="I907" i="19" a="1"/>
  <c r="I907" i="19" s="1"/>
  <c r="O908" i="19" l="1"/>
  <c r="G908" i="19" a="1"/>
  <c r="G908" i="19" s="1"/>
  <c r="M908" i="19" s="1"/>
  <c r="I908" i="19" a="1"/>
  <c r="I908" i="19" s="1"/>
  <c r="O909" i="19" l="1"/>
  <c r="G909" i="19" a="1"/>
  <c r="G909" i="19" s="1"/>
  <c r="M909" i="19" s="1"/>
  <c r="I909" i="19" a="1"/>
  <c r="I909" i="19" s="1"/>
  <c r="O910" i="19" l="1"/>
  <c r="G910" i="19" a="1"/>
  <c r="G910" i="19" s="1"/>
  <c r="M910" i="19" s="1"/>
  <c r="I910" i="19" a="1"/>
  <c r="I910" i="19" s="1"/>
  <c r="O911" i="19" l="1"/>
  <c r="G911" i="19" a="1"/>
  <c r="G911" i="19" s="1"/>
  <c r="M911" i="19" s="1"/>
  <c r="I911" i="19" a="1"/>
  <c r="I911" i="19" s="1"/>
  <c r="O912" i="19" l="1"/>
  <c r="G912" i="19" a="1"/>
  <c r="G912" i="19" s="1"/>
  <c r="M912" i="19" s="1"/>
  <c r="I912" i="19" a="1"/>
  <c r="I912" i="19" s="1"/>
  <c r="O913" i="19" l="1"/>
  <c r="G913" i="19" a="1"/>
  <c r="G913" i="19" s="1"/>
  <c r="M913" i="19" s="1"/>
  <c r="I913" i="19" a="1"/>
  <c r="I913" i="19" s="1"/>
  <c r="O914" i="19" l="1"/>
  <c r="G914" i="19" a="1"/>
  <c r="G914" i="19" s="1"/>
  <c r="M914" i="19" s="1"/>
  <c r="I914" i="19" a="1"/>
  <c r="I914" i="19" s="1"/>
  <c r="O915" i="19" l="1"/>
  <c r="G915" i="19" a="1"/>
  <c r="G915" i="19" s="1"/>
  <c r="M915" i="19" s="1"/>
  <c r="I915" i="19" a="1"/>
  <c r="I915" i="19" s="1"/>
  <c r="O916" i="19" l="1"/>
  <c r="G916" i="19" a="1"/>
  <c r="G916" i="19" s="1"/>
  <c r="M916" i="19" s="1"/>
  <c r="I916" i="19" a="1"/>
  <c r="I916" i="19" s="1"/>
  <c r="O917" i="19" l="1"/>
  <c r="G917" i="19" a="1"/>
  <c r="G917" i="19" s="1"/>
  <c r="M917" i="19" s="1"/>
  <c r="I917" i="19" a="1"/>
  <c r="I917" i="19" s="1"/>
  <c r="O918" i="19" l="1"/>
  <c r="G918" i="19" a="1"/>
  <c r="G918" i="19" s="1"/>
  <c r="M918" i="19" s="1"/>
  <c r="I918" i="19" a="1"/>
  <c r="I918" i="19" s="1"/>
  <c r="O919" i="19" l="1"/>
  <c r="G919" i="19" a="1"/>
  <c r="G919" i="19" s="1"/>
  <c r="M919" i="19" s="1"/>
  <c r="I919" i="19" a="1"/>
  <c r="I919" i="19" s="1"/>
  <c r="O920" i="19" l="1"/>
  <c r="G920" i="19" a="1"/>
  <c r="G920" i="19" s="1"/>
  <c r="M920" i="19" s="1"/>
  <c r="I920" i="19" a="1"/>
  <c r="I920" i="19" s="1"/>
  <c r="O921" i="19" l="1"/>
  <c r="G921" i="19" a="1"/>
  <c r="G921" i="19" s="1"/>
  <c r="M921" i="19" s="1"/>
  <c r="I921" i="19" a="1"/>
  <c r="I921" i="19" s="1"/>
  <c r="O922" i="19" l="1"/>
  <c r="G922" i="19" a="1"/>
  <c r="G922" i="19" s="1"/>
  <c r="M922" i="19" s="1"/>
  <c r="I922" i="19" a="1"/>
  <c r="I922" i="19" s="1"/>
  <c r="O923" i="19" l="1"/>
  <c r="G923" i="19" a="1"/>
  <c r="G923" i="19" s="1"/>
  <c r="M923" i="19" s="1"/>
  <c r="I923" i="19" a="1"/>
  <c r="I923" i="19" s="1"/>
  <c r="O924" i="19" l="1"/>
  <c r="G924" i="19" a="1"/>
  <c r="G924" i="19" s="1"/>
  <c r="M924" i="19" s="1"/>
  <c r="I924" i="19" a="1"/>
  <c r="I924" i="19" s="1"/>
  <c r="O925" i="19" l="1"/>
  <c r="G925" i="19" a="1"/>
  <c r="G925" i="19" s="1"/>
  <c r="M925" i="19" s="1"/>
  <c r="I925" i="19" a="1"/>
  <c r="I925" i="19" s="1"/>
  <c r="O926" i="19" l="1"/>
  <c r="G926" i="19" a="1"/>
  <c r="G926" i="19" s="1"/>
  <c r="M926" i="19" s="1"/>
  <c r="I926" i="19" a="1"/>
  <c r="I926" i="19" s="1"/>
  <c r="O927" i="19" l="1"/>
  <c r="G927" i="19" a="1"/>
  <c r="G927" i="19" s="1"/>
  <c r="M927" i="19" s="1"/>
  <c r="I927" i="19" a="1"/>
  <c r="I927" i="19" s="1"/>
  <c r="O928" i="19" l="1"/>
  <c r="G928" i="19" a="1"/>
  <c r="G928" i="19" s="1"/>
  <c r="M928" i="19" s="1"/>
  <c r="I928" i="19" a="1"/>
  <c r="I928" i="19" s="1"/>
  <c r="O929" i="19" l="1"/>
  <c r="G929" i="19" a="1"/>
  <c r="G929" i="19" s="1"/>
  <c r="M929" i="19" s="1"/>
  <c r="I929" i="19" a="1"/>
  <c r="I929" i="19" s="1"/>
  <c r="O930" i="19" l="1"/>
  <c r="G930" i="19" a="1"/>
  <c r="G930" i="19" s="1"/>
  <c r="M930" i="19" s="1"/>
  <c r="I930" i="19" a="1"/>
  <c r="I930" i="19" s="1"/>
  <c r="O931" i="19" l="1"/>
  <c r="G931" i="19" a="1"/>
  <c r="G931" i="19" s="1"/>
  <c r="M931" i="19" s="1"/>
  <c r="I931" i="19" a="1"/>
  <c r="I931" i="19" s="1"/>
  <c r="O932" i="19" l="1"/>
  <c r="G932" i="19" a="1"/>
  <c r="G932" i="19" s="1"/>
  <c r="M932" i="19" s="1"/>
  <c r="I932" i="19" a="1"/>
  <c r="I932" i="19" s="1"/>
  <c r="O933" i="19" l="1"/>
  <c r="G933" i="19" a="1"/>
  <c r="G933" i="19" s="1"/>
  <c r="M933" i="19" s="1"/>
  <c r="I933" i="19" a="1"/>
  <c r="I933" i="19" s="1"/>
  <c r="O934" i="19" l="1"/>
  <c r="G934" i="19" a="1"/>
  <c r="G934" i="19" s="1"/>
  <c r="M934" i="19" s="1"/>
  <c r="I934" i="19" a="1"/>
  <c r="I934" i="19" s="1"/>
  <c r="O935" i="19" l="1"/>
  <c r="G935" i="19" a="1"/>
  <c r="G935" i="19" s="1"/>
  <c r="M935" i="19" s="1"/>
  <c r="I935" i="19" a="1"/>
  <c r="I935" i="19" s="1"/>
  <c r="O936" i="19" l="1"/>
  <c r="G936" i="19" a="1"/>
  <c r="G936" i="19" s="1"/>
  <c r="M936" i="19" s="1"/>
  <c r="I936" i="19" a="1"/>
  <c r="I936" i="19" s="1"/>
  <c r="O937" i="19" l="1"/>
  <c r="G937" i="19" a="1"/>
  <c r="G937" i="19" s="1"/>
  <c r="M937" i="19" s="1"/>
  <c r="I937" i="19" a="1"/>
  <c r="I937" i="19" s="1"/>
  <c r="O938" i="19" l="1"/>
  <c r="G938" i="19" a="1"/>
  <c r="G938" i="19" s="1"/>
  <c r="M938" i="19" s="1"/>
  <c r="I938" i="19" a="1"/>
  <c r="I938" i="19" s="1"/>
  <c r="O939" i="19" l="1"/>
  <c r="G939" i="19" a="1"/>
  <c r="G939" i="19" s="1"/>
  <c r="M939" i="19" s="1"/>
  <c r="I939" i="19" a="1"/>
  <c r="I939" i="19" s="1"/>
  <c r="O940" i="19" l="1"/>
  <c r="G940" i="19" a="1"/>
  <c r="G940" i="19" s="1"/>
  <c r="M940" i="19" s="1"/>
  <c r="I940" i="19" a="1"/>
  <c r="I940" i="19" s="1"/>
  <c r="O941" i="19" l="1"/>
  <c r="G941" i="19" a="1"/>
  <c r="G941" i="19" s="1"/>
  <c r="M941" i="19" s="1"/>
  <c r="I941" i="19" a="1"/>
  <c r="I941" i="19" s="1"/>
  <c r="O942" i="19" l="1"/>
  <c r="G942" i="19" a="1"/>
  <c r="G942" i="19" s="1"/>
  <c r="M942" i="19" s="1"/>
  <c r="I942" i="19" a="1"/>
  <c r="I942" i="19" s="1"/>
  <c r="O943" i="19" l="1"/>
  <c r="G943" i="19" a="1"/>
  <c r="G943" i="19" s="1"/>
  <c r="M943" i="19" s="1"/>
  <c r="I943" i="19" a="1"/>
  <c r="I943" i="19" s="1"/>
  <c r="O944" i="19" l="1"/>
  <c r="G944" i="19" a="1"/>
  <c r="G944" i="19" s="1"/>
  <c r="M944" i="19" s="1"/>
  <c r="I944" i="19" a="1"/>
  <c r="I944" i="19" s="1"/>
  <c r="O945" i="19" l="1"/>
  <c r="G945" i="19" a="1"/>
  <c r="G945" i="19" s="1"/>
  <c r="M945" i="19" s="1"/>
  <c r="I945" i="19" a="1"/>
  <c r="I945" i="19" s="1"/>
  <c r="O946" i="19" l="1"/>
  <c r="G946" i="19" a="1"/>
  <c r="G946" i="19" s="1"/>
  <c r="M946" i="19" s="1"/>
  <c r="I946" i="19" a="1"/>
  <c r="I946" i="19" s="1"/>
  <c r="O947" i="19" l="1"/>
  <c r="G947" i="19" a="1"/>
  <c r="G947" i="19" s="1"/>
  <c r="M947" i="19" s="1"/>
  <c r="I947" i="19" a="1"/>
  <c r="I947" i="19" s="1"/>
  <c r="O948" i="19" l="1"/>
  <c r="G948" i="19" a="1"/>
  <c r="G948" i="19" s="1"/>
  <c r="M948" i="19" s="1"/>
  <c r="I948" i="19" a="1"/>
  <c r="I948" i="19" s="1"/>
  <c r="O949" i="19" l="1"/>
  <c r="G949" i="19" a="1"/>
  <c r="G949" i="19" s="1"/>
  <c r="M949" i="19" s="1"/>
  <c r="I949" i="19" a="1"/>
  <c r="I949" i="19" s="1"/>
  <c r="O950" i="19" l="1"/>
  <c r="G950" i="19" a="1"/>
  <c r="G950" i="19" s="1"/>
  <c r="M950" i="19" s="1"/>
  <c r="I950" i="19" a="1"/>
  <c r="I950" i="19" s="1"/>
  <c r="O951" i="19" l="1"/>
  <c r="G951" i="19" a="1"/>
  <c r="G951" i="19" s="1"/>
  <c r="M951" i="19" s="1"/>
  <c r="I951" i="19" a="1"/>
  <c r="I951" i="19" s="1"/>
  <c r="O952" i="19" l="1"/>
  <c r="G952" i="19" a="1"/>
  <c r="G952" i="19" s="1"/>
  <c r="M952" i="19" s="1"/>
  <c r="I952" i="19" a="1"/>
  <c r="I952" i="19" s="1"/>
  <c r="O953" i="19" l="1"/>
  <c r="G953" i="19" a="1"/>
  <c r="G953" i="19" s="1"/>
  <c r="M953" i="19" s="1"/>
  <c r="I953" i="19" a="1"/>
  <c r="I953" i="19" s="1"/>
  <c r="O954" i="19" l="1"/>
  <c r="G954" i="19" a="1"/>
  <c r="G954" i="19" s="1"/>
  <c r="M954" i="19" s="1"/>
  <c r="I954" i="19" a="1"/>
  <c r="I954" i="19" s="1"/>
  <c r="O955" i="19" l="1"/>
  <c r="G955" i="19" a="1"/>
  <c r="G955" i="19" s="1"/>
  <c r="M955" i="19" s="1"/>
  <c r="I955" i="19" a="1"/>
  <c r="I955" i="19" s="1"/>
  <c r="O956" i="19" l="1"/>
  <c r="G956" i="19" a="1"/>
  <c r="G956" i="19" s="1"/>
  <c r="M956" i="19" s="1"/>
  <c r="I956" i="19" a="1"/>
  <c r="I956" i="19" s="1"/>
  <c r="O957" i="19" l="1"/>
  <c r="G957" i="19" a="1"/>
  <c r="G957" i="19" s="1"/>
  <c r="M957" i="19" s="1"/>
  <c r="I957" i="19" a="1"/>
  <c r="I957" i="19" s="1"/>
  <c r="O958" i="19" l="1"/>
  <c r="G958" i="19" a="1"/>
  <c r="G958" i="19" s="1"/>
  <c r="M958" i="19" s="1"/>
  <c r="I958" i="19" a="1"/>
  <c r="I958" i="19" s="1"/>
  <c r="O959" i="19" l="1"/>
  <c r="G959" i="19" a="1"/>
  <c r="G959" i="19" s="1"/>
  <c r="M959" i="19" s="1"/>
  <c r="I959" i="19" a="1"/>
  <c r="I959" i="19" s="1"/>
  <c r="O960" i="19" l="1"/>
  <c r="G960" i="19" a="1"/>
  <c r="G960" i="19" s="1"/>
  <c r="M960" i="19" s="1"/>
  <c r="I960" i="19" a="1"/>
  <c r="I960" i="19" s="1"/>
  <c r="O961" i="19" l="1"/>
  <c r="G961" i="19" a="1"/>
  <c r="G961" i="19" s="1"/>
  <c r="M961" i="19" s="1"/>
  <c r="I961" i="19" a="1"/>
  <c r="I961" i="19" s="1"/>
  <c r="O962" i="19" l="1"/>
  <c r="G962" i="19" a="1"/>
  <c r="G962" i="19" s="1"/>
  <c r="M962" i="19" s="1"/>
  <c r="I962" i="19" a="1"/>
  <c r="I962" i="19" s="1"/>
  <c r="O963" i="19" l="1"/>
  <c r="G963" i="19" a="1"/>
  <c r="G963" i="19" s="1"/>
  <c r="M963" i="19" s="1"/>
  <c r="I963" i="19" a="1"/>
  <c r="I963" i="19" s="1"/>
  <c r="O964" i="19" l="1"/>
  <c r="G964" i="19" a="1"/>
  <c r="G964" i="19" s="1"/>
  <c r="M964" i="19" s="1"/>
  <c r="I964" i="19" a="1"/>
  <c r="I964" i="19" s="1"/>
  <c r="O965" i="19" l="1"/>
  <c r="G965" i="19" a="1"/>
  <c r="G965" i="19" s="1"/>
  <c r="M965" i="19" s="1"/>
  <c r="I965" i="19" a="1"/>
  <c r="I965" i="19" s="1"/>
  <c r="O966" i="19" l="1"/>
  <c r="G966" i="19" a="1"/>
  <c r="G966" i="19" s="1"/>
  <c r="M966" i="19" s="1"/>
  <c r="I966" i="19" a="1"/>
  <c r="I966" i="19" s="1"/>
  <c r="O967" i="19" l="1"/>
  <c r="G967" i="19" a="1"/>
  <c r="G967" i="19" s="1"/>
  <c r="M967" i="19" s="1"/>
  <c r="I967" i="19" a="1"/>
  <c r="I967" i="19" s="1"/>
  <c r="O968" i="19" l="1"/>
  <c r="G968" i="19" a="1"/>
  <c r="G968" i="19" s="1"/>
  <c r="M968" i="19" s="1"/>
  <c r="I968" i="19" a="1"/>
  <c r="I968" i="19" s="1"/>
  <c r="O969" i="19" l="1"/>
  <c r="G969" i="19" a="1"/>
  <c r="G969" i="19" s="1"/>
  <c r="M969" i="19" s="1"/>
  <c r="I969" i="19" a="1"/>
  <c r="I969" i="19" s="1"/>
  <c r="O970" i="19" l="1"/>
  <c r="G970" i="19" a="1"/>
  <c r="G970" i="19" s="1"/>
  <c r="M970" i="19" s="1"/>
  <c r="I970" i="19" a="1"/>
  <c r="I970" i="19" s="1"/>
  <c r="O971" i="19" l="1"/>
  <c r="G971" i="19" a="1"/>
  <c r="G971" i="19" s="1"/>
  <c r="M971" i="19" s="1"/>
  <c r="I971" i="19" a="1"/>
  <c r="I971" i="19" s="1"/>
  <c r="O972" i="19" l="1"/>
  <c r="G972" i="19" a="1"/>
  <c r="G972" i="19" s="1"/>
  <c r="M972" i="19" s="1"/>
  <c r="I972" i="19" a="1"/>
  <c r="I972" i="19" s="1"/>
  <c r="O973" i="19" l="1"/>
  <c r="G973" i="19" a="1"/>
  <c r="G973" i="19" s="1"/>
  <c r="M973" i="19" s="1"/>
  <c r="I973" i="19" a="1"/>
  <c r="I973" i="19" s="1"/>
  <c r="O974" i="19" l="1"/>
  <c r="G974" i="19" a="1"/>
  <c r="G974" i="19" s="1"/>
  <c r="M974" i="19" s="1"/>
  <c r="I974" i="19" a="1"/>
  <c r="I974" i="19" s="1"/>
  <c r="O975" i="19" l="1"/>
  <c r="G975" i="19" a="1"/>
  <c r="G975" i="19" s="1"/>
  <c r="M975" i="19" s="1"/>
  <c r="I975" i="19" a="1"/>
  <c r="I975" i="19" s="1"/>
  <c r="O976" i="19" l="1"/>
  <c r="G976" i="19" a="1"/>
  <c r="G976" i="19" s="1"/>
  <c r="M976" i="19" s="1"/>
  <c r="I976" i="19" a="1"/>
  <c r="I976" i="19" s="1"/>
  <c r="O977" i="19" l="1"/>
  <c r="G977" i="19" a="1"/>
  <c r="G977" i="19" s="1"/>
  <c r="M977" i="19" s="1"/>
  <c r="I977" i="19" a="1"/>
  <c r="I977" i="19" s="1"/>
  <c r="O978" i="19" l="1"/>
  <c r="G978" i="19" a="1"/>
  <c r="G978" i="19" s="1"/>
  <c r="M978" i="19" s="1"/>
  <c r="I978" i="19" a="1"/>
  <c r="I978" i="19" s="1"/>
  <c r="O979" i="19" l="1"/>
  <c r="G979" i="19" a="1"/>
  <c r="G979" i="19" s="1"/>
  <c r="M979" i="19" s="1"/>
  <c r="I979" i="19" a="1"/>
  <c r="I979" i="19" s="1"/>
  <c r="O980" i="19" l="1"/>
  <c r="G980" i="19" a="1"/>
  <c r="G980" i="19" s="1"/>
  <c r="M980" i="19" s="1"/>
  <c r="I980" i="19" a="1"/>
  <c r="I980" i="19" s="1"/>
  <c r="O981" i="19" l="1"/>
  <c r="G981" i="19" a="1"/>
  <c r="G981" i="19" s="1"/>
  <c r="M981" i="19" s="1"/>
  <c r="I981" i="19" a="1"/>
  <c r="I981" i="19" s="1"/>
  <c r="O982" i="19" l="1"/>
  <c r="G982" i="19" a="1"/>
  <c r="G982" i="19" s="1"/>
  <c r="M982" i="19" s="1"/>
  <c r="I982" i="19" a="1"/>
  <c r="I982" i="19" s="1"/>
  <c r="O983" i="19" l="1"/>
  <c r="G983" i="19" a="1"/>
  <c r="G983" i="19" s="1"/>
  <c r="M983" i="19" s="1"/>
  <c r="I983" i="19" a="1"/>
  <c r="I983" i="19" s="1"/>
  <c r="O984" i="19" l="1"/>
  <c r="G984" i="19" a="1"/>
  <c r="G984" i="19" s="1"/>
  <c r="M984" i="19" s="1"/>
  <c r="I984" i="19" a="1"/>
  <c r="I984" i="19" s="1"/>
  <c r="O985" i="19" l="1"/>
  <c r="G985" i="19" a="1"/>
  <c r="G985" i="19" s="1"/>
  <c r="M985" i="19" s="1"/>
  <c r="I985" i="19" a="1"/>
  <c r="I985" i="19" s="1"/>
  <c r="O986" i="19" l="1"/>
  <c r="G986" i="19" a="1"/>
  <c r="G986" i="19" s="1"/>
  <c r="M986" i="19" s="1"/>
  <c r="I986" i="19" a="1"/>
  <c r="I986" i="19" s="1"/>
  <c r="O987" i="19" l="1"/>
  <c r="G987" i="19" a="1"/>
  <c r="G987" i="19" s="1"/>
  <c r="M987" i="19" s="1"/>
  <c r="I987" i="19" a="1"/>
  <c r="I987" i="19" s="1"/>
  <c r="O988" i="19" l="1"/>
  <c r="G988" i="19" a="1"/>
  <c r="G988" i="19" s="1"/>
  <c r="M988" i="19" s="1"/>
  <c r="I988" i="19" a="1"/>
  <c r="I988" i="19" s="1"/>
  <c r="O989" i="19" l="1"/>
  <c r="G989" i="19" a="1"/>
  <c r="G989" i="19" s="1"/>
  <c r="M989" i="19" s="1"/>
  <c r="I989" i="19" a="1"/>
  <c r="I989" i="19" s="1"/>
  <c r="O990" i="19" l="1"/>
  <c r="G990" i="19" a="1"/>
  <c r="G990" i="19" s="1"/>
  <c r="M990" i="19" s="1"/>
  <c r="I990" i="19" a="1"/>
  <c r="I990" i="19" s="1"/>
  <c r="O991" i="19" l="1"/>
  <c r="G991" i="19" a="1"/>
  <c r="G991" i="19" s="1"/>
  <c r="M991" i="19" s="1"/>
  <c r="I991" i="19" a="1"/>
  <c r="I991" i="19" s="1"/>
  <c r="O992" i="19" l="1"/>
  <c r="G992" i="19" a="1"/>
  <c r="G992" i="19" s="1"/>
  <c r="M992" i="19" s="1"/>
  <c r="I992" i="19" a="1"/>
  <c r="I992" i="19" s="1"/>
  <c r="O993" i="19" l="1"/>
  <c r="G993" i="19" a="1"/>
  <c r="G993" i="19" s="1"/>
  <c r="M993" i="19" s="1"/>
  <c r="I993" i="19" a="1"/>
  <c r="I993" i="19" s="1"/>
  <c r="O994" i="19" l="1"/>
  <c r="G994" i="19" a="1"/>
  <c r="G994" i="19" s="1"/>
  <c r="M994" i="19" s="1"/>
  <c r="I994" i="19" a="1"/>
  <c r="I994" i="19" s="1"/>
  <c r="O995" i="19" l="1"/>
  <c r="G995" i="19" a="1"/>
  <c r="G995" i="19" s="1"/>
  <c r="M995" i="19" s="1"/>
  <c r="I995" i="19" a="1"/>
  <c r="I995" i="19" s="1"/>
  <c r="O996" i="19" l="1"/>
  <c r="G996" i="19" a="1"/>
  <c r="G996" i="19" s="1"/>
  <c r="M996" i="19" s="1"/>
  <c r="I996" i="19" a="1"/>
  <c r="I996" i="19" s="1"/>
  <c r="O997" i="19" l="1"/>
  <c r="G997" i="19" a="1"/>
  <c r="G997" i="19" s="1"/>
  <c r="M997" i="19" s="1"/>
  <c r="I997" i="19" a="1"/>
  <c r="I997" i="19" s="1"/>
  <c r="G998" i="19" l="1" a="1"/>
  <c r="G998" i="19" s="1"/>
  <c r="M998" i="19" s="1"/>
  <c r="I998" i="19" a="1"/>
  <c r="I998" i="19" s="1"/>
  <c r="O998" i="19"/>
  <c r="O999" i="19" l="1"/>
  <c r="G999" i="19" a="1"/>
  <c r="G999" i="19" s="1"/>
  <c r="M999" i="19" s="1"/>
  <c r="I999" i="19" a="1"/>
  <c r="I999" i="19" s="1"/>
  <c r="O1000" i="19" l="1"/>
  <c r="G1000" i="19" a="1"/>
  <c r="G1000" i="19" s="1"/>
  <c r="M1000" i="19" s="1"/>
  <c r="I1000" i="19" a="1"/>
  <c r="I1000" i="19" s="1"/>
  <c r="O1001" i="19" l="1"/>
  <c r="G1001" i="19" a="1"/>
  <c r="G1001" i="19" s="1"/>
  <c r="M1001" i="19" s="1"/>
  <c r="I1001" i="19" a="1"/>
  <c r="I1001" i="19" s="1"/>
  <c r="O1002" i="19" l="1"/>
  <c r="G1002" i="19" a="1"/>
  <c r="G1002" i="19" s="1"/>
  <c r="M1002" i="19" s="1"/>
  <c r="I1002" i="19" a="1"/>
  <c r="I1002" i="19" s="1"/>
  <c r="O1003" i="19" l="1"/>
  <c r="G1003" i="19" a="1"/>
  <c r="G1003" i="19" s="1"/>
  <c r="M1003" i="19" s="1"/>
  <c r="I1003" i="19" a="1"/>
  <c r="I1003" i="19" s="1"/>
  <c r="O1004" i="19" l="1"/>
  <c r="G1004" i="19" a="1"/>
  <c r="G1004" i="19" s="1"/>
  <c r="M1004" i="19" s="1"/>
  <c r="I1004" i="19" a="1"/>
  <c r="I1004" i="19" s="1"/>
  <c r="O1005" i="19" l="1"/>
  <c r="G1005" i="19" a="1"/>
  <c r="G1005" i="19" s="1"/>
  <c r="M1005" i="19" s="1"/>
  <c r="I1005" i="19" a="1"/>
  <c r="I1005" i="19" s="1"/>
  <c r="O1006" i="19" l="1"/>
  <c r="G1006" i="19" a="1"/>
  <c r="G1006" i="19" s="1"/>
  <c r="M1006" i="19" s="1"/>
  <c r="I1006" i="19" a="1"/>
  <c r="I1006" i="19" s="1"/>
  <c r="O1007" i="19" l="1"/>
  <c r="G1007" i="19" a="1"/>
  <c r="G1007" i="19" s="1"/>
  <c r="M1007" i="19" s="1"/>
  <c r="I1007" i="19" a="1"/>
  <c r="I1007" i="19" s="1"/>
  <c r="O1008" i="19" l="1"/>
  <c r="G1008" i="19" a="1"/>
  <c r="G1008" i="19" s="1"/>
  <c r="M1008" i="19" s="1"/>
  <c r="I1008" i="19" a="1"/>
  <c r="I1008" i="19" s="1"/>
  <c r="O1009" i="19" l="1"/>
  <c r="G1009" i="19" a="1"/>
  <c r="G1009" i="19" s="1"/>
  <c r="M1009" i="19" s="1"/>
  <c r="I1009" i="19" a="1"/>
  <c r="I1009" i="19" s="1"/>
  <c r="O1010" i="19" l="1"/>
  <c r="G1010" i="19" a="1"/>
  <c r="G1010" i="19" s="1"/>
  <c r="M1010" i="19" s="1"/>
  <c r="I1010" i="19" a="1"/>
  <c r="I1010" i="19" s="1"/>
  <c r="O1011" i="19" l="1"/>
  <c r="G1011" i="19" a="1"/>
  <c r="G1011" i="19" s="1"/>
  <c r="M1011" i="19" s="1"/>
  <c r="I1011" i="19" a="1"/>
  <c r="I1011" i="19" s="1"/>
  <c r="O1012" i="19" l="1"/>
  <c r="G1012" i="19" a="1"/>
  <c r="G1012" i="19" s="1"/>
  <c r="M1012" i="19" s="1"/>
  <c r="I1012" i="19" a="1"/>
  <c r="I1012" i="19" s="1"/>
  <c r="G1013" i="19" l="1" a="1"/>
  <c r="G1013" i="19" s="1"/>
  <c r="M1013" i="19" s="1"/>
  <c r="I1013" i="19" a="1"/>
  <c r="I1013" i="19" s="1"/>
  <c r="O1013" i="19"/>
  <c r="O1014" i="19" l="1"/>
  <c r="G1014" i="19" a="1"/>
  <c r="G1014" i="19" s="1"/>
  <c r="M1014" i="19" s="1"/>
  <c r="I1014" i="19" a="1"/>
  <c r="I1014" i="19" s="1"/>
  <c r="O1015" i="19" l="1"/>
  <c r="G1015" i="19" a="1"/>
  <c r="G1015" i="19" s="1"/>
  <c r="M1015" i="19" s="1"/>
  <c r="I1015" i="19" a="1"/>
  <c r="I1015" i="19" s="1"/>
  <c r="O1016" i="19" l="1"/>
  <c r="G1016" i="19" a="1"/>
  <c r="G1016" i="19" s="1"/>
  <c r="M1016" i="19" s="1"/>
  <c r="I1016" i="19" a="1"/>
  <c r="I1016" i="19" s="1"/>
  <c r="O1017" i="19" l="1"/>
  <c r="G1017" i="19" a="1"/>
  <c r="G1017" i="19" s="1"/>
  <c r="M1017" i="19" s="1"/>
  <c r="I1017" i="19" a="1"/>
  <c r="I1017" i="19" s="1"/>
  <c r="O1018" i="19" l="1"/>
  <c r="G1018" i="19" a="1"/>
  <c r="G1018" i="19" s="1"/>
  <c r="M1018" i="19" s="1"/>
  <c r="I1018" i="19" a="1"/>
  <c r="I1018" i="19" s="1"/>
  <c r="O1019" i="19" l="1"/>
  <c r="G1019" i="19" a="1"/>
  <c r="G1019" i="19" s="1"/>
  <c r="M1019" i="19" s="1"/>
  <c r="I1019" i="19" a="1"/>
  <c r="I1019" i="19" s="1"/>
  <c r="O1020" i="19" l="1"/>
  <c r="G1020" i="19" a="1"/>
  <c r="G1020" i="19" s="1"/>
  <c r="M1020" i="19" s="1"/>
  <c r="I1020" i="19" a="1"/>
  <c r="I1020" i="19" s="1"/>
  <c r="O1021" i="19" l="1"/>
  <c r="G1021" i="19" a="1"/>
  <c r="G1021" i="19" s="1"/>
  <c r="M1021" i="19" s="1"/>
  <c r="I1021" i="19" a="1"/>
  <c r="I1021" i="19" s="1"/>
  <c r="G1022" i="19" l="1" a="1"/>
  <c r="G1022" i="19" s="1"/>
  <c r="M1022" i="19" s="1"/>
  <c r="I1022" i="19" a="1"/>
  <c r="I1022" i="19" s="1"/>
  <c r="O1022" i="19"/>
  <c r="O1023" i="19" l="1"/>
  <c r="G1023" i="19" a="1"/>
  <c r="G1023" i="19" s="1"/>
  <c r="M1023" i="19" s="1"/>
  <c r="I1023" i="19" a="1"/>
  <c r="I1023" i="19" s="1"/>
  <c r="O1024" i="19" l="1"/>
  <c r="G1024" i="19" a="1"/>
  <c r="G1024" i="19" s="1"/>
  <c r="M1024" i="19" s="1"/>
  <c r="I1024" i="19" a="1"/>
  <c r="I1024" i="19" s="1"/>
  <c r="O1025" i="19" l="1"/>
  <c r="G1025" i="19" a="1"/>
  <c r="G1025" i="19" s="1"/>
  <c r="M1025" i="19" s="1"/>
  <c r="I1025" i="19" a="1"/>
  <c r="I1025" i="19" s="1"/>
  <c r="O1026" i="19" l="1"/>
  <c r="G1026" i="19" a="1"/>
  <c r="G1026" i="19" s="1"/>
  <c r="M1026" i="19" s="1"/>
  <c r="I1026" i="19" a="1"/>
  <c r="I1026" i="19" s="1"/>
  <c r="O1027" i="19" l="1"/>
  <c r="G1027" i="19" a="1"/>
  <c r="G1027" i="19" s="1"/>
  <c r="M1027" i="19" s="1"/>
  <c r="I1027" i="19" a="1"/>
  <c r="I1027" i="19" s="1"/>
  <c r="O1028" i="19" l="1"/>
  <c r="G1028" i="19" a="1"/>
  <c r="G1028" i="19" s="1"/>
  <c r="M1028" i="19" s="1"/>
  <c r="I1028" i="19" a="1"/>
  <c r="I1028" i="19" s="1"/>
  <c r="O1029" i="19" l="1"/>
  <c r="G1029" i="19" a="1"/>
  <c r="G1029" i="19" s="1"/>
  <c r="M1029" i="19" s="1"/>
  <c r="I1029" i="19" a="1"/>
  <c r="I1029" i="19" s="1"/>
  <c r="O1030" i="19" l="1"/>
  <c r="G1030" i="19" a="1"/>
  <c r="G1030" i="19" s="1"/>
  <c r="M1030" i="19" s="1"/>
  <c r="I1030" i="19" a="1"/>
  <c r="I1030" i="19" s="1"/>
  <c r="O1031" i="19" l="1"/>
  <c r="G1031" i="19" a="1"/>
  <c r="G1031" i="19" s="1"/>
  <c r="M1031" i="19" s="1"/>
  <c r="I1031" i="19" a="1"/>
  <c r="I1031" i="19" s="1"/>
  <c r="O1032" i="19" l="1"/>
  <c r="G1032" i="19" a="1"/>
  <c r="G1032" i="19" s="1"/>
  <c r="M1032" i="19" s="1"/>
  <c r="I1032" i="19" a="1"/>
  <c r="I1032" i="19" s="1"/>
  <c r="O1033" i="19" l="1"/>
  <c r="G1033" i="19" a="1"/>
  <c r="G1033" i="19" s="1"/>
  <c r="M1033" i="19" s="1"/>
  <c r="I1033" i="19" a="1"/>
  <c r="I1033" i="19" s="1"/>
  <c r="O1034" i="19" l="1"/>
  <c r="G1034" i="19" a="1"/>
  <c r="G1034" i="19" s="1"/>
  <c r="M1034" i="19" s="1"/>
  <c r="I1034" i="19" a="1"/>
  <c r="I1034" i="19" s="1"/>
  <c r="O1035" i="19" l="1"/>
  <c r="G1035" i="19" a="1"/>
  <c r="G1035" i="19" s="1"/>
  <c r="M1035" i="19" s="1"/>
  <c r="I1035" i="19" a="1"/>
  <c r="I1035" i="19" s="1"/>
  <c r="O1036" i="19" l="1"/>
  <c r="G1036" i="19" a="1"/>
  <c r="G1036" i="19" s="1"/>
  <c r="M1036" i="19" s="1"/>
  <c r="I1036" i="19" a="1"/>
  <c r="I1036" i="19" s="1"/>
  <c r="O1037" i="19" l="1"/>
  <c r="G1037" i="19" a="1"/>
  <c r="G1037" i="19" s="1"/>
  <c r="M1037" i="19" s="1"/>
  <c r="I1037" i="19" a="1"/>
  <c r="I1037" i="19" s="1"/>
  <c r="O1038" i="19" l="1"/>
  <c r="G1038" i="19" a="1"/>
  <c r="G1038" i="19" s="1"/>
  <c r="M1038" i="19" s="1"/>
  <c r="I1038" i="19" a="1"/>
  <c r="I1038" i="19" s="1"/>
  <c r="O1039" i="19" l="1"/>
  <c r="G1039" i="19" a="1"/>
  <c r="G1039" i="19" s="1"/>
  <c r="M1039" i="19" s="1"/>
  <c r="I1039" i="19" a="1"/>
  <c r="I1039" i="19" s="1"/>
  <c r="O1040" i="19" l="1"/>
  <c r="G1040" i="19" a="1"/>
  <c r="G1040" i="19" s="1"/>
  <c r="M1040" i="19" s="1"/>
  <c r="I1040" i="19" a="1"/>
  <c r="I1040" i="19" s="1"/>
  <c r="O1041" i="19" l="1"/>
  <c r="G1041" i="19" a="1"/>
  <c r="G1041" i="19" s="1"/>
  <c r="M1041" i="19" s="1"/>
  <c r="I1041" i="19" a="1"/>
  <c r="I1041" i="19" s="1"/>
  <c r="O1042" i="19" l="1"/>
  <c r="G1042" i="19" a="1"/>
  <c r="G1042" i="19" s="1"/>
  <c r="M1042" i="19" s="1"/>
  <c r="I1042" i="19" a="1"/>
  <c r="I1042" i="19" s="1"/>
  <c r="O1043" i="19" l="1"/>
  <c r="G1043" i="19" a="1"/>
  <c r="G1043" i="19" s="1"/>
  <c r="M1043" i="19" s="1"/>
  <c r="I1043" i="19" a="1"/>
  <c r="I1043" i="19" s="1"/>
  <c r="O1044" i="19" l="1"/>
  <c r="G1044" i="19" a="1"/>
  <c r="G1044" i="19" s="1"/>
  <c r="M1044" i="19" s="1"/>
  <c r="I1044" i="19" a="1"/>
  <c r="I1044" i="19" s="1"/>
  <c r="O1045" i="19" l="1"/>
  <c r="G1045" i="19" a="1"/>
  <c r="G1045" i="19" s="1"/>
  <c r="M1045" i="19" s="1"/>
  <c r="I1045" i="19" a="1"/>
  <c r="I1045" i="19" s="1"/>
  <c r="O1046" i="19" l="1"/>
  <c r="G1046" i="19" a="1"/>
  <c r="G1046" i="19" s="1"/>
  <c r="M1046" i="19" s="1"/>
  <c r="I1046" i="19" a="1"/>
  <c r="I1046" i="19" s="1"/>
  <c r="O1047" i="19" l="1"/>
  <c r="G1047" i="19" a="1"/>
  <c r="G1047" i="19" s="1"/>
  <c r="M1047" i="19" s="1"/>
  <c r="I1047" i="19" a="1"/>
  <c r="I1047" i="19" s="1"/>
  <c r="O1048" i="19" l="1"/>
  <c r="G1048" i="19" a="1"/>
  <c r="G1048" i="19" s="1"/>
  <c r="M1048" i="19" s="1"/>
  <c r="I1048" i="19" a="1"/>
  <c r="I1048" i="19" s="1"/>
  <c r="O1049" i="19" l="1"/>
  <c r="G1049" i="19" a="1"/>
  <c r="G1049" i="19" s="1"/>
  <c r="M1049" i="19" s="1"/>
  <c r="I1049" i="19" a="1"/>
  <c r="I1049" i="19" s="1"/>
  <c r="O1050" i="19" l="1"/>
  <c r="G1050" i="19" a="1"/>
  <c r="G1050" i="19" s="1"/>
  <c r="M1050" i="19" s="1"/>
  <c r="I1050" i="19" a="1"/>
  <c r="I1050" i="19" s="1"/>
  <c r="G1051" i="19" l="1" a="1"/>
  <c r="G1051" i="19" s="1"/>
  <c r="M1051" i="19" s="1"/>
  <c r="I1051" i="19" a="1"/>
  <c r="I1051" i="19" s="1"/>
  <c r="O1051" i="19"/>
  <c r="O1052" i="19" l="1"/>
  <c r="G1052" i="19" a="1"/>
  <c r="G1052" i="19" s="1"/>
  <c r="M1052" i="19" s="1"/>
  <c r="I1052" i="19" a="1"/>
  <c r="I1052" i="19" s="1"/>
  <c r="O1053" i="19" l="1"/>
  <c r="G1053" i="19" a="1"/>
  <c r="G1053" i="19" s="1"/>
  <c r="M1053" i="19" s="1"/>
  <c r="I1053" i="19" a="1"/>
  <c r="I1053" i="19" s="1"/>
  <c r="O1054" i="19" l="1"/>
  <c r="G1054" i="19" a="1"/>
  <c r="G1054" i="19" s="1"/>
  <c r="M1054" i="19" s="1"/>
  <c r="I1054" i="19" a="1"/>
  <c r="I1054" i="19" s="1"/>
  <c r="O1055" i="19" l="1"/>
  <c r="G1055" i="19" a="1"/>
  <c r="G1055" i="19" s="1"/>
  <c r="M1055" i="19" s="1"/>
  <c r="I1055" i="19" a="1"/>
  <c r="I1055" i="19" s="1"/>
  <c r="G1056" i="19" l="1" a="1"/>
  <c r="G1056" i="19" s="1"/>
  <c r="M1056" i="19" s="1"/>
  <c r="I1056" i="19" a="1"/>
  <c r="I1056" i="19" s="1"/>
  <c r="O1056" i="19"/>
  <c r="O1057" i="19" l="1"/>
  <c r="G1057" i="19" a="1"/>
  <c r="G1057" i="19" s="1"/>
  <c r="M1057" i="19" s="1"/>
  <c r="I1057" i="19" a="1"/>
  <c r="I1057" i="19" s="1"/>
  <c r="O1058" i="19" l="1"/>
  <c r="G1058" i="19" a="1"/>
  <c r="G1058" i="19" s="1"/>
  <c r="M1058" i="19" s="1"/>
  <c r="I1058" i="19" a="1"/>
  <c r="I1058" i="19" s="1"/>
  <c r="O1059" i="19" l="1"/>
  <c r="G1059" i="19" a="1"/>
  <c r="G1059" i="19" s="1"/>
  <c r="M1059" i="19" s="1"/>
  <c r="I1059" i="19" a="1"/>
  <c r="I1059" i="19" s="1"/>
  <c r="O1060" i="19" l="1"/>
  <c r="G1060" i="19" a="1"/>
  <c r="G1060" i="19" s="1"/>
  <c r="M1060" i="19" s="1"/>
  <c r="I1060" i="19" a="1"/>
  <c r="I1060" i="19" s="1"/>
  <c r="O1061" i="19" l="1"/>
  <c r="G1061" i="19" a="1"/>
  <c r="G1061" i="19" s="1"/>
  <c r="M1061" i="19" s="1"/>
  <c r="I1061" i="19" a="1"/>
  <c r="I1061" i="19" s="1"/>
  <c r="O1062" i="19" l="1"/>
  <c r="G1062" i="19" a="1"/>
  <c r="G1062" i="19" s="1"/>
  <c r="M1062" i="19" s="1"/>
  <c r="I1062" i="19" a="1"/>
  <c r="I1062" i="19" s="1"/>
  <c r="O1063" i="19" l="1"/>
  <c r="G1063" i="19" a="1"/>
  <c r="G1063" i="19" s="1"/>
  <c r="M1063" i="19" s="1"/>
  <c r="I1063" i="19" a="1"/>
  <c r="I1063" i="19" s="1"/>
  <c r="O1064" i="19" l="1"/>
  <c r="G1064" i="19" a="1"/>
  <c r="G1064" i="19" s="1"/>
  <c r="M1064" i="19" s="1"/>
  <c r="I1064" i="19" a="1"/>
  <c r="I1064" i="19" s="1"/>
  <c r="O1065" i="19" l="1"/>
  <c r="G1065" i="19" a="1"/>
  <c r="G1065" i="19" s="1"/>
  <c r="M1065" i="19" s="1"/>
  <c r="I1065" i="19" a="1"/>
  <c r="I1065" i="19" s="1"/>
  <c r="O1066" i="19" l="1"/>
  <c r="G1066" i="19" a="1"/>
  <c r="G1066" i="19" s="1"/>
  <c r="M1066" i="19" s="1"/>
  <c r="I1066" i="19" a="1"/>
  <c r="I1066" i="19" s="1"/>
  <c r="O1067" i="19" l="1"/>
  <c r="G1067" i="19" a="1"/>
  <c r="G1067" i="19" s="1"/>
  <c r="M1067" i="19" s="1"/>
  <c r="I1067" i="19" a="1"/>
  <c r="I1067" i="19" s="1"/>
  <c r="O1068" i="19" l="1"/>
  <c r="G1068" i="19" a="1"/>
  <c r="G1068" i="19" s="1"/>
  <c r="M1068" i="19" s="1"/>
  <c r="I1068" i="19" a="1"/>
  <c r="I1068" i="19" s="1"/>
  <c r="O1069" i="19" l="1"/>
  <c r="G1069" i="19" a="1"/>
  <c r="G1069" i="19" s="1"/>
  <c r="M1069" i="19" s="1"/>
  <c r="I1069" i="19" a="1"/>
  <c r="I1069" i="19" s="1"/>
  <c r="O1070" i="19" l="1"/>
  <c r="G1070" i="19" a="1"/>
  <c r="G1070" i="19" s="1"/>
  <c r="M1070" i="19" s="1"/>
  <c r="I1070" i="19" a="1"/>
  <c r="I1070" i="19" s="1"/>
  <c r="O1071" i="19" l="1"/>
  <c r="G1071" i="19" a="1"/>
  <c r="G1071" i="19" s="1"/>
  <c r="M1071" i="19" s="1"/>
  <c r="I1071" i="19" a="1"/>
  <c r="I1071" i="19" s="1"/>
  <c r="O1072" i="19" l="1"/>
  <c r="G1072" i="19" a="1"/>
  <c r="G1072" i="19" s="1"/>
  <c r="M1072" i="19" s="1"/>
  <c r="I1072" i="19" a="1"/>
  <c r="I1072" i="19" s="1"/>
  <c r="O1073" i="19" l="1"/>
  <c r="G1073" i="19" a="1"/>
  <c r="G1073" i="19" s="1"/>
  <c r="M1073" i="19" s="1"/>
  <c r="I1073" i="19" a="1"/>
  <c r="I1073" i="19" s="1"/>
  <c r="O1074" i="19" l="1"/>
  <c r="G1074" i="19" a="1"/>
  <c r="G1074" i="19" s="1"/>
  <c r="M1074" i="19" s="1"/>
  <c r="I1074" i="19" a="1"/>
  <c r="I1074" i="19" s="1"/>
  <c r="O1075" i="19" l="1"/>
  <c r="G1075" i="19" a="1"/>
  <c r="G1075" i="19" s="1"/>
  <c r="M1075" i="19" s="1"/>
  <c r="I1075" i="19" a="1"/>
  <c r="I1075" i="19" s="1"/>
  <c r="O1076" i="19" l="1"/>
  <c r="G1076" i="19" a="1"/>
  <c r="G1076" i="19" s="1"/>
  <c r="M1076" i="19" s="1"/>
  <c r="I1076" i="19" a="1"/>
  <c r="I1076" i="19" s="1"/>
  <c r="O1077" i="19" l="1"/>
  <c r="G1077" i="19" a="1"/>
  <c r="G1077" i="19" s="1"/>
  <c r="M1077" i="19" s="1"/>
  <c r="I1077" i="19" a="1"/>
  <c r="I1077" i="19" s="1"/>
  <c r="O1078" i="19" l="1"/>
  <c r="G1078" i="19" a="1"/>
  <c r="G1078" i="19" s="1"/>
  <c r="M1078" i="19" s="1"/>
  <c r="I1078" i="19" a="1"/>
  <c r="I1078" i="19" s="1"/>
  <c r="O1079" i="19" l="1"/>
  <c r="G1079" i="19" a="1"/>
  <c r="G1079" i="19" s="1"/>
  <c r="M1079" i="19" s="1"/>
  <c r="I1079" i="19" a="1"/>
  <c r="I1079" i="19" s="1"/>
  <c r="O1080" i="19" l="1"/>
  <c r="G1080" i="19" a="1"/>
  <c r="G1080" i="19" s="1"/>
  <c r="M1080" i="19" s="1"/>
  <c r="I1080" i="19" a="1"/>
  <c r="I1080" i="19" s="1"/>
  <c r="O1081" i="19" l="1"/>
  <c r="G1081" i="19" a="1"/>
  <c r="G1081" i="19" s="1"/>
  <c r="M1081" i="19" s="1"/>
  <c r="I1081" i="19" a="1"/>
  <c r="I1081" i="19" s="1"/>
  <c r="O1082" i="19" l="1"/>
  <c r="G1082" i="19" a="1"/>
  <c r="G1082" i="19" s="1"/>
  <c r="M1082" i="19" s="1"/>
  <c r="I1082" i="19" a="1"/>
  <c r="I1082" i="19" s="1"/>
  <c r="O1083" i="19" l="1"/>
  <c r="G1083" i="19" a="1"/>
  <c r="G1083" i="19" s="1"/>
  <c r="M1083" i="19" s="1"/>
  <c r="I1083" i="19" a="1"/>
  <c r="I1083" i="19" s="1"/>
  <c r="O1084" i="19" l="1"/>
  <c r="G1084" i="19" a="1"/>
  <c r="G1084" i="19" s="1"/>
  <c r="M1084" i="19" s="1"/>
  <c r="I1084" i="19" a="1"/>
  <c r="I1084" i="19" s="1"/>
  <c r="O1085" i="19" l="1"/>
  <c r="G1085" i="19" a="1"/>
  <c r="G1085" i="19" s="1"/>
  <c r="M1085" i="19" s="1"/>
  <c r="I1085" i="19" a="1"/>
  <c r="I1085" i="19" s="1"/>
  <c r="O1086" i="19" l="1"/>
  <c r="G1086" i="19" a="1"/>
  <c r="G1086" i="19" s="1"/>
  <c r="M1086" i="19" s="1"/>
  <c r="I1086" i="19" a="1"/>
  <c r="I1086" i="19" s="1"/>
  <c r="O1087" i="19" l="1"/>
  <c r="G1087" i="19" a="1"/>
  <c r="G1087" i="19" s="1"/>
  <c r="M1087" i="19" s="1"/>
  <c r="I1087" i="19" a="1"/>
  <c r="I1087" i="19" s="1"/>
  <c r="O1088" i="19" l="1"/>
  <c r="G1088" i="19" a="1"/>
  <c r="G1088" i="19" s="1"/>
  <c r="M1088" i="19" s="1"/>
  <c r="I1088" i="19" a="1"/>
  <c r="I1088" i="19" s="1"/>
  <c r="O1089" i="19" l="1"/>
  <c r="G1089" i="19" a="1"/>
  <c r="G1089" i="19" s="1"/>
  <c r="M1089" i="19" s="1"/>
  <c r="I1089" i="19" a="1"/>
  <c r="I1089" i="19" s="1"/>
  <c r="O1090" i="19" l="1"/>
  <c r="G1090" i="19" a="1"/>
  <c r="G1090" i="19" s="1"/>
  <c r="M1090" i="19" s="1"/>
  <c r="I1090" i="19" a="1"/>
  <c r="I1090" i="19" s="1"/>
  <c r="O1091" i="19" l="1"/>
  <c r="G1091" i="19" a="1"/>
  <c r="G1091" i="19" s="1"/>
  <c r="M1091" i="19" s="1"/>
  <c r="I1091" i="19" a="1"/>
  <c r="I1091" i="19" s="1"/>
  <c r="O1092" i="19" l="1"/>
  <c r="G1092" i="19" a="1"/>
  <c r="G1092" i="19" s="1"/>
  <c r="M1092" i="19" s="1"/>
  <c r="I1092" i="19" a="1"/>
  <c r="I1092" i="19" s="1"/>
  <c r="O1093" i="19" l="1"/>
  <c r="G1093" i="19" a="1"/>
  <c r="G1093" i="19" s="1"/>
  <c r="M1093" i="19" s="1"/>
  <c r="I1093" i="19" a="1"/>
  <c r="I1093" i="19" s="1"/>
  <c r="O1094" i="19" l="1"/>
  <c r="G1094" i="19" a="1"/>
  <c r="G1094" i="19" s="1"/>
  <c r="M1094" i="19" s="1"/>
  <c r="I1094" i="19" a="1"/>
  <c r="I1094" i="19" s="1"/>
  <c r="O1095" i="19" l="1"/>
  <c r="G1095" i="19" a="1"/>
  <c r="G1095" i="19" s="1"/>
  <c r="M1095" i="19" s="1"/>
  <c r="I1095" i="19" a="1"/>
  <c r="I1095" i="19" s="1"/>
  <c r="O1096" i="19" l="1"/>
  <c r="G1096" i="19" a="1"/>
  <c r="G1096" i="19" s="1"/>
  <c r="M1096" i="19" s="1"/>
  <c r="I1096" i="19" a="1"/>
  <c r="I1096" i="19" s="1"/>
  <c r="O1097" i="19" l="1"/>
  <c r="G1097" i="19" a="1"/>
  <c r="G1097" i="19" s="1"/>
  <c r="M1097" i="19" s="1"/>
  <c r="I1097" i="19" a="1"/>
  <c r="I1097" i="19" s="1"/>
  <c r="O1098" i="19" l="1"/>
  <c r="G1098" i="19" a="1"/>
  <c r="G1098" i="19" s="1"/>
  <c r="M1098" i="19" s="1"/>
  <c r="I1098" i="19" a="1"/>
  <c r="I1098" i="19" s="1"/>
  <c r="O1099" i="19" l="1"/>
  <c r="G1099" i="19" a="1"/>
  <c r="G1099" i="19" s="1"/>
  <c r="M1099" i="19" s="1"/>
  <c r="I1099" i="19" a="1"/>
  <c r="I1099" i="19" s="1"/>
  <c r="O1100" i="19" l="1"/>
  <c r="G1100" i="19" a="1"/>
  <c r="G1100" i="19" s="1"/>
  <c r="M1100" i="19" s="1"/>
  <c r="I1100" i="19" a="1"/>
  <c r="I1100" i="19" s="1"/>
  <c r="O1101" i="19" l="1"/>
  <c r="G1101" i="19" a="1"/>
  <c r="G1101" i="19" s="1"/>
  <c r="M1101" i="19" s="1"/>
  <c r="I1101" i="19" a="1"/>
  <c r="I1101" i="19" s="1"/>
  <c r="O1102" i="19" l="1"/>
  <c r="G1102" i="19" a="1"/>
  <c r="G1102" i="19" s="1"/>
  <c r="M1102" i="19" s="1"/>
  <c r="I1102" i="19" a="1"/>
  <c r="I1102" i="19" s="1"/>
  <c r="O1103" i="19" l="1"/>
  <c r="G1103" i="19" a="1"/>
  <c r="G1103" i="19" s="1"/>
  <c r="M1103" i="19" s="1"/>
  <c r="I1103" i="19" a="1"/>
  <c r="I1103" i="19" s="1"/>
  <c r="O1104" i="19" l="1"/>
  <c r="G1104" i="19" a="1"/>
  <c r="G1104" i="19" s="1"/>
  <c r="M1104" i="19" s="1"/>
  <c r="I1104" i="19" a="1"/>
  <c r="I1104" i="19" s="1"/>
  <c r="O1105" i="19" l="1"/>
  <c r="G1105" i="19" a="1"/>
  <c r="G1105" i="19" s="1"/>
  <c r="M1105" i="19" s="1"/>
  <c r="I1105" i="19" a="1"/>
  <c r="I1105" i="19" s="1"/>
  <c r="O1106" i="19" l="1"/>
  <c r="G1106" i="19" a="1"/>
  <c r="G1106" i="19" s="1"/>
  <c r="M1106" i="19" s="1"/>
  <c r="I1106" i="19" a="1"/>
  <c r="I1106" i="19" s="1"/>
  <c r="O1107" i="19" l="1"/>
  <c r="G1107" i="19" a="1"/>
  <c r="G1107" i="19" s="1"/>
  <c r="M1107" i="19" s="1"/>
  <c r="I1107" i="19" a="1"/>
  <c r="I1107" i="19" s="1"/>
  <c r="O1108" i="19" l="1"/>
  <c r="G1108" i="19" a="1"/>
  <c r="G1108" i="19" s="1"/>
  <c r="M1108" i="19" s="1"/>
  <c r="I1108" i="19" a="1"/>
  <c r="I1108" i="19" s="1"/>
  <c r="O1109" i="19" l="1"/>
  <c r="G1109" i="19" a="1"/>
  <c r="G1109" i="19" s="1"/>
  <c r="M1109" i="19" s="1"/>
  <c r="I1109" i="19" a="1"/>
  <c r="I1109" i="19" s="1"/>
  <c r="O1110" i="19" l="1"/>
  <c r="G1110" i="19" a="1"/>
  <c r="G1110" i="19" s="1"/>
  <c r="M1110" i="19" s="1"/>
  <c r="I1110" i="19" a="1"/>
  <c r="I1110" i="19" s="1"/>
  <c r="O1111" i="19" l="1"/>
  <c r="G1111" i="19" a="1"/>
  <c r="G1111" i="19" s="1"/>
  <c r="M1111" i="19" s="1"/>
  <c r="I1111" i="19" a="1"/>
  <c r="I1111" i="19" s="1"/>
  <c r="O1112" i="19" l="1"/>
  <c r="G1112" i="19" a="1"/>
  <c r="G1112" i="19" s="1"/>
  <c r="M1112" i="19" s="1"/>
  <c r="I1112" i="19" a="1"/>
  <c r="I1112" i="19" s="1"/>
  <c r="O1113" i="19" l="1"/>
  <c r="G1113" i="19" a="1"/>
  <c r="G1113" i="19" s="1"/>
  <c r="M1113" i="19" s="1"/>
  <c r="I1113" i="19" a="1"/>
  <c r="I1113" i="19" s="1"/>
  <c r="O1114" i="19" l="1"/>
  <c r="G1114" i="19" a="1"/>
  <c r="G1114" i="19" s="1"/>
  <c r="M1114" i="19" s="1"/>
  <c r="I1114" i="19" a="1"/>
  <c r="I1114" i="19" s="1"/>
  <c r="O1115" i="19" l="1"/>
  <c r="G1115" i="19" a="1"/>
  <c r="G1115" i="19" s="1"/>
  <c r="M1115" i="19" s="1"/>
  <c r="I1115" i="19" a="1"/>
  <c r="I1115" i="19" s="1"/>
  <c r="O1116" i="19" l="1"/>
  <c r="G1116" i="19" a="1"/>
  <c r="G1116" i="19" s="1"/>
  <c r="M1116" i="19" s="1"/>
  <c r="I1116" i="19" a="1"/>
  <c r="I1116" i="19" s="1"/>
  <c r="O1117" i="19" l="1"/>
  <c r="G1117" i="19" a="1"/>
  <c r="G1117" i="19" s="1"/>
  <c r="M1117" i="19" s="1"/>
  <c r="I1117" i="19" a="1"/>
  <c r="I1117" i="19" s="1"/>
  <c r="O1118" i="19" l="1"/>
  <c r="G1118" i="19" a="1"/>
  <c r="G1118" i="19" s="1"/>
  <c r="M1118" i="19" s="1"/>
  <c r="I1118" i="19" a="1"/>
  <c r="I1118" i="19" s="1"/>
  <c r="O1119" i="19" l="1"/>
  <c r="G1119" i="19" a="1"/>
  <c r="G1119" i="19" s="1"/>
  <c r="M1119" i="19" s="1"/>
  <c r="I1119" i="19" a="1"/>
  <c r="I1119" i="19" s="1"/>
  <c r="O1120" i="19" l="1"/>
  <c r="G1120" i="19" a="1"/>
  <c r="G1120" i="19" s="1"/>
  <c r="M1120" i="19" s="1"/>
  <c r="I1120" i="19" a="1"/>
  <c r="I1120" i="19" s="1"/>
  <c r="O1121" i="19" l="1"/>
  <c r="G1121" i="19" a="1"/>
  <c r="G1121" i="19" s="1"/>
  <c r="M1121" i="19" s="1"/>
  <c r="I1121" i="19" a="1"/>
  <c r="I1121" i="19" s="1"/>
  <c r="O1122" i="19" l="1"/>
  <c r="G1122" i="19" a="1"/>
  <c r="G1122" i="19" s="1"/>
  <c r="M1122" i="19" s="1"/>
  <c r="I1122" i="19" a="1"/>
  <c r="I1122" i="19" s="1"/>
  <c r="O1123" i="19" l="1"/>
  <c r="G1123" i="19" a="1"/>
  <c r="G1123" i="19" s="1"/>
  <c r="M1123" i="19" s="1"/>
  <c r="I1123" i="19" a="1"/>
  <c r="I1123" i="19" s="1"/>
  <c r="O1124" i="19" l="1"/>
  <c r="G1124" i="19" a="1"/>
  <c r="G1124" i="19" s="1"/>
  <c r="M1124" i="19" s="1"/>
  <c r="I1124" i="19" a="1"/>
  <c r="I1124" i="19" s="1"/>
  <c r="O1125" i="19" l="1"/>
  <c r="G1125" i="19" a="1"/>
  <c r="G1125" i="19" s="1"/>
  <c r="M1125" i="19" s="1"/>
  <c r="I1125" i="19" a="1"/>
  <c r="I1125" i="19" s="1"/>
  <c r="O1126" i="19" l="1"/>
  <c r="G1126" i="19" a="1"/>
  <c r="G1126" i="19" s="1"/>
  <c r="M1126" i="19" s="1"/>
  <c r="I1126" i="19" a="1"/>
  <c r="I1126" i="19" s="1"/>
  <c r="G1127" i="19" l="1" a="1"/>
  <c r="G1127" i="19" s="1"/>
  <c r="M1127" i="19" s="1"/>
  <c r="I1127" i="19" a="1"/>
  <c r="I1127" i="19" s="1"/>
  <c r="O1127" i="19"/>
  <c r="O1128" i="19" l="1"/>
  <c r="G1128" i="19" a="1"/>
  <c r="G1128" i="19" s="1"/>
  <c r="M1128" i="19" s="1"/>
  <c r="I1128" i="19" a="1"/>
  <c r="I1128" i="19" s="1"/>
  <c r="O1129" i="19" l="1"/>
  <c r="G1129" i="19" a="1"/>
  <c r="G1129" i="19" s="1"/>
  <c r="M1129" i="19" s="1"/>
  <c r="I1129" i="19" a="1"/>
  <c r="I1129" i="19" s="1"/>
  <c r="O1130" i="19" l="1"/>
  <c r="G1130" i="19" a="1"/>
  <c r="G1130" i="19" s="1"/>
  <c r="M1130" i="19" s="1"/>
  <c r="I1130" i="19" a="1"/>
  <c r="I1130" i="19" s="1"/>
  <c r="G1131" i="19" l="1" a="1"/>
  <c r="G1131" i="19" s="1"/>
  <c r="M1131" i="19" s="1"/>
  <c r="I1131" i="19" a="1"/>
  <c r="I1131" i="19" s="1"/>
  <c r="O1131" i="19"/>
  <c r="O1132" i="19" l="1"/>
  <c r="G1132" i="19" a="1"/>
  <c r="G1132" i="19" s="1"/>
  <c r="M1132" i="19" s="1"/>
  <c r="I1132" i="19" a="1"/>
  <c r="I1132" i="19" s="1"/>
  <c r="O1133" i="19" l="1"/>
  <c r="G1133" i="19" a="1"/>
  <c r="G1133" i="19" s="1"/>
  <c r="M1133" i="19" s="1"/>
  <c r="I1133" i="19" a="1"/>
  <c r="I1133" i="19" s="1"/>
  <c r="O1134" i="19" l="1"/>
  <c r="G1134" i="19" a="1"/>
  <c r="G1134" i="19" s="1"/>
  <c r="M1134" i="19" s="1"/>
  <c r="I1134" i="19" a="1"/>
  <c r="I1134" i="19" s="1"/>
  <c r="O1135" i="19" l="1"/>
  <c r="G1135" i="19" a="1"/>
  <c r="G1135" i="19" s="1"/>
  <c r="M1135" i="19" s="1"/>
  <c r="I1135" i="19" a="1"/>
  <c r="I1135" i="19" s="1"/>
  <c r="O1136" i="19" l="1"/>
  <c r="G1136" i="19" a="1"/>
  <c r="G1136" i="19" s="1"/>
  <c r="M1136" i="19" s="1"/>
  <c r="I1136" i="19" a="1"/>
  <c r="I1136" i="19" s="1"/>
  <c r="O1137" i="19" l="1"/>
  <c r="G1137" i="19" a="1"/>
  <c r="G1137" i="19" s="1"/>
  <c r="M1137" i="19" s="1"/>
  <c r="I1137" i="19" a="1"/>
  <c r="I1137" i="19" s="1"/>
  <c r="O1138" i="19" l="1"/>
  <c r="G1138" i="19" a="1"/>
  <c r="G1138" i="19" s="1"/>
  <c r="M1138" i="19" s="1"/>
  <c r="I1138" i="19" a="1"/>
  <c r="I1138" i="19" s="1"/>
  <c r="O1139" i="19" l="1"/>
  <c r="G1139" i="19" a="1"/>
  <c r="G1139" i="19" s="1"/>
  <c r="M1139" i="19" s="1"/>
  <c r="I1139" i="19" a="1"/>
  <c r="I1139" i="19" s="1"/>
  <c r="O1140" i="19" l="1"/>
  <c r="G1140" i="19" a="1"/>
  <c r="G1140" i="19" s="1"/>
  <c r="M1140" i="19" s="1"/>
  <c r="I1140" i="19" a="1"/>
  <c r="I1140" i="19" s="1"/>
  <c r="O1141" i="19" l="1"/>
  <c r="G1141" i="19" a="1"/>
  <c r="G1141" i="19" s="1"/>
  <c r="M1141" i="19" s="1"/>
  <c r="I1141" i="19" a="1"/>
  <c r="I1141" i="19" s="1"/>
  <c r="O1142" i="19" l="1"/>
  <c r="G1142" i="19" a="1"/>
  <c r="G1142" i="19" s="1"/>
  <c r="M1142" i="19" s="1"/>
  <c r="I1142" i="19" a="1"/>
  <c r="I1142" i="19" s="1"/>
  <c r="O1143" i="19" l="1"/>
  <c r="G1143" i="19" a="1"/>
  <c r="G1143" i="19" s="1"/>
  <c r="M1143" i="19" s="1"/>
  <c r="I1143" i="19" a="1"/>
  <c r="I1143" i="19" s="1"/>
  <c r="O1144" i="19" l="1"/>
  <c r="G1144" i="19" a="1"/>
  <c r="G1144" i="19" s="1"/>
  <c r="M1144" i="19" s="1"/>
  <c r="I1144" i="19" a="1"/>
  <c r="I1144" i="19" s="1"/>
  <c r="O1145" i="19" l="1"/>
  <c r="G1145" i="19" a="1"/>
  <c r="G1145" i="19" s="1"/>
  <c r="M1145" i="19" s="1"/>
  <c r="I1145" i="19" a="1"/>
  <c r="I1145" i="19" s="1"/>
  <c r="O1146" i="19" l="1"/>
  <c r="G1146" i="19" a="1"/>
  <c r="G1146" i="19" s="1"/>
  <c r="M1146" i="19" s="1"/>
  <c r="I1146" i="19" a="1"/>
  <c r="I1146" i="19" s="1"/>
  <c r="G1147" i="19" l="1" a="1"/>
  <c r="G1147" i="19" s="1"/>
  <c r="M1147" i="19" s="1"/>
  <c r="I1147" i="19" a="1"/>
  <c r="I1147" i="19" s="1"/>
  <c r="O1147" i="19"/>
  <c r="O1148" i="19" l="1"/>
  <c r="G1148" i="19" a="1"/>
  <c r="G1148" i="19" s="1"/>
  <c r="M1148" i="19" s="1"/>
  <c r="I1148" i="19" a="1"/>
  <c r="I1148" i="19" s="1"/>
  <c r="O1149" i="19" l="1"/>
  <c r="G1149" i="19" a="1"/>
  <c r="G1149" i="19" s="1"/>
  <c r="M1149" i="19" s="1"/>
  <c r="I1149" i="19" a="1"/>
  <c r="I1149" i="19" s="1"/>
  <c r="O1150" i="19" l="1"/>
  <c r="G1150" i="19" a="1"/>
  <c r="G1150" i="19" s="1"/>
  <c r="M1150" i="19" s="1"/>
  <c r="I1150" i="19" a="1"/>
  <c r="I1150" i="19" s="1"/>
  <c r="G1151" i="19" l="1" a="1"/>
  <c r="G1151" i="19" s="1"/>
  <c r="M1151" i="19" s="1"/>
  <c r="I1151" i="19" a="1"/>
  <c r="I1151" i="19" s="1"/>
  <c r="O1151" i="19"/>
  <c r="O1152" i="19" l="1"/>
  <c r="G1152" i="19" a="1"/>
  <c r="G1152" i="19" s="1"/>
  <c r="M1152" i="19" s="1"/>
  <c r="I1152" i="19" a="1"/>
  <c r="I1152" i="19" s="1"/>
  <c r="O1153" i="19" l="1"/>
  <c r="G1153" i="19" a="1"/>
  <c r="G1153" i="19" s="1"/>
  <c r="M1153" i="19" s="1"/>
  <c r="I1153" i="19" a="1"/>
  <c r="I1153" i="19" s="1"/>
  <c r="O1154" i="19" l="1"/>
  <c r="G1154" i="19" a="1"/>
  <c r="G1154" i="19" s="1"/>
  <c r="M1154" i="19" s="1"/>
  <c r="I1154" i="19" a="1"/>
  <c r="I1154" i="19" s="1"/>
  <c r="O1155" i="19" l="1"/>
  <c r="G1155" i="19" a="1"/>
  <c r="G1155" i="19" s="1"/>
  <c r="M1155" i="19" s="1"/>
  <c r="I1155" i="19" a="1"/>
  <c r="I1155" i="19" s="1"/>
  <c r="O1156" i="19" l="1"/>
  <c r="G1156" i="19" a="1"/>
  <c r="G1156" i="19" s="1"/>
  <c r="M1156" i="19" s="1"/>
  <c r="I1156" i="19" a="1"/>
  <c r="I1156" i="19" s="1"/>
  <c r="O1157" i="19" l="1"/>
  <c r="G1157" i="19" a="1"/>
  <c r="G1157" i="19" s="1"/>
  <c r="M1157" i="19" s="1"/>
  <c r="I1157" i="19" a="1"/>
  <c r="I1157" i="19" s="1"/>
  <c r="O1158" i="19" l="1"/>
  <c r="G1158" i="19" a="1"/>
  <c r="G1158" i="19" s="1"/>
  <c r="M1158" i="19" s="1"/>
  <c r="I1158" i="19" a="1"/>
  <c r="I1158" i="19" s="1"/>
  <c r="O1159" i="19" l="1"/>
  <c r="G1159" i="19" a="1"/>
  <c r="G1159" i="19" s="1"/>
  <c r="M1159" i="19" s="1"/>
  <c r="I1159" i="19" a="1"/>
  <c r="I1159" i="19" s="1"/>
  <c r="O1160" i="19" l="1"/>
  <c r="G1160" i="19" a="1"/>
  <c r="G1160" i="19" s="1"/>
  <c r="M1160" i="19" s="1"/>
  <c r="I1160" i="19" a="1"/>
  <c r="I1160" i="19" s="1"/>
  <c r="O1161" i="19" l="1"/>
  <c r="G1161" i="19" a="1"/>
  <c r="G1161" i="19" s="1"/>
  <c r="M1161" i="19" s="1"/>
  <c r="I1161" i="19" a="1"/>
  <c r="I1161" i="19" s="1"/>
  <c r="O1162" i="19" l="1"/>
  <c r="G1162" i="19" a="1"/>
  <c r="G1162" i="19" s="1"/>
  <c r="M1162" i="19" s="1"/>
  <c r="I1162" i="19" a="1"/>
  <c r="I1162" i="19" s="1"/>
  <c r="O1163" i="19" l="1"/>
  <c r="G1163" i="19" a="1"/>
  <c r="G1163" i="19" s="1"/>
  <c r="M1163" i="19" s="1"/>
  <c r="I1163" i="19" a="1"/>
  <c r="I1163" i="19" s="1"/>
  <c r="O1164" i="19" l="1"/>
  <c r="G1164" i="19" a="1"/>
  <c r="G1164" i="19" s="1"/>
  <c r="M1164" i="19" s="1"/>
  <c r="I1164" i="19" a="1"/>
  <c r="I1164" i="19" s="1"/>
  <c r="O1165" i="19" l="1"/>
  <c r="G1165" i="19" a="1"/>
  <c r="G1165" i="19" s="1"/>
  <c r="M1165" i="19" s="1"/>
  <c r="I1165" i="19" a="1"/>
  <c r="I1165" i="19" s="1"/>
  <c r="O1166" i="19" l="1"/>
  <c r="G1166" i="19" a="1"/>
  <c r="G1166" i="19" s="1"/>
  <c r="M1166" i="19" s="1"/>
  <c r="I1166" i="19" a="1"/>
  <c r="I1166" i="19" s="1"/>
  <c r="O1167" i="19" l="1"/>
  <c r="G1167" i="19" a="1"/>
  <c r="G1167" i="19" s="1"/>
  <c r="M1167" i="19" s="1"/>
  <c r="I1167" i="19" a="1"/>
  <c r="I1167" i="19" s="1"/>
  <c r="O1168" i="19" l="1"/>
  <c r="G1168" i="19" a="1"/>
  <c r="G1168" i="19" s="1"/>
  <c r="M1168" i="19" s="1"/>
  <c r="I1168" i="19" a="1"/>
  <c r="I1168" i="19" s="1"/>
  <c r="O1169" i="19" l="1"/>
  <c r="G1169" i="19" a="1"/>
  <c r="G1169" i="19" s="1"/>
  <c r="M1169" i="19" s="1"/>
  <c r="I1169" i="19" a="1"/>
  <c r="I1169" i="19" s="1"/>
  <c r="O1170" i="19" l="1"/>
  <c r="G1170" i="19" a="1"/>
  <c r="G1170" i="19" s="1"/>
  <c r="M1170" i="19" s="1"/>
  <c r="I1170" i="19" a="1"/>
  <c r="I1170" i="19" s="1"/>
  <c r="O1171" i="19" l="1"/>
  <c r="G1171" i="19" a="1"/>
  <c r="G1171" i="19" s="1"/>
  <c r="M1171" i="19" s="1"/>
  <c r="I1171" i="19" a="1"/>
  <c r="I1171" i="19" s="1"/>
  <c r="O1172" i="19" l="1"/>
  <c r="G1172" i="19" a="1"/>
  <c r="G1172" i="19" s="1"/>
  <c r="M1172" i="19" s="1"/>
  <c r="I1172" i="19" a="1"/>
  <c r="I1172" i="19" s="1"/>
  <c r="O1173" i="19" l="1"/>
  <c r="G1173" i="19" a="1"/>
  <c r="G1173" i="19" s="1"/>
  <c r="M1173" i="19" s="1"/>
  <c r="I1173" i="19" a="1"/>
  <c r="I1173" i="19" s="1"/>
  <c r="O1174" i="19" l="1"/>
  <c r="G1174" i="19" a="1"/>
  <c r="G1174" i="19" s="1"/>
  <c r="M1174" i="19" s="1"/>
  <c r="I1174" i="19" a="1"/>
  <c r="I1174" i="19" s="1"/>
  <c r="O1175" i="19" l="1"/>
  <c r="G1175" i="19" a="1"/>
  <c r="G1175" i="19" s="1"/>
  <c r="M1175" i="19" s="1"/>
  <c r="I1175" i="19" a="1"/>
  <c r="I1175" i="19" s="1"/>
  <c r="O1176" i="19" l="1"/>
  <c r="G1176" i="19" a="1"/>
  <c r="G1176" i="19" s="1"/>
  <c r="M1176" i="19" s="1"/>
  <c r="I1176" i="19" a="1"/>
  <c r="I1176" i="19" s="1"/>
  <c r="O1177" i="19" l="1"/>
  <c r="G1177" i="19" a="1"/>
  <c r="G1177" i="19" s="1"/>
  <c r="M1177" i="19" s="1"/>
  <c r="I1177" i="19" a="1"/>
  <c r="I1177" i="19" s="1"/>
  <c r="O1178" i="19" l="1"/>
  <c r="G1178" i="19" a="1"/>
  <c r="G1178" i="19" s="1"/>
  <c r="M1178" i="19" s="1"/>
  <c r="I1178" i="19" a="1"/>
  <c r="I1178" i="19" s="1"/>
  <c r="O1179" i="19" l="1"/>
  <c r="G1179" i="19" a="1"/>
  <c r="G1179" i="19" s="1"/>
  <c r="M1179" i="19" s="1"/>
  <c r="I1179" i="19" a="1"/>
  <c r="I1179" i="19" s="1"/>
  <c r="O1180" i="19" l="1"/>
  <c r="G1180" i="19" a="1"/>
  <c r="G1180" i="19" s="1"/>
  <c r="M1180" i="19" s="1"/>
  <c r="I1180" i="19" a="1"/>
  <c r="I1180" i="19" s="1"/>
  <c r="O1181" i="19" l="1"/>
  <c r="G1181" i="19" a="1"/>
  <c r="G1181" i="19" s="1"/>
  <c r="M1181" i="19" s="1"/>
  <c r="I1181" i="19" a="1"/>
  <c r="I1181" i="19" s="1"/>
  <c r="O1182" i="19" l="1"/>
  <c r="G1182" i="19" a="1"/>
  <c r="G1182" i="19" s="1"/>
  <c r="M1182" i="19" s="1"/>
  <c r="I1182" i="19" a="1"/>
  <c r="I1182" i="19" s="1"/>
  <c r="O1183" i="19" l="1"/>
  <c r="G1183" i="19" a="1"/>
  <c r="G1183" i="19" s="1"/>
  <c r="M1183" i="19" s="1"/>
  <c r="I1183" i="19" a="1"/>
  <c r="I1183" i="19" s="1"/>
  <c r="O1184" i="19" l="1"/>
  <c r="G1184" i="19" a="1"/>
  <c r="G1184" i="19" s="1"/>
  <c r="M1184" i="19" s="1"/>
  <c r="I1184" i="19" a="1"/>
  <c r="I1184" i="19" s="1"/>
  <c r="O1185" i="19" l="1"/>
  <c r="G1185" i="19" a="1"/>
  <c r="G1185" i="19" s="1"/>
  <c r="M1185" i="19" s="1"/>
  <c r="I1185" i="19" a="1"/>
  <c r="I1185" i="19" s="1"/>
  <c r="O1186" i="19" l="1"/>
  <c r="G1186" i="19" a="1"/>
  <c r="G1186" i="19" s="1"/>
  <c r="M1186" i="19" s="1"/>
  <c r="I1186" i="19" a="1"/>
  <c r="I1186" i="19" s="1"/>
  <c r="O1187" i="19" l="1"/>
  <c r="G1187" i="19" a="1"/>
  <c r="G1187" i="19" s="1"/>
  <c r="M1187" i="19" s="1"/>
  <c r="I1187" i="19" a="1"/>
  <c r="I1187" i="19" s="1"/>
  <c r="O1188" i="19" l="1"/>
  <c r="G1188" i="19" a="1"/>
  <c r="G1188" i="19" s="1"/>
  <c r="M1188" i="19" s="1"/>
  <c r="I1188" i="19" a="1"/>
  <c r="I1188" i="19" s="1"/>
  <c r="O1189" i="19" l="1"/>
  <c r="G1189" i="19" a="1"/>
  <c r="G1189" i="19" s="1"/>
  <c r="M1189" i="19" s="1"/>
  <c r="I1189" i="19" a="1"/>
  <c r="I1189" i="19" s="1"/>
  <c r="O1190" i="19" l="1"/>
  <c r="G1190" i="19" a="1"/>
  <c r="G1190" i="19" s="1"/>
  <c r="M1190" i="19" s="1"/>
  <c r="I1190" i="19" a="1"/>
  <c r="I1190" i="19" s="1"/>
  <c r="O1191" i="19" l="1"/>
  <c r="G1191" i="19" a="1"/>
  <c r="G1191" i="19" s="1"/>
  <c r="M1191" i="19" s="1"/>
  <c r="I1191" i="19" a="1"/>
  <c r="I1191" i="19" s="1"/>
  <c r="O1192" i="19" l="1"/>
  <c r="G1192" i="19" a="1"/>
  <c r="G1192" i="19" s="1"/>
  <c r="M1192" i="19" s="1"/>
  <c r="I1192" i="19" a="1"/>
  <c r="I1192" i="19" s="1"/>
  <c r="O1193" i="19" l="1"/>
  <c r="G1193" i="19" a="1"/>
  <c r="G1193" i="19" s="1"/>
  <c r="M1193" i="19" s="1"/>
  <c r="I1193" i="19" a="1"/>
  <c r="I1193" i="19" s="1"/>
  <c r="O1194" i="19" l="1"/>
  <c r="G1194" i="19" a="1"/>
  <c r="G1194" i="19" s="1"/>
  <c r="M1194" i="19" s="1"/>
  <c r="I1194" i="19" a="1"/>
  <c r="I1194" i="19" s="1"/>
  <c r="O1195" i="19" l="1"/>
  <c r="G1195" i="19" a="1"/>
  <c r="G1195" i="19" s="1"/>
  <c r="M1195" i="19" s="1"/>
  <c r="I1195" i="19" a="1"/>
  <c r="I1195" i="19" s="1"/>
  <c r="O1196" i="19" l="1"/>
  <c r="G1196" i="19" a="1"/>
  <c r="G1196" i="19" s="1"/>
  <c r="M1196" i="19" s="1"/>
  <c r="I1196" i="19" a="1"/>
  <c r="I1196" i="19" s="1"/>
  <c r="O1197" i="19" l="1"/>
  <c r="G1197" i="19" a="1"/>
  <c r="G1197" i="19" s="1"/>
  <c r="M1197" i="19" s="1"/>
  <c r="I1197" i="19" a="1"/>
  <c r="I1197" i="19" s="1"/>
  <c r="O1198" i="19" l="1"/>
  <c r="G1198" i="19" a="1"/>
  <c r="G1198" i="19" s="1"/>
  <c r="M1198" i="19" s="1"/>
  <c r="I1198" i="19" a="1"/>
  <c r="I1198" i="19" s="1"/>
  <c r="O1199" i="19" l="1"/>
  <c r="G1199" i="19" a="1"/>
  <c r="G1199" i="19" s="1"/>
  <c r="M1199" i="19" s="1"/>
  <c r="I1199" i="19" a="1"/>
  <c r="I1199" i="19" s="1"/>
  <c r="O1200" i="19" l="1"/>
  <c r="G1200" i="19" a="1"/>
  <c r="G1200" i="19" s="1"/>
  <c r="M1200" i="19" s="1"/>
  <c r="I1200" i="19" a="1"/>
  <c r="I1200" i="19" s="1"/>
  <c r="O1201" i="19" l="1"/>
  <c r="G1201" i="19" a="1"/>
  <c r="G1201" i="19" s="1"/>
  <c r="M1201" i="19" s="1"/>
  <c r="I1201" i="19" a="1"/>
  <c r="I1201" i="19" s="1"/>
  <c r="O1202" i="19" l="1"/>
  <c r="G1202" i="19" a="1"/>
  <c r="G1202" i="19" s="1"/>
  <c r="M1202" i="19" s="1"/>
  <c r="I1202" i="19" a="1"/>
  <c r="I1202" i="19" s="1"/>
  <c r="O1203" i="19" l="1"/>
  <c r="G1203" i="19" a="1"/>
  <c r="G1203" i="19" s="1"/>
  <c r="M1203" i="19" s="1"/>
  <c r="I1203" i="19" a="1"/>
  <c r="I1203" i="19" s="1"/>
  <c r="O1204" i="19" l="1"/>
  <c r="G1204" i="19" a="1"/>
  <c r="G1204" i="19" s="1"/>
  <c r="M1204" i="19" s="1"/>
  <c r="I1204" i="19" a="1"/>
  <c r="I1204" i="19" s="1"/>
  <c r="O1205" i="19" l="1"/>
  <c r="G1205" i="19" a="1"/>
  <c r="G1205" i="19" s="1"/>
  <c r="M1205" i="19" s="1"/>
  <c r="I1205" i="19" a="1"/>
  <c r="I1205" i="19" s="1"/>
  <c r="O1206" i="19" l="1"/>
  <c r="G1206" i="19" a="1"/>
  <c r="G1206" i="19" s="1"/>
  <c r="M1206" i="19" s="1"/>
  <c r="I1206" i="19" a="1"/>
  <c r="I1206" i="19" s="1"/>
  <c r="O1207" i="19" l="1"/>
  <c r="G1207" i="19" a="1"/>
  <c r="G1207" i="19" s="1"/>
  <c r="M1207" i="19" s="1"/>
  <c r="I1207" i="19" a="1"/>
  <c r="I1207" i="19" s="1"/>
  <c r="O1208" i="19" l="1"/>
  <c r="G1208" i="19" a="1"/>
  <c r="G1208" i="19" s="1"/>
  <c r="M1208" i="19" s="1"/>
  <c r="I1208" i="19" a="1"/>
  <c r="I1208" i="19" s="1"/>
  <c r="O1209" i="19" l="1"/>
  <c r="G1209" i="19" a="1"/>
  <c r="G1209" i="19" s="1"/>
  <c r="M1209" i="19" s="1"/>
  <c r="I1209" i="19" a="1"/>
  <c r="I1209" i="19" s="1"/>
  <c r="O1210" i="19" l="1"/>
  <c r="G1210" i="19" a="1"/>
  <c r="G1210" i="19" s="1"/>
  <c r="M1210" i="19" s="1"/>
  <c r="I1210" i="19" a="1"/>
  <c r="I1210" i="19" s="1"/>
  <c r="O1211" i="19" l="1"/>
  <c r="G1211" i="19" a="1"/>
  <c r="G1211" i="19" s="1"/>
  <c r="M1211" i="19" s="1"/>
  <c r="I1211" i="19" a="1"/>
  <c r="I1211" i="19" s="1"/>
  <c r="O1212" i="19" l="1"/>
  <c r="G1212" i="19" a="1"/>
  <c r="G1212" i="19" s="1"/>
  <c r="M1212" i="19" s="1"/>
  <c r="I1212" i="19" a="1"/>
  <c r="I1212" i="19" s="1"/>
  <c r="O1213" i="19" l="1"/>
  <c r="G1213" i="19" a="1"/>
  <c r="G1213" i="19" s="1"/>
  <c r="M1213" i="19" s="1"/>
  <c r="I1213" i="19" a="1"/>
  <c r="I1213" i="19" s="1"/>
  <c r="O1214" i="19" l="1"/>
  <c r="G1214" i="19" a="1"/>
  <c r="G1214" i="19" s="1"/>
  <c r="M1214" i="19" s="1"/>
  <c r="I1214" i="19" a="1"/>
  <c r="I1214" i="19" s="1"/>
  <c r="G1215" i="19" l="1" a="1"/>
  <c r="G1215" i="19" s="1"/>
  <c r="M1215" i="19" s="1"/>
  <c r="I1215" i="19" a="1"/>
  <c r="I1215" i="19" s="1"/>
  <c r="O1215" i="19"/>
  <c r="G1216" i="19" l="1" a="1"/>
  <c r="G1216" i="19" s="1"/>
  <c r="M1216" i="19" s="1"/>
  <c r="I1216" i="19" a="1"/>
  <c r="I1216" i="19" s="1"/>
  <c r="O1216" i="19"/>
  <c r="O1217" i="19" l="1"/>
  <c r="G1217" i="19" a="1"/>
  <c r="G1217" i="19" s="1"/>
  <c r="M1217" i="19" s="1"/>
  <c r="I1217" i="19" a="1"/>
  <c r="I1217" i="19" s="1"/>
  <c r="O1218" i="19" l="1"/>
  <c r="G1218" i="19" a="1"/>
  <c r="G1218" i="19" s="1"/>
  <c r="M1218" i="19" s="1"/>
  <c r="I1218" i="19" a="1"/>
  <c r="I1218" i="19" s="1"/>
  <c r="O1219" i="19" l="1"/>
  <c r="G1219" i="19" a="1"/>
  <c r="G1219" i="19" s="1"/>
  <c r="M1219" i="19" s="1"/>
  <c r="I1219" i="19" a="1"/>
  <c r="I1219" i="19" s="1"/>
  <c r="O1220" i="19" l="1"/>
  <c r="G1220" i="19" a="1"/>
  <c r="G1220" i="19" s="1"/>
  <c r="M1220" i="19" s="1"/>
  <c r="I1220" i="19" a="1"/>
  <c r="I1220" i="19" s="1"/>
  <c r="O1221" i="19" l="1"/>
  <c r="G1221" i="19" a="1"/>
  <c r="G1221" i="19" s="1"/>
  <c r="M1221" i="19" s="1"/>
  <c r="I1221" i="19" a="1"/>
  <c r="I1221" i="19" s="1"/>
  <c r="O1222" i="19" l="1"/>
  <c r="G1222" i="19" a="1"/>
  <c r="G1222" i="19" s="1"/>
  <c r="M1222" i="19" s="1"/>
  <c r="I1222" i="19" a="1"/>
  <c r="I1222" i="19" s="1"/>
  <c r="O1223" i="19" l="1"/>
  <c r="G1223" i="19" a="1"/>
  <c r="G1223" i="19" s="1"/>
  <c r="M1223" i="19" s="1"/>
  <c r="I1223" i="19" a="1"/>
  <c r="I1223" i="19" s="1"/>
  <c r="O1224" i="19" l="1"/>
  <c r="G1224" i="19" a="1"/>
  <c r="G1224" i="19" s="1"/>
  <c r="M1224" i="19" s="1"/>
  <c r="I1224" i="19" a="1"/>
  <c r="I1224" i="19" s="1"/>
  <c r="O1225" i="19" l="1"/>
  <c r="G1225" i="19" a="1"/>
  <c r="G1225" i="19" s="1"/>
  <c r="M1225" i="19" s="1"/>
  <c r="I1225" i="19" a="1"/>
  <c r="I1225" i="19" s="1"/>
  <c r="O1226" i="19" l="1"/>
  <c r="G1226" i="19" a="1"/>
  <c r="G1226" i="19" s="1"/>
  <c r="M1226" i="19" s="1"/>
  <c r="I1226" i="19" a="1"/>
  <c r="I1226" i="19" s="1"/>
  <c r="O1227" i="19" l="1"/>
  <c r="G1227" i="19" a="1"/>
  <c r="G1227" i="19" s="1"/>
  <c r="M1227" i="19" s="1"/>
  <c r="I1227" i="19" a="1"/>
  <c r="I1227" i="19" s="1"/>
  <c r="O1228" i="19" l="1"/>
  <c r="G1228" i="19" a="1"/>
  <c r="G1228" i="19" s="1"/>
  <c r="M1228" i="19" s="1"/>
  <c r="I1228" i="19" a="1"/>
  <c r="I1228" i="19" s="1"/>
  <c r="O1229" i="19" l="1"/>
  <c r="G1229" i="19" a="1"/>
  <c r="G1229" i="19" s="1"/>
  <c r="M1229" i="19" s="1"/>
  <c r="I1229" i="19" a="1"/>
  <c r="I1229" i="19" s="1"/>
  <c r="O1230" i="19" l="1"/>
  <c r="G1230" i="19" a="1"/>
  <c r="G1230" i="19" s="1"/>
  <c r="M1230" i="19" s="1"/>
  <c r="I1230" i="19" a="1"/>
  <c r="I1230" i="19" s="1"/>
  <c r="O1231" i="19" l="1"/>
  <c r="G1231" i="19" a="1"/>
  <c r="G1231" i="19" s="1"/>
  <c r="M1231" i="19" s="1"/>
  <c r="I1231" i="19" a="1"/>
  <c r="I1231" i="19" s="1"/>
  <c r="O1232" i="19" l="1"/>
  <c r="G1232" i="19" a="1"/>
  <c r="G1232" i="19" s="1"/>
  <c r="M1232" i="19" s="1"/>
  <c r="I1232" i="19" a="1"/>
  <c r="I1232" i="19" s="1"/>
  <c r="O1233" i="19" l="1"/>
  <c r="G1233" i="19" a="1"/>
  <c r="G1233" i="19" s="1"/>
  <c r="M1233" i="19" s="1"/>
  <c r="I1233" i="19" a="1"/>
  <c r="I1233" i="19" s="1"/>
  <c r="O1234" i="19" l="1"/>
  <c r="G1234" i="19" a="1"/>
  <c r="G1234" i="19" s="1"/>
  <c r="M1234" i="19" s="1"/>
  <c r="I1234" i="19" a="1"/>
  <c r="I1234" i="19" s="1"/>
  <c r="O1235" i="19" l="1"/>
  <c r="G1235" i="19" a="1"/>
  <c r="G1235" i="19" s="1"/>
  <c r="M1235" i="19" s="1"/>
  <c r="I1235" i="19" a="1"/>
  <c r="I1235" i="19" s="1"/>
  <c r="O1236" i="19" l="1"/>
  <c r="G1236" i="19" a="1"/>
  <c r="G1236" i="19" s="1"/>
  <c r="M1236" i="19" s="1"/>
  <c r="I1236" i="19" a="1"/>
  <c r="I1236" i="19" s="1"/>
  <c r="O1237" i="19" l="1"/>
  <c r="G1237" i="19" a="1"/>
  <c r="G1237" i="19" s="1"/>
  <c r="M1237" i="19" s="1"/>
  <c r="I1237" i="19" a="1"/>
  <c r="I1237" i="19" s="1"/>
  <c r="O1238" i="19" l="1"/>
  <c r="G1238" i="19" a="1"/>
  <c r="G1238" i="19" s="1"/>
  <c r="M1238" i="19" s="1"/>
  <c r="I1238" i="19" a="1"/>
  <c r="I1238" i="19" s="1"/>
  <c r="O1239" i="19" l="1"/>
  <c r="G1239" i="19" a="1"/>
  <c r="G1239" i="19" s="1"/>
  <c r="M1239" i="19" s="1"/>
  <c r="I1239" i="19" a="1"/>
  <c r="I1239" i="19" s="1"/>
  <c r="O1240" i="19" l="1"/>
  <c r="G1240" i="19" a="1"/>
  <c r="G1240" i="19" s="1"/>
  <c r="M1240" i="19" s="1"/>
  <c r="I1240" i="19" a="1"/>
  <c r="I1240" i="19" s="1"/>
  <c r="O1241" i="19" l="1"/>
  <c r="G1241" i="19" a="1"/>
  <c r="G1241" i="19" s="1"/>
  <c r="M1241" i="19" s="1"/>
  <c r="I1241" i="19" a="1"/>
  <c r="I1241" i="19" s="1"/>
  <c r="O1242" i="19" l="1"/>
  <c r="G1242" i="19" a="1"/>
  <c r="G1242" i="19" s="1"/>
  <c r="M1242" i="19" s="1"/>
  <c r="I1242" i="19" a="1"/>
  <c r="I1242" i="19" s="1"/>
  <c r="O1243" i="19" l="1"/>
  <c r="G1243" i="19" a="1"/>
  <c r="G1243" i="19" s="1"/>
  <c r="M1243" i="19" s="1"/>
  <c r="I1243" i="19" a="1"/>
  <c r="I1243" i="19" s="1"/>
  <c r="O1244" i="19" l="1"/>
  <c r="G1244" i="19" a="1"/>
  <c r="G1244" i="19" s="1"/>
  <c r="M1244" i="19" s="1"/>
  <c r="I1244" i="19" a="1"/>
  <c r="I1244" i="19" s="1"/>
  <c r="O1245" i="19" l="1"/>
  <c r="G1245" i="19" a="1"/>
  <c r="G1245" i="19" s="1"/>
  <c r="M1245" i="19" s="1"/>
  <c r="I1245" i="19" a="1"/>
  <c r="I1245" i="19" s="1"/>
  <c r="O1246" i="19" l="1"/>
  <c r="G1246" i="19" a="1"/>
  <c r="G1246" i="19" s="1"/>
  <c r="M1246" i="19" s="1"/>
  <c r="I1246" i="19" a="1"/>
  <c r="I1246" i="19" s="1"/>
  <c r="O1247" i="19" l="1"/>
  <c r="G1247" i="19" a="1"/>
  <c r="G1247" i="19" s="1"/>
  <c r="M1247" i="19" s="1"/>
  <c r="I1247" i="19" a="1"/>
  <c r="I1247" i="19" s="1"/>
  <c r="O1248" i="19" l="1"/>
  <c r="G1248" i="19" a="1"/>
  <c r="G1248" i="19" s="1"/>
  <c r="M1248" i="19" s="1"/>
  <c r="I1248" i="19" a="1"/>
  <c r="I1248" i="19" s="1"/>
  <c r="O1249" i="19" l="1"/>
  <c r="G1249" i="19" a="1"/>
  <c r="G1249" i="19" s="1"/>
  <c r="M1249" i="19" s="1"/>
  <c r="I1249" i="19" a="1"/>
  <c r="I1249" i="19" s="1"/>
  <c r="O1250" i="19" l="1"/>
  <c r="G1250" i="19" a="1"/>
  <c r="G1250" i="19" s="1"/>
  <c r="M1250" i="19" s="1"/>
  <c r="I1250" i="19" a="1"/>
  <c r="I1250" i="19" s="1"/>
  <c r="O1251" i="19" l="1"/>
  <c r="G1251" i="19" a="1"/>
  <c r="G1251" i="19" s="1"/>
  <c r="M1251" i="19" s="1"/>
  <c r="I1251" i="19" a="1"/>
  <c r="I1251" i="19" s="1"/>
  <c r="O1252" i="19" l="1"/>
  <c r="G1252" i="19" a="1"/>
  <c r="G1252" i="19" s="1"/>
  <c r="M1252" i="19" s="1"/>
  <c r="I1252" i="19" a="1"/>
  <c r="I1252" i="19" s="1"/>
  <c r="O1253" i="19" l="1"/>
  <c r="G1253" i="19" a="1"/>
  <c r="G1253" i="19" s="1"/>
  <c r="M1253" i="19" s="1"/>
  <c r="I1253" i="19" a="1"/>
  <c r="I1253" i="19" s="1"/>
  <c r="O1254" i="19" l="1"/>
  <c r="G1254" i="19" a="1"/>
  <c r="G1254" i="19" s="1"/>
  <c r="M1254" i="19" s="1"/>
  <c r="I1254" i="19" a="1"/>
  <c r="I1254" i="19" s="1"/>
  <c r="O1255" i="19" l="1"/>
  <c r="G1255" i="19" a="1"/>
  <c r="G1255" i="19" s="1"/>
  <c r="M1255" i="19" s="1"/>
  <c r="I1255" i="19" a="1"/>
  <c r="I1255" i="19" s="1"/>
  <c r="O1256" i="19" l="1"/>
  <c r="G1256" i="19" a="1"/>
  <c r="G1256" i="19" s="1"/>
  <c r="M1256" i="19" s="1"/>
  <c r="I1256" i="19" a="1"/>
  <c r="I1256" i="19" s="1"/>
  <c r="O1257" i="19" l="1"/>
  <c r="G1257" i="19" a="1"/>
  <c r="G1257" i="19" s="1"/>
  <c r="M1257" i="19" s="1"/>
  <c r="I1257" i="19" a="1"/>
  <c r="I1257" i="19" s="1"/>
  <c r="O1258" i="19" l="1"/>
  <c r="G1258" i="19" a="1"/>
  <c r="G1258" i="19" s="1"/>
  <c r="M1258" i="19" s="1"/>
  <c r="I1258" i="19" a="1"/>
  <c r="I1258" i="19" s="1"/>
  <c r="O1259" i="19" l="1"/>
  <c r="G1259" i="19" a="1"/>
  <c r="G1259" i="19" s="1"/>
  <c r="M1259" i="19" s="1"/>
  <c r="I1259" i="19" a="1"/>
  <c r="I1259" i="19" s="1"/>
  <c r="O1260" i="19" l="1"/>
  <c r="G1260" i="19" a="1"/>
  <c r="G1260" i="19" s="1"/>
  <c r="M1260" i="19" s="1"/>
  <c r="I1260" i="19" a="1"/>
  <c r="I1260" i="19" s="1"/>
  <c r="O1261" i="19" l="1"/>
  <c r="G1261" i="19" a="1"/>
  <c r="G1261" i="19" s="1"/>
  <c r="M1261" i="19" s="1"/>
  <c r="I1261" i="19" a="1"/>
  <c r="I1261" i="19" s="1"/>
  <c r="O1262" i="19" l="1"/>
  <c r="G1262" i="19" a="1"/>
  <c r="G1262" i="19" s="1"/>
  <c r="M1262" i="19" s="1"/>
  <c r="I1262" i="19" a="1"/>
  <c r="I1262" i="19" s="1"/>
  <c r="G1263" i="19" l="1" a="1"/>
  <c r="G1263" i="19" s="1"/>
  <c r="M1263" i="19" s="1"/>
  <c r="I1263" i="19" a="1"/>
  <c r="I1263" i="19" s="1"/>
  <c r="O1263" i="19"/>
  <c r="O1264" i="19" l="1"/>
  <c r="G1264" i="19" a="1"/>
  <c r="G1264" i="19" s="1"/>
  <c r="M1264" i="19" s="1"/>
  <c r="I1264" i="19" a="1"/>
  <c r="I1264" i="19" s="1"/>
  <c r="O1265" i="19" l="1"/>
  <c r="G1265" i="19" a="1"/>
  <c r="G1265" i="19" s="1"/>
  <c r="M1265" i="19" s="1"/>
  <c r="I1265" i="19" a="1"/>
  <c r="I1265" i="19" s="1"/>
  <c r="O1266" i="19" l="1"/>
  <c r="G1266" i="19" a="1"/>
  <c r="G1266" i="19" s="1"/>
  <c r="M1266" i="19" s="1"/>
  <c r="I1266" i="19" a="1"/>
  <c r="I1266" i="19" s="1"/>
  <c r="O1267" i="19" l="1"/>
  <c r="G1267" i="19" a="1"/>
  <c r="G1267" i="19" s="1"/>
  <c r="M1267" i="19" s="1"/>
  <c r="I1267" i="19" a="1"/>
  <c r="I1267" i="19" s="1"/>
  <c r="O1268" i="19" l="1"/>
  <c r="G1268" i="19" a="1"/>
  <c r="G1268" i="19" s="1"/>
  <c r="M1268" i="19" s="1"/>
  <c r="I1268" i="19" a="1"/>
  <c r="I1268" i="19" s="1"/>
  <c r="O1269" i="19" l="1"/>
  <c r="G1269" i="19" a="1"/>
  <c r="G1269" i="19" s="1"/>
  <c r="M1269" i="19" s="1"/>
  <c r="I1269" i="19" a="1"/>
  <c r="I1269" i="19" s="1"/>
  <c r="O1270" i="19" l="1"/>
  <c r="G1270" i="19" a="1"/>
  <c r="G1270" i="19" s="1"/>
  <c r="M1270" i="19" s="1"/>
  <c r="I1270" i="19" a="1"/>
  <c r="I1270" i="19" s="1"/>
  <c r="O1271" i="19" l="1"/>
  <c r="G1271" i="19" a="1"/>
  <c r="G1271" i="19" s="1"/>
  <c r="M1271" i="19" s="1"/>
  <c r="I1271" i="19" a="1"/>
  <c r="I1271" i="19" s="1"/>
  <c r="O1272" i="19" l="1"/>
  <c r="G1272" i="19" a="1"/>
  <c r="G1272" i="19" s="1"/>
  <c r="M1272" i="19" s="1"/>
  <c r="I1272" i="19" a="1"/>
  <c r="I1272" i="19" s="1"/>
  <c r="O1273" i="19" l="1"/>
  <c r="G1273" i="19" a="1"/>
  <c r="G1273" i="19" s="1"/>
  <c r="M1273" i="19" s="1"/>
  <c r="I1273" i="19" a="1"/>
  <c r="I1273" i="19" s="1"/>
  <c r="O1274" i="19" l="1"/>
  <c r="G1274" i="19" a="1"/>
  <c r="G1274" i="19" s="1"/>
  <c r="M1274" i="19" s="1"/>
  <c r="I1274" i="19" a="1"/>
  <c r="I1274" i="19" s="1"/>
  <c r="O1275" i="19" l="1"/>
  <c r="G1275" i="19" a="1"/>
  <c r="G1275" i="19" s="1"/>
  <c r="M1275" i="19" s="1"/>
  <c r="I1275" i="19" a="1"/>
  <c r="I1275" i="19" s="1"/>
  <c r="O1276" i="19" l="1"/>
  <c r="G1276" i="19" a="1"/>
  <c r="G1276" i="19" s="1"/>
  <c r="M1276" i="19" s="1"/>
  <c r="I1276" i="19" a="1"/>
  <c r="I1276" i="19" s="1"/>
  <c r="O1277" i="19" l="1"/>
  <c r="G1277" i="19" a="1"/>
  <c r="G1277" i="19" s="1"/>
  <c r="M1277" i="19" s="1"/>
  <c r="I1277" i="19" a="1"/>
  <c r="I1277" i="19" s="1"/>
  <c r="O1278" i="19" l="1"/>
  <c r="G1278" i="19" a="1"/>
  <c r="G1278" i="19" s="1"/>
  <c r="M1278" i="19" s="1"/>
  <c r="I1278" i="19" a="1"/>
  <c r="I1278" i="19" s="1"/>
  <c r="O1279" i="19" l="1"/>
  <c r="G1279" i="19" a="1"/>
  <c r="G1279" i="19" s="1"/>
  <c r="M1279" i="19" s="1"/>
  <c r="I1279" i="19" a="1"/>
  <c r="I1279" i="19" s="1"/>
  <c r="O1280" i="19" l="1"/>
  <c r="G1280" i="19" a="1"/>
  <c r="G1280" i="19" s="1"/>
  <c r="M1280" i="19" s="1"/>
  <c r="I1280" i="19" a="1"/>
  <c r="I1280" i="19" s="1"/>
  <c r="O1281" i="19" l="1"/>
  <c r="G1281" i="19" a="1"/>
  <c r="G1281" i="19" s="1"/>
  <c r="M1281" i="19" s="1"/>
  <c r="I1281" i="19" a="1"/>
  <c r="I1281" i="19" s="1"/>
  <c r="O1282" i="19" l="1"/>
  <c r="G1282" i="19" a="1"/>
  <c r="G1282" i="19" s="1"/>
  <c r="M1282" i="19" s="1"/>
  <c r="I1282" i="19" a="1"/>
  <c r="I1282" i="19" s="1"/>
  <c r="O1283" i="19" l="1"/>
  <c r="G1283" i="19" a="1"/>
  <c r="G1283" i="19" s="1"/>
  <c r="M1283" i="19" s="1"/>
  <c r="I1283" i="19" a="1"/>
  <c r="I1283" i="19" s="1"/>
  <c r="O1284" i="19" l="1"/>
  <c r="G1284" i="19" a="1"/>
  <c r="G1284" i="19" s="1"/>
  <c r="M1284" i="19" s="1"/>
  <c r="I1284" i="19" a="1"/>
  <c r="I1284" i="19" s="1"/>
  <c r="O1285" i="19" l="1"/>
  <c r="G1285" i="19" a="1"/>
  <c r="G1285" i="19" s="1"/>
  <c r="M1285" i="19" s="1"/>
  <c r="I1285" i="19" a="1"/>
  <c r="I1285" i="19" s="1"/>
  <c r="O1286" i="19" l="1"/>
  <c r="G1286" i="19" a="1"/>
  <c r="G1286" i="19" s="1"/>
  <c r="M1286" i="19" s="1"/>
  <c r="I1286" i="19" a="1"/>
  <c r="I1286" i="19" s="1"/>
  <c r="O1287" i="19" l="1"/>
  <c r="G1287" i="19" a="1"/>
  <c r="G1287" i="19" s="1"/>
  <c r="M1287" i="19" s="1"/>
  <c r="I1287" i="19" a="1"/>
  <c r="I1287" i="19" s="1"/>
  <c r="O1288" i="19" l="1"/>
  <c r="G1288" i="19" a="1"/>
  <c r="G1288" i="19" s="1"/>
  <c r="M1288" i="19" s="1"/>
  <c r="I1288" i="19" a="1"/>
  <c r="I1288" i="19" s="1"/>
  <c r="O1289" i="19" l="1"/>
  <c r="G1289" i="19" a="1"/>
  <c r="G1289" i="19" s="1"/>
  <c r="M1289" i="19" s="1"/>
  <c r="I1289" i="19" a="1"/>
  <c r="I1289" i="19" s="1"/>
  <c r="O1290" i="19" l="1"/>
  <c r="G1290" i="19" a="1"/>
  <c r="G1290" i="19" s="1"/>
  <c r="M1290" i="19" s="1"/>
  <c r="I1290" i="19" a="1"/>
  <c r="I1290" i="19" s="1"/>
  <c r="O1291" i="19" l="1"/>
  <c r="G1291" i="19" a="1"/>
  <c r="G1291" i="19" s="1"/>
  <c r="M1291" i="19" s="1"/>
  <c r="I1291" i="19" a="1"/>
  <c r="I1291" i="19" s="1"/>
  <c r="O1292" i="19" l="1"/>
  <c r="G1292" i="19" a="1"/>
  <c r="G1292" i="19" s="1"/>
  <c r="M1292" i="19" s="1"/>
  <c r="I1292" i="19" a="1"/>
  <c r="I1292" i="19" s="1"/>
  <c r="O1293" i="19" l="1"/>
  <c r="G1293" i="19" a="1"/>
  <c r="G1293" i="19" s="1"/>
  <c r="M1293" i="19" s="1"/>
  <c r="I1293" i="19" a="1"/>
  <c r="I1293" i="19" s="1"/>
  <c r="O1294" i="19" l="1"/>
  <c r="G1294" i="19" a="1"/>
  <c r="G1294" i="19" s="1"/>
  <c r="M1294" i="19" s="1"/>
  <c r="I1294" i="19" a="1"/>
  <c r="I1294" i="19" s="1"/>
  <c r="O1295" i="19" l="1"/>
  <c r="G1295" i="19" a="1"/>
  <c r="G1295" i="19" s="1"/>
  <c r="M1295" i="19" s="1"/>
  <c r="I1295" i="19" a="1"/>
  <c r="I1295" i="19" s="1"/>
  <c r="O1296" i="19" l="1"/>
  <c r="G1296" i="19" a="1"/>
  <c r="G1296" i="19" s="1"/>
  <c r="M1296" i="19" s="1"/>
  <c r="I1296" i="19" a="1"/>
  <c r="I1296" i="19" s="1"/>
  <c r="O1297" i="19" l="1"/>
  <c r="G1297" i="19" a="1"/>
  <c r="G1297" i="19" s="1"/>
  <c r="M1297" i="19" s="1"/>
  <c r="I1297" i="19" a="1"/>
  <c r="I1297" i="19" s="1"/>
  <c r="O1298" i="19" l="1"/>
  <c r="G1298" i="19" a="1"/>
  <c r="G1298" i="19" s="1"/>
  <c r="M1298" i="19" s="1"/>
  <c r="I1298" i="19" a="1"/>
  <c r="I1298" i="19" s="1"/>
  <c r="O1299" i="19" l="1"/>
  <c r="G1299" i="19" a="1"/>
  <c r="G1299" i="19" s="1"/>
  <c r="M1299" i="19" s="1"/>
  <c r="I1299" i="19" a="1"/>
  <c r="I1299" i="19" s="1"/>
  <c r="O1300" i="19" l="1"/>
  <c r="G1300" i="19" a="1"/>
  <c r="G1300" i="19" s="1"/>
  <c r="M1300" i="19" s="1"/>
  <c r="I1300" i="19" a="1"/>
  <c r="I1300" i="19" s="1"/>
  <c r="O1301" i="19" l="1"/>
  <c r="G1301" i="19" a="1"/>
  <c r="G1301" i="19" s="1"/>
  <c r="M1301" i="19" s="1"/>
  <c r="I1301" i="19" a="1"/>
  <c r="I1301" i="19" s="1"/>
  <c r="O1302" i="19" l="1"/>
  <c r="G1302" i="19" a="1"/>
  <c r="G1302" i="19" s="1"/>
  <c r="M1302" i="19" s="1"/>
  <c r="I1302" i="19" a="1"/>
  <c r="I1302" i="19" s="1"/>
  <c r="O1303" i="19" l="1"/>
  <c r="G1303" i="19" a="1"/>
  <c r="G1303" i="19" s="1"/>
  <c r="M1303" i="19" s="1"/>
  <c r="I1303" i="19" a="1"/>
  <c r="I1303" i="19" s="1"/>
  <c r="O1304" i="19" l="1"/>
  <c r="G1304" i="19" a="1"/>
  <c r="G1304" i="19" s="1"/>
  <c r="M1304" i="19" s="1"/>
  <c r="I1304" i="19" a="1"/>
  <c r="I1304" i="19" s="1"/>
  <c r="O1305" i="19" l="1"/>
  <c r="G1305" i="19" a="1"/>
  <c r="G1305" i="19" s="1"/>
  <c r="M1305" i="19" s="1"/>
  <c r="I1305" i="19" a="1"/>
  <c r="I1305" i="19" s="1"/>
  <c r="O1306" i="19" l="1"/>
  <c r="G1306" i="19" a="1"/>
  <c r="G1306" i="19" s="1"/>
  <c r="M1306" i="19" s="1"/>
  <c r="I1306" i="19" a="1"/>
  <c r="I1306" i="19" s="1"/>
  <c r="O1307" i="19" l="1"/>
  <c r="G1307" i="19" a="1"/>
  <c r="G1307" i="19" s="1"/>
  <c r="M1307" i="19" s="1"/>
  <c r="I1307" i="19" a="1"/>
  <c r="I1307" i="19" s="1"/>
  <c r="O1308" i="19" l="1"/>
  <c r="G1308" i="19" a="1"/>
  <c r="G1308" i="19" s="1"/>
  <c r="M1308" i="19" s="1"/>
  <c r="I1308" i="19" a="1"/>
  <c r="I1308" i="19" s="1"/>
  <c r="O1309" i="19" l="1"/>
  <c r="G1309" i="19" a="1"/>
  <c r="G1309" i="19" s="1"/>
  <c r="M1309" i="19" s="1"/>
  <c r="I1309" i="19" a="1"/>
  <c r="I1309" i="19" s="1"/>
  <c r="O1310" i="19" l="1"/>
  <c r="G1310" i="19" a="1"/>
  <c r="G1310" i="19" s="1"/>
  <c r="M1310" i="19" s="1"/>
  <c r="I1310" i="19" a="1"/>
  <c r="I1310" i="19" s="1"/>
  <c r="O1311" i="19" l="1"/>
  <c r="G1311" i="19" a="1"/>
  <c r="G1311" i="19" s="1"/>
  <c r="M1311" i="19" s="1"/>
  <c r="I1311" i="19" a="1"/>
  <c r="I1311" i="19" s="1"/>
  <c r="O1312" i="19" l="1"/>
  <c r="G1312" i="19" a="1"/>
  <c r="G1312" i="19" s="1"/>
  <c r="M1312" i="19" s="1"/>
  <c r="I1312" i="19" a="1"/>
  <c r="I1312" i="19" s="1"/>
  <c r="O1313" i="19" l="1"/>
  <c r="G1313" i="19" a="1"/>
  <c r="G1313" i="19" s="1"/>
  <c r="M1313" i="19" s="1"/>
  <c r="I1313" i="19" a="1"/>
  <c r="I1313" i="19" s="1"/>
  <c r="O1314" i="19" l="1"/>
  <c r="G1314" i="19" a="1"/>
  <c r="G1314" i="19" s="1"/>
  <c r="M1314" i="19" s="1"/>
  <c r="I1314" i="19" a="1"/>
  <c r="I1314" i="19" s="1"/>
  <c r="O1315" i="19" l="1"/>
  <c r="G1315" i="19" a="1"/>
  <c r="G1315" i="19" s="1"/>
  <c r="M1315" i="19" s="1"/>
  <c r="I1315" i="19" a="1"/>
  <c r="I1315" i="19" s="1"/>
  <c r="O1316" i="19" l="1"/>
  <c r="G1316" i="19" a="1"/>
  <c r="G1316" i="19" s="1"/>
  <c r="M1316" i="19" s="1"/>
  <c r="I1316" i="19" a="1"/>
  <c r="I1316" i="19" s="1"/>
  <c r="O1317" i="19" l="1"/>
  <c r="G1317" i="19" a="1"/>
  <c r="G1317" i="19" s="1"/>
  <c r="M1317" i="19" s="1"/>
  <c r="I1317" i="19" a="1"/>
  <c r="I1317" i="19" s="1"/>
  <c r="O1318" i="19" l="1"/>
  <c r="G1318" i="19" a="1"/>
  <c r="G1318" i="19" s="1"/>
  <c r="M1318" i="19" s="1"/>
  <c r="I1318" i="19" a="1"/>
  <c r="I1318" i="19" s="1"/>
  <c r="O1319" i="19" l="1"/>
  <c r="G1319" i="19" a="1"/>
  <c r="G1319" i="19" s="1"/>
  <c r="M1319" i="19" s="1"/>
  <c r="I1319" i="19" a="1"/>
  <c r="I1319" i="19" s="1"/>
  <c r="O1320" i="19" l="1"/>
  <c r="G1320" i="19" a="1"/>
  <c r="G1320" i="19" s="1"/>
  <c r="M1320" i="19" s="1"/>
  <c r="I1320" i="19" a="1"/>
  <c r="I1320" i="19" s="1"/>
  <c r="O1321" i="19" l="1"/>
  <c r="G1321" i="19" a="1"/>
  <c r="G1321" i="19" s="1"/>
  <c r="M1321" i="19" s="1"/>
  <c r="I1321" i="19" a="1"/>
  <c r="I1321" i="19" s="1"/>
  <c r="O1322" i="19" l="1"/>
  <c r="G1322" i="19" a="1"/>
  <c r="G1322" i="19" s="1"/>
  <c r="M1322" i="19" s="1"/>
  <c r="I1322" i="19" a="1"/>
  <c r="I1322" i="19" s="1"/>
  <c r="O1323" i="19" l="1"/>
  <c r="G1323" i="19" a="1"/>
  <c r="G1323" i="19" s="1"/>
  <c r="M1323" i="19" s="1"/>
  <c r="I1323" i="19" a="1"/>
  <c r="I1323" i="19" s="1"/>
  <c r="O1324" i="19" l="1"/>
  <c r="G1324" i="19" a="1"/>
  <c r="G1324" i="19" s="1"/>
  <c r="M1324" i="19" s="1"/>
  <c r="I1324" i="19" a="1"/>
  <c r="I1324" i="19" s="1"/>
  <c r="O1325" i="19" l="1"/>
  <c r="G1325" i="19" a="1"/>
  <c r="G1325" i="19" s="1"/>
  <c r="M1325" i="19" s="1"/>
  <c r="I1325" i="19" a="1"/>
  <c r="I1325" i="19" s="1"/>
  <c r="O1326" i="19" l="1"/>
  <c r="G1326" i="19" a="1"/>
  <c r="G1326" i="19" s="1"/>
  <c r="M1326" i="19" s="1"/>
  <c r="I1326" i="19" a="1"/>
  <c r="I1326" i="19" s="1"/>
  <c r="O1327" i="19" l="1"/>
  <c r="G1327" i="19" a="1"/>
  <c r="G1327" i="19" s="1"/>
  <c r="M1327" i="19" s="1"/>
  <c r="I1327" i="19" a="1"/>
  <c r="I1327" i="19" s="1"/>
  <c r="O1328" i="19" l="1"/>
  <c r="G1328" i="19" a="1"/>
  <c r="G1328" i="19" s="1"/>
  <c r="M1328" i="19" s="1"/>
  <c r="I1328" i="19" a="1"/>
  <c r="I1328" i="19" s="1"/>
  <c r="O1329" i="19" l="1"/>
  <c r="G1329" i="19" a="1"/>
  <c r="G1329" i="19" s="1"/>
  <c r="M1329" i="19" s="1"/>
  <c r="I1329" i="19" a="1"/>
  <c r="I1329" i="19" s="1"/>
  <c r="O1330" i="19" l="1"/>
  <c r="G1330" i="19" a="1"/>
  <c r="G1330" i="19" s="1"/>
  <c r="M1330" i="19" s="1"/>
  <c r="I1330" i="19" a="1"/>
  <c r="I1330" i="19" s="1"/>
  <c r="O1331" i="19" l="1"/>
  <c r="G1331" i="19" a="1"/>
  <c r="G1331" i="19" s="1"/>
  <c r="M1331" i="19" s="1"/>
  <c r="I1331" i="19" a="1"/>
  <c r="I1331" i="19" s="1"/>
  <c r="O1332" i="19" l="1"/>
  <c r="G1332" i="19" a="1"/>
  <c r="G1332" i="19" s="1"/>
  <c r="M1332" i="19" s="1"/>
  <c r="I1332" i="19" a="1"/>
  <c r="I1332" i="19" s="1"/>
  <c r="O1333" i="19" l="1"/>
  <c r="G1333" i="19" a="1"/>
  <c r="G1333" i="19" s="1"/>
  <c r="M1333" i="19" s="1"/>
  <c r="I1333" i="19" a="1"/>
  <c r="I1333" i="19" s="1"/>
  <c r="O1334" i="19" l="1"/>
  <c r="G1334" i="19" a="1"/>
  <c r="G1334" i="19" s="1"/>
  <c r="M1334" i="19" s="1"/>
  <c r="I1334" i="19" a="1"/>
  <c r="I1334" i="19" s="1"/>
  <c r="O1335" i="19" l="1"/>
  <c r="G1335" i="19" a="1"/>
  <c r="G1335" i="19" s="1"/>
  <c r="M1335" i="19" s="1"/>
  <c r="I1335" i="19" a="1"/>
  <c r="I1335" i="19" s="1"/>
  <c r="O1336" i="19" l="1"/>
  <c r="G1336" i="19" a="1"/>
  <c r="G1336" i="19" s="1"/>
  <c r="M1336" i="19" s="1"/>
  <c r="I1336" i="19" a="1"/>
  <c r="I1336" i="19" s="1"/>
  <c r="O1337" i="19" l="1"/>
  <c r="G1337" i="19" a="1"/>
  <c r="G1337" i="19" s="1"/>
  <c r="M1337" i="19" s="1"/>
  <c r="I1337" i="19" a="1"/>
  <c r="I1337" i="19" s="1"/>
  <c r="O1338" i="19" l="1"/>
  <c r="G1338" i="19" a="1"/>
  <c r="G1338" i="19" s="1"/>
  <c r="M1338" i="19" s="1"/>
  <c r="I1338" i="19" a="1"/>
  <c r="I1338" i="19" s="1"/>
  <c r="O1339" i="19" l="1"/>
  <c r="G1339" i="19" a="1"/>
  <c r="G1339" i="19" s="1"/>
  <c r="M1339" i="19" s="1"/>
  <c r="I1339" i="19" a="1"/>
  <c r="I1339" i="19" s="1"/>
  <c r="O1340" i="19" l="1"/>
  <c r="G1340" i="19" a="1"/>
  <c r="G1340" i="19" s="1"/>
  <c r="M1340" i="19" s="1"/>
  <c r="I1340" i="19" a="1"/>
  <c r="I1340" i="19" s="1"/>
  <c r="O1341" i="19" l="1"/>
  <c r="G1341" i="19" a="1"/>
  <c r="G1341" i="19" s="1"/>
  <c r="M1341" i="19" s="1"/>
  <c r="I1341" i="19" a="1"/>
  <c r="I1341" i="19" s="1"/>
  <c r="O1342" i="19" l="1"/>
  <c r="G1342" i="19" a="1"/>
  <c r="G1342" i="19" s="1"/>
  <c r="M1342" i="19" s="1"/>
  <c r="I1342" i="19" a="1"/>
  <c r="I1342" i="19" s="1"/>
  <c r="O1343" i="19" l="1"/>
  <c r="G1343" i="19" a="1"/>
  <c r="G1343" i="19" s="1"/>
  <c r="M1343" i="19" s="1"/>
  <c r="I1343" i="19" a="1"/>
  <c r="I1343" i="19" s="1"/>
  <c r="O1344" i="19" l="1"/>
  <c r="G1344" i="19" a="1"/>
  <c r="G1344" i="19" s="1"/>
  <c r="M1344" i="19" s="1"/>
  <c r="I1344" i="19" a="1"/>
  <c r="I1344" i="19" s="1"/>
  <c r="O1345" i="19" l="1"/>
  <c r="G1345" i="19" a="1"/>
  <c r="G1345" i="19" s="1"/>
  <c r="M1345" i="19" s="1"/>
  <c r="I1345" i="19" a="1"/>
  <c r="I1345" i="19" s="1"/>
  <c r="O1346" i="19" l="1"/>
  <c r="G1346" i="19" a="1"/>
  <c r="G1346" i="19" s="1"/>
  <c r="M1346" i="19" s="1"/>
  <c r="I1346" i="19" a="1"/>
  <c r="I1346" i="19" s="1"/>
  <c r="O1347" i="19" l="1"/>
  <c r="G1347" i="19" a="1"/>
  <c r="G1347" i="19" s="1"/>
  <c r="M1347" i="19" s="1"/>
  <c r="I1347" i="19" a="1"/>
  <c r="I1347" i="19" s="1"/>
  <c r="O1348" i="19" l="1"/>
  <c r="G1348" i="19" a="1"/>
  <c r="G1348" i="19" s="1"/>
  <c r="M1348" i="19" s="1"/>
  <c r="I1348" i="19" a="1"/>
  <c r="I1348" i="19" s="1"/>
  <c r="O1349" i="19" l="1"/>
  <c r="G1349" i="19" a="1"/>
  <c r="G1349" i="19" s="1"/>
  <c r="M1349" i="19" s="1"/>
  <c r="I1349" i="19" a="1"/>
  <c r="I1349" i="19" s="1"/>
  <c r="O1350" i="19" l="1"/>
  <c r="G1350" i="19" a="1"/>
  <c r="G1350" i="19" s="1"/>
  <c r="M1350" i="19" s="1"/>
  <c r="I1350" i="19" a="1"/>
  <c r="I1350" i="19" s="1"/>
  <c r="O1351" i="19" l="1"/>
  <c r="G1351" i="19" a="1"/>
  <c r="G1351" i="19" s="1"/>
  <c r="M1351" i="19" s="1"/>
  <c r="I1351" i="19" a="1"/>
  <c r="I1351" i="19" s="1"/>
  <c r="O1352" i="19" l="1"/>
  <c r="G1352" i="19" a="1"/>
  <c r="G1352" i="19" s="1"/>
  <c r="M1352" i="19" s="1"/>
  <c r="I1352" i="19" a="1"/>
  <c r="I1352" i="19" s="1"/>
  <c r="O1353" i="19" l="1"/>
  <c r="G1353" i="19" a="1"/>
  <c r="G1353" i="19" s="1"/>
  <c r="M1353" i="19" s="1"/>
  <c r="I1353" i="19" a="1"/>
  <c r="I1353" i="19" s="1"/>
  <c r="O1354" i="19" l="1"/>
  <c r="G1354" i="19" a="1"/>
  <c r="G1354" i="19" s="1"/>
  <c r="M1354" i="19" s="1"/>
  <c r="I1354" i="19" a="1"/>
  <c r="I1354" i="19" s="1"/>
  <c r="O1355" i="19" l="1"/>
  <c r="G1355" i="19" a="1"/>
  <c r="G1355" i="19" s="1"/>
  <c r="M1355" i="19" s="1"/>
  <c r="I1355" i="19" a="1"/>
  <c r="I1355" i="19" s="1"/>
  <c r="O1356" i="19" l="1"/>
  <c r="G1356" i="19" a="1"/>
  <c r="G1356" i="19" s="1"/>
  <c r="M1356" i="19" s="1"/>
  <c r="I1356" i="19" a="1"/>
  <c r="I1356" i="19" s="1"/>
  <c r="O1357" i="19" l="1"/>
  <c r="G1357" i="19" a="1"/>
  <c r="G1357" i="19" s="1"/>
  <c r="M1357" i="19" s="1"/>
  <c r="I1357" i="19" a="1"/>
  <c r="I1357" i="19" s="1"/>
  <c r="O1358" i="19" l="1"/>
  <c r="G1358" i="19" a="1"/>
  <c r="G1358" i="19" s="1"/>
  <c r="M1358" i="19" s="1"/>
  <c r="I1358" i="19" a="1"/>
  <c r="I1358" i="19" s="1"/>
  <c r="O1359" i="19" l="1"/>
  <c r="G1359" i="19" a="1"/>
  <c r="G1359" i="19" s="1"/>
  <c r="M1359" i="19" s="1"/>
  <c r="I1359" i="19" a="1"/>
  <c r="I1359" i="19" s="1"/>
  <c r="O1360" i="19" l="1"/>
  <c r="G1360" i="19" a="1"/>
  <c r="G1360" i="19" s="1"/>
  <c r="M1360" i="19" s="1"/>
  <c r="I1360" i="19" a="1"/>
  <c r="I1360" i="19" s="1"/>
  <c r="O1361" i="19" l="1"/>
  <c r="G1361" i="19" a="1"/>
  <c r="G1361" i="19" s="1"/>
  <c r="M1361" i="19" s="1"/>
  <c r="I1361" i="19" a="1"/>
  <c r="I1361" i="19" s="1"/>
  <c r="O1362" i="19" l="1"/>
  <c r="G1362" i="19" a="1"/>
  <c r="G1362" i="19" s="1"/>
  <c r="M1362" i="19" s="1"/>
  <c r="I1362" i="19" a="1"/>
  <c r="I1362" i="19" s="1"/>
  <c r="O1363" i="19" l="1"/>
  <c r="G1363" i="19" a="1"/>
  <c r="G1363" i="19" s="1"/>
  <c r="M1363" i="19" s="1"/>
  <c r="I1363" i="19" a="1"/>
  <c r="I1363" i="19" s="1"/>
  <c r="O1364" i="19" l="1"/>
  <c r="G1364" i="19" a="1"/>
  <c r="G1364" i="19" s="1"/>
  <c r="M1364" i="19" s="1"/>
  <c r="I1364" i="19" a="1"/>
  <c r="I1364" i="19" s="1"/>
  <c r="O1365" i="19" l="1"/>
  <c r="G1365" i="19" a="1"/>
  <c r="G1365" i="19" s="1"/>
  <c r="M1365" i="19" s="1"/>
  <c r="I1365" i="19" a="1"/>
  <c r="I1365" i="19" s="1"/>
  <c r="O1366" i="19" l="1"/>
  <c r="G1366" i="19" a="1"/>
  <c r="G1366" i="19" s="1"/>
  <c r="M1366" i="19" s="1"/>
  <c r="I1366" i="19" a="1"/>
  <c r="I1366" i="19" s="1"/>
  <c r="O1367" i="19" l="1"/>
  <c r="G1367" i="19" a="1"/>
  <c r="G1367" i="19" s="1"/>
  <c r="M1367" i="19" s="1"/>
  <c r="I1367" i="19" a="1"/>
  <c r="I1367" i="19" s="1"/>
  <c r="G1368" i="19" l="1" a="1"/>
  <c r="G1368" i="19" s="1"/>
  <c r="M1368" i="19" s="1"/>
  <c r="I1368" i="19" a="1"/>
  <c r="I1368" i="19" s="1"/>
  <c r="O1368" i="19"/>
  <c r="O1369" i="19" l="1"/>
  <c r="G1369" i="19" a="1"/>
  <c r="G1369" i="19" s="1"/>
  <c r="M1369" i="19" s="1"/>
  <c r="I1369" i="19" a="1"/>
  <c r="I1369" i="19" s="1"/>
  <c r="O1370" i="19" l="1"/>
  <c r="G1370" i="19" a="1"/>
  <c r="G1370" i="19" s="1"/>
  <c r="M1370" i="19" s="1"/>
  <c r="I1370" i="19" a="1"/>
  <c r="I1370" i="19" s="1"/>
  <c r="O1371" i="19" l="1"/>
  <c r="G1371" i="19" a="1"/>
  <c r="G1371" i="19" s="1"/>
  <c r="M1371" i="19" s="1"/>
  <c r="I1371" i="19" a="1"/>
  <c r="I1371" i="19" s="1"/>
  <c r="O1372" i="19" l="1"/>
  <c r="G1372" i="19" a="1"/>
  <c r="G1372" i="19" s="1"/>
  <c r="M1372" i="19" s="1"/>
  <c r="I1372" i="19" a="1"/>
  <c r="I1372" i="19" s="1"/>
  <c r="O1373" i="19" l="1"/>
  <c r="G1373" i="19" a="1"/>
  <c r="G1373" i="19" s="1"/>
  <c r="M1373" i="19" s="1"/>
  <c r="I1373" i="19" a="1"/>
  <c r="I1373" i="19" s="1"/>
  <c r="O1374" i="19" l="1"/>
  <c r="G1374" i="19" a="1"/>
  <c r="G1374" i="19" s="1"/>
  <c r="M1374" i="19" s="1"/>
  <c r="I1374" i="19" a="1"/>
  <c r="I1374" i="19" s="1"/>
  <c r="O1375" i="19" l="1"/>
  <c r="G1375" i="19" a="1"/>
  <c r="G1375" i="19" s="1"/>
  <c r="M1375" i="19" s="1"/>
  <c r="I1375" i="19" a="1"/>
  <c r="I1375" i="19" s="1"/>
  <c r="O1376" i="19" l="1"/>
  <c r="G1376" i="19" a="1"/>
  <c r="G1376" i="19" s="1"/>
  <c r="M1376" i="19" s="1"/>
  <c r="I1376" i="19" a="1"/>
  <c r="I1376" i="19" s="1"/>
  <c r="O1377" i="19" l="1"/>
  <c r="G1377" i="19" a="1"/>
  <c r="G1377" i="19" s="1"/>
  <c r="M1377" i="19" s="1"/>
  <c r="I1377" i="19" a="1"/>
  <c r="I1377" i="19" s="1"/>
  <c r="O1378" i="19" l="1"/>
  <c r="G1378" i="19" a="1"/>
  <c r="G1378" i="19" s="1"/>
  <c r="M1378" i="19" s="1"/>
  <c r="I1378" i="19" a="1"/>
  <c r="I1378" i="19" s="1"/>
  <c r="O1379" i="19" l="1"/>
  <c r="G1379" i="19" a="1"/>
  <c r="G1379" i="19" s="1"/>
  <c r="M1379" i="19" s="1"/>
  <c r="I1379" i="19" a="1"/>
  <c r="I1379" i="19" s="1"/>
  <c r="O1380" i="19" l="1"/>
  <c r="G1380" i="19" a="1"/>
  <c r="G1380" i="19" s="1"/>
  <c r="M1380" i="19" s="1"/>
  <c r="I1380" i="19" a="1"/>
  <c r="I1380" i="19" s="1"/>
  <c r="O1381" i="19" l="1"/>
  <c r="G1381" i="19" a="1"/>
  <c r="G1381" i="19" s="1"/>
  <c r="M1381" i="19" s="1"/>
  <c r="I1381" i="19" a="1"/>
  <c r="I1381" i="19" s="1"/>
  <c r="O1382" i="19" l="1"/>
  <c r="G1382" i="19" a="1"/>
  <c r="G1382" i="19" s="1"/>
  <c r="M1382" i="19" s="1"/>
  <c r="I1382" i="19" a="1"/>
  <c r="I1382" i="19" s="1"/>
  <c r="O1383" i="19" l="1"/>
  <c r="G1383" i="19" a="1"/>
  <c r="G1383" i="19" s="1"/>
  <c r="M1383" i="19" s="1"/>
  <c r="I1383" i="19" a="1"/>
  <c r="I1383" i="19" s="1"/>
  <c r="O1384" i="19" l="1"/>
  <c r="G1384" i="19" a="1"/>
  <c r="G1384" i="19" s="1"/>
  <c r="M1384" i="19" s="1"/>
  <c r="I1384" i="19" a="1"/>
  <c r="I1384" i="19" s="1"/>
  <c r="O1385" i="19" l="1"/>
  <c r="G1385" i="19" a="1"/>
  <c r="G1385" i="19" s="1"/>
  <c r="M1385" i="19" s="1"/>
  <c r="I1385" i="19" a="1"/>
  <c r="I1385" i="19" s="1"/>
  <c r="O1386" i="19" l="1"/>
  <c r="G1386" i="19" a="1"/>
  <c r="G1386" i="19" s="1"/>
  <c r="M1386" i="19" s="1"/>
  <c r="I1386" i="19" a="1"/>
  <c r="I1386" i="19" s="1"/>
  <c r="O1387" i="19" l="1"/>
  <c r="G1387" i="19" a="1"/>
  <c r="G1387" i="19" s="1"/>
  <c r="M1387" i="19" s="1"/>
  <c r="I1387" i="19" a="1"/>
  <c r="I1387" i="19" s="1"/>
  <c r="O1388" i="19" l="1"/>
  <c r="G1388" i="19" a="1"/>
  <c r="G1388" i="19" s="1"/>
  <c r="M1388" i="19" s="1"/>
  <c r="I1388" i="19" a="1"/>
  <c r="I1388" i="19" s="1"/>
  <c r="O1389" i="19" l="1"/>
  <c r="G1389" i="19" a="1"/>
  <c r="G1389" i="19" s="1"/>
  <c r="M1389" i="19" s="1"/>
  <c r="I1389" i="19" a="1"/>
  <c r="I1389" i="19" s="1"/>
  <c r="O1390" i="19" l="1"/>
  <c r="G1390" i="19" a="1"/>
  <c r="G1390" i="19" s="1"/>
  <c r="M1390" i="19" s="1"/>
  <c r="I1390" i="19" a="1"/>
  <c r="I1390" i="19" s="1"/>
  <c r="O1391" i="19" l="1"/>
  <c r="G1391" i="19" a="1"/>
  <c r="G1391" i="19" s="1"/>
  <c r="M1391" i="19" s="1"/>
  <c r="I1391" i="19" a="1"/>
  <c r="I1391" i="19" s="1"/>
  <c r="O1392" i="19" l="1"/>
  <c r="G1392" i="19" a="1"/>
  <c r="G1392" i="19" s="1"/>
  <c r="M1392" i="19" s="1"/>
  <c r="I1392" i="19" a="1"/>
  <c r="I1392" i="19" s="1"/>
  <c r="O1393" i="19" l="1"/>
  <c r="G1393" i="19" a="1"/>
  <c r="G1393" i="19" s="1"/>
  <c r="M1393" i="19" s="1"/>
  <c r="I1393" i="19" a="1"/>
  <c r="I1393" i="19" s="1"/>
  <c r="O1394" i="19" l="1"/>
  <c r="G1394" i="19" a="1"/>
  <c r="G1394" i="19" s="1"/>
  <c r="M1394" i="19" s="1"/>
  <c r="I1394" i="19" a="1"/>
  <c r="I1394" i="19" s="1"/>
  <c r="O1395" i="19" l="1"/>
  <c r="G1395" i="19" a="1"/>
  <c r="G1395" i="19" s="1"/>
  <c r="M1395" i="19" s="1"/>
  <c r="I1395" i="19" a="1"/>
  <c r="I1395" i="19" s="1"/>
  <c r="O1396" i="19" l="1"/>
  <c r="G1396" i="19" a="1"/>
  <c r="G1396" i="19" s="1"/>
  <c r="M1396" i="19" s="1"/>
  <c r="I1396" i="19" a="1"/>
  <c r="I1396" i="19" s="1"/>
  <c r="O1397" i="19" l="1"/>
  <c r="G1397" i="19" a="1"/>
  <c r="G1397" i="19" s="1"/>
  <c r="M1397" i="19" s="1"/>
  <c r="I1397" i="19" a="1"/>
  <c r="I1397" i="19" s="1"/>
  <c r="O1398" i="19" l="1"/>
  <c r="G1398" i="19" a="1"/>
  <c r="G1398" i="19" s="1"/>
  <c r="M1398" i="19" s="1"/>
  <c r="I1398" i="19" a="1"/>
  <c r="I1398" i="19" s="1"/>
  <c r="O1399" i="19" l="1"/>
  <c r="G1399" i="19" a="1"/>
  <c r="G1399" i="19" s="1"/>
  <c r="M1399" i="19" s="1"/>
  <c r="I1399" i="19" a="1"/>
  <c r="I1399" i="19" s="1"/>
  <c r="O1400" i="19" l="1"/>
  <c r="G1400" i="19" a="1"/>
  <c r="G1400" i="19" s="1"/>
  <c r="M1400" i="19" s="1"/>
  <c r="I1400" i="19" a="1"/>
  <c r="I1400" i="19" s="1"/>
  <c r="O1401" i="19" l="1"/>
  <c r="G1401" i="19" a="1"/>
  <c r="G1401" i="19" s="1"/>
  <c r="M1401" i="19" s="1"/>
  <c r="I1401" i="19" a="1"/>
  <c r="I1401" i="19" s="1"/>
  <c r="O1402" i="19" l="1"/>
  <c r="G1402" i="19" a="1"/>
  <c r="G1402" i="19" s="1"/>
  <c r="M1402" i="19" s="1"/>
  <c r="I1402" i="19" a="1"/>
  <c r="I1402" i="19" s="1"/>
  <c r="O1403" i="19" l="1"/>
  <c r="G1403" i="19" a="1"/>
  <c r="G1403" i="19" s="1"/>
  <c r="M1403" i="19" s="1"/>
  <c r="I1403" i="19" a="1"/>
  <c r="I1403" i="19" s="1"/>
  <c r="O1404" i="19" l="1"/>
  <c r="G1404" i="19" a="1"/>
  <c r="G1404" i="19" s="1"/>
  <c r="M1404" i="19" s="1"/>
  <c r="I1404" i="19" a="1"/>
  <c r="I1404" i="19" s="1"/>
  <c r="O1405" i="19" l="1"/>
  <c r="G1405" i="19" a="1"/>
  <c r="G1405" i="19" s="1"/>
  <c r="M1405" i="19" s="1"/>
  <c r="I1405" i="19" a="1"/>
  <c r="I1405" i="19" s="1"/>
  <c r="O1406" i="19" l="1"/>
  <c r="G1406" i="19" a="1"/>
  <c r="G1406" i="19" s="1"/>
  <c r="M1406" i="19" s="1"/>
  <c r="I1406" i="19" a="1"/>
  <c r="I1406" i="19" s="1"/>
  <c r="O1407" i="19" l="1"/>
  <c r="G1407" i="19" a="1"/>
  <c r="G1407" i="19" s="1"/>
  <c r="M1407" i="19" s="1"/>
  <c r="I1407" i="19" a="1"/>
  <c r="I1407" i="19" s="1"/>
  <c r="O1408" i="19" l="1"/>
  <c r="G1408" i="19" a="1"/>
  <c r="G1408" i="19" s="1"/>
  <c r="M1408" i="19" s="1"/>
  <c r="I1408" i="19" a="1"/>
  <c r="I1408" i="19" s="1"/>
  <c r="O1409" i="19" l="1"/>
  <c r="G1409" i="19" a="1"/>
  <c r="G1409" i="19" s="1"/>
  <c r="M1409" i="19" s="1"/>
  <c r="I1409" i="19" a="1"/>
  <c r="I1409" i="19" s="1"/>
  <c r="O1410" i="19" l="1"/>
  <c r="G1410" i="19" a="1"/>
  <c r="G1410" i="19" s="1"/>
  <c r="M1410" i="19" s="1"/>
  <c r="I1410" i="19" a="1"/>
  <c r="I1410" i="19" s="1"/>
  <c r="O1411" i="19" l="1"/>
  <c r="G1411" i="19" a="1"/>
  <c r="G1411" i="19" s="1"/>
  <c r="M1411" i="19" s="1"/>
  <c r="I1411" i="19" a="1"/>
  <c r="I1411" i="19" s="1"/>
  <c r="O1412" i="19" l="1"/>
  <c r="G1412" i="19" a="1"/>
  <c r="G1412" i="19" s="1"/>
  <c r="M1412" i="19" s="1"/>
  <c r="I1412" i="19" a="1"/>
  <c r="I1412" i="19" s="1"/>
  <c r="O1413" i="19" l="1"/>
  <c r="G1413" i="19" a="1"/>
  <c r="G1413" i="19" s="1"/>
  <c r="M1413" i="19" s="1"/>
  <c r="I1413" i="19" a="1"/>
  <c r="I1413" i="19" s="1"/>
  <c r="O1414" i="19" l="1"/>
  <c r="G1414" i="19" a="1"/>
  <c r="G1414" i="19" s="1"/>
  <c r="M1414" i="19" s="1"/>
  <c r="I1414" i="19" a="1"/>
  <c r="I1414" i="19" s="1"/>
  <c r="O1415" i="19" l="1"/>
  <c r="G1415" i="19" a="1"/>
  <c r="G1415" i="19" s="1"/>
  <c r="M1415" i="19" s="1"/>
  <c r="I1415" i="19" a="1"/>
  <c r="I1415" i="19" s="1"/>
  <c r="O1416" i="19" l="1"/>
  <c r="G1416" i="19" a="1"/>
  <c r="G1416" i="19" s="1"/>
  <c r="M1416" i="19" s="1"/>
  <c r="I1416" i="19" a="1"/>
  <c r="I1416" i="19" s="1"/>
  <c r="O1417" i="19" l="1"/>
  <c r="G1417" i="19" a="1"/>
  <c r="G1417" i="19" s="1"/>
  <c r="M1417" i="19" s="1"/>
  <c r="I1417" i="19" a="1"/>
  <c r="I1417" i="19" s="1"/>
  <c r="O1418" i="19" l="1"/>
  <c r="G1418" i="19" a="1"/>
  <c r="G1418" i="19" s="1"/>
  <c r="M1418" i="19" s="1"/>
  <c r="I1418" i="19" a="1"/>
  <c r="I1418" i="19" s="1"/>
  <c r="O1419" i="19" l="1"/>
  <c r="G1419" i="19" a="1"/>
  <c r="G1419" i="19" s="1"/>
  <c r="M1419" i="19" s="1"/>
  <c r="I1419" i="19" a="1"/>
  <c r="I1419" i="19" s="1"/>
  <c r="O1420" i="19" l="1"/>
  <c r="G1420" i="19" a="1"/>
  <c r="G1420" i="19" s="1"/>
  <c r="M1420" i="19" s="1"/>
  <c r="I1420" i="19" a="1"/>
  <c r="I1420" i="19" s="1"/>
  <c r="O1421" i="19" l="1"/>
  <c r="G1421" i="19" a="1"/>
  <c r="G1421" i="19" s="1"/>
  <c r="M1421" i="19" s="1"/>
  <c r="I1421" i="19" a="1"/>
  <c r="I1421" i="19" s="1"/>
  <c r="O1422" i="19" l="1"/>
  <c r="G1422" i="19" a="1"/>
  <c r="G1422" i="19" s="1"/>
  <c r="M1422" i="19" s="1"/>
  <c r="I1422" i="19" a="1"/>
  <c r="I1422" i="19" s="1"/>
  <c r="O1423" i="19" l="1"/>
  <c r="G1423" i="19" a="1"/>
  <c r="G1423" i="19" s="1"/>
  <c r="M1423" i="19" s="1"/>
  <c r="I1423" i="19" a="1"/>
  <c r="I1423" i="19" s="1"/>
  <c r="O1424" i="19" l="1"/>
  <c r="G1424" i="19" a="1"/>
  <c r="G1424" i="19" s="1"/>
  <c r="M1424" i="19" s="1"/>
  <c r="I1424" i="19" a="1"/>
  <c r="I1424" i="19" s="1"/>
  <c r="O1425" i="19" l="1"/>
  <c r="G1425" i="19" a="1"/>
  <c r="G1425" i="19" s="1"/>
  <c r="M1425" i="19" s="1"/>
  <c r="I1425" i="19" a="1"/>
  <c r="I1425" i="19" s="1"/>
  <c r="O1426" i="19" l="1"/>
  <c r="G1426" i="19" a="1"/>
  <c r="G1426" i="19" s="1"/>
  <c r="M1426" i="19" s="1"/>
  <c r="I1426" i="19" a="1"/>
  <c r="I1426" i="19" s="1"/>
  <c r="O1427" i="19" l="1"/>
  <c r="G1427" i="19" a="1"/>
  <c r="G1427" i="19" s="1"/>
  <c r="M1427" i="19" s="1"/>
  <c r="I1427" i="19" a="1"/>
  <c r="I1427" i="19" s="1"/>
  <c r="O1428" i="19" l="1"/>
  <c r="G1428" i="19" a="1"/>
  <c r="G1428" i="19" s="1"/>
  <c r="M1428" i="19" s="1"/>
  <c r="I1428" i="19" a="1"/>
  <c r="I1428" i="19" s="1"/>
  <c r="O1429" i="19" l="1"/>
  <c r="G1429" i="19" a="1"/>
  <c r="G1429" i="19" s="1"/>
  <c r="M1429" i="19" s="1"/>
  <c r="I1429" i="19" a="1"/>
  <c r="I1429" i="19" s="1"/>
  <c r="O1430" i="19" l="1"/>
  <c r="G1430" i="19" a="1"/>
  <c r="G1430" i="19" s="1"/>
  <c r="M1430" i="19" s="1"/>
  <c r="I1430" i="19" a="1"/>
  <c r="I1430" i="19" s="1"/>
  <c r="O1431" i="19" l="1"/>
  <c r="G1431" i="19" a="1"/>
  <c r="G1431" i="19" s="1"/>
  <c r="M1431" i="19" s="1"/>
  <c r="I1431" i="19" a="1"/>
  <c r="I1431" i="19" s="1"/>
  <c r="O1432" i="19" l="1"/>
  <c r="G1432" i="19" a="1"/>
  <c r="G1432" i="19" s="1"/>
  <c r="M1432" i="19" s="1"/>
  <c r="I1432" i="19" a="1"/>
  <c r="I1432" i="19" s="1"/>
  <c r="O1433" i="19" l="1"/>
  <c r="G1433" i="19" a="1"/>
  <c r="G1433" i="19" s="1"/>
  <c r="M1433" i="19" s="1"/>
  <c r="I1433" i="19" a="1"/>
  <c r="I1433" i="19" s="1"/>
  <c r="O1434" i="19" l="1"/>
  <c r="G1434" i="19" a="1"/>
  <c r="G1434" i="19" s="1"/>
  <c r="M1434" i="19" s="1"/>
  <c r="I1434" i="19" a="1"/>
  <c r="I1434" i="19" s="1"/>
  <c r="O1435" i="19" l="1"/>
  <c r="G1435" i="19" a="1"/>
  <c r="G1435" i="19" s="1"/>
  <c r="M1435" i="19" s="1"/>
  <c r="I1435" i="19" a="1"/>
  <c r="I1435" i="19" s="1"/>
  <c r="G1436" i="19" l="1" a="1"/>
  <c r="G1436" i="19" s="1"/>
  <c r="M1436" i="19" s="1"/>
  <c r="I1436" i="19" a="1"/>
  <c r="I1436" i="19" s="1"/>
  <c r="O1436" i="19"/>
  <c r="O1437" i="19" l="1"/>
  <c r="G1437" i="19" a="1"/>
  <c r="G1437" i="19" s="1"/>
  <c r="M1437" i="19" s="1"/>
  <c r="I1437" i="19" a="1"/>
  <c r="I1437" i="19" s="1"/>
  <c r="G1438" i="19" l="1" a="1"/>
  <c r="G1438" i="19" s="1"/>
  <c r="M1438" i="19" s="1"/>
  <c r="I1438" i="19" a="1"/>
  <c r="I1438" i="19" s="1"/>
  <c r="O1438" i="19"/>
  <c r="O1439" i="19" l="1"/>
  <c r="G1439" i="19" a="1"/>
  <c r="G1439" i="19" s="1"/>
  <c r="M1439" i="19" s="1"/>
  <c r="I1439" i="19" a="1"/>
  <c r="I1439" i="19" s="1"/>
  <c r="O1440" i="19" l="1"/>
  <c r="G1440" i="19" a="1"/>
  <c r="G1440" i="19" s="1"/>
  <c r="M1440" i="19" s="1"/>
  <c r="I1440" i="19" a="1"/>
  <c r="I1440" i="19" s="1"/>
  <c r="O1441" i="19" l="1"/>
  <c r="G1441" i="19" a="1"/>
  <c r="G1441" i="19" s="1"/>
  <c r="M1441" i="19" s="1"/>
  <c r="I1441" i="19" a="1"/>
  <c r="I1441" i="19" s="1"/>
  <c r="O1442" i="19" l="1"/>
  <c r="G1442" i="19" a="1"/>
  <c r="G1442" i="19" s="1"/>
  <c r="M1442" i="19" s="1"/>
  <c r="I1442" i="19" a="1"/>
  <c r="I1442" i="19" s="1"/>
  <c r="O1443" i="19" l="1"/>
  <c r="G1443" i="19" a="1"/>
  <c r="G1443" i="19" s="1"/>
  <c r="M1443" i="19" s="1"/>
  <c r="I1443" i="19" a="1"/>
  <c r="I1443" i="19" s="1"/>
  <c r="O1444" i="19" l="1"/>
  <c r="G1444" i="19" a="1"/>
  <c r="G1444" i="19" s="1"/>
  <c r="M1444" i="19" s="1"/>
  <c r="I1444" i="19" a="1"/>
  <c r="I1444" i="19" s="1"/>
  <c r="O1445" i="19" l="1"/>
  <c r="G1445" i="19" a="1"/>
  <c r="G1445" i="19" s="1"/>
  <c r="M1445" i="19" s="1"/>
  <c r="I1445" i="19" a="1"/>
  <c r="I1445" i="19" s="1"/>
  <c r="O1446" i="19" l="1"/>
  <c r="G1446" i="19" a="1"/>
  <c r="G1446" i="19" s="1"/>
  <c r="M1446" i="19" s="1"/>
  <c r="I1446" i="19" a="1"/>
  <c r="I1446" i="19" s="1"/>
  <c r="O1447" i="19" l="1"/>
  <c r="G1447" i="19" a="1"/>
  <c r="G1447" i="19" s="1"/>
  <c r="M1447" i="19" s="1"/>
  <c r="I1447" i="19" a="1"/>
  <c r="I1447" i="19" s="1"/>
  <c r="O1448" i="19" l="1"/>
  <c r="G1448" i="19" a="1"/>
  <c r="G1448" i="19" s="1"/>
  <c r="M1448" i="19" s="1"/>
  <c r="I1448" i="19" a="1"/>
  <c r="I1448" i="19" s="1"/>
  <c r="O1449" i="19" l="1"/>
  <c r="G1449" i="19" a="1"/>
  <c r="G1449" i="19" s="1"/>
  <c r="M1449" i="19" s="1"/>
  <c r="I1449" i="19" a="1"/>
  <c r="I1449" i="19" s="1"/>
  <c r="O1450" i="19" l="1"/>
  <c r="G1450" i="19" a="1"/>
  <c r="G1450" i="19" s="1"/>
  <c r="M1450" i="19" s="1"/>
  <c r="I1450" i="19" a="1"/>
  <c r="I1450" i="19" s="1"/>
  <c r="O1451" i="19" l="1"/>
  <c r="G1451" i="19" a="1"/>
  <c r="G1451" i="19" s="1"/>
  <c r="M1451" i="19" s="1"/>
  <c r="I1451" i="19" a="1"/>
  <c r="I1451" i="19" s="1"/>
  <c r="O1452" i="19" l="1"/>
  <c r="G1452" i="19" a="1"/>
  <c r="G1452" i="19" s="1"/>
  <c r="M1452" i="19" s="1"/>
  <c r="I1452" i="19" a="1"/>
  <c r="I1452" i="19" s="1"/>
  <c r="O1453" i="19" l="1"/>
  <c r="G1453" i="19" a="1"/>
  <c r="G1453" i="19" s="1"/>
  <c r="M1453" i="19" s="1"/>
  <c r="I1453" i="19" a="1"/>
  <c r="I1453" i="19" s="1"/>
  <c r="O1454" i="19" l="1"/>
  <c r="G1454" i="19" a="1"/>
  <c r="G1454" i="19" s="1"/>
  <c r="M1454" i="19" s="1"/>
  <c r="I1454" i="19" a="1"/>
  <c r="I1454" i="19" s="1"/>
  <c r="O1455" i="19" l="1"/>
  <c r="G1455" i="19" a="1"/>
  <c r="G1455" i="19" s="1"/>
  <c r="M1455" i="19" s="1"/>
  <c r="I1455" i="19" a="1"/>
  <c r="I1455" i="19" s="1"/>
  <c r="O1456" i="19" l="1"/>
  <c r="G1456" i="19" a="1"/>
  <c r="G1456" i="19" s="1"/>
  <c r="M1456" i="19" s="1"/>
  <c r="I1456" i="19" a="1"/>
  <c r="I1456" i="19" s="1"/>
  <c r="O1457" i="19" l="1"/>
  <c r="G1457" i="19" a="1"/>
  <c r="G1457" i="19" s="1"/>
  <c r="M1457" i="19" s="1"/>
  <c r="I1457" i="19" a="1"/>
  <c r="I1457" i="19" s="1"/>
  <c r="O1458" i="19" l="1"/>
  <c r="G1458" i="19" a="1"/>
  <c r="G1458" i="19" s="1"/>
  <c r="M1458" i="19" s="1"/>
  <c r="I1458" i="19" a="1"/>
  <c r="I1458" i="19" s="1"/>
  <c r="O1459" i="19" l="1"/>
  <c r="G1459" i="19" a="1"/>
  <c r="G1459" i="19" s="1"/>
  <c r="M1459" i="19" s="1"/>
  <c r="I1459" i="19" a="1"/>
  <c r="I1459" i="19" s="1"/>
  <c r="O1460" i="19" l="1"/>
  <c r="G1460" i="19" a="1"/>
  <c r="G1460" i="19" s="1"/>
  <c r="M1460" i="19" s="1"/>
  <c r="I1460" i="19" a="1"/>
  <c r="I1460" i="19" s="1"/>
  <c r="O1461" i="19" l="1"/>
  <c r="G1461" i="19" a="1"/>
  <c r="G1461" i="19" s="1"/>
  <c r="M1461" i="19" s="1"/>
  <c r="I1461" i="19" a="1"/>
  <c r="I1461" i="19" s="1"/>
  <c r="O1462" i="19" l="1"/>
  <c r="G1462" i="19" a="1"/>
  <c r="G1462" i="19" s="1"/>
  <c r="M1462" i="19" s="1"/>
  <c r="I1462" i="19" a="1"/>
  <c r="I1462" i="19" s="1"/>
  <c r="O1463" i="19" l="1"/>
  <c r="G1463" i="19" a="1"/>
  <c r="G1463" i="19" s="1"/>
  <c r="M1463" i="19" s="1"/>
  <c r="I1463" i="19" a="1"/>
  <c r="I1463" i="19" s="1"/>
  <c r="O1464" i="19" l="1"/>
  <c r="G1464" i="19" a="1"/>
  <c r="G1464" i="19" s="1"/>
  <c r="M1464" i="19" s="1"/>
  <c r="I1464" i="19" a="1"/>
  <c r="I1464" i="19" s="1"/>
  <c r="O1465" i="19" l="1"/>
  <c r="G1465" i="19" a="1"/>
  <c r="G1465" i="19" s="1"/>
  <c r="M1465" i="19" s="1"/>
  <c r="I1465" i="19" a="1"/>
  <c r="I1465" i="19" s="1"/>
  <c r="O1466" i="19" l="1"/>
  <c r="G1466" i="19" a="1"/>
  <c r="G1466" i="19" s="1"/>
  <c r="M1466" i="19" s="1"/>
  <c r="I1466" i="19" a="1"/>
  <c r="I1466" i="19" s="1"/>
  <c r="O1467" i="19" l="1"/>
  <c r="G1467" i="19" a="1"/>
  <c r="G1467" i="19" s="1"/>
  <c r="M1467" i="19" s="1"/>
  <c r="I1467" i="19" a="1"/>
  <c r="I1467" i="19" s="1"/>
  <c r="O1468" i="19" l="1"/>
  <c r="G1468" i="19" a="1"/>
  <c r="G1468" i="19" s="1"/>
  <c r="M1468" i="19" s="1"/>
  <c r="I1468" i="19" a="1"/>
  <c r="I1468" i="19" s="1"/>
  <c r="O1469" i="19" l="1"/>
  <c r="G1469" i="19" a="1"/>
  <c r="G1469" i="19" s="1"/>
  <c r="M1469" i="19" s="1"/>
  <c r="I1469" i="19" a="1"/>
  <c r="I1469" i="19" s="1"/>
  <c r="O1470" i="19" l="1"/>
  <c r="G1470" i="19" a="1"/>
  <c r="G1470" i="19" s="1"/>
  <c r="M1470" i="19" s="1"/>
  <c r="I1470" i="19" a="1"/>
  <c r="I1470" i="19" s="1"/>
  <c r="G1471" i="19" l="1" a="1"/>
  <c r="G1471" i="19" s="1"/>
  <c r="M1471" i="19" s="1"/>
  <c r="I1471" i="19" a="1"/>
  <c r="I1471" i="19" s="1"/>
  <c r="O1471" i="19"/>
  <c r="O1472" i="19" l="1"/>
  <c r="G1472" i="19" a="1"/>
  <c r="G1472" i="19" s="1"/>
  <c r="M1472" i="19" s="1"/>
  <c r="I1472" i="19" a="1"/>
  <c r="I1472" i="19" s="1"/>
  <c r="O1473" i="19" l="1"/>
  <c r="G1473" i="19" a="1"/>
  <c r="G1473" i="19" s="1"/>
  <c r="M1473" i="19" s="1"/>
  <c r="I1473" i="19" a="1"/>
  <c r="I1473" i="19" s="1"/>
  <c r="G1474" i="19" l="1" a="1"/>
  <c r="G1474" i="19" s="1"/>
  <c r="M1474" i="19" s="1"/>
  <c r="I1474" i="19" a="1"/>
  <c r="I1474" i="19" s="1"/>
  <c r="O1474" i="19"/>
  <c r="O1475" i="19" l="1"/>
  <c r="G1475" i="19" a="1"/>
  <c r="G1475" i="19" s="1"/>
  <c r="M1475" i="19" s="1"/>
  <c r="I1475" i="19" a="1"/>
  <c r="I1475" i="19" s="1"/>
  <c r="O1476" i="19" l="1"/>
  <c r="G1476" i="19" a="1"/>
  <c r="G1476" i="19" s="1"/>
  <c r="M1476" i="19" s="1"/>
  <c r="I1476" i="19" a="1"/>
  <c r="I1476" i="19" s="1"/>
  <c r="O1477" i="19" l="1"/>
  <c r="G1477" i="19" a="1"/>
  <c r="G1477" i="19" s="1"/>
  <c r="M1477" i="19" s="1"/>
  <c r="I1477" i="19" a="1"/>
  <c r="I1477" i="19" s="1"/>
  <c r="O1478" i="19" l="1"/>
  <c r="G1478" i="19" a="1"/>
  <c r="G1478" i="19" s="1"/>
  <c r="M1478" i="19" s="1"/>
  <c r="I1478" i="19" a="1"/>
  <c r="I1478" i="19" s="1"/>
  <c r="O1479" i="19" l="1"/>
  <c r="G1479" i="19" a="1"/>
  <c r="G1479" i="19" s="1"/>
  <c r="M1479" i="19" s="1"/>
  <c r="I1479" i="19" a="1"/>
  <c r="I1479" i="19" s="1"/>
  <c r="O1480" i="19" l="1"/>
  <c r="G1480" i="19" a="1"/>
  <c r="G1480" i="19" s="1"/>
  <c r="M1480" i="19" s="1"/>
  <c r="I1480" i="19" a="1"/>
  <c r="I1480" i="19" s="1"/>
  <c r="O1481" i="19" l="1"/>
  <c r="G1481" i="19" a="1"/>
  <c r="G1481" i="19" s="1"/>
  <c r="M1481" i="19" s="1"/>
  <c r="I1481" i="19" a="1"/>
  <c r="I1481" i="19" s="1"/>
  <c r="O1482" i="19" l="1"/>
  <c r="G1482" i="19" a="1"/>
  <c r="G1482" i="19" s="1"/>
  <c r="M1482" i="19" s="1"/>
  <c r="I1482" i="19" a="1"/>
  <c r="I1482" i="19" s="1"/>
  <c r="O1483" i="19" l="1"/>
  <c r="G1483" i="19" a="1"/>
  <c r="G1483" i="19" s="1"/>
  <c r="M1483" i="19" s="1"/>
  <c r="I1483" i="19" a="1"/>
  <c r="I1483" i="19" s="1"/>
  <c r="O1484" i="19" l="1"/>
  <c r="G1484" i="19" a="1"/>
  <c r="G1484" i="19" s="1"/>
  <c r="M1484" i="19" s="1"/>
  <c r="I1484" i="19" a="1"/>
  <c r="I1484" i="19" s="1"/>
  <c r="O1485" i="19" l="1"/>
  <c r="G1485" i="19" a="1"/>
  <c r="G1485" i="19" s="1"/>
  <c r="M1485" i="19" s="1"/>
  <c r="I1485" i="19" a="1"/>
  <c r="I1485" i="19" s="1"/>
  <c r="O1486" i="19" l="1"/>
  <c r="G1486" i="19" a="1"/>
  <c r="G1486" i="19" s="1"/>
  <c r="M1486" i="19" s="1"/>
  <c r="I1486" i="19" a="1"/>
  <c r="I1486" i="19" s="1"/>
  <c r="O1487" i="19" l="1"/>
  <c r="G1487" i="19" a="1"/>
  <c r="G1487" i="19" s="1"/>
  <c r="M1487" i="19" s="1"/>
  <c r="I1487" i="19" a="1"/>
  <c r="I1487" i="19" s="1"/>
  <c r="O1488" i="19" l="1"/>
  <c r="G1488" i="19" a="1"/>
  <c r="G1488" i="19" s="1"/>
  <c r="M1488" i="19" s="1"/>
  <c r="I1488" i="19" a="1"/>
  <c r="I1488" i="19" s="1"/>
  <c r="O1489" i="19" l="1"/>
  <c r="G1489" i="19" a="1"/>
  <c r="G1489" i="19" s="1"/>
  <c r="M1489" i="19" s="1"/>
  <c r="I1489" i="19" a="1"/>
  <c r="I1489" i="19" s="1"/>
  <c r="O1490" i="19" l="1"/>
  <c r="G1490" i="19" a="1"/>
  <c r="G1490" i="19" s="1"/>
  <c r="M1490" i="19" s="1"/>
  <c r="I1490" i="19" a="1"/>
  <c r="I1490" i="19" s="1"/>
  <c r="O1491" i="19" l="1"/>
  <c r="G1491" i="19" a="1"/>
  <c r="G1491" i="19" s="1"/>
  <c r="M1491" i="19" s="1"/>
  <c r="I1491" i="19" a="1"/>
  <c r="I1491" i="19" s="1"/>
  <c r="O1492" i="19" l="1"/>
  <c r="G1492" i="19" a="1"/>
  <c r="G1492" i="19" s="1"/>
  <c r="M1492" i="19" s="1"/>
  <c r="I1492" i="19" a="1"/>
  <c r="I1492" i="19" s="1"/>
  <c r="O1493" i="19" l="1"/>
  <c r="G1493" i="19" a="1"/>
  <c r="G1493" i="19" s="1"/>
  <c r="M1493" i="19" s="1"/>
  <c r="I1493" i="19" a="1"/>
  <c r="I1493" i="19" s="1"/>
  <c r="O1494" i="19" l="1"/>
  <c r="G1494" i="19" a="1"/>
  <c r="G1494" i="19" s="1"/>
  <c r="M1494" i="19" s="1"/>
  <c r="I1494" i="19" a="1"/>
  <c r="I1494" i="19" s="1"/>
  <c r="O1495" i="19" l="1"/>
  <c r="G1495" i="19" a="1"/>
  <c r="G1495" i="19" s="1"/>
  <c r="M1495" i="19" s="1"/>
  <c r="I1495" i="19" a="1"/>
  <c r="I1495" i="19" s="1"/>
  <c r="O1496" i="19" l="1"/>
  <c r="G1496" i="19" a="1"/>
  <c r="G1496" i="19" s="1"/>
  <c r="M1496" i="19" s="1"/>
  <c r="I1496" i="19" a="1"/>
  <c r="I1496" i="19" s="1"/>
  <c r="O1497" i="19" l="1"/>
  <c r="G1497" i="19" a="1"/>
  <c r="G1497" i="19" s="1"/>
  <c r="M1497" i="19" s="1"/>
  <c r="I1497" i="19" a="1"/>
  <c r="I1497" i="19" s="1"/>
  <c r="G1498" i="19" l="1" a="1"/>
  <c r="G1498" i="19" s="1"/>
  <c r="M1498" i="19" s="1"/>
  <c r="I1498" i="19" a="1"/>
  <c r="I1498" i="19" s="1"/>
  <c r="O1498" i="19"/>
  <c r="O1499" i="19" l="1"/>
  <c r="G1499" i="19" a="1"/>
  <c r="G1499" i="19" s="1"/>
  <c r="M1499" i="19" s="1"/>
  <c r="I1499" i="19" a="1"/>
  <c r="I1499" i="19" s="1"/>
  <c r="O1500" i="19" l="1"/>
  <c r="G1500" i="19" a="1"/>
  <c r="G1500" i="19" s="1"/>
  <c r="M1500" i="19" s="1"/>
  <c r="I1500" i="19" a="1"/>
  <c r="I1500" i="19" s="1"/>
  <c r="O1501" i="19" l="1"/>
  <c r="G1501" i="19" a="1"/>
  <c r="G1501" i="19" s="1"/>
  <c r="M1501" i="19" s="1"/>
  <c r="I1501" i="19" a="1"/>
  <c r="I1501" i="19" s="1"/>
  <c r="O1502" i="19" l="1"/>
  <c r="G1502" i="19" a="1"/>
  <c r="G1502" i="19" s="1"/>
  <c r="M1502" i="19" s="1"/>
  <c r="I1502" i="19" a="1"/>
  <c r="I1502" i="19" s="1"/>
  <c r="O1503" i="19" l="1"/>
  <c r="G1503" i="19" a="1"/>
  <c r="G1503" i="19" s="1"/>
  <c r="M1503" i="19" s="1"/>
  <c r="I1503" i="19" a="1"/>
  <c r="I1503" i="19" s="1"/>
  <c r="O1504" i="19" l="1"/>
  <c r="G1504" i="19" a="1"/>
  <c r="G1504" i="19" s="1"/>
  <c r="M1504" i="19" s="1"/>
  <c r="I1504" i="19" a="1"/>
  <c r="I1504" i="19" s="1"/>
  <c r="O1505" i="19" l="1"/>
  <c r="G1505" i="19" a="1"/>
  <c r="G1505" i="19" s="1"/>
  <c r="M1505" i="19" s="1"/>
  <c r="I1505" i="19" a="1"/>
  <c r="I1505" i="19" s="1"/>
  <c r="O1506" i="19" l="1"/>
  <c r="G1506" i="19" a="1"/>
  <c r="G1506" i="19" s="1"/>
  <c r="M1506" i="19" s="1"/>
  <c r="I1506" i="19" a="1"/>
  <c r="I1506" i="19" s="1"/>
  <c r="O1507" i="19" l="1"/>
  <c r="G1507" i="19" a="1"/>
  <c r="G1507" i="19" s="1"/>
  <c r="M1507" i="19" s="1"/>
  <c r="I1507" i="19" a="1"/>
  <c r="I1507" i="19" s="1"/>
  <c r="O1508" i="19" l="1"/>
  <c r="G1508" i="19" a="1"/>
  <c r="G1508" i="19" s="1"/>
  <c r="M1508" i="19" s="1"/>
  <c r="I1508" i="19" a="1"/>
  <c r="I1508" i="19" s="1"/>
  <c r="O1509" i="19" l="1"/>
  <c r="G1509" i="19" a="1"/>
  <c r="G1509" i="19" s="1"/>
  <c r="M1509" i="19" s="1"/>
  <c r="I1509" i="19" a="1"/>
  <c r="I1509" i="19" s="1"/>
  <c r="O1510" i="19" l="1"/>
  <c r="G1510" i="19" a="1"/>
  <c r="G1510" i="19" s="1"/>
  <c r="M1510" i="19" s="1"/>
  <c r="I1510" i="19" a="1"/>
  <c r="I1510" i="19" s="1"/>
  <c r="O1511" i="19" l="1"/>
  <c r="G1511" i="19" a="1"/>
  <c r="G1511" i="19" s="1"/>
  <c r="M1511" i="19" s="1"/>
  <c r="I1511" i="19" a="1"/>
  <c r="I1511" i="19" s="1"/>
  <c r="O1512" i="19" l="1"/>
  <c r="G1512" i="19" a="1"/>
  <c r="G1512" i="19" s="1"/>
  <c r="M1512" i="19" s="1"/>
  <c r="I1512" i="19" a="1"/>
  <c r="I1512" i="19" s="1"/>
  <c r="G1513" i="19" l="1" a="1"/>
  <c r="G1513" i="19" s="1"/>
  <c r="M1513" i="19" s="1"/>
  <c r="I1513" i="19" a="1"/>
  <c r="I1513" i="19" s="1"/>
  <c r="O1513" i="19"/>
  <c r="O1514" i="19" l="1"/>
  <c r="G1514" i="19" a="1"/>
  <c r="G1514" i="19" s="1"/>
  <c r="M1514" i="19" s="1"/>
  <c r="I1514" i="19" a="1"/>
  <c r="I1514" i="19" s="1"/>
  <c r="O1515" i="19" l="1"/>
  <c r="G1515" i="19" a="1"/>
  <c r="G1515" i="19" s="1"/>
  <c r="M1515" i="19" s="1"/>
  <c r="I1515" i="19" a="1"/>
  <c r="I1515" i="19" s="1"/>
  <c r="G1516" i="19" l="1" a="1"/>
  <c r="G1516" i="19" s="1"/>
  <c r="M1516" i="19" s="1"/>
  <c r="I1516" i="19" a="1"/>
  <c r="I1516" i="19" s="1"/>
  <c r="O1516" i="19"/>
  <c r="O1517" i="19" l="1"/>
  <c r="G1517" i="19" a="1"/>
  <c r="G1517" i="19" s="1"/>
  <c r="M1517" i="19" s="1"/>
  <c r="I1517" i="19" a="1"/>
  <c r="I1517" i="19" s="1"/>
  <c r="O1518" i="19" l="1"/>
  <c r="G1518" i="19" a="1"/>
  <c r="G1518" i="19" s="1"/>
  <c r="M1518" i="19" s="1"/>
  <c r="I1518" i="19" a="1"/>
  <c r="I1518" i="19" s="1"/>
  <c r="G1519" i="19" l="1" a="1"/>
  <c r="G1519" i="19" s="1"/>
  <c r="M1519" i="19" s="1"/>
  <c r="I1519" i="19" a="1"/>
  <c r="I1519" i="19" s="1"/>
  <c r="O1519" i="19"/>
  <c r="O1520" i="19" l="1"/>
  <c r="G1520" i="19" a="1"/>
  <c r="G1520" i="19" s="1"/>
  <c r="M1520" i="19" s="1"/>
  <c r="I1520" i="19" a="1"/>
  <c r="I1520" i="19" s="1"/>
  <c r="O1521" i="19" l="1"/>
  <c r="G1521" i="19" a="1"/>
  <c r="G1521" i="19" s="1"/>
  <c r="M1521" i="19" s="1"/>
  <c r="I1521" i="19" a="1"/>
  <c r="I1521" i="19" s="1"/>
  <c r="O1522" i="19" l="1"/>
  <c r="G1522" i="19" a="1"/>
  <c r="G1522" i="19" s="1"/>
  <c r="M1522" i="19" s="1"/>
  <c r="I1522" i="19" a="1"/>
  <c r="I1522" i="19" s="1"/>
  <c r="O1523" i="19" l="1"/>
  <c r="G1523" i="19" a="1"/>
  <c r="G1523" i="19" s="1"/>
  <c r="M1523" i="19" s="1"/>
  <c r="I1523" i="19" a="1"/>
  <c r="I1523" i="19" s="1"/>
  <c r="O1524" i="19" l="1"/>
  <c r="G1524" i="19" a="1"/>
  <c r="G1524" i="19" s="1"/>
  <c r="M1524" i="19" s="1"/>
  <c r="I1524" i="19" a="1"/>
  <c r="I1524" i="19" s="1"/>
  <c r="O1525" i="19" l="1"/>
  <c r="G1525" i="19" a="1"/>
  <c r="G1525" i="19" s="1"/>
  <c r="M1525" i="19" s="1"/>
  <c r="I1525" i="19" a="1"/>
  <c r="I1525" i="19" s="1"/>
  <c r="O1526" i="19" l="1"/>
  <c r="G1526" i="19" a="1"/>
  <c r="G1526" i="19" s="1"/>
  <c r="M1526" i="19" s="1"/>
  <c r="I1526" i="19" a="1"/>
  <c r="I1526" i="19" s="1"/>
  <c r="O1527" i="19" l="1"/>
  <c r="G1527" i="19" a="1"/>
  <c r="G1527" i="19" s="1"/>
  <c r="M1527" i="19" s="1"/>
  <c r="I1527" i="19" a="1"/>
  <c r="I1527" i="19" s="1"/>
  <c r="O1528" i="19" l="1"/>
  <c r="G1528" i="19" a="1"/>
  <c r="G1528" i="19" s="1"/>
  <c r="M1528" i="19" s="1"/>
  <c r="I1528" i="19" a="1"/>
  <c r="I1528" i="19" s="1"/>
  <c r="O1529" i="19" l="1"/>
  <c r="G1529" i="19" a="1"/>
  <c r="G1529" i="19" s="1"/>
  <c r="M1529" i="19" s="1"/>
  <c r="I1529" i="19" a="1"/>
  <c r="I1529" i="19" s="1"/>
  <c r="O1530" i="19" l="1"/>
  <c r="G1530" i="19" a="1"/>
  <c r="G1530" i="19" s="1"/>
  <c r="M1530" i="19" s="1"/>
  <c r="I1530" i="19" a="1"/>
  <c r="I1530" i="19" s="1"/>
  <c r="O1531" i="19" l="1"/>
  <c r="G1531" i="19" a="1"/>
  <c r="G1531" i="19" s="1"/>
  <c r="M1531" i="19" s="1"/>
  <c r="I1531" i="19" a="1"/>
  <c r="I1531" i="19" s="1"/>
  <c r="O1532" i="19" l="1"/>
  <c r="G1532" i="19" a="1"/>
  <c r="G1532" i="19" s="1"/>
  <c r="M1532" i="19" s="1"/>
  <c r="I1532" i="19" a="1"/>
  <c r="I1532" i="19" s="1"/>
  <c r="O1533" i="19" l="1"/>
  <c r="G1533" i="19" a="1"/>
  <c r="G1533" i="19" s="1"/>
  <c r="M1533" i="19" s="1"/>
  <c r="I1533" i="19" a="1"/>
  <c r="I1533" i="19" s="1"/>
  <c r="O1534" i="19" l="1"/>
  <c r="G1534" i="19" a="1"/>
  <c r="G1534" i="19" s="1"/>
  <c r="M1534" i="19" s="1"/>
  <c r="I1534" i="19" a="1"/>
  <c r="I1534" i="19" s="1"/>
  <c r="O1535" i="19" l="1"/>
  <c r="G1535" i="19" a="1"/>
  <c r="G1535" i="19" s="1"/>
  <c r="M1535" i="19" s="1"/>
  <c r="I1535" i="19" a="1"/>
  <c r="I1535" i="19" s="1"/>
  <c r="O1536" i="19" l="1"/>
  <c r="G1536" i="19" a="1"/>
  <c r="G1536" i="19" s="1"/>
  <c r="M1536" i="19" s="1"/>
  <c r="I1536" i="19" a="1"/>
  <c r="I1536" i="19" s="1"/>
  <c r="O1537" i="19" l="1"/>
  <c r="G1537" i="19" a="1"/>
  <c r="G1537" i="19" s="1"/>
  <c r="M1537" i="19" s="1"/>
  <c r="I1537" i="19" a="1"/>
  <c r="I1537" i="19" s="1"/>
  <c r="O1538" i="19" l="1"/>
  <c r="G1538" i="19" a="1"/>
  <c r="G1538" i="19" s="1"/>
  <c r="M1538" i="19" s="1"/>
  <c r="I1538" i="19" a="1"/>
  <c r="I1538" i="19" s="1"/>
  <c r="O1539" i="19" l="1"/>
  <c r="G1539" i="19" a="1"/>
  <c r="G1539" i="19" s="1"/>
  <c r="M1539" i="19" s="1"/>
  <c r="I1539" i="19" a="1"/>
  <c r="I1539" i="19" s="1"/>
  <c r="O1540" i="19" l="1"/>
  <c r="G1540" i="19" a="1"/>
  <c r="G1540" i="19" s="1"/>
  <c r="M1540" i="19" s="1"/>
  <c r="I1540" i="19" a="1"/>
  <c r="I1540" i="19" s="1"/>
  <c r="O1541" i="19" l="1"/>
  <c r="G1541" i="19" a="1"/>
  <c r="G1541" i="19" s="1"/>
  <c r="M1541" i="19" s="1"/>
  <c r="I1541" i="19" a="1"/>
  <c r="I1541" i="19" s="1"/>
  <c r="O1542" i="19" l="1"/>
  <c r="G1542" i="19" a="1"/>
  <c r="G1542" i="19" s="1"/>
  <c r="M1542" i="19" s="1"/>
  <c r="I1542" i="19" a="1"/>
  <c r="I1542" i="19" s="1"/>
  <c r="O1543" i="19" l="1"/>
  <c r="G1543" i="19" a="1"/>
  <c r="G1543" i="19" s="1"/>
  <c r="M1543" i="19" s="1"/>
  <c r="I1543" i="19" a="1"/>
  <c r="I1543" i="19" s="1"/>
  <c r="O1544" i="19" l="1"/>
  <c r="G1544" i="19" a="1"/>
  <c r="G1544" i="19" s="1"/>
  <c r="M1544" i="19" s="1"/>
  <c r="I1544" i="19" a="1"/>
  <c r="I1544" i="19" s="1"/>
  <c r="O1545" i="19" l="1"/>
  <c r="G1545" i="19" a="1"/>
  <c r="G1545" i="19" s="1"/>
  <c r="M1545" i="19" s="1"/>
  <c r="I1545" i="19" a="1"/>
  <c r="I1545" i="19" s="1"/>
  <c r="O1546" i="19" l="1"/>
  <c r="G1546" i="19" a="1"/>
  <c r="G1546" i="19" s="1"/>
  <c r="M1546" i="19" s="1"/>
  <c r="I1546" i="19" a="1"/>
  <c r="I1546" i="19" s="1"/>
  <c r="O1547" i="19" l="1"/>
  <c r="G1547" i="19" a="1"/>
  <c r="G1547" i="19" s="1"/>
  <c r="M1547" i="19" s="1"/>
  <c r="I1547" i="19" a="1"/>
  <c r="I1547" i="19" s="1"/>
  <c r="O1548" i="19" l="1"/>
  <c r="G1548" i="19" a="1"/>
  <c r="G1548" i="19" s="1"/>
  <c r="M1548" i="19" s="1"/>
  <c r="I1548" i="19" a="1"/>
  <c r="I1548" i="19" s="1"/>
  <c r="O1549" i="19" l="1"/>
  <c r="G1549" i="19" a="1"/>
  <c r="G1549" i="19" s="1"/>
  <c r="M1549" i="19" s="1"/>
  <c r="I1549" i="19" a="1"/>
  <c r="I1549" i="19" s="1"/>
  <c r="O1550" i="19" l="1"/>
  <c r="G1550" i="19" a="1"/>
  <c r="G1550" i="19" s="1"/>
  <c r="M1550" i="19" s="1"/>
  <c r="I1550" i="19" a="1"/>
  <c r="I1550" i="19" s="1"/>
  <c r="O1551" i="19" l="1"/>
  <c r="G1551" i="19" a="1"/>
  <c r="G1551" i="19" s="1"/>
  <c r="M1551" i="19" s="1"/>
  <c r="I1551" i="19" a="1"/>
  <c r="I1551" i="19" s="1"/>
  <c r="O1552" i="19" l="1"/>
  <c r="G1552" i="19" a="1"/>
  <c r="G1552" i="19" s="1"/>
  <c r="M1552" i="19" s="1"/>
  <c r="I1552" i="19" a="1"/>
  <c r="I1552" i="19" s="1"/>
  <c r="O1553" i="19" l="1"/>
  <c r="G1553" i="19" a="1"/>
  <c r="G1553" i="19" s="1"/>
  <c r="M1553" i="19" s="1"/>
  <c r="I1553" i="19" a="1"/>
  <c r="I1553" i="19" s="1"/>
  <c r="O1554" i="19" l="1"/>
  <c r="G1554" i="19" a="1"/>
  <c r="G1554" i="19" s="1"/>
  <c r="M1554" i="19" s="1"/>
  <c r="I1554" i="19" a="1"/>
  <c r="I1554" i="19" s="1"/>
  <c r="O1555" i="19" l="1"/>
  <c r="G1555" i="19" a="1"/>
  <c r="G1555" i="19" s="1"/>
  <c r="M1555" i="19" s="1"/>
  <c r="I1555" i="19" a="1"/>
  <c r="I1555" i="19" s="1"/>
  <c r="O1556" i="19" l="1"/>
  <c r="G1556" i="19" a="1"/>
  <c r="G1556" i="19" s="1"/>
  <c r="M1556" i="19" s="1"/>
  <c r="I1556" i="19" a="1"/>
  <c r="I1556" i="19" s="1"/>
  <c r="O1557" i="19" l="1"/>
  <c r="G1557" i="19" a="1"/>
  <c r="G1557" i="19" s="1"/>
  <c r="M1557" i="19" s="1"/>
  <c r="I1557" i="19" a="1"/>
  <c r="I1557" i="19" s="1"/>
  <c r="O1558" i="19" l="1"/>
  <c r="G1558" i="19" a="1"/>
  <c r="G1558" i="19" s="1"/>
  <c r="M1558" i="19" s="1"/>
  <c r="I1558" i="19" a="1"/>
  <c r="I1558" i="19" s="1"/>
  <c r="O1559" i="19" l="1"/>
  <c r="G1559" i="19" a="1"/>
  <c r="G1559" i="19" s="1"/>
  <c r="M1559" i="19" s="1"/>
  <c r="I1559" i="19" a="1"/>
  <c r="I1559" i="19" s="1"/>
  <c r="O1560" i="19" l="1"/>
  <c r="G1560" i="19" a="1"/>
  <c r="G1560" i="19" s="1"/>
  <c r="M1560" i="19" s="1"/>
  <c r="I1560" i="19" a="1"/>
  <c r="I1560" i="19" s="1"/>
  <c r="O1561" i="19" l="1"/>
  <c r="G1561" i="19" a="1"/>
  <c r="G1561" i="19" s="1"/>
  <c r="M1561" i="19" s="1"/>
  <c r="I1561" i="19" a="1"/>
  <c r="I1561" i="19" s="1"/>
  <c r="O1562" i="19" l="1"/>
  <c r="G1562" i="19" a="1"/>
  <c r="G1562" i="19" s="1"/>
  <c r="M1562" i="19" s="1"/>
  <c r="I1562" i="19" a="1"/>
  <c r="I1562" i="19" s="1"/>
  <c r="O1563" i="19" l="1"/>
  <c r="G1563" i="19" a="1"/>
  <c r="G1563" i="19" s="1"/>
  <c r="M1563" i="19" s="1"/>
  <c r="I1563" i="19" a="1"/>
  <c r="I1563" i="19" s="1"/>
  <c r="O1564" i="19" l="1"/>
  <c r="G1564" i="19" a="1"/>
  <c r="G1564" i="19" s="1"/>
  <c r="M1564" i="19" s="1"/>
  <c r="I1564" i="19" a="1"/>
  <c r="I1564" i="19" s="1"/>
  <c r="O1565" i="19" l="1"/>
  <c r="G1565" i="19" a="1"/>
  <c r="G1565" i="19" s="1"/>
  <c r="M1565" i="19" s="1"/>
  <c r="I1565" i="19" a="1"/>
  <c r="I1565" i="19" s="1"/>
  <c r="O1566" i="19" l="1"/>
  <c r="G1566" i="19" a="1"/>
  <c r="G1566" i="19" s="1"/>
  <c r="M1566" i="19" s="1"/>
  <c r="I1566" i="19" a="1"/>
  <c r="I1566" i="19" s="1"/>
  <c r="O1567" i="19" l="1"/>
  <c r="G1567" i="19" a="1"/>
  <c r="G1567" i="19" s="1"/>
  <c r="M1567" i="19" s="1"/>
  <c r="I1567" i="19" a="1"/>
  <c r="I1567" i="19" s="1"/>
  <c r="O1568" i="19" l="1"/>
  <c r="G1568" i="19" a="1"/>
  <c r="G1568" i="19" s="1"/>
  <c r="M1568" i="19" s="1"/>
  <c r="I1568" i="19" a="1"/>
  <c r="I1568" i="19" s="1"/>
  <c r="O1569" i="19" l="1"/>
  <c r="G1569" i="19" a="1"/>
  <c r="G1569" i="19" s="1"/>
  <c r="M1569" i="19" s="1"/>
  <c r="I1569" i="19" a="1"/>
  <c r="I1569" i="19" s="1"/>
  <c r="O1570" i="19" l="1"/>
  <c r="G1570" i="19" a="1"/>
  <c r="G1570" i="19" s="1"/>
  <c r="M1570" i="19" s="1"/>
  <c r="I1570" i="19" a="1"/>
  <c r="I1570" i="19" s="1"/>
  <c r="O1571" i="19" l="1"/>
  <c r="G1571" i="19" a="1"/>
  <c r="G1571" i="19" s="1"/>
  <c r="M1571" i="19" s="1"/>
  <c r="I1571" i="19" a="1"/>
  <c r="I1571" i="19" s="1"/>
  <c r="O1572" i="19" l="1"/>
  <c r="G1572" i="19" a="1"/>
  <c r="G1572" i="19" s="1"/>
  <c r="M1572" i="19" s="1"/>
  <c r="I1572" i="19" a="1"/>
  <c r="I1572" i="19" s="1"/>
  <c r="O1573" i="19" l="1"/>
  <c r="G1573" i="19" a="1"/>
  <c r="G1573" i="19" s="1"/>
  <c r="M1573" i="19" s="1"/>
  <c r="I1573" i="19" a="1"/>
  <c r="I1573" i="19" s="1"/>
  <c r="O1574" i="19" l="1"/>
  <c r="G1574" i="19" a="1"/>
  <c r="G1574" i="19" s="1"/>
  <c r="M1574" i="19" s="1"/>
  <c r="I1574" i="19" a="1"/>
  <c r="I1574" i="19" s="1"/>
  <c r="O1575" i="19" l="1"/>
  <c r="G1575" i="19" a="1"/>
  <c r="G1575" i="19" s="1"/>
  <c r="M1575" i="19" s="1"/>
  <c r="I1575" i="19" a="1"/>
  <c r="I1575" i="19" s="1"/>
  <c r="O1576" i="19" l="1"/>
  <c r="G1576" i="19" a="1"/>
  <c r="G1576" i="19" s="1"/>
  <c r="M1576" i="19" s="1"/>
  <c r="I1576" i="19" a="1"/>
  <c r="I1576" i="19" s="1"/>
  <c r="O1577" i="19" l="1"/>
  <c r="G1577" i="19" a="1"/>
  <c r="G1577" i="19" s="1"/>
  <c r="M1577" i="19" s="1"/>
  <c r="I1577" i="19" a="1"/>
  <c r="I1577" i="19" s="1"/>
  <c r="O1578" i="19" l="1"/>
  <c r="G1578" i="19" a="1"/>
  <c r="G1578" i="19" s="1"/>
  <c r="M1578" i="19" s="1"/>
  <c r="I1578" i="19" a="1"/>
  <c r="I1578" i="19" s="1"/>
  <c r="O1579" i="19" l="1"/>
  <c r="G1579" i="19" a="1"/>
  <c r="G1579" i="19" s="1"/>
  <c r="M1579" i="19" s="1"/>
  <c r="I1579" i="19" a="1"/>
  <c r="I1579" i="19" s="1"/>
  <c r="O1580" i="19" l="1"/>
  <c r="G1580" i="19" a="1"/>
  <c r="G1580" i="19" s="1"/>
  <c r="M1580" i="19" s="1"/>
  <c r="I1580" i="19" a="1"/>
  <c r="I1580" i="19" s="1"/>
  <c r="O1581" i="19" l="1"/>
  <c r="G1581" i="19" a="1"/>
  <c r="G1581" i="19" s="1"/>
  <c r="M1581" i="19" s="1"/>
  <c r="I1581" i="19" a="1"/>
  <c r="I1581" i="19" s="1"/>
  <c r="O1582" i="19" l="1"/>
  <c r="G1582" i="19" a="1"/>
  <c r="G1582" i="19" s="1"/>
  <c r="M1582" i="19" s="1"/>
  <c r="I1582" i="19" a="1"/>
  <c r="I1582" i="19" s="1"/>
  <c r="O1583" i="19" l="1"/>
  <c r="G1583" i="19" a="1"/>
  <c r="G1583" i="19" s="1"/>
  <c r="M1583" i="19" s="1"/>
  <c r="I1583" i="19" a="1"/>
  <c r="I1583" i="19" s="1"/>
  <c r="O1584" i="19" l="1"/>
  <c r="G1584" i="19" a="1"/>
  <c r="G1584" i="19" s="1"/>
  <c r="M1584" i="19" s="1"/>
  <c r="I1584" i="19" a="1"/>
  <c r="I1584" i="19" s="1"/>
  <c r="O1585" i="19" l="1"/>
  <c r="G1585" i="19" a="1"/>
  <c r="G1585" i="19" s="1"/>
  <c r="M1585" i="19" s="1"/>
  <c r="I1585" i="19" a="1"/>
  <c r="I1585" i="19" s="1"/>
  <c r="G1586" i="19" l="1" a="1"/>
  <c r="G1586" i="19" s="1"/>
  <c r="M1586" i="19" s="1"/>
  <c r="I1586" i="19" a="1"/>
  <c r="I1586" i="19" s="1"/>
  <c r="O1586" i="19"/>
  <c r="O1587" i="19" l="1"/>
  <c r="G1587" i="19" a="1"/>
  <c r="G1587" i="19" s="1"/>
  <c r="M1587" i="19" s="1"/>
  <c r="I1587" i="19" a="1"/>
  <c r="I1587" i="19" s="1"/>
  <c r="O1588" i="19" l="1"/>
  <c r="G1588" i="19" a="1"/>
  <c r="G1588" i="19" s="1"/>
  <c r="M1588" i="19" s="1"/>
  <c r="I1588" i="19" a="1"/>
  <c r="I1588" i="19" s="1"/>
  <c r="O1589" i="19" l="1"/>
  <c r="G1589" i="19" a="1"/>
  <c r="G1589" i="19" s="1"/>
  <c r="M1589" i="19" s="1"/>
  <c r="I1589" i="19" a="1"/>
  <c r="I1589" i="19" s="1"/>
  <c r="O1590" i="19" l="1"/>
  <c r="G1590" i="19" a="1"/>
  <c r="G1590" i="19" s="1"/>
  <c r="M1590" i="19" s="1"/>
  <c r="I1590" i="19" a="1"/>
  <c r="I1590" i="19" s="1"/>
  <c r="O1591" i="19" l="1"/>
  <c r="G1591" i="19" a="1"/>
  <c r="G1591" i="19" s="1"/>
  <c r="M1591" i="19" s="1"/>
  <c r="I1591" i="19" a="1"/>
  <c r="I1591" i="19" s="1"/>
  <c r="O1592" i="19" l="1"/>
  <c r="G1592" i="19" a="1"/>
  <c r="G1592" i="19" s="1"/>
  <c r="M1592" i="19" s="1"/>
  <c r="I1592" i="19" a="1"/>
  <c r="I1592" i="19" s="1"/>
  <c r="O1593" i="19" l="1"/>
  <c r="G1593" i="19" a="1"/>
  <c r="G1593" i="19" s="1"/>
  <c r="M1593" i="19" s="1"/>
  <c r="I1593" i="19" a="1"/>
  <c r="I1593" i="19" s="1"/>
  <c r="O1594" i="19" l="1"/>
  <c r="G1594" i="19" a="1"/>
  <c r="G1594" i="19" s="1"/>
  <c r="M1594" i="19" s="1"/>
  <c r="I1594" i="19" a="1"/>
  <c r="I1594" i="19" s="1"/>
  <c r="O1595" i="19" l="1"/>
  <c r="G1595" i="19" a="1"/>
  <c r="G1595" i="19" s="1"/>
  <c r="M1595" i="19" s="1"/>
  <c r="I1595" i="19" a="1"/>
  <c r="I1595" i="19" s="1"/>
  <c r="O1596" i="19" l="1"/>
  <c r="G1596" i="19" a="1"/>
  <c r="G1596" i="19" s="1"/>
  <c r="M1596" i="19" s="1"/>
  <c r="I1596" i="19" a="1"/>
  <c r="I1596" i="19" s="1"/>
  <c r="G1597" i="19" l="1" a="1"/>
  <c r="G1597" i="19" s="1"/>
  <c r="M1597" i="19" s="1"/>
  <c r="I1597" i="19" a="1"/>
  <c r="I1597" i="19" s="1"/>
  <c r="O1597" i="19"/>
  <c r="O1598" i="19" l="1"/>
  <c r="G1598" i="19" a="1"/>
  <c r="G1598" i="19" s="1"/>
  <c r="M1598" i="19" s="1"/>
  <c r="I1598" i="19" a="1"/>
  <c r="I1598" i="19" s="1"/>
  <c r="G1599" i="19" l="1" a="1"/>
  <c r="G1599" i="19" s="1"/>
  <c r="M1599" i="19" s="1"/>
  <c r="I1599" i="19" a="1"/>
  <c r="I1599" i="19" s="1"/>
  <c r="O1599" i="19"/>
  <c r="G1600" i="19" l="1" a="1"/>
  <c r="G1600" i="19" s="1"/>
  <c r="M1600" i="19" s="1"/>
  <c r="I1600" i="19" a="1"/>
  <c r="I1600" i="19" s="1"/>
  <c r="O1600" i="19"/>
  <c r="O1601" i="19" l="1"/>
  <c r="G1601" i="19" a="1"/>
  <c r="G1601" i="19" s="1"/>
  <c r="M1601" i="19" s="1"/>
  <c r="I1601" i="19" a="1"/>
  <c r="I1601" i="19" s="1"/>
  <c r="O1602" i="19" l="1"/>
  <c r="G1602" i="19" a="1"/>
  <c r="G1602" i="19" s="1"/>
  <c r="M1602" i="19" s="1"/>
  <c r="I1602" i="19" a="1"/>
  <c r="I1602" i="19" s="1"/>
  <c r="O1603" i="19" l="1"/>
  <c r="G1603" i="19" a="1"/>
  <c r="G1603" i="19" s="1"/>
  <c r="M1603" i="19" s="1"/>
  <c r="I1603" i="19" a="1"/>
  <c r="I1603" i="19" s="1"/>
  <c r="O1604" i="19" l="1"/>
  <c r="G1604" i="19" a="1"/>
  <c r="G1604" i="19" s="1"/>
  <c r="M1604" i="19" s="1"/>
  <c r="I1604" i="19" a="1"/>
  <c r="I1604" i="19" s="1"/>
  <c r="O1605" i="19" l="1"/>
  <c r="G1605" i="19" a="1"/>
  <c r="G1605" i="19" s="1"/>
  <c r="M1605" i="19" s="1"/>
  <c r="I1605" i="19" a="1"/>
  <c r="I1605" i="19" s="1"/>
  <c r="O1606" i="19" l="1"/>
  <c r="G1606" i="19" a="1"/>
  <c r="G1606" i="19" s="1"/>
  <c r="M1606" i="19" s="1"/>
  <c r="I1606" i="19" a="1"/>
  <c r="I1606" i="19" s="1"/>
  <c r="O1607" i="19" l="1"/>
  <c r="G1607" i="19" a="1"/>
  <c r="G1607" i="19" s="1"/>
  <c r="M1607" i="19" s="1"/>
  <c r="I1607" i="19" a="1"/>
  <c r="I1607" i="19" s="1"/>
  <c r="O1608" i="19" l="1"/>
  <c r="G1608" i="19" a="1"/>
  <c r="G1608" i="19" s="1"/>
  <c r="M1608" i="19" s="1"/>
  <c r="I1608" i="19" a="1"/>
  <c r="I1608" i="19" s="1"/>
  <c r="O1609" i="19" l="1"/>
  <c r="G1609" i="19" a="1"/>
  <c r="G1609" i="19" s="1"/>
  <c r="M1609" i="19" s="1"/>
  <c r="I1609" i="19" a="1"/>
  <c r="I1609" i="19" s="1"/>
  <c r="O1610" i="19" l="1"/>
  <c r="G1610" i="19" a="1"/>
  <c r="G1610" i="19" s="1"/>
  <c r="M1610" i="19" s="1"/>
  <c r="I1610" i="19" a="1"/>
  <c r="I1610" i="19" s="1"/>
  <c r="O1611" i="19" l="1"/>
  <c r="G1611" i="19" a="1"/>
  <c r="G1611" i="19" s="1"/>
  <c r="M1611" i="19" s="1"/>
  <c r="I1611" i="19" a="1"/>
  <c r="I1611" i="19" s="1"/>
  <c r="O1612" i="19" l="1"/>
  <c r="G1612" i="19" a="1"/>
  <c r="G1612" i="19" s="1"/>
  <c r="M1612" i="19" s="1"/>
  <c r="I1612" i="19" a="1"/>
  <c r="I1612" i="19" s="1"/>
  <c r="O1613" i="19" l="1"/>
  <c r="G1613" i="19" a="1"/>
  <c r="G1613" i="19" s="1"/>
  <c r="M1613" i="19" s="1"/>
  <c r="I1613" i="19" a="1"/>
  <c r="I1613" i="19" s="1"/>
  <c r="O1614" i="19" l="1"/>
  <c r="G1614" i="19" a="1"/>
  <c r="G1614" i="19" s="1"/>
  <c r="M1614" i="19" s="1"/>
  <c r="I1614" i="19" a="1"/>
  <c r="I1614" i="19" s="1"/>
  <c r="O1615" i="19" l="1"/>
  <c r="G1615" i="19" a="1"/>
  <c r="G1615" i="19" s="1"/>
  <c r="M1615" i="19" s="1"/>
  <c r="I1615" i="19" a="1"/>
  <c r="I1615" i="19" s="1"/>
  <c r="O1616" i="19" l="1"/>
  <c r="G1616" i="19" a="1"/>
  <c r="G1616" i="19" s="1"/>
  <c r="M1616" i="19" s="1"/>
  <c r="I1616" i="19" a="1"/>
  <c r="I1616" i="19" s="1"/>
  <c r="O1617" i="19" l="1"/>
  <c r="G1617" i="19" a="1"/>
  <c r="G1617" i="19" s="1"/>
  <c r="M1617" i="19" s="1"/>
  <c r="I1617" i="19" a="1"/>
  <c r="I1617" i="19" s="1"/>
  <c r="O1618" i="19" l="1"/>
  <c r="G1618" i="19" a="1"/>
  <c r="G1618" i="19" s="1"/>
  <c r="M1618" i="19" s="1"/>
  <c r="I1618" i="19" a="1"/>
  <c r="I1618" i="19" s="1"/>
  <c r="O1619" i="19" l="1"/>
  <c r="G1619" i="19" a="1"/>
  <c r="G1619" i="19" s="1"/>
  <c r="M1619" i="19" s="1"/>
  <c r="I1619" i="19" a="1"/>
  <c r="I1619" i="19" s="1"/>
  <c r="O1620" i="19" l="1"/>
  <c r="G1620" i="19" a="1"/>
  <c r="G1620" i="19" s="1"/>
  <c r="M1620" i="19" s="1"/>
  <c r="I1620" i="19" a="1"/>
  <c r="I1620" i="19" s="1"/>
  <c r="O1621" i="19" l="1"/>
  <c r="G1621" i="19" a="1"/>
  <c r="G1621" i="19" s="1"/>
  <c r="M1621" i="19" s="1"/>
  <c r="I1621" i="19" a="1"/>
  <c r="I1621" i="19" s="1"/>
  <c r="O1622" i="19" l="1"/>
  <c r="G1622" i="19" a="1"/>
  <c r="G1622" i="19" s="1"/>
  <c r="M1622" i="19" s="1"/>
  <c r="I1622" i="19" a="1"/>
  <c r="I1622" i="19" s="1"/>
  <c r="O1623" i="19" l="1"/>
  <c r="G1623" i="19" a="1"/>
  <c r="G1623" i="19" s="1"/>
  <c r="M1623" i="19" s="1"/>
  <c r="I1623" i="19" a="1"/>
  <c r="I1623" i="19" s="1"/>
  <c r="O1624" i="19" l="1"/>
  <c r="G1624" i="19" a="1"/>
  <c r="G1624" i="19" s="1"/>
  <c r="M1624" i="19" s="1"/>
  <c r="I1624" i="19" a="1"/>
  <c r="I1624" i="19" s="1"/>
  <c r="O1625" i="19" l="1"/>
  <c r="G1625" i="19" a="1"/>
  <c r="G1625" i="19" s="1"/>
  <c r="M1625" i="19" s="1"/>
  <c r="I1625" i="19" a="1"/>
  <c r="I1625" i="19" s="1"/>
  <c r="G1626" i="19" l="1" a="1"/>
  <c r="G1626" i="19" s="1"/>
  <c r="M1626" i="19" s="1"/>
  <c r="I1626" i="19" a="1"/>
  <c r="I1626" i="19" s="1"/>
  <c r="O1626" i="19"/>
  <c r="O1627" i="19" l="1"/>
  <c r="G1627" i="19" a="1"/>
  <c r="G1627" i="19" s="1"/>
  <c r="M1627" i="19" s="1"/>
  <c r="I1627" i="19" a="1"/>
  <c r="I1627" i="19" s="1"/>
  <c r="G1628" i="19" l="1" a="1"/>
  <c r="G1628" i="19" s="1"/>
  <c r="M1628" i="19" s="1"/>
  <c r="I1628" i="19" a="1"/>
  <c r="I1628" i="19" s="1"/>
  <c r="O1628" i="19"/>
  <c r="O1629" i="19" l="1"/>
  <c r="G1629" i="19" a="1"/>
  <c r="G1629" i="19" s="1"/>
  <c r="M1629" i="19" s="1"/>
  <c r="I1629" i="19" a="1"/>
  <c r="I1629" i="19" s="1"/>
  <c r="O1630" i="19" l="1"/>
  <c r="G1630" i="19" a="1"/>
  <c r="G1630" i="19" s="1"/>
  <c r="M1630" i="19" s="1"/>
  <c r="I1630" i="19" a="1"/>
  <c r="I1630" i="19" s="1"/>
  <c r="O1631" i="19" l="1"/>
  <c r="G1631" i="19" a="1"/>
  <c r="G1631" i="19" s="1"/>
  <c r="M1631" i="19" s="1"/>
  <c r="I1631" i="19" a="1"/>
  <c r="I1631" i="19" s="1"/>
  <c r="O1632" i="19" l="1"/>
  <c r="G1632" i="19" a="1"/>
  <c r="G1632" i="19" s="1"/>
  <c r="M1632" i="19" s="1"/>
  <c r="I1632" i="19" a="1"/>
  <c r="I1632" i="19" s="1"/>
  <c r="O1633" i="19" l="1"/>
  <c r="G1633" i="19" a="1"/>
  <c r="G1633" i="19" s="1"/>
  <c r="M1633" i="19" s="1"/>
  <c r="I1633" i="19" a="1"/>
  <c r="I1633" i="19" s="1"/>
  <c r="O1634" i="19" l="1"/>
  <c r="G1634" i="19" a="1"/>
  <c r="G1634" i="19" s="1"/>
  <c r="M1634" i="19" s="1"/>
  <c r="I1634" i="19" a="1"/>
  <c r="I1634" i="19" s="1"/>
  <c r="O1635" i="19" l="1"/>
  <c r="G1635" i="19" a="1"/>
  <c r="G1635" i="19" s="1"/>
  <c r="M1635" i="19" s="1"/>
  <c r="I1635" i="19" a="1"/>
  <c r="I1635" i="19" s="1"/>
  <c r="O1636" i="19" l="1"/>
  <c r="G1636" i="19" a="1"/>
  <c r="G1636" i="19" s="1"/>
  <c r="M1636" i="19" s="1"/>
  <c r="I1636" i="19" a="1"/>
  <c r="I1636" i="19" s="1"/>
  <c r="O1637" i="19" l="1"/>
  <c r="G1637" i="19" a="1"/>
  <c r="G1637" i="19" s="1"/>
  <c r="M1637" i="19" s="1"/>
  <c r="I1637" i="19" a="1"/>
  <c r="I1637" i="19" s="1"/>
  <c r="O1638" i="19" l="1"/>
  <c r="G1638" i="19" a="1"/>
  <c r="G1638" i="19" s="1"/>
  <c r="M1638" i="19" s="1"/>
  <c r="I1638" i="19" a="1"/>
  <c r="I1638" i="19" s="1"/>
  <c r="O1639" i="19" l="1"/>
  <c r="G1639" i="19" a="1"/>
  <c r="G1639" i="19" s="1"/>
  <c r="M1639" i="19" s="1"/>
  <c r="I1639" i="19" a="1"/>
  <c r="I1639" i="19" s="1"/>
  <c r="O1640" i="19" l="1"/>
  <c r="G1640" i="19" a="1"/>
  <c r="G1640" i="19" s="1"/>
  <c r="M1640" i="19" s="1"/>
  <c r="I1640" i="19" a="1"/>
  <c r="I1640" i="19" s="1"/>
  <c r="O1641" i="19" l="1"/>
  <c r="G1641" i="19" a="1"/>
  <c r="G1641" i="19" s="1"/>
  <c r="M1641" i="19" s="1"/>
  <c r="I1641" i="19" a="1"/>
  <c r="I1641" i="19" s="1"/>
  <c r="O1642" i="19" l="1"/>
  <c r="G1642" i="19" a="1"/>
  <c r="G1642" i="19" s="1"/>
  <c r="M1642" i="19" s="1"/>
  <c r="I1642" i="19" a="1"/>
  <c r="I1642" i="19" s="1"/>
  <c r="O1643" i="19" l="1"/>
  <c r="G1643" i="19" a="1"/>
  <c r="G1643" i="19" s="1"/>
  <c r="M1643" i="19" s="1"/>
  <c r="I1643" i="19" a="1"/>
  <c r="I1643" i="19" s="1"/>
  <c r="O1644" i="19" l="1"/>
  <c r="G1644" i="19" a="1"/>
  <c r="G1644" i="19" s="1"/>
  <c r="M1644" i="19" s="1"/>
  <c r="I1644" i="19" a="1"/>
  <c r="I1644" i="19" s="1"/>
  <c r="O1645" i="19" l="1"/>
  <c r="G1645" i="19" a="1"/>
  <c r="G1645" i="19" s="1"/>
  <c r="M1645" i="19" s="1"/>
  <c r="I1645" i="19" a="1"/>
  <c r="I1645" i="19" s="1"/>
  <c r="O1646" i="19" l="1"/>
  <c r="G1646" i="19" a="1"/>
  <c r="G1646" i="19" s="1"/>
  <c r="M1646" i="19" s="1"/>
  <c r="I1646" i="19" a="1"/>
  <c r="I1646" i="19" s="1"/>
  <c r="O1647" i="19" l="1"/>
  <c r="G1647" i="19" a="1"/>
  <c r="G1647" i="19" s="1"/>
  <c r="M1647" i="19" s="1"/>
  <c r="I1647" i="19" a="1"/>
  <c r="I1647" i="19" s="1"/>
  <c r="O1648" i="19" l="1"/>
  <c r="G1648" i="19" a="1"/>
  <c r="G1648" i="19" s="1"/>
  <c r="M1648" i="19" s="1"/>
  <c r="I1648" i="19" a="1"/>
  <c r="I1648" i="19" s="1"/>
  <c r="O1649" i="19" l="1"/>
  <c r="G1649" i="19" a="1"/>
  <c r="G1649" i="19" s="1"/>
  <c r="M1649" i="19" s="1"/>
  <c r="I1649" i="19" a="1"/>
  <c r="I1649" i="19" s="1"/>
  <c r="O1650" i="19" l="1"/>
  <c r="G1650" i="19" a="1"/>
  <c r="G1650" i="19" s="1"/>
  <c r="M1650" i="19" s="1"/>
  <c r="I1650" i="19" a="1"/>
  <c r="I1650" i="19" s="1"/>
  <c r="O1651" i="19" l="1"/>
  <c r="G1651" i="19" a="1"/>
  <c r="G1651" i="19" s="1"/>
  <c r="M1651" i="19" s="1"/>
  <c r="I1651" i="19" a="1"/>
  <c r="I1651" i="19" s="1"/>
  <c r="O1652" i="19" l="1"/>
  <c r="G1652" i="19" a="1"/>
  <c r="G1652" i="19" s="1"/>
  <c r="M1652" i="19" s="1"/>
  <c r="I1652" i="19" a="1"/>
  <c r="I1652" i="19" s="1"/>
  <c r="G1653" i="19" l="1" a="1"/>
  <c r="G1653" i="19" s="1"/>
  <c r="M1653" i="19" s="1"/>
  <c r="I1653" i="19" a="1"/>
  <c r="I1653" i="19" s="1"/>
  <c r="O1653" i="19"/>
  <c r="G1654" i="19" l="1" a="1"/>
  <c r="G1654" i="19" s="1"/>
  <c r="M1654" i="19" s="1"/>
  <c r="I1654" i="19" a="1"/>
  <c r="I1654" i="19" s="1"/>
  <c r="O1654" i="19"/>
  <c r="O1655" i="19" l="1"/>
  <c r="G1655" i="19" a="1"/>
  <c r="G1655" i="19" s="1"/>
  <c r="M1655" i="19" s="1"/>
  <c r="I1655" i="19" a="1"/>
  <c r="I1655" i="19" s="1"/>
  <c r="O1656" i="19" l="1"/>
  <c r="G1656" i="19" a="1"/>
  <c r="G1656" i="19" s="1"/>
  <c r="M1656" i="19" s="1"/>
  <c r="I1656" i="19" a="1"/>
  <c r="I1656" i="19" s="1"/>
  <c r="G1657" i="19" l="1" a="1"/>
  <c r="G1657" i="19" s="1"/>
  <c r="M1657" i="19" s="1"/>
  <c r="I1657" i="19" a="1"/>
  <c r="I1657" i="19" s="1"/>
  <c r="O1657" i="19"/>
  <c r="G1658" i="19" l="1" a="1"/>
  <c r="G1658" i="19" s="1"/>
  <c r="M1658" i="19" s="1"/>
  <c r="I1658" i="19" a="1"/>
  <c r="I1658" i="19" s="1"/>
  <c r="O1658" i="19"/>
  <c r="G1659" i="19" l="1" a="1"/>
  <c r="G1659" i="19" s="1"/>
  <c r="M1659" i="19" s="1"/>
  <c r="I1659" i="19" a="1"/>
  <c r="I1659" i="19" s="1"/>
  <c r="O1659" i="19"/>
  <c r="G1660" i="19" l="1" a="1"/>
  <c r="G1660" i="19" s="1"/>
  <c r="M1660" i="19" s="1"/>
  <c r="I1660" i="19" a="1"/>
  <c r="I1660" i="19" s="1"/>
  <c r="O1660" i="19"/>
  <c r="G1661" i="19" l="1" a="1"/>
  <c r="G1661" i="19" s="1"/>
  <c r="M1661" i="19" s="1"/>
  <c r="I1661" i="19" a="1"/>
  <c r="I1661" i="19" s="1"/>
  <c r="O1661" i="19"/>
  <c r="O1662" i="19" l="1"/>
  <c r="G1662" i="19" a="1"/>
  <c r="G1662" i="19" s="1"/>
  <c r="M1662" i="19" s="1"/>
  <c r="I1662" i="19" a="1"/>
  <c r="I1662" i="19" s="1"/>
  <c r="O1663" i="19" l="1"/>
  <c r="G1663" i="19" a="1"/>
  <c r="G1663" i="19" s="1"/>
  <c r="M1663" i="19" s="1"/>
  <c r="I1663" i="19" a="1"/>
  <c r="I1663" i="19" s="1"/>
  <c r="O1664" i="19" l="1"/>
  <c r="G1664" i="19" a="1"/>
  <c r="G1664" i="19" s="1"/>
  <c r="M1664" i="19" s="1"/>
  <c r="I1664" i="19" a="1"/>
  <c r="I1664" i="19" s="1"/>
  <c r="O1665" i="19" l="1"/>
  <c r="G1665" i="19" a="1"/>
  <c r="G1665" i="19" s="1"/>
  <c r="M1665" i="19" s="1"/>
  <c r="I1665" i="19" a="1"/>
  <c r="I1665" i="19" s="1"/>
  <c r="O1666" i="19" l="1"/>
  <c r="G1666" i="19" a="1"/>
  <c r="G1666" i="19" s="1"/>
  <c r="M1666" i="19" s="1"/>
  <c r="I1666" i="19" a="1"/>
  <c r="I1666" i="19" s="1"/>
  <c r="O1667" i="19" l="1"/>
  <c r="G1667" i="19" a="1"/>
  <c r="G1667" i="19" s="1"/>
  <c r="M1667" i="19" s="1"/>
  <c r="I1667" i="19" a="1"/>
  <c r="I1667" i="19" s="1"/>
  <c r="O1668" i="19" l="1"/>
  <c r="G1668" i="19" a="1"/>
  <c r="G1668" i="19" s="1"/>
  <c r="M1668" i="19" s="1"/>
  <c r="I1668" i="19" a="1"/>
  <c r="I1668" i="19" s="1"/>
  <c r="O1669" i="19" l="1"/>
  <c r="G1669" i="19" a="1"/>
  <c r="G1669" i="19" s="1"/>
  <c r="M1669" i="19" s="1"/>
  <c r="I1669" i="19" a="1"/>
  <c r="I1669" i="19" s="1"/>
  <c r="O1670" i="19" l="1"/>
  <c r="G1670" i="19" a="1"/>
  <c r="G1670" i="19" s="1"/>
  <c r="M1670" i="19" s="1"/>
  <c r="I1670" i="19" a="1"/>
  <c r="I1670" i="19" s="1"/>
  <c r="O1671" i="19" l="1"/>
  <c r="G1671" i="19" a="1"/>
  <c r="G1671" i="19" s="1"/>
  <c r="M1671" i="19" s="1"/>
  <c r="I1671" i="19" a="1"/>
  <c r="I1671" i="19" s="1"/>
  <c r="O1672" i="19" l="1"/>
  <c r="G1672" i="19" a="1"/>
  <c r="G1672" i="19" s="1"/>
  <c r="M1672" i="19" s="1"/>
  <c r="I1672" i="19" a="1"/>
  <c r="I1672" i="19" s="1"/>
  <c r="O1673" i="19" l="1"/>
  <c r="G1673" i="19" a="1"/>
  <c r="G1673" i="19" s="1"/>
  <c r="M1673" i="19" s="1"/>
  <c r="I1673" i="19" a="1"/>
  <c r="I1673" i="19" s="1"/>
  <c r="O1674" i="19" l="1"/>
  <c r="G1674" i="19" a="1"/>
  <c r="G1674" i="19" s="1"/>
  <c r="M1674" i="19" s="1"/>
  <c r="I1674" i="19" a="1"/>
  <c r="I1674" i="19" s="1"/>
  <c r="O1675" i="19" l="1"/>
  <c r="G1675" i="19" a="1"/>
  <c r="G1675" i="19" s="1"/>
  <c r="M1675" i="19" s="1"/>
  <c r="I1675" i="19" a="1"/>
  <c r="I1675" i="19" s="1"/>
  <c r="O1676" i="19" l="1"/>
  <c r="G1676" i="19" a="1"/>
  <c r="G1676" i="19" s="1"/>
  <c r="M1676" i="19" s="1"/>
  <c r="I1676" i="19" a="1"/>
  <c r="I1676" i="19" s="1"/>
  <c r="O1677" i="19" l="1"/>
  <c r="G1677" i="19" a="1"/>
  <c r="G1677" i="19" s="1"/>
  <c r="M1677" i="19" s="1"/>
  <c r="I1677" i="19" a="1"/>
  <c r="I1677" i="19" s="1"/>
  <c r="O1678" i="19" l="1"/>
  <c r="G1678" i="19" a="1"/>
  <c r="G1678" i="19" s="1"/>
  <c r="M1678" i="19" s="1"/>
  <c r="I1678" i="19" a="1"/>
  <c r="I1678" i="19" s="1"/>
  <c r="O1679" i="19" l="1"/>
  <c r="G1679" i="19" a="1"/>
  <c r="G1679" i="19" s="1"/>
  <c r="M1679" i="19" s="1"/>
  <c r="I1679" i="19" a="1"/>
  <c r="I1679" i="19" s="1"/>
  <c r="G1680" i="19" l="1" a="1"/>
  <c r="G1680" i="19" s="1"/>
  <c r="M1680" i="19" s="1"/>
  <c r="I1680" i="19" a="1"/>
  <c r="I1680" i="19" s="1"/>
  <c r="O1680" i="19"/>
  <c r="G1681" i="19" l="1" a="1"/>
  <c r="G1681" i="19" s="1"/>
  <c r="M1681" i="19" s="1"/>
  <c r="I1681" i="19" a="1"/>
  <c r="I1681" i="19" s="1"/>
  <c r="O1681" i="19"/>
  <c r="O1682" i="19" l="1"/>
  <c r="G1682" i="19" a="1"/>
  <c r="G1682" i="19" s="1"/>
  <c r="M1682" i="19" s="1"/>
  <c r="I1682" i="19" a="1"/>
  <c r="I1682" i="19" s="1"/>
  <c r="O1683" i="19" l="1"/>
  <c r="G1683" i="19" a="1"/>
  <c r="G1683" i="19" s="1"/>
  <c r="M1683" i="19" s="1"/>
  <c r="I1683" i="19" a="1"/>
  <c r="I1683" i="19" s="1"/>
  <c r="O1684" i="19" l="1"/>
  <c r="G1684" i="19" a="1"/>
  <c r="G1684" i="19" s="1"/>
  <c r="M1684" i="19" s="1"/>
  <c r="I1684" i="19" a="1"/>
  <c r="I1684" i="19" s="1"/>
  <c r="O1685" i="19" l="1"/>
  <c r="G1685" i="19" a="1"/>
  <c r="G1685" i="19" s="1"/>
  <c r="M1685" i="19" s="1"/>
  <c r="I1685" i="19" a="1"/>
  <c r="I1685" i="19" s="1"/>
  <c r="O1686" i="19" l="1"/>
  <c r="G1686" i="19" a="1"/>
  <c r="G1686" i="19" s="1"/>
  <c r="M1686" i="19" s="1"/>
  <c r="I1686" i="19" a="1"/>
  <c r="I1686" i="19" s="1"/>
  <c r="O1687" i="19" l="1"/>
  <c r="G1687" i="19" a="1"/>
  <c r="G1687" i="19" s="1"/>
  <c r="M1687" i="19" s="1"/>
  <c r="I1687" i="19" a="1"/>
  <c r="I1687" i="19" s="1"/>
  <c r="O1688" i="19" l="1"/>
  <c r="G1688" i="19" a="1"/>
  <c r="G1688" i="19" s="1"/>
  <c r="M1688" i="19" s="1"/>
  <c r="I1688" i="19" a="1"/>
  <c r="I1688" i="19" s="1"/>
  <c r="O1689" i="19" l="1"/>
  <c r="G1689" i="19" a="1"/>
  <c r="G1689" i="19" s="1"/>
  <c r="M1689" i="19" s="1"/>
  <c r="I1689" i="19" a="1"/>
  <c r="I1689" i="19" s="1"/>
  <c r="O1690" i="19" l="1"/>
  <c r="G1690" i="19" a="1"/>
  <c r="G1690" i="19" s="1"/>
  <c r="M1690" i="19" s="1"/>
  <c r="I1690" i="19" a="1"/>
  <c r="I1690" i="19" s="1"/>
  <c r="O1691" i="19" l="1"/>
  <c r="G1691" i="19" a="1"/>
  <c r="G1691" i="19" s="1"/>
  <c r="M1691" i="19" s="1"/>
  <c r="I1691" i="19" a="1"/>
  <c r="I1691" i="19" s="1"/>
  <c r="G1692" i="19" l="1" a="1"/>
  <c r="G1692" i="19" s="1"/>
  <c r="M1692" i="19" s="1"/>
  <c r="I1692" i="19" a="1"/>
  <c r="I1692" i="19" s="1"/>
  <c r="O1692" i="19"/>
  <c r="G1693" i="19" l="1" a="1"/>
  <c r="G1693" i="19" s="1"/>
  <c r="M1693" i="19" s="1"/>
  <c r="I1693" i="19" a="1"/>
  <c r="I1693" i="19" s="1"/>
  <c r="O1693" i="19"/>
  <c r="G1694" i="19" l="1" a="1"/>
  <c r="G1694" i="19" s="1"/>
  <c r="M1694" i="19" s="1"/>
  <c r="I1694" i="19" a="1"/>
  <c r="I1694" i="19" s="1"/>
  <c r="O1694" i="19"/>
  <c r="O1695" i="19" l="1"/>
  <c r="G1695" i="19" a="1"/>
  <c r="G1695" i="19" s="1"/>
  <c r="M1695" i="19" s="1"/>
  <c r="I1695" i="19" a="1"/>
  <c r="I1695" i="19" s="1"/>
  <c r="G1696" i="19" l="1" a="1"/>
  <c r="G1696" i="19" s="1"/>
  <c r="M1696" i="19" s="1"/>
  <c r="I1696" i="19" a="1"/>
  <c r="I1696" i="19" s="1"/>
  <c r="O1696" i="19"/>
  <c r="O1697" i="19" l="1"/>
  <c r="G1697" i="19" a="1"/>
  <c r="G1697" i="19" s="1"/>
  <c r="M1697" i="19" s="1"/>
  <c r="I1697" i="19" a="1"/>
  <c r="I1697" i="19" s="1"/>
  <c r="O1698" i="19" l="1"/>
  <c r="G1698" i="19" a="1"/>
  <c r="G1698" i="19" s="1"/>
  <c r="M1698" i="19" s="1"/>
  <c r="I1698" i="19" a="1"/>
  <c r="I1698" i="19" s="1"/>
  <c r="O1699" i="19" l="1"/>
  <c r="G1699" i="19" a="1"/>
  <c r="G1699" i="19" s="1"/>
  <c r="M1699" i="19" s="1"/>
  <c r="I1699" i="19" a="1"/>
  <c r="I1699" i="19" s="1"/>
  <c r="O1700" i="19" l="1"/>
  <c r="G1700" i="19" a="1"/>
  <c r="G1700" i="19" s="1"/>
  <c r="M1700" i="19" s="1"/>
  <c r="I1700" i="19" a="1"/>
  <c r="I1700" i="19" s="1"/>
  <c r="O1701" i="19" l="1"/>
  <c r="G1701" i="19" a="1"/>
  <c r="G1701" i="19" s="1"/>
  <c r="M1701" i="19" s="1"/>
  <c r="I1701" i="19" a="1"/>
  <c r="I1701" i="19" s="1"/>
  <c r="O1702" i="19" l="1"/>
  <c r="G1702" i="19" a="1"/>
  <c r="G1702" i="19" s="1"/>
  <c r="M1702" i="19" s="1"/>
  <c r="I1702" i="19" a="1"/>
  <c r="I1702" i="19" s="1"/>
  <c r="O1703" i="19" l="1"/>
  <c r="G1703" i="19" a="1"/>
  <c r="G1703" i="19" s="1"/>
  <c r="M1703" i="19" s="1"/>
  <c r="I1703" i="19" a="1"/>
  <c r="I1703" i="19" s="1"/>
  <c r="O1704" i="19" l="1"/>
  <c r="G1704" i="19" a="1"/>
  <c r="G1704" i="19" s="1"/>
  <c r="M1704" i="19" s="1"/>
  <c r="I1704" i="19" a="1"/>
  <c r="I1704" i="19" s="1"/>
  <c r="O1705" i="19" l="1"/>
  <c r="G1705" i="19" a="1"/>
  <c r="G1705" i="19" s="1"/>
  <c r="M1705" i="19" s="1"/>
  <c r="I1705" i="19" a="1"/>
  <c r="I1705" i="19" s="1"/>
  <c r="G1706" i="19" l="1" a="1"/>
  <c r="G1706" i="19" s="1"/>
  <c r="M1706" i="19" s="1"/>
  <c r="I1706" i="19" a="1"/>
  <c r="I1706" i="19" s="1"/>
  <c r="O1706" i="19"/>
  <c r="G1707" i="19" l="1" a="1"/>
  <c r="G1707" i="19" s="1"/>
  <c r="M1707" i="19" s="1"/>
  <c r="I1707" i="19" a="1"/>
  <c r="I1707" i="19" s="1"/>
  <c r="O1707" i="19"/>
  <c r="O1708" i="19" l="1"/>
  <c r="G1708" i="19" a="1"/>
  <c r="G1708" i="19" s="1"/>
  <c r="M1708" i="19" s="1"/>
  <c r="I1708" i="19" a="1"/>
  <c r="I1708" i="19" s="1"/>
  <c r="O1709" i="19" l="1"/>
  <c r="G1709" i="19" a="1"/>
  <c r="G1709" i="19" s="1"/>
  <c r="M1709" i="19" s="1"/>
  <c r="I1709" i="19" a="1"/>
  <c r="I1709" i="19" s="1"/>
  <c r="O1710" i="19" l="1"/>
  <c r="G1710" i="19" a="1"/>
  <c r="G1710" i="19" s="1"/>
  <c r="M1710" i="19" s="1"/>
  <c r="I1710" i="19" a="1"/>
  <c r="I1710" i="19" s="1"/>
  <c r="O1711" i="19" l="1"/>
  <c r="G1711" i="19" a="1"/>
  <c r="G1711" i="19" s="1"/>
  <c r="M1711" i="19" s="1"/>
  <c r="I1711" i="19" a="1"/>
  <c r="I1711" i="19" s="1"/>
  <c r="O1712" i="19" l="1"/>
  <c r="G1712" i="19" a="1"/>
  <c r="G1712" i="19" s="1"/>
  <c r="M1712" i="19" s="1"/>
  <c r="I1712" i="19" a="1"/>
  <c r="I1712" i="19" s="1"/>
  <c r="O1713" i="19" l="1"/>
  <c r="G1713" i="19" a="1"/>
  <c r="G1713" i="19" s="1"/>
  <c r="M1713" i="19" s="1"/>
  <c r="I1713" i="19" a="1"/>
  <c r="I1713" i="19" s="1"/>
  <c r="O1714" i="19" l="1"/>
  <c r="G1714" i="19" a="1"/>
  <c r="G1714" i="19" s="1"/>
  <c r="M1714" i="19" s="1"/>
  <c r="I1714" i="19" a="1"/>
  <c r="I1714" i="19" s="1"/>
  <c r="O1715" i="19" l="1"/>
  <c r="G1715" i="19" a="1"/>
  <c r="G1715" i="19" s="1"/>
  <c r="M1715" i="19" s="1"/>
  <c r="I1715" i="19" a="1"/>
  <c r="I1715" i="19" s="1"/>
  <c r="O1716" i="19" l="1"/>
  <c r="G1716" i="19" a="1"/>
  <c r="G1716" i="19" s="1"/>
  <c r="M1716" i="19" s="1"/>
  <c r="I1716" i="19" a="1"/>
  <c r="I1716" i="19" s="1"/>
  <c r="O1717" i="19" l="1"/>
  <c r="G1717" i="19" a="1"/>
  <c r="G1717" i="19" s="1"/>
  <c r="M1717" i="19" s="1"/>
  <c r="I1717" i="19" a="1"/>
  <c r="I1717" i="19" s="1"/>
  <c r="O1718" i="19" l="1"/>
  <c r="G1718" i="19" a="1"/>
  <c r="G1718" i="19" s="1"/>
  <c r="M1718" i="19" s="1"/>
  <c r="I1718" i="19" a="1"/>
  <c r="I1718" i="19" s="1"/>
  <c r="O1719" i="19" l="1"/>
  <c r="G1719" i="19" a="1"/>
  <c r="G1719" i="19" s="1"/>
  <c r="M1719" i="19" s="1"/>
  <c r="I1719" i="19" a="1"/>
  <c r="I1719" i="19" s="1"/>
  <c r="O1720" i="19" l="1"/>
  <c r="G1720" i="19" a="1"/>
  <c r="G1720" i="19" s="1"/>
  <c r="M1720" i="19" s="1"/>
  <c r="I1720" i="19" a="1"/>
  <c r="I1720" i="19" s="1"/>
  <c r="O1721" i="19" l="1"/>
  <c r="G1721" i="19" a="1"/>
  <c r="G1721" i="19" s="1"/>
  <c r="M1721" i="19" s="1"/>
  <c r="I1721" i="19" a="1"/>
  <c r="I1721" i="19" s="1"/>
  <c r="O1722" i="19" l="1"/>
  <c r="G1722" i="19" a="1"/>
  <c r="G1722" i="19" s="1"/>
  <c r="M1722" i="19" s="1"/>
  <c r="I1722" i="19" a="1"/>
  <c r="I1722" i="19" s="1"/>
  <c r="O1723" i="19" l="1"/>
  <c r="G1723" i="19" a="1"/>
  <c r="G1723" i="19" s="1"/>
  <c r="M1723" i="19" s="1"/>
  <c r="I1723" i="19" a="1"/>
  <c r="I1723" i="19" s="1"/>
  <c r="O1724" i="19" l="1"/>
  <c r="G1724" i="19" a="1"/>
  <c r="G1724" i="19" s="1"/>
  <c r="M1724" i="19" s="1"/>
  <c r="I1724" i="19" a="1"/>
  <c r="I1724" i="19" s="1"/>
  <c r="O1725" i="19" l="1"/>
  <c r="G1725" i="19" a="1"/>
  <c r="G1725" i="19" s="1"/>
  <c r="M1725" i="19" s="1"/>
  <c r="I1725" i="19" a="1"/>
  <c r="I1725" i="19" s="1"/>
  <c r="O1726" i="19" l="1"/>
  <c r="G1726" i="19" a="1"/>
  <c r="G1726" i="19" s="1"/>
  <c r="M1726" i="19" s="1"/>
  <c r="I1726" i="19" a="1"/>
  <c r="I1726" i="19" s="1"/>
  <c r="O1727" i="19" l="1"/>
  <c r="G1727" i="19" a="1"/>
  <c r="G1727" i="19" s="1"/>
  <c r="M1727" i="19" s="1"/>
  <c r="I1727" i="19" a="1"/>
  <c r="I1727" i="19" s="1"/>
  <c r="O1728" i="19" l="1"/>
  <c r="G1728" i="19" a="1"/>
  <c r="G1728" i="19" s="1"/>
  <c r="M1728" i="19" s="1"/>
  <c r="I1728" i="19" a="1"/>
  <c r="I1728" i="19" s="1"/>
  <c r="O1729" i="19" l="1"/>
  <c r="G1729" i="19" a="1"/>
  <c r="G1729" i="19" s="1"/>
  <c r="M1729" i="19" s="1"/>
  <c r="I1729" i="19" a="1"/>
  <c r="I1729" i="19" s="1"/>
  <c r="O1730" i="19" l="1"/>
  <c r="G1730" i="19" a="1"/>
  <c r="G1730" i="19" s="1"/>
  <c r="M1730" i="19" s="1"/>
  <c r="I1730" i="19" a="1"/>
  <c r="I1730" i="19" s="1"/>
  <c r="O1731" i="19" l="1"/>
  <c r="G1731" i="19" a="1"/>
  <c r="G1731" i="19" s="1"/>
  <c r="M1731" i="19" s="1"/>
  <c r="I1731" i="19" a="1"/>
  <c r="I1731" i="19" s="1"/>
  <c r="O1732" i="19" l="1"/>
  <c r="G1732" i="19" a="1"/>
  <c r="G1732" i="19" s="1"/>
  <c r="M1732" i="19" s="1"/>
  <c r="I1732" i="19" a="1"/>
  <c r="I1732" i="19" s="1"/>
  <c r="O1733" i="19" l="1"/>
  <c r="G1733" i="19" a="1"/>
  <c r="G1733" i="19" s="1"/>
  <c r="M1733" i="19" s="1"/>
  <c r="I1733" i="19" a="1"/>
  <c r="I1733" i="19" s="1"/>
  <c r="O1734" i="19" l="1"/>
  <c r="G1734" i="19" a="1"/>
  <c r="G1734" i="19" s="1"/>
  <c r="M1734" i="19" s="1"/>
  <c r="I1734" i="19" a="1"/>
  <c r="I1734" i="19" s="1"/>
  <c r="O1735" i="19" l="1"/>
  <c r="G1735" i="19" a="1"/>
  <c r="G1735" i="19" s="1"/>
  <c r="M1735" i="19" s="1"/>
  <c r="I1735" i="19" a="1"/>
  <c r="I1735" i="19" s="1"/>
  <c r="O1736" i="19" l="1"/>
  <c r="G1736" i="19" a="1"/>
  <c r="G1736" i="19" s="1"/>
  <c r="M1736" i="19" s="1"/>
  <c r="I1736" i="19" a="1"/>
  <c r="I1736" i="19" s="1"/>
  <c r="O1737" i="19" l="1"/>
  <c r="G1737" i="19" a="1"/>
  <c r="G1737" i="19" s="1"/>
  <c r="M1737" i="19" s="1"/>
  <c r="I1737" i="19" a="1"/>
  <c r="I1737" i="19" s="1"/>
  <c r="G1738" i="19" l="1" a="1"/>
  <c r="G1738" i="19" s="1"/>
  <c r="M1738" i="19" s="1"/>
  <c r="I1738" i="19" a="1"/>
  <c r="I1738" i="19" s="1"/>
  <c r="O1738" i="19"/>
  <c r="O1739" i="19" l="1"/>
  <c r="G1739" i="19" a="1"/>
  <c r="G1739" i="19" s="1"/>
  <c r="M1739" i="19" s="1"/>
  <c r="I1739" i="19" a="1"/>
  <c r="I1739" i="19" s="1"/>
  <c r="O1740" i="19" l="1"/>
  <c r="G1740" i="19" a="1"/>
  <c r="G1740" i="19" s="1"/>
  <c r="M1740" i="19" s="1"/>
  <c r="I1740" i="19" a="1"/>
  <c r="I1740" i="19" s="1"/>
  <c r="O1741" i="19" l="1"/>
  <c r="G1741" i="19" a="1"/>
  <c r="G1741" i="19" s="1"/>
  <c r="M1741" i="19" s="1"/>
  <c r="I1741" i="19" a="1"/>
  <c r="I1741" i="19" s="1"/>
  <c r="O1742" i="19" l="1"/>
  <c r="G1742" i="19" a="1"/>
  <c r="G1742" i="19" s="1"/>
  <c r="M1742" i="19" s="1"/>
  <c r="I1742" i="19" a="1"/>
  <c r="I1742" i="19" s="1"/>
  <c r="O1743" i="19" l="1"/>
  <c r="G1743" i="19" a="1"/>
  <c r="G1743" i="19" s="1"/>
  <c r="M1743" i="19" s="1"/>
  <c r="I1743" i="19" a="1"/>
  <c r="I1743" i="19" s="1"/>
  <c r="O1744" i="19" l="1"/>
  <c r="G1744" i="19" a="1"/>
  <c r="G1744" i="19" s="1"/>
  <c r="M1744" i="19" s="1"/>
  <c r="I1744" i="19" a="1"/>
  <c r="I1744" i="19" s="1"/>
  <c r="O1745" i="19" l="1"/>
  <c r="G1745" i="19" a="1"/>
  <c r="G1745" i="19" s="1"/>
  <c r="M1745" i="19" s="1"/>
  <c r="I1745" i="19" a="1"/>
  <c r="I1745" i="19" s="1"/>
  <c r="O1746" i="19" l="1"/>
  <c r="G1746" i="19" a="1"/>
  <c r="G1746" i="19" s="1"/>
  <c r="M1746" i="19" s="1"/>
  <c r="I1746" i="19" a="1"/>
  <c r="I1746" i="19" s="1"/>
  <c r="O1747" i="19" l="1"/>
  <c r="G1747" i="19" a="1"/>
  <c r="G1747" i="19" s="1"/>
  <c r="M1747" i="19" s="1"/>
  <c r="I1747" i="19" a="1"/>
  <c r="I1747" i="19" s="1"/>
  <c r="O1748" i="19" l="1"/>
  <c r="G1748" i="19" a="1"/>
  <c r="G1748" i="19" s="1"/>
  <c r="M1748" i="19" s="1"/>
  <c r="I1748" i="19" a="1"/>
  <c r="I1748" i="19" s="1"/>
  <c r="O1749" i="19" l="1"/>
  <c r="G1749" i="19" a="1"/>
  <c r="G1749" i="19" s="1"/>
  <c r="M1749" i="19" s="1"/>
  <c r="I1749" i="19" a="1"/>
  <c r="I1749" i="19" s="1"/>
  <c r="O1750" i="19" l="1"/>
  <c r="G1750" i="19" a="1"/>
  <c r="G1750" i="19" s="1"/>
  <c r="M1750" i="19" s="1"/>
  <c r="I1750" i="19" a="1"/>
  <c r="I1750" i="19" s="1"/>
  <c r="O1751" i="19" l="1"/>
  <c r="G1751" i="19" a="1"/>
  <c r="G1751" i="19" s="1"/>
  <c r="M1751" i="19" s="1"/>
  <c r="I1751" i="19" a="1"/>
  <c r="I1751" i="19" s="1"/>
  <c r="O1752" i="19" l="1"/>
  <c r="G1752" i="19" a="1"/>
  <c r="G1752" i="19" s="1"/>
  <c r="M1752" i="19" s="1"/>
  <c r="I1752" i="19" a="1"/>
  <c r="I1752" i="19" s="1"/>
  <c r="O1753" i="19" l="1"/>
  <c r="G1753" i="19" a="1"/>
  <c r="G1753" i="19" s="1"/>
  <c r="M1753" i="19" s="1"/>
  <c r="I1753" i="19" a="1"/>
  <c r="I1753" i="19" s="1"/>
  <c r="O1754" i="19" l="1"/>
  <c r="G1754" i="19" a="1"/>
  <c r="G1754" i="19" s="1"/>
  <c r="M1754" i="19" s="1"/>
  <c r="I1754" i="19" a="1"/>
  <c r="I1754" i="19" s="1"/>
  <c r="O1755" i="19" l="1"/>
  <c r="G1755" i="19" a="1"/>
  <c r="G1755" i="19" s="1"/>
  <c r="M1755" i="19" s="1"/>
  <c r="I1755" i="19" a="1"/>
  <c r="I1755" i="19" s="1"/>
  <c r="O1756" i="19" l="1"/>
  <c r="G1756" i="19" a="1"/>
  <c r="G1756" i="19" s="1"/>
  <c r="M1756" i="19" s="1"/>
  <c r="I1756" i="19" a="1"/>
  <c r="I1756" i="19" s="1"/>
  <c r="O1757" i="19" l="1"/>
  <c r="G1757" i="19" a="1"/>
  <c r="G1757" i="19" s="1"/>
  <c r="M1757" i="19" s="1"/>
  <c r="I1757" i="19" a="1"/>
  <c r="I1757" i="19" s="1"/>
  <c r="O1758" i="19" l="1"/>
  <c r="G1758" i="19" a="1"/>
  <c r="G1758" i="19" s="1"/>
  <c r="M1758" i="19" s="1"/>
  <c r="I1758" i="19" a="1"/>
  <c r="I1758" i="19" s="1"/>
  <c r="O1759" i="19" l="1"/>
  <c r="G1759" i="19" a="1"/>
  <c r="G1759" i="19" s="1"/>
  <c r="M1759" i="19" s="1"/>
  <c r="I1759" i="19" a="1"/>
  <c r="I1759" i="19" s="1"/>
  <c r="O1760" i="19" l="1"/>
  <c r="G1760" i="19" a="1"/>
  <c r="G1760" i="19" s="1"/>
  <c r="M1760" i="19" s="1"/>
  <c r="I1760" i="19" a="1"/>
  <c r="I1760" i="19" s="1"/>
  <c r="O1761" i="19" l="1"/>
  <c r="G1761" i="19" a="1"/>
  <c r="G1761" i="19" s="1"/>
  <c r="M1761" i="19" s="1"/>
  <c r="I1761" i="19" a="1"/>
  <c r="I1761" i="19" s="1"/>
  <c r="O1762" i="19" l="1"/>
  <c r="G1762" i="19" a="1"/>
  <c r="G1762" i="19" s="1"/>
  <c r="M1762" i="19" s="1"/>
  <c r="I1762" i="19" a="1"/>
  <c r="I1762" i="19" s="1"/>
  <c r="O1763" i="19" l="1"/>
  <c r="G1763" i="19" a="1"/>
  <c r="G1763" i="19" s="1"/>
  <c r="M1763" i="19" s="1"/>
  <c r="I1763" i="19" a="1"/>
  <c r="I1763" i="19" s="1"/>
  <c r="O1764" i="19" l="1"/>
  <c r="G1764" i="19" a="1"/>
  <c r="G1764" i="19" s="1"/>
  <c r="M1764" i="19" s="1"/>
  <c r="I1764" i="19" a="1"/>
  <c r="I1764" i="19" s="1"/>
  <c r="O1765" i="19" l="1"/>
  <c r="G1765" i="19" a="1"/>
  <c r="G1765" i="19" s="1"/>
  <c r="M1765" i="19" s="1"/>
  <c r="I1765" i="19" a="1"/>
  <c r="I1765" i="19" s="1"/>
  <c r="O1766" i="19" l="1"/>
  <c r="G1766" i="19" a="1"/>
  <c r="G1766" i="19" s="1"/>
  <c r="M1766" i="19" s="1"/>
  <c r="I1766" i="19" a="1"/>
  <c r="I1766" i="19" s="1"/>
  <c r="O1767" i="19" l="1"/>
  <c r="G1767" i="19" a="1"/>
  <c r="G1767" i="19" s="1"/>
  <c r="M1767" i="19" s="1"/>
  <c r="I1767" i="19" a="1"/>
  <c r="I1767" i="19" s="1"/>
  <c r="O1768" i="19" l="1"/>
  <c r="G1768" i="19" a="1"/>
  <c r="G1768" i="19" s="1"/>
  <c r="M1768" i="19" s="1"/>
  <c r="I1768" i="19" a="1"/>
  <c r="I1768" i="19" s="1"/>
  <c r="O1769" i="19" l="1"/>
  <c r="G1769" i="19" a="1"/>
  <c r="G1769" i="19" s="1"/>
  <c r="M1769" i="19" s="1"/>
  <c r="I1769" i="19" a="1"/>
  <c r="I1769" i="19" s="1"/>
  <c r="O1770" i="19" l="1"/>
  <c r="G1770" i="19" a="1"/>
  <c r="G1770" i="19" s="1"/>
  <c r="M1770" i="19" s="1"/>
  <c r="I1770" i="19" a="1"/>
  <c r="I1770" i="19" s="1"/>
  <c r="O1771" i="19" l="1"/>
  <c r="G1771" i="19" a="1"/>
  <c r="G1771" i="19" s="1"/>
  <c r="M1771" i="19" s="1"/>
  <c r="I1771" i="19" a="1"/>
  <c r="I1771" i="19" s="1"/>
  <c r="O1772" i="19" l="1"/>
  <c r="G1772" i="19" a="1"/>
  <c r="G1772" i="19" s="1"/>
  <c r="M1772" i="19" s="1"/>
  <c r="I1772" i="19" a="1"/>
  <c r="I1772" i="19" s="1"/>
  <c r="G1773" i="19" l="1" a="1"/>
  <c r="G1773" i="19" s="1"/>
  <c r="M1773" i="19" s="1"/>
  <c r="I1773" i="19" a="1"/>
  <c r="I1773" i="19" s="1"/>
  <c r="O1773" i="19"/>
  <c r="O1774" i="19" l="1"/>
  <c r="G1774" i="19" a="1"/>
  <c r="G1774" i="19" s="1"/>
  <c r="M1774" i="19" s="1"/>
  <c r="I1774" i="19" a="1"/>
  <c r="I1774" i="19" s="1"/>
  <c r="O1775" i="19" l="1"/>
  <c r="G1775" i="19" a="1"/>
  <c r="G1775" i="19" s="1"/>
  <c r="M1775" i="19" s="1"/>
  <c r="I1775" i="19" a="1"/>
  <c r="I1775" i="19" s="1"/>
  <c r="O1776" i="19" l="1"/>
  <c r="G1776" i="19" a="1"/>
  <c r="G1776" i="19" s="1"/>
  <c r="M1776" i="19" s="1"/>
  <c r="I1776" i="19" a="1"/>
  <c r="I1776" i="19" s="1"/>
  <c r="O1777" i="19" l="1"/>
  <c r="G1777" i="19" a="1"/>
  <c r="G1777" i="19" s="1"/>
  <c r="M1777" i="19" s="1"/>
  <c r="I1777" i="19" a="1"/>
  <c r="I1777" i="19" s="1"/>
  <c r="O1778" i="19" l="1"/>
  <c r="G1778" i="19" a="1"/>
  <c r="G1778" i="19" s="1"/>
  <c r="M1778" i="19" s="1"/>
  <c r="I1778" i="19" a="1"/>
  <c r="I1778" i="19" s="1"/>
  <c r="O1779" i="19" l="1"/>
  <c r="G1779" i="19" a="1"/>
  <c r="G1779" i="19" s="1"/>
  <c r="M1779" i="19" s="1"/>
  <c r="I1779" i="19" a="1"/>
  <c r="I1779" i="19" s="1"/>
  <c r="O1780" i="19" l="1"/>
  <c r="G1780" i="19" a="1"/>
  <c r="G1780" i="19" s="1"/>
  <c r="M1780" i="19" s="1"/>
  <c r="I1780" i="19" a="1"/>
  <c r="I1780" i="19" s="1"/>
  <c r="O1781" i="19" l="1"/>
  <c r="G1781" i="19" a="1"/>
  <c r="G1781" i="19" s="1"/>
  <c r="M1781" i="19" s="1"/>
  <c r="I1781" i="19" a="1"/>
  <c r="I1781" i="19" s="1"/>
  <c r="O1782" i="19" l="1"/>
  <c r="G1782" i="19" a="1"/>
  <c r="G1782" i="19" s="1"/>
  <c r="M1782" i="19" s="1"/>
  <c r="I1782" i="19" a="1"/>
  <c r="I1782" i="19" s="1"/>
  <c r="O1783" i="19" l="1"/>
  <c r="G1783" i="19" a="1"/>
  <c r="G1783" i="19" s="1"/>
  <c r="M1783" i="19" s="1"/>
  <c r="I1783" i="19" a="1"/>
  <c r="I1783" i="19" s="1"/>
  <c r="O1784" i="19" l="1"/>
  <c r="G1784" i="19" a="1"/>
  <c r="G1784" i="19" s="1"/>
  <c r="M1784" i="19" s="1"/>
  <c r="I1784" i="19" a="1"/>
  <c r="I1784" i="19" s="1"/>
  <c r="O1785" i="19" l="1"/>
  <c r="G1785" i="19" a="1"/>
  <c r="G1785" i="19" s="1"/>
  <c r="M1785" i="19" s="1"/>
  <c r="I1785" i="19" a="1"/>
  <c r="I1785" i="19" s="1"/>
  <c r="O1786" i="19" l="1"/>
  <c r="G1786" i="19" a="1"/>
  <c r="G1786" i="19" s="1"/>
  <c r="M1786" i="19" s="1"/>
  <c r="I1786" i="19" a="1"/>
  <c r="I1786" i="19" s="1"/>
  <c r="O1787" i="19" l="1"/>
  <c r="G1787" i="19" a="1"/>
  <c r="G1787" i="19" s="1"/>
  <c r="M1787" i="19" s="1"/>
  <c r="I1787" i="19" a="1"/>
  <c r="I1787" i="19" s="1"/>
  <c r="O1788" i="19" l="1"/>
  <c r="G1788" i="19" a="1"/>
  <c r="G1788" i="19" s="1"/>
  <c r="M1788" i="19" s="1"/>
  <c r="I1788" i="19" a="1"/>
  <c r="I1788" i="19" s="1"/>
  <c r="O1789" i="19" l="1"/>
  <c r="G1789" i="19" a="1"/>
  <c r="G1789" i="19" s="1"/>
  <c r="M1789" i="19" s="1"/>
  <c r="I1789" i="19" a="1"/>
  <c r="I1789" i="19" s="1"/>
  <c r="O1790" i="19" l="1"/>
  <c r="G1790" i="19" a="1"/>
  <c r="G1790" i="19" s="1"/>
  <c r="M1790" i="19" s="1"/>
  <c r="I1790" i="19" a="1"/>
  <c r="I1790" i="19" s="1"/>
  <c r="O1791" i="19" l="1"/>
  <c r="G1791" i="19" a="1"/>
  <c r="G1791" i="19" s="1"/>
  <c r="M1791" i="19" s="1"/>
  <c r="I1791" i="19" a="1"/>
  <c r="I1791" i="19" s="1"/>
  <c r="O1792" i="19" l="1"/>
  <c r="G1792" i="19" a="1"/>
  <c r="G1792" i="19" s="1"/>
  <c r="M1792" i="19" s="1"/>
  <c r="I1792" i="19" a="1"/>
  <c r="I1792" i="19" s="1"/>
  <c r="O1793" i="19" l="1"/>
  <c r="G1793" i="19" a="1"/>
  <c r="G1793" i="19" s="1"/>
  <c r="M1793" i="19" s="1"/>
  <c r="I1793" i="19" a="1"/>
  <c r="I1793" i="19" s="1"/>
  <c r="O1794" i="19" l="1"/>
  <c r="G1794" i="19" a="1"/>
  <c r="G1794" i="19" s="1"/>
  <c r="M1794" i="19" s="1"/>
  <c r="I1794" i="19" a="1"/>
  <c r="I1794" i="19" s="1"/>
  <c r="O1795" i="19" l="1"/>
  <c r="G1795" i="19" a="1"/>
  <c r="G1795" i="19" s="1"/>
  <c r="M1795" i="19" s="1"/>
  <c r="I1795" i="19" a="1"/>
  <c r="I1795" i="19" s="1"/>
  <c r="O1796" i="19" l="1"/>
  <c r="G1796" i="19" a="1"/>
  <c r="G1796" i="19" s="1"/>
  <c r="M1796" i="19" s="1"/>
  <c r="I1796" i="19" a="1"/>
  <c r="I1796" i="19" s="1"/>
  <c r="O1797" i="19" l="1"/>
  <c r="G1797" i="19" a="1"/>
  <c r="G1797" i="19" s="1"/>
  <c r="M1797" i="19" s="1"/>
  <c r="I1797" i="19" a="1"/>
  <c r="I1797" i="19" s="1"/>
  <c r="O1798" i="19" l="1"/>
  <c r="G1798" i="19" a="1"/>
  <c r="G1798" i="19" s="1"/>
  <c r="M1798" i="19" s="1"/>
  <c r="I1798" i="19" a="1"/>
  <c r="I1798" i="19" s="1"/>
  <c r="O1799" i="19" l="1"/>
  <c r="G1799" i="19" a="1"/>
  <c r="G1799" i="19" s="1"/>
  <c r="M1799" i="19" s="1"/>
  <c r="I1799" i="19" a="1"/>
  <c r="I1799" i="19" s="1"/>
  <c r="O1800" i="19" l="1"/>
  <c r="G1800" i="19" a="1"/>
  <c r="G1800" i="19" s="1"/>
  <c r="M1800" i="19" s="1"/>
  <c r="I1800" i="19" a="1"/>
  <c r="I1800" i="19" s="1"/>
  <c r="O1801" i="19" l="1"/>
  <c r="G1801" i="19" a="1"/>
  <c r="G1801" i="19" s="1"/>
  <c r="M1801" i="19" s="1"/>
  <c r="I1801" i="19" a="1"/>
  <c r="I1801" i="19" s="1"/>
  <c r="O1802" i="19" l="1"/>
  <c r="G1802" i="19" a="1"/>
  <c r="G1802" i="19" s="1"/>
  <c r="M1802" i="19" s="1"/>
  <c r="I1802" i="19" a="1"/>
  <c r="I1802" i="19" s="1"/>
  <c r="O1803" i="19" l="1"/>
  <c r="G1803" i="19" a="1"/>
  <c r="G1803" i="19" s="1"/>
  <c r="M1803" i="19" s="1"/>
  <c r="I1803" i="19" a="1"/>
  <c r="I1803" i="19" s="1"/>
  <c r="O1804" i="19" l="1"/>
  <c r="G1804" i="19" a="1"/>
  <c r="G1804" i="19" s="1"/>
  <c r="M1804" i="19" s="1"/>
  <c r="I1804" i="19" a="1"/>
  <c r="I1804" i="19" s="1"/>
  <c r="O1805" i="19" l="1"/>
  <c r="G1805" i="19" a="1"/>
  <c r="G1805" i="19" s="1"/>
  <c r="M1805" i="19" s="1"/>
  <c r="I1805" i="19" a="1"/>
  <c r="I1805" i="19" s="1"/>
  <c r="O1806" i="19" l="1"/>
  <c r="G1806" i="19" a="1"/>
  <c r="G1806" i="19" s="1"/>
  <c r="M1806" i="19" s="1"/>
  <c r="I1806" i="19" a="1"/>
  <c r="I1806" i="19" s="1"/>
  <c r="O1807" i="19" l="1"/>
  <c r="G1807" i="19" a="1"/>
  <c r="G1807" i="19" s="1"/>
  <c r="M1807" i="19" s="1"/>
  <c r="I1807" i="19" a="1"/>
  <c r="I1807" i="19" s="1"/>
  <c r="O1808" i="19" l="1"/>
  <c r="G1808" i="19" a="1"/>
  <c r="G1808" i="19" s="1"/>
  <c r="M1808" i="19" s="1"/>
  <c r="I1808" i="19" a="1"/>
  <c r="I1808" i="19" s="1"/>
  <c r="O1809" i="19" l="1"/>
  <c r="G1809" i="19" a="1"/>
  <c r="G1809" i="19" s="1"/>
  <c r="M1809" i="19" s="1"/>
  <c r="I1809" i="19" a="1"/>
  <c r="I1809" i="19" s="1"/>
  <c r="O1810" i="19" l="1"/>
  <c r="G1810" i="19" a="1"/>
  <c r="G1810" i="19" s="1"/>
  <c r="M1810" i="19" s="1"/>
  <c r="I1810" i="19" a="1"/>
  <c r="I1810" i="19" s="1"/>
  <c r="O1811" i="19" l="1"/>
  <c r="G1811" i="19" a="1"/>
  <c r="G1811" i="19" s="1"/>
  <c r="M1811" i="19" s="1"/>
  <c r="I1811" i="19" a="1"/>
  <c r="I1811" i="19" s="1"/>
  <c r="O1812" i="19" l="1"/>
  <c r="G1812" i="19" a="1"/>
  <c r="G1812" i="19" s="1"/>
  <c r="M1812" i="19" s="1"/>
  <c r="I1812" i="19" a="1"/>
  <c r="I1812" i="19" s="1"/>
  <c r="O1813" i="19" l="1"/>
  <c r="G1813" i="19" a="1"/>
  <c r="G1813" i="19" s="1"/>
  <c r="M1813" i="19" s="1"/>
  <c r="I1813" i="19" a="1"/>
  <c r="I1813" i="19" s="1"/>
  <c r="G1814" i="19" l="1" a="1"/>
  <c r="G1814" i="19" s="1"/>
  <c r="M1814" i="19" s="1"/>
  <c r="I1814" i="19" a="1"/>
  <c r="I1814" i="19" s="1"/>
  <c r="O1814" i="19"/>
  <c r="O1815" i="19" l="1"/>
  <c r="G1815" i="19" a="1"/>
  <c r="G1815" i="19" s="1"/>
  <c r="M1815" i="19" s="1"/>
  <c r="I1815" i="19" a="1"/>
  <c r="I1815" i="19" s="1"/>
  <c r="G1816" i="19" l="1" a="1"/>
  <c r="G1816" i="19" s="1"/>
  <c r="M1816" i="19" s="1"/>
  <c r="I1816" i="19" a="1"/>
  <c r="I1816" i="19" s="1"/>
  <c r="O1816" i="19"/>
  <c r="O1817" i="19" l="1"/>
  <c r="G1817" i="19" a="1"/>
  <c r="G1817" i="19" s="1"/>
  <c r="M1817" i="19" s="1"/>
  <c r="I1817" i="19" a="1"/>
  <c r="I1817" i="19" s="1"/>
  <c r="O1818" i="19" l="1"/>
  <c r="G1818" i="19" a="1"/>
  <c r="G1818" i="19" s="1"/>
  <c r="M1818" i="19" s="1"/>
  <c r="I1818" i="19" a="1"/>
  <c r="I1818" i="19" s="1"/>
  <c r="O1819" i="19" l="1"/>
  <c r="G1819" i="19" a="1"/>
  <c r="G1819" i="19" s="1"/>
  <c r="M1819" i="19" s="1"/>
  <c r="I1819" i="19" a="1"/>
  <c r="I1819" i="19" s="1"/>
  <c r="O1820" i="19" l="1"/>
  <c r="G1820" i="19" a="1"/>
  <c r="G1820" i="19" s="1"/>
  <c r="M1820" i="19" s="1"/>
  <c r="I1820" i="19" a="1"/>
  <c r="I1820" i="19" s="1"/>
  <c r="O1821" i="19" l="1"/>
  <c r="G1821" i="19" a="1"/>
  <c r="G1821" i="19" s="1"/>
  <c r="M1821" i="19" s="1"/>
  <c r="I1821" i="19" a="1"/>
  <c r="I1821" i="19" s="1"/>
  <c r="O1822" i="19" l="1"/>
  <c r="G1822" i="19" a="1"/>
  <c r="G1822" i="19" s="1"/>
  <c r="M1822" i="19" s="1"/>
  <c r="I1822" i="19" a="1"/>
  <c r="I1822" i="19" s="1"/>
  <c r="O1823" i="19" l="1"/>
  <c r="G1823" i="19" a="1"/>
  <c r="G1823" i="19" s="1"/>
  <c r="M1823" i="19" s="1"/>
  <c r="I1823" i="19" a="1"/>
  <c r="I1823" i="19" s="1"/>
  <c r="O1824" i="19" l="1"/>
  <c r="G1824" i="19" a="1"/>
  <c r="G1824" i="19" s="1"/>
  <c r="M1824" i="19" s="1"/>
  <c r="I1824" i="19" a="1"/>
  <c r="I1824" i="19" s="1"/>
  <c r="O1825" i="19" l="1"/>
  <c r="G1825" i="19" a="1"/>
  <c r="G1825" i="19" s="1"/>
  <c r="M1825" i="19" s="1"/>
  <c r="I1825" i="19" a="1"/>
  <c r="I1825" i="19" s="1"/>
  <c r="O1826" i="19" l="1"/>
  <c r="G1826" i="19" a="1"/>
  <c r="G1826" i="19" s="1"/>
  <c r="M1826" i="19" s="1"/>
  <c r="I1826" i="19" a="1"/>
  <c r="I1826" i="19" s="1"/>
  <c r="O1827" i="19" l="1"/>
  <c r="G1827" i="19" a="1"/>
  <c r="G1827" i="19" s="1"/>
  <c r="M1827" i="19" s="1"/>
  <c r="I1827" i="19" a="1"/>
  <c r="I1827" i="19" s="1"/>
  <c r="O1828" i="19" l="1"/>
  <c r="G1828" i="19" a="1"/>
  <c r="G1828" i="19" s="1"/>
  <c r="M1828" i="19" s="1"/>
  <c r="I1828" i="19" a="1"/>
  <c r="I1828" i="19" s="1"/>
  <c r="O1829" i="19" l="1"/>
  <c r="G1829" i="19" a="1"/>
  <c r="G1829" i="19" s="1"/>
  <c r="M1829" i="19" s="1"/>
  <c r="I1829" i="19" a="1"/>
  <c r="I1829" i="19" s="1"/>
  <c r="O1830" i="19" l="1"/>
  <c r="G1830" i="19" a="1"/>
  <c r="G1830" i="19" s="1"/>
  <c r="M1830" i="19" s="1"/>
  <c r="I1830" i="19" a="1"/>
  <c r="I1830" i="19" s="1"/>
  <c r="O1831" i="19" l="1"/>
  <c r="G1831" i="19" a="1"/>
  <c r="G1831" i="19" s="1"/>
  <c r="M1831" i="19" s="1"/>
  <c r="I1831" i="19" a="1"/>
  <c r="I1831" i="19" s="1"/>
  <c r="O1832" i="19" l="1"/>
  <c r="G1832" i="19" a="1"/>
  <c r="G1832" i="19" s="1"/>
  <c r="M1832" i="19" s="1"/>
  <c r="I1832" i="19" a="1"/>
  <c r="I1832" i="19" s="1"/>
  <c r="O1833" i="19" l="1"/>
  <c r="G1833" i="19" a="1"/>
  <c r="G1833" i="19" s="1"/>
  <c r="M1833" i="19" s="1"/>
  <c r="I1833" i="19" a="1"/>
  <c r="I1833" i="19" s="1"/>
  <c r="O1834" i="19" l="1"/>
  <c r="G1834" i="19" a="1"/>
  <c r="G1834" i="19" s="1"/>
  <c r="M1834" i="19" s="1"/>
  <c r="I1834" i="19" a="1"/>
  <c r="I1834" i="19" s="1"/>
  <c r="O1835" i="19" l="1"/>
  <c r="G1835" i="19" a="1"/>
  <c r="G1835" i="19" s="1"/>
  <c r="M1835" i="19" s="1"/>
  <c r="I1835" i="19" a="1"/>
  <c r="I1835" i="19" s="1"/>
  <c r="O1836" i="19" l="1"/>
  <c r="G1836" i="19" a="1"/>
  <c r="G1836" i="19" s="1"/>
  <c r="M1836" i="19" s="1"/>
  <c r="I1836" i="19" a="1"/>
  <c r="I1836" i="19" s="1"/>
  <c r="O1837" i="19" l="1"/>
  <c r="G1837" i="19" a="1"/>
  <c r="G1837" i="19" s="1"/>
  <c r="M1837" i="19" s="1"/>
  <c r="I1837" i="19" a="1"/>
  <c r="I1837" i="19" s="1"/>
  <c r="O1838" i="19" l="1"/>
  <c r="G1838" i="19" a="1"/>
  <c r="G1838" i="19" s="1"/>
  <c r="M1838" i="19" s="1"/>
  <c r="I1838" i="19" a="1"/>
  <c r="I1838" i="19" s="1"/>
  <c r="G1839" i="19" l="1" a="1"/>
  <c r="G1839" i="19" s="1"/>
  <c r="M1839" i="19" s="1"/>
  <c r="I1839" i="19" a="1"/>
  <c r="I1839" i="19" s="1"/>
  <c r="O1839" i="19"/>
  <c r="O1840" i="19" l="1"/>
  <c r="G1840" i="19" a="1"/>
  <c r="G1840" i="19" s="1"/>
  <c r="M1840" i="19" s="1"/>
  <c r="I1840" i="19" a="1"/>
  <c r="I1840" i="19" s="1"/>
  <c r="O1841" i="19" l="1"/>
  <c r="G1841" i="19" a="1"/>
  <c r="G1841" i="19" s="1"/>
  <c r="M1841" i="19" s="1"/>
  <c r="I1841" i="19" a="1"/>
  <c r="I1841" i="19" s="1"/>
  <c r="O1842" i="19" l="1"/>
  <c r="G1842" i="19" a="1"/>
  <c r="G1842" i="19" s="1"/>
  <c r="M1842" i="19" s="1"/>
  <c r="I1842" i="19" a="1"/>
  <c r="I1842" i="19" s="1"/>
  <c r="O1843" i="19" l="1"/>
  <c r="G1843" i="19" a="1"/>
  <c r="G1843" i="19" s="1"/>
  <c r="M1843" i="19" s="1"/>
  <c r="I1843" i="19" a="1"/>
  <c r="I1843" i="19" s="1"/>
  <c r="O1844" i="19" l="1"/>
  <c r="G1844" i="19" a="1"/>
  <c r="G1844" i="19" s="1"/>
  <c r="M1844" i="19" s="1"/>
  <c r="I1844" i="19" a="1"/>
  <c r="I1844" i="19" s="1"/>
  <c r="O1845" i="19" l="1"/>
  <c r="G1845" i="19" a="1"/>
  <c r="G1845" i="19" s="1"/>
  <c r="M1845" i="19" s="1"/>
  <c r="I1845" i="19" a="1"/>
  <c r="I1845" i="19" s="1"/>
  <c r="O1846" i="19" l="1"/>
  <c r="G1846" i="19" a="1"/>
  <c r="G1846" i="19" s="1"/>
  <c r="M1846" i="19" s="1"/>
  <c r="I1846" i="19" a="1"/>
  <c r="I1846" i="19" s="1"/>
  <c r="O1847" i="19" l="1"/>
  <c r="G1847" i="19" a="1"/>
  <c r="G1847" i="19" s="1"/>
  <c r="M1847" i="19" s="1"/>
  <c r="I1847" i="19" a="1"/>
  <c r="I1847" i="19" s="1"/>
  <c r="O1848" i="19" l="1"/>
  <c r="G1848" i="19" a="1"/>
  <c r="G1848" i="19" s="1"/>
  <c r="M1848" i="19" s="1"/>
  <c r="I1848" i="19" a="1"/>
  <c r="I1848" i="19" s="1"/>
  <c r="G1849" i="19" l="1" a="1"/>
  <c r="G1849" i="19" s="1"/>
  <c r="M1849" i="19" s="1"/>
  <c r="I1849" i="19" a="1"/>
  <c r="I1849" i="19" s="1"/>
  <c r="O1849" i="19"/>
  <c r="O1850" i="19" l="1"/>
  <c r="G1850" i="19" a="1"/>
  <c r="G1850" i="19" s="1"/>
  <c r="M1850" i="19" s="1"/>
  <c r="I1850" i="19" a="1"/>
  <c r="I1850" i="19" s="1"/>
  <c r="O1851" i="19" l="1"/>
  <c r="G1851" i="19" a="1"/>
  <c r="G1851" i="19" s="1"/>
  <c r="M1851" i="19" s="1"/>
  <c r="I1851" i="19" a="1"/>
  <c r="I1851" i="19" s="1"/>
  <c r="O1852" i="19" l="1"/>
  <c r="G1852" i="19" a="1"/>
  <c r="G1852" i="19" s="1"/>
  <c r="M1852" i="19" s="1"/>
  <c r="I1852" i="19" a="1"/>
  <c r="I1852" i="19" s="1"/>
  <c r="O1853" i="19" l="1"/>
  <c r="G1853" i="19" a="1"/>
  <c r="G1853" i="19" s="1"/>
  <c r="M1853" i="19" s="1"/>
  <c r="I1853" i="19" a="1"/>
  <c r="I1853" i="19" s="1"/>
  <c r="O1854" i="19" l="1"/>
  <c r="G1854" i="19" a="1"/>
  <c r="G1854" i="19" s="1"/>
  <c r="M1854" i="19" s="1"/>
  <c r="I1854" i="19" a="1"/>
  <c r="I1854" i="19" s="1"/>
  <c r="O1855" i="19" l="1"/>
  <c r="G1855" i="19" a="1"/>
  <c r="G1855" i="19" s="1"/>
  <c r="M1855" i="19" s="1"/>
  <c r="I1855" i="19" a="1"/>
  <c r="I1855" i="19" s="1"/>
  <c r="O1856" i="19" l="1"/>
  <c r="G1856" i="19" a="1"/>
  <c r="G1856" i="19" s="1"/>
  <c r="M1856" i="19" s="1"/>
  <c r="I1856" i="19" a="1"/>
  <c r="I1856" i="19" s="1"/>
  <c r="O1857" i="19" l="1"/>
  <c r="G1857" i="19" a="1"/>
  <c r="G1857" i="19" s="1"/>
  <c r="M1857" i="19" s="1"/>
  <c r="I1857" i="19" a="1"/>
  <c r="I1857" i="19" s="1"/>
  <c r="O1858" i="19" l="1"/>
  <c r="G1858" i="19" a="1"/>
  <c r="G1858" i="19" s="1"/>
  <c r="M1858" i="19" s="1"/>
  <c r="I1858" i="19" a="1"/>
  <c r="I1858" i="19" s="1"/>
  <c r="O1859" i="19" l="1"/>
  <c r="G1859" i="19" a="1"/>
  <c r="G1859" i="19" s="1"/>
  <c r="M1859" i="19" s="1"/>
  <c r="I1859" i="19" a="1"/>
  <c r="I1859" i="19" s="1"/>
  <c r="O1860" i="19" l="1"/>
  <c r="G1860" i="19" a="1"/>
  <c r="G1860" i="19" s="1"/>
  <c r="M1860" i="19" s="1"/>
  <c r="I1860" i="19" a="1"/>
  <c r="I1860" i="19" s="1"/>
  <c r="O1861" i="19" l="1"/>
  <c r="G1861" i="19" a="1"/>
  <c r="G1861" i="19" s="1"/>
  <c r="M1861" i="19" s="1"/>
  <c r="I1861" i="19" a="1"/>
  <c r="I1861" i="19" s="1"/>
  <c r="O1862" i="19" l="1"/>
  <c r="G1862" i="19" a="1"/>
  <c r="G1862" i="19" s="1"/>
  <c r="M1862" i="19" s="1"/>
  <c r="I1862" i="19" a="1"/>
  <c r="I1862" i="19" s="1"/>
  <c r="O1863" i="19" l="1"/>
  <c r="G1863" i="19" a="1"/>
  <c r="G1863" i="19" s="1"/>
  <c r="M1863" i="19" s="1"/>
  <c r="I1863" i="19" a="1"/>
  <c r="I1863" i="19" s="1"/>
  <c r="O1864" i="19" l="1"/>
  <c r="G1864" i="19" a="1"/>
  <c r="G1864" i="19" s="1"/>
  <c r="M1864" i="19" s="1"/>
  <c r="I1864" i="19" a="1"/>
  <c r="I1864" i="19" s="1"/>
  <c r="O1865" i="19" l="1"/>
  <c r="G1865" i="19" a="1"/>
  <c r="G1865" i="19" s="1"/>
  <c r="M1865" i="19" s="1"/>
  <c r="I1865" i="19" a="1"/>
  <c r="I1865" i="19" s="1"/>
  <c r="O1866" i="19" l="1"/>
  <c r="G1866" i="19" a="1"/>
  <c r="G1866" i="19" s="1"/>
  <c r="M1866" i="19" s="1"/>
  <c r="I1866" i="19" a="1"/>
  <c r="I1866" i="19" s="1"/>
  <c r="O1867" i="19" l="1"/>
  <c r="G1867" i="19" a="1"/>
  <c r="G1867" i="19" s="1"/>
  <c r="M1867" i="19" s="1"/>
  <c r="I1867" i="19" a="1"/>
  <c r="I1867" i="19" s="1"/>
  <c r="O1868" i="19" l="1"/>
  <c r="G1868" i="19" a="1"/>
  <c r="G1868" i="19" s="1"/>
  <c r="M1868" i="19" s="1"/>
  <c r="I1868" i="19" a="1"/>
  <c r="I1868" i="19" s="1"/>
  <c r="O1869" i="19" l="1"/>
  <c r="G1869" i="19" a="1"/>
  <c r="G1869" i="19" s="1"/>
  <c r="M1869" i="19" s="1"/>
  <c r="I1869" i="19" a="1"/>
  <c r="I1869" i="19" s="1"/>
  <c r="O1870" i="19" l="1"/>
  <c r="G1870" i="19" a="1"/>
  <c r="G1870" i="19" s="1"/>
  <c r="M1870" i="19" s="1"/>
  <c r="I1870" i="19" a="1"/>
  <c r="I1870" i="19" s="1"/>
  <c r="O1871" i="19" l="1"/>
  <c r="G1871" i="19" a="1"/>
  <c r="G1871" i="19" s="1"/>
  <c r="M1871" i="19" s="1"/>
  <c r="I1871" i="19" a="1"/>
  <c r="I1871" i="19" s="1"/>
  <c r="O1872" i="19" l="1"/>
  <c r="G1872" i="19" a="1"/>
  <c r="G1872" i="19" s="1"/>
  <c r="M1872" i="19" s="1"/>
  <c r="I1872" i="19" a="1"/>
  <c r="I1872" i="19" s="1"/>
  <c r="O1873" i="19" l="1"/>
  <c r="G1873" i="19" a="1"/>
  <c r="G1873" i="19" s="1"/>
  <c r="M1873" i="19" s="1"/>
  <c r="I1873" i="19" a="1"/>
  <c r="I1873" i="19" s="1"/>
  <c r="O1874" i="19" l="1"/>
  <c r="G1874" i="19" a="1"/>
  <c r="G1874" i="19" s="1"/>
  <c r="M1874" i="19" s="1"/>
  <c r="I1874" i="19" a="1"/>
  <c r="I1874" i="19" s="1"/>
  <c r="O1875" i="19" l="1"/>
  <c r="G1875" i="19" a="1"/>
  <c r="G1875" i="19" s="1"/>
  <c r="M1875" i="19" s="1"/>
  <c r="I1875" i="19" a="1"/>
  <c r="I1875" i="19" s="1"/>
  <c r="O1876" i="19" l="1"/>
  <c r="G1876" i="19" a="1"/>
  <c r="G1876" i="19" s="1"/>
  <c r="M1876" i="19" s="1"/>
  <c r="I1876" i="19" a="1"/>
  <c r="I1876" i="19" s="1"/>
  <c r="O1877" i="19" l="1"/>
  <c r="G1877" i="19" a="1"/>
  <c r="G1877" i="19" s="1"/>
  <c r="M1877" i="19" s="1"/>
  <c r="I1877" i="19" a="1"/>
  <c r="I1877" i="19" s="1"/>
  <c r="O1878" i="19" l="1"/>
  <c r="G1878" i="19" a="1"/>
  <c r="G1878" i="19" s="1"/>
  <c r="M1878" i="19" s="1"/>
  <c r="I1878" i="19" a="1"/>
  <c r="I1878" i="19" s="1"/>
  <c r="O1879" i="19" l="1"/>
  <c r="G1879" i="19" a="1"/>
  <c r="G1879" i="19" s="1"/>
  <c r="M1879" i="19" s="1"/>
  <c r="I1879" i="19" a="1"/>
  <c r="I1879" i="19" s="1"/>
  <c r="O1880" i="19" l="1"/>
  <c r="G1880" i="19" a="1"/>
  <c r="G1880" i="19" s="1"/>
  <c r="M1880" i="19" s="1"/>
  <c r="I1880" i="19" a="1"/>
  <c r="I1880" i="19" s="1"/>
  <c r="O1881" i="19" l="1"/>
  <c r="G1881" i="19" a="1"/>
  <c r="G1881" i="19" s="1"/>
  <c r="M1881" i="19" s="1"/>
  <c r="I1881" i="19" a="1"/>
  <c r="I1881" i="19" s="1"/>
  <c r="O1882" i="19" l="1"/>
  <c r="G1882" i="19" a="1"/>
  <c r="G1882" i="19" s="1"/>
  <c r="M1882" i="19" s="1"/>
  <c r="I1882" i="19" a="1"/>
  <c r="I1882" i="19" s="1"/>
  <c r="O1883" i="19" l="1"/>
  <c r="G1883" i="19" a="1"/>
  <c r="G1883" i="19" s="1"/>
  <c r="M1883" i="19" s="1"/>
  <c r="I1883" i="19" a="1"/>
  <c r="I1883" i="19" s="1"/>
  <c r="O1884" i="19" l="1"/>
  <c r="G1884" i="19" a="1"/>
  <c r="G1884" i="19" s="1"/>
  <c r="M1884" i="19" s="1"/>
  <c r="I1884" i="19" a="1"/>
  <c r="I1884" i="19" s="1"/>
  <c r="O1885" i="19" l="1"/>
  <c r="G1885" i="19" a="1"/>
  <c r="G1885" i="19" s="1"/>
  <c r="M1885" i="19" s="1"/>
  <c r="I1885" i="19" a="1"/>
  <c r="I1885" i="19" s="1"/>
  <c r="O1886" i="19" l="1"/>
  <c r="G1886" i="19" a="1"/>
  <c r="G1886" i="19" s="1"/>
  <c r="M1886" i="19" s="1"/>
  <c r="I1886" i="19" a="1"/>
  <c r="I1886" i="19" s="1"/>
  <c r="O1887" i="19" l="1"/>
  <c r="G1887" i="19" a="1"/>
  <c r="G1887" i="19" s="1"/>
  <c r="M1887" i="19" s="1"/>
  <c r="I1887" i="19" a="1"/>
  <c r="I1887" i="19" s="1"/>
  <c r="O1888" i="19" l="1"/>
  <c r="G1888" i="19" a="1"/>
  <c r="G1888" i="19" s="1"/>
  <c r="M1888" i="19" s="1"/>
  <c r="I1888" i="19" a="1"/>
  <c r="I1888" i="19" s="1"/>
  <c r="O1889" i="19" l="1"/>
  <c r="G1889" i="19" a="1"/>
  <c r="G1889" i="19" s="1"/>
  <c r="M1889" i="19" s="1"/>
  <c r="I1889" i="19" a="1"/>
  <c r="I1889" i="19" s="1"/>
  <c r="O1890" i="19" l="1"/>
  <c r="G1890" i="19" a="1"/>
  <c r="G1890" i="19" s="1"/>
  <c r="M1890" i="19" s="1"/>
  <c r="I1890" i="19" a="1"/>
  <c r="I1890" i="19" s="1"/>
  <c r="O1891" i="19" l="1"/>
  <c r="G1891" i="19" a="1"/>
  <c r="G1891" i="19" s="1"/>
  <c r="M1891" i="19" s="1"/>
  <c r="I1891" i="19" a="1"/>
  <c r="I1891" i="19" s="1"/>
  <c r="O1892" i="19" l="1"/>
  <c r="G1892" i="19" a="1"/>
  <c r="G1892" i="19" s="1"/>
  <c r="M1892" i="19" s="1"/>
  <c r="I1892" i="19" a="1"/>
  <c r="I1892" i="19" s="1"/>
  <c r="O1893" i="19" l="1"/>
  <c r="G1893" i="19" a="1"/>
  <c r="G1893" i="19" s="1"/>
  <c r="M1893" i="19" s="1"/>
  <c r="I1893" i="19" a="1"/>
  <c r="I1893" i="19" s="1"/>
  <c r="O1894" i="19" l="1"/>
  <c r="G1894" i="19" a="1"/>
  <c r="G1894" i="19" s="1"/>
  <c r="M1894" i="19" s="1"/>
  <c r="I1894" i="19" a="1"/>
  <c r="I1894" i="19" s="1"/>
  <c r="O1895" i="19" l="1"/>
  <c r="G1895" i="19" a="1"/>
  <c r="G1895" i="19" s="1"/>
  <c r="M1895" i="19" s="1"/>
  <c r="I1895" i="19" a="1"/>
  <c r="I1895" i="19" s="1"/>
  <c r="O1896" i="19" l="1"/>
  <c r="G1896" i="19" a="1"/>
  <c r="G1896" i="19" s="1"/>
  <c r="M1896" i="19" s="1"/>
  <c r="I1896" i="19" a="1"/>
  <c r="I1896" i="19" s="1"/>
  <c r="O1897" i="19" l="1"/>
  <c r="G1897" i="19" a="1"/>
  <c r="G1897" i="19" s="1"/>
  <c r="M1897" i="19" s="1"/>
  <c r="I1897" i="19" a="1"/>
  <c r="I1897" i="19" s="1"/>
  <c r="O1898" i="19" l="1"/>
  <c r="G1898" i="19" a="1"/>
  <c r="G1898" i="19" s="1"/>
  <c r="M1898" i="19" s="1"/>
  <c r="I1898" i="19" a="1"/>
  <c r="I1898" i="19" s="1"/>
  <c r="O1899" i="19" l="1"/>
  <c r="G1899" i="19" a="1"/>
  <c r="G1899" i="19" s="1"/>
  <c r="M1899" i="19" s="1"/>
  <c r="I1899" i="19" a="1"/>
  <c r="I1899" i="19" s="1"/>
  <c r="O1900" i="19" l="1"/>
  <c r="G1900" i="19" a="1"/>
  <c r="G1900" i="19" s="1"/>
  <c r="M1900" i="19" s="1"/>
  <c r="I1900" i="19" a="1"/>
  <c r="I1900" i="19" s="1"/>
  <c r="O1901" i="19" l="1"/>
  <c r="G1901" i="19" a="1"/>
  <c r="G1901" i="19" s="1"/>
  <c r="M1901" i="19" s="1"/>
  <c r="I1901" i="19" a="1"/>
  <c r="I1901" i="19" s="1"/>
  <c r="O1902" i="19" l="1"/>
  <c r="G1902" i="19" a="1"/>
  <c r="G1902" i="19" s="1"/>
  <c r="M1902" i="19" s="1"/>
  <c r="I1902" i="19" a="1"/>
  <c r="I1902" i="19" s="1"/>
  <c r="O1903" i="19" l="1"/>
  <c r="G1903" i="19" a="1"/>
  <c r="G1903" i="19" s="1"/>
  <c r="M1903" i="19" s="1"/>
  <c r="I1903" i="19" a="1"/>
  <c r="I1903" i="19" s="1"/>
  <c r="G1904" i="19" l="1" a="1"/>
  <c r="G1904" i="19" s="1"/>
  <c r="M1904" i="19" s="1"/>
  <c r="I1904" i="19" a="1"/>
  <c r="I1904" i="19" s="1"/>
  <c r="O1904" i="19"/>
  <c r="O1905" i="19" l="1"/>
  <c r="G1905" i="19" a="1"/>
  <c r="G1905" i="19" s="1"/>
  <c r="M1905" i="19" s="1"/>
  <c r="I1905" i="19" a="1"/>
  <c r="I1905" i="19" s="1"/>
  <c r="O1906" i="19" l="1"/>
  <c r="G1906" i="19" a="1"/>
  <c r="G1906" i="19" s="1"/>
  <c r="M1906" i="19" s="1"/>
  <c r="I1906" i="19" a="1"/>
  <c r="I1906" i="19" s="1"/>
  <c r="O1907" i="19" l="1"/>
  <c r="G1907" i="19" a="1"/>
  <c r="G1907" i="19" s="1"/>
  <c r="M1907" i="19" s="1"/>
  <c r="I1907" i="19" a="1"/>
  <c r="I1907" i="19" s="1"/>
  <c r="O1908" i="19" l="1"/>
  <c r="G1908" i="19" a="1"/>
  <c r="G1908" i="19" s="1"/>
  <c r="M1908" i="19" s="1"/>
  <c r="I1908" i="19" a="1"/>
  <c r="I1908" i="19" s="1"/>
  <c r="O1909" i="19" l="1"/>
  <c r="G1909" i="19" a="1"/>
  <c r="G1909" i="19" s="1"/>
  <c r="M1909" i="19" s="1"/>
  <c r="I1909" i="19" a="1"/>
  <c r="I1909" i="19" s="1"/>
  <c r="O1910" i="19" l="1"/>
  <c r="G1910" i="19" a="1"/>
  <c r="G1910" i="19" s="1"/>
  <c r="M1910" i="19" s="1"/>
  <c r="I1910" i="19" a="1"/>
  <c r="I1910" i="19" s="1"/>
  <c r="O1911" i="19" l="1"/>
  <c r="G1911" i="19" a="1"/>
  <c r="G1911" i="19" s="1"/>
  <c r="M1911" i="19" s="1"/>
  <c r="I1911" i="19" a="1"/>
  <c r="I1911" i="19" s="1"/>
  <c r="O1912" i="19" l="1"/>
  <c r="G1912" i="19" a="1"/>
  <c r="G1912" i="19" s="1"/>
  <c r="M1912" i="19" s="1"/>
  <c r="I1912" i="19" a="1"/>
  <c r="I1912" i="19" s="1"/>
  <c r="O1913" i="19" l="1"/>
  <c r="G1913" i="19" a="1"/>
  <c r="G1913" i="19" s="1"/>
  <c r="M1913" i="19" s="1"/>
  <c r="I1913" i="19" a="1"/>
  <c r="I1913" i="19" s="1"/>
  <c r="O1914" i="19" l="1"/>
  <c r="G1914" i="19" a="1"/>
  <c r="G1914" i="19" s="1"/>
  <c r="M1914" i="19" s="1"/>
  <c r="I1914" i="19" a="1"/>
  <c r="I1914" i="19" s="1"/>
  <c r="O1915" i="19" l="1"/>
  <c r="G1915" i="19" a="1"/>
  <c r="G1915" i="19" s="1"/>
  <c r="M1915" i="19" s="1"/>
  <c r="I1915" i="19" a="1"/>
  <c r="I1915" i="19" s="1"/>
  <c r="O1916" i="19" l="1"/>
  <c r="G1916" i="19" a="1"/>
  <c r="G1916" i="19" s="1"/>
  <c r="M1916" i="19" s="1"/>
  <c r="I1916" i="19" a="1"/>
  <c r="I1916" i="19" s="1"/>
  <c r="O1917" i="19" l="1"/>
  <c r="G1917" i="19" a="1"/>
  <c r="G1917" i="19" s="1"/>
  <c r="M1917" i="19" s="1"/>
  <c r="I1917" i="19" a="1"/>
  <c r="I1917" i="19" s="1"/>
  <c r="O1918" i="19" l="1"/>
  <c r="G1918" i="19" a="1"/>
  <c r="G1918" i="19" s="1"/>
  <c r="M1918" i="19" s="1"/>
  <c r="I1918" i="19" a="1"/>
  <c r="I1918" i="19" s="1"/>
  <c r="O1919" i="19" l="1"/>
  <c r="G1919" i="19" a="1"/>
  <c r="G1919" i="19" s="1"/>
  <c r="M1919" i="19" s="1"/>
  <c r="I1919" i="19" a="1"/>
  <c r="I1919" i="19" s="1"/>
  <c r="O1920" i="19" l="1"/>
  <c r="G1920" i="19" a="1"/>
  <c r="G1920" i="19" s="1"/>
  <c r="M1920" i="19" s="1"/>
  <c r="I1920" i="19" a="1"/>
  <c r="I1920" i="19" s="1"/>
  <c r="O1921" i="19" l="1"/>
  <c r="G1921" i="19" a="1"/>
  <c r="G1921" i="19" s="1"/>
  <c r="M1921" i="19" s="1"/>
  <c r="I1921" i="19" a="1"/>
  <c r="I1921" i="19" s="1"/>
  <c r="O1922" i="19" l="1"/>
  <c r="G1922" i="19" a="1"/>
  <c r="G1922" i="19" s="1"/>
  <c r="M1922" i="19" s="1"/>
  <c r="I1922" i="19" a="1"/>
  <c r="I1922" i="19" s="1"/>
  <c r="O1923" i="19" l="1"/>
  <c r="G1923" i="19" a="1"/>
  <c r="G1923" i="19" s="1"/>
  <c r="M1923" i="19" s="1"/>
  <c r="I1923" i="19" a="1"/>
  <c r="I1923" i="19" s="1"/>
  <c r="O1924" i="19" l="1"/>
  <c r="G1924" i="19" a="1"/>
  <c r="G1924" i="19" s="1"/>
  <c r="M1924" i="19" s="1"/>
  <c r="I1924" i="19" a="1"/>
  <c r="I1924" i="19" s="1"/>
  <c r="O1925" i="19" l="1"/>
  <c r="G1925" i="19" a="1"/>
  <c r="G1925" i="19" s="1"/>
  <c r="M1925" i="19" s="1"/>
  <c r="I1925" i="19" a="1"/>
  <c r="I1925" i="19" s="1"/>
  <c r="O1926" i="19" l="1"/>
  <c r="G1926" i="19" a="1"/>
  <c r="G1926" i="19" s="1"/>
  <c r="M1926" i="19" s="1"/>
  <c r="I1926" i="19" a="1"/>
  <c r="I1926" i="19" s="1"/>
  <c r="O1927" i="19" l="1"/>
  <c r="G1927" i="19" a="1"/>
  <c r="G1927" i="19" s="1"/>
  <c r="M1927" i="19" s="1"/>
  <c r="I1927" i="19" a="1"/>
  <c r="I1927" i="19" s="1"/>
  <c r="O1928" i="19" l="1"/>
  <c r="G1928" i="19" a="1"/>
  <c r="G1928" i="19" s="1"/>
  <c r="M1928" i="19" s="1"/>
  <c r="I1928" i="19" a="1"/>
  <c r="I1928" i="19" s="1"/>
  <c r="O1929" i="19" l="1"/>
  <c r="G1929" i="19" a="1"/>
  <c r="G1929" i="19" s="1"/>
  <c r="M1929" i="19" s="1"/>
  <c r="I1929" i="19" a="1"/>
  <c r="I1929" i="19" s="1"/>
  <c r="O1930" i="19" l="1"/>
  <c r="G1930" i="19" a="1"/>
  <c r="G1930" i="19" s="1"/>
  <c r="M1930" i="19" s="1"/>
  <c r="I1930" i="19" a="1"/>
  <c r="I1930" i="19" s="1"/>
  <c r="O1931" i="19" l="1"/>
  <c r="G1931" i="19" a="1"/>
  <c r="G1931" i="19" s="1"/>
  <c r="M1931" i="19" s="1"/>
  <c r="I1931" i="19" a="1"/>
  <c r="I1931" i="19" s="1"/>
  <c r="O1932" i="19" l="1"/>
  <c r="G1932" i="19" a="1"/>
  <c r="G1932" i="19" s="1"/>
  <c r="M1932" i="19" s="1"/>
  <c r="I1932" i="19" a="1"/>
  <c r="I1932" i="19" s="1"/>
  <c r="O1933" i="19" l="1"/>
  <c r="G1933" i="19" a="1"/>
  <c r="G1933" i="19" s="1"/>
  <c r="M1933" i="19" s="1"/>
  <c r="I1933" i="19" a="1"/>
  <c r="I1933" i="19" s="1"/>
  <c r="O1934" i="19" l="1"/>
  <c r="G1934" i="19" a="1"/>
  <c r="G1934" i="19" s="1"/>
  <c r="M1934" i="19" s="1"/>
  <c r="I1934" i="19" a="1"/>
  <c r="I1934" i="19" s="1"/>
  <c r="O1935" i="19" l="1"/>
  <c r="G1935" i="19" a="1"/>
  <c r="G1935" i="19" s="1"/>
  <c r="M1935" i="19" s="1"/>
  <c r="I1935" i="19" a="1"/>
  <c r="I1935" i="19" s="1"/>
  <c r="O1936" i="19" l="1"/>
  <c r="G1936" i="19" a="1"/>
  <c r="G1936" i="19" s="1"/>
  <c r="M1936" i="19" s="1"/>
  <c r="I1936" i="19" a="1"/>
  <c r="I1936" i="19" s="1"/>
  <c r="O1937" i="19" l="1"/>
  <c r="G1937" i="19" a="1"/>
  <c r="G1937" i="19" s="1"/>
  <c r="M1937" i="19" s="1"/>
  <c r="I1937" i="19" a="1"/>
  <c r="I1937" i="19" s="1"/>
  <c r="O1938" i="19" l="1"/>
  <c r="G1938" i="19" a="1"/>
  <c r="G1938" i="19" s="1"/>
  <c r="M1938" i="19" s="1"/>
  <c r="I1938" i="19" a="1"/>
  <c r="I1938" i="19" s="1"/>
  <c r="O1939" i="19" l="1"/>
  <c r="G1939" i="19" a="1"/>
  <c r="G1939" i="19" s="1"/>
  <c r="M1939" i="19" s="1"/>
  <c r="I1939" i="19" a="1"/>
  <c r="I1939" i="19" s="1"/>
  <c r="O1940" i="19" l="1"/>
  <c r="G1940" i="19" a="1"/>
  <c r="G1940" i="19" s="1"/>
  <c r="M1940" i="19" s="1"/>
  <c r="I1940" i="19" a="1"/>
  <c r="I1940" i="19" s="1"/>
  <c r="O1941" i="19" l="1"/>
  <c r="G1941" i="19" a="1"/>
  <c r="G1941" i="19" s="1"/>
  <c r="M1941" i="19" s="1"/>
  <c r="I1941" i="19" a="1"/>
  <c r="I1941" i="19" s="1"/>
  <c r="O1942" i="19" l="1"/>
  <c r="G1942" i="19" a="1"/>
  <c r="G1942" i="19" s="1"/>
  <c r="M1942" i="19" s="1"/>
  <c r="I1942" i="19" a="1"/>
  <c r="I1942" i="19" s="1"/>
  <c r="O1943" i="19" l="1"/>
  <c r="G1943" i="19" a="1"/>
  <c r="G1943" i="19" s="1"/>
  <c r="M1943" i="19" s="1"/>
  <c r="I1943" i="19" a="1"/>
  <c r="I1943" i="19" s="1"/>
  <c r="O1944" i="19" l="1"/>
  <c r="G1944" i="19" a="1"/>
  <c r="G1944" i="19" s="1"/>
  <c r="M1944" i="19" s="1"/>
  <c r="I1944" i="19" a="1"/>
  <c r="I1944" i="19" s="1"/>
  <c r="O1945" i="19" l="1"/>
  <c r="G1945" i="19" a="1"/>
  <c r="G1945" i="19" s="1"/>
  <c r="M1945" i="19" s="1"/>
  <c r="I1945" i="19" a="1"/>
  <c r="I1945" i="19" s="1"/>
  <c r="O1946" i="19" l="1"/>
  <c r="G1946" i="19" a="1"/>
  <c r="G1946" i="19" s="1"/>
  <c r="M1946" i="19" s="1"/>
  <c r="I1946" i="19" a="1"/>
  <c r="I1946" i="19" s="1"/>
  <c r="G1947" i="19" l="1" a="1"/>
  <c r="G1947" i="19" s="1"/>
  <c r="M1947" i="19" s="1"/>
  <c r="I1947" i="19" a="1"/>
  <c r="I1947" i="19" s="1"/>
  <c r="O1947" i="19"/>
  <c r="O1948" i="19" l="1"/>
  <c r="G1948" i="19" a="1"/>
  <c r="G1948" i="19" s="1"/>
  <c r="M1948" i="19" s="1"/>
  <c r="I1948" i="19" a="1"/>
  <c r="I1948" i="19" s="1"/>
  <c r="O1949" i="19" l="1"/>
  <c r="G1949" i="19" a="1"/>
  <c r="G1949" i="19" s="1"/>
  <c r="M1949" i="19" s="1"/>
  <c r="I1949" i="19" a="1"/>
  <c r="I1949" i="19" s="1"/>
  <c r="O1950" i="19" l="1"/>
  <c r="G1950" i="19" a="1"/>
  <c r="G1950" i="19" s="1"/>
  <c r="M1950" i="19" s="1"/>
  <c r="I1950" i="19" a="1"/>
  <c r="I1950" i="19" s="1"/>
  <c r="O1951" i="19" l="1"/>
  <c r="G1951" i="19" a="1"/>
  <c r="G1951" i="19" s="1"/>
  <c r="M1951" i="19" s="1"/>
  <c r="I1951" i="19" a="1"/>
  <c r="I1951" i="19" s="1"/>
  <c r="O1952" i="19" l="1"/>
  <c r="G1952" i="19" a="1"/>
  <c r="G1952" i="19" s="1"/>
  <c r="M1952" i="19" s="1"/>
  <c r="I1952" i="19" a="1"/>
  <c r="I1952" i="19" s="1"/>
  <c r="O1953" i="19" l="1"/>
  <c r="G1953" i="19" a="1"/>
  <c r="G1953" i="19" s="1"/>
  <c r="M1953" i="19" s="1"/>
  <c r="I1953" i="19" a="1"/>
  <c r="I1953" i="19" s="1"/>
  <c r="O1954" i="19" l="1"/>
  <c r="G1954" i="19" a="1"/>
  <c r="G1954" i="19" s="1"/>
  <c r="M1954" i="19" s="1"/>
  <c r="I1954" i="19" a="1"/>
  <c r="I1954" i="19" s="1"/>
  <c r="O1955" i="19" l="1"/>
  <c r="G1955" i="19" a="1"/>
  <c r="G1955" i="19" s="1"/>
  <c r="M1955" i="19" s="1"/>
  <c r="I1955" i="19" a="1"/>
  <c r="I1955" i="19" s="1"/>
  <c r="O1956" i="19" l="1"/>
  <c r="G1956" i="19" a="1"/>
  <c r="G1956" i="19" s="1"/>
  <c r="M1956" i="19" s="1"/>
  <c r="I1956" i="19" a="1"/>
  <c r="I1956" i="19" s="1"/>
  <c r="O1957" i="19" l="1"/>
  <c r="G1957" i="19" a="1"/>
  <c r="G1957" i="19" s="1"/>
  <c r="M1957" i="19" s="1"/>
  <c r="I1957" i="19" a="1"/>
  <c r="I1957" i="19" s="1"/>
  <c r="O1958" i="19" l="1"/>
  <c r="G1958" i="19" a="1"/>
  <c r="G1958" i="19" s="1"/>
  <c r="M1958" i="19" s="1"/>
  <c r="I1958" i="19" a="1"/>
  <c r="I1958" i="19" s="1"/>
  <c r="O1959" i="19" l="1"/>
  <c r="G1959" i="19" a="1"/>
  <c r="G1959" i="19" s="1"/>
  <c r="M1959" i="19" s="1"/>
  <c r="I1959" i="19" a="1"/>
  <c r="I1959" i="19" s="1"/>
  <c r="O1960" i="19" l="1"/>
  <c r="G1960" i="19" a="1"/>
  <c r="G1960" i="19" s="1"/>
  <c r="M1960" i="19" s="1"/>
  <c r="I1960" i="19" a="1"/>
  <c r="I1960" i="19" s="1"/>
  <c r="G1961" i="19" l="1" a="1"/>
  <c r="G1961" i="19" s="1"/>
  <c r="M1961" i="19" s="1"/>
  <c r="I1961" i="19" a="1"/>
  <c r="I1961" i="19" s="1"/>
  <c r="O1961" i="19"/>
  <c r="O1962" i="19" l="1"/>
  <c r="G1962" i="19" a="1"/>
  <c r="G1962" i="19" s="1"/>
  <c r="M1962" i="19" s="1"/>
  <c r="I1962" i="19" a="1"/>
  <c r="I1962" i="19" s="1"/>
  <c r="O1963" i="19" l="1"/>
  <c r="G1963" i="19" a="1"/>
  <c r="G1963" i="19" s="1"/>
  <c r="M1963" i="19" s="1"/>
  <c r="I1963" i="19" a="1"/>
  <c r="I1963" i="19" s="1"/>
  <c r="O1964" i="19" l="1"/>
  <c r="G1964" i="19" a="1"/>
  <c r="G1964" i="19" s="1"/>
  <c r="M1964" i="19" s="1"/>
  <c r="I1964" i="19" a="1"/>
  <c r="I1964" i="19" s="1"/>
  <c r="O1965" i="19" l="1"/>
  <c r="G1965" i="19" a="1"/>
  <c r="G1965" i="19" s="1"/>
  <c r="M1965" i="19" s="1"/>
  <c r="I1965" i="19" a="1"/>
  <c r="I1965" i="19" s="1"/>
  <c r="O1966" i="19" l="1"/>
  <c r="G1966" i="19" a="1"/>
  <c r="G1966" i="19" s="1"/>
  <c r="M1966" i="19" s="1"/>
  <c r="I1966" i="19" a="1"/>
  <c r="I1966" i="19" s="1"/>
  <c r="G1967" i="19" l="1" a="1"/>
  <c r="G1967" i="19" s="1"/>
  <c r="M1967" i="19" s="1"/>
  <c r="I1967" i="19" a="1"/>
  <c r="I1967" i="19" s="1"/>
  <c r="O1967" i="19"/>
  <c r="O1968" i="19" l="1"/>
  <c r="G1968" i="19" a="1"/>
  <c r="G1968" i="19" s="1"/>
  <c r="M1968" i="19" s="1"/>
  <c r="I1968" i="19" a="1"/>
  <c r="I1968" i="19" s="1"/>
  <c r="O1969" i="19" l="1"/>
  <c r="G1969" i="19" a="1"/>
  <c r="G1969" i="19" s="1"/>
  <c r="M1969" i="19" s="1"/>
  <c r="I1969" i="19" a="1"/>
  <c r="I1969" i="19" s="1"/>
  <c r="O1970" i="19" l="1"/>
  <c r="G1970" i="19" a="1"/>
  <c r="G1970" i="19" s="1"/>
  <c r="M1970" i="19" s="1"/>
  <c r="I1970" i="19" a="1"/>
  <c r="I1970" i="19" s="1"/>
  <c r="O1971" i="19" l="1"/>
  <c r="G1971" i="19" a="1"/>
  <c r="G1971" i="19" s="1"/>
  <c r="M1971" i="19" s="1"/>
  <c r="I1971" i="19" a="1"/>
  <c r="I1971" i="19" s="1"/>
  <c r="G1972" i="19" l="1" a="1"/>
  <c r="G1972" i="19" s="1"/>
  <c r="M1972" i="19" s="1"/>
  <c r="I1972" i="19" a="1"/>
  <c r="I1972" i="19" s="1"/>
  <c r="O1972" i="19"/>
  <c r="O1973" i="19" l="1"/>
  <c r="G1973" i="19" a="1"/>
  <c r="G1973" i="19" s="1"/>
  <c r="M1973" i="19" s="1"/>
  <c r="I1973" i="19" a="1"/>
  <c r="I1973" i="19" s="1"/>
  <c r="G1974" i="19" l="1" a="1"/>
  <c r="G1974" i="19" s="1"/>
  <c r="M1974" i="19" s="1"/>
  <c r="I1974" i="19" a="1"/>
  <c r="I1974" i="19" s="1"/>
  <c r="O1974" i="19"/>
  <c r="G1975" i="19" l="1" a="1"/>
  <c r="G1975" i="19" s="1"/>
  <c r="M1975" i="19" s="1"/>
  <c r="I1975" i="19" a="1"/>
  <c r="I1975" i="19" s="1"/>
  <c r="O1975" i="19"/>
  <c r="O1976" i="19" l="1"/>
  <c r="G1976" i="19" a="1"/>
  <c r="G1976" i="19" s="1"/>
  <c r="M1976" i="19" s="1"/>
  <c r="I1976" i="19" a="1"/>
  <c r="I1976" i="19" s="1"/>
  <c r="O1977" i="19" l="1"/>
  <c r="G1977" i="19" a="1"/>
  <c r="G1977" i="19" s="1"/>
  <c r="M1977" i="19" s="1"/>
  <c r="I1977" i="19" a="1"/>
  <c r="I1977" i="19" s="1"/>
  <c r="O1978" i="19" l="1"/>
  <c r="G1978" i="19" a="1"/>
  <c r="G1978" i="19" s="1"/>
  <c r="M1978" i="19" s="1"/>
  <c r="I1978" i="19" a="1"/>
  <c r="I1978" i="19" s="1"/>
  <c r="O1979" i="19" l="1"/>
  <c r="G1979" i="19" a="1"/>
  <c r="G1979" i="19" s="1"/>
  <c r="M1979" i="19" s="1"/>
  <c r="I1979" i="19" a="1"/>
  <c r="I1979" i="19" s="1"/>
  <c r="O1980" i="19" l="1"/>
  <c r="G1980" i="19" a="1"/>
  <c r="G1980" i="19" s="1"/>
  <c r="M1980" i="19" s="1"/>
  <c r="I1980" i="19" a="1"/>
  <c r="I1980" i="19" s="1"/>
  <c r="O1981" i="19" l="1"/>
  <c r="G1981" i="19" a="1"/>
  <c r="G1981" i="19" s="1"/>
  <c r="M1981" i="19" s="1"/>
  <c r="I1981" i="19" a="1"/>
  <c r="I1981" i="19" s="1"/>
  <c r="O1982" i="19" l="1"/>
  <c r="G1982" i="19" a="1"/>
  <c r="G1982" i="19" s="1"/>
  <c r="M1982" i="19" s="1"/>
  <c r="I1982" i="19" a="1"/>
  <c r="I1982" i="19" s="1"/>
  <c r="O1983" i="19" l="1"/>
  <c r="G1983" i="19" a="1"/>
  <c r="G1983" i="19" s="1"/>
  <c r="M1983" i="19" s="1"/>
  <c r="I1983" i="19" a="1"/>
  <c r="I1983" i="19" s="1"/>
  <c r="O1984" i="19" l="1"/>
  <c r="G1984" i="19" a="1"/>
  <c r="G1984" i="19" s="1"/>
  <c r="M1984" i="19" s="1"/>
  <c r="I1984" i="19" a="1"/>
  <c r="I1984" i="19" s="1"/>
  <c r="O1985" i="19" l="1"/>
  <c r="G1985" i="19" a="1"/>
  <c r="G1985" i="19" s="1"/>
  <c r="M1985" i="19" s="1"/>
  <c r="I1985" i="19" a="1"/>
  <c r="I1985" i="19" s="1"/>
  <c r="G1986" i="19" l="1" a="1"/>
  <c r="G1986" i="19" s="1"/>
  <c r="M1986" i="19" s="1"/>
  <c r="I1986" i="19" a="1"/>
  <c r="I1986" i="19" s="1"/>
  <c r="O1986" i="19"/>
  <c r="O1987" i="19" l="1"/>
  <c r="G1987" i="19" a="1"/>
  <c r="G1987" i="19" s="1"/>
  <c r="M1987" i="19" s="1"/>
  <c r="I1987" i="19" a="1"/>
  <c r="I1987" i="19" s="1"/>
  <c r="O1988" i="19" l="1"/>
  <c r="G1988" i="19" a="1"/>
  <c r="G1988" i="19" s="1"/>
  <c r="M1988" i="19" s="1"/>
  <c r="I1988" i="19" a="1"/>
  <c r="I1988" i="19" s="1"/>
  <c r="O1989" i="19" l="1"/>
  <c r="G1989" i="19" a="1"/>
  <c r="G1989" i="19" s="1"/>
  <c r="M1989" i="19" s="1"/>
  <c r="I1989" i="19" a="1"/>
  <c r="I1989" i="19" s="1"/>
  <c r="O1990" i="19" l="1"/>
  <c r="G1990" i="19" a="1"/>
  <c r="G1990" i="19" s="1"/>
  <c r="M1990" i="19" s="1"/>
  <c r="I1990" i="19" a="1"/>
  <c r="I1990" i="19" s="1"/>
  <c r="O1991" i="19" l="1"/>
  <c r="G1991" i="19" a="1"/>
  <c r="G1991" i="19" s="1"/>
  <c r="M1991" i="19" s="1"/>
  <c r="I1991" i="19" a="1"/>
  <c r="I1991" i="19" s="1"/>
  <c r="O1992" i="19" l="1"/>
  <c r="G1992" i="19" a="1"/>
  <c r="G1992" i="19" s="1"/>
  <c r="M1992" i="19" s="1"/>
  <c r="I1992" i="19" a="1"/>
  <c r="I1992" i="19" s="1"/>
  <c r="O1993" i="19" l="1"/>
  <c r="G1993" i="19" a="1"/>
  <c r="G1993" i="19" s="1"/>
  <c r="M1993" i="19" s="1"/>
  <c r="I1993" i="19" a="1"/>
  <c r="I1993" i="19" s="1"/>
  <c r="O1994" i="19" l="1"/>
  <c r="G1994" i="19" a="1"/>
  <c r="G1994" i="19" s="1"/>
  <c r="M1994" i="19" s="1"/>
  <c r="I1994" i="19" a="1"/>
  <c r="I1994" i="19" s="1"/>
  <c r="O1995" i="19" l="1"/>
  <c r="G1995" i="19" a="1"/>
  <c r="G1995" i="19" s="1"/>
  <c r="M1995" i="19" s="1"/>
  <c r="I1995" i="19" a="1"/>
  <c r="I1995" i="19" s="1"/>
  <c r="O1996" i="19" l="1"/>
  <c r="G1996" i="19" a="1"/>
  <c r="G1996" i="19" s="1"/>
  <c r="M1996" i="19" s="1"/>
  <c r="I1996" i="19" a="1"/>
  <c r="I1996" i="19" s="1"/>
  <c r="O1997" i="19" l="1"/>
  <c r="G1997" i="19" a="1"/>
  <c r="G1997" i="19" s="1"/>
  <c r="M1997" i="19" s="1"/>
  <c r="I1997" i="19" a="1"/>
  <c r="I1997" i="19" s="1"/>
  <c r="O1998" i="19" l="1"/>
  <c r="G1998" i="19" a="1"/>
  <c r="G1998" i="19" s="1"/>
  <c r="M1998" i="19" s="1"/>
  <c r="I1998" i="19" a="1"/>
  <c r="I1998" i="19" s="1"/>
  <c r="G1999" i="19" l="1" a="1"/>
  <c r="G1999" i="19" s="1"/>
  <c r="M1999" i="19" s="1"/>
  <c r="I1999" i="19" a="1"/>
  <c r="I1999" i="19" s="1"/>
  <c r="O1999" i="19"/>
  <c r="O2000" i="19" l="1"/>
  <c r="G2000" i="19" a="1"/>
  <c r="G2000" i="19" s="1"/>
  <c r="M2000" i="19" s="1"/>
  <c r="I2000" i="19" a="1"/>
  <c r="I2000" i="19" s="1"/>
  <c r="O2001" i="19" l="1"/>
  <c r="G2001" i="19" a="1"/>
  <c r="G2001" i="19" s="1"/>
  <c r="M2001" i="19" s="1"/>
  <c r="I2001" i="19" a="1"/>
  <c r="I2001" i="19" s="1"/>
  <c r="O2002" i="19" l="1"/>
  <c r="G2002" i="19" a="1"/>
  <c r="G2002" i="19" s="1"/>
  <c r="M2002" i="19" s="1"/>
  <c r="I2002" i="19" a="1"/>
  <c r="I2002" i="19" s="1"/>
  <c r="O2003" i="19" l="1"/>
  <c r="G2003" i="19" a="1"/>
  <c r="G2003" i="19" s="1"/>
  <c r="M2003" i="19" s="1"/>
  <c r="I2003" i="19" a="1"/>
  <c r="I2003" i="19" s="1"/>
  <c r="G2004" i="19" l="1" a="1"/>
  <c r="G2004" i="19" s="1"/>
  <c r="M2004" i="19" s="1"/>
  <c r="I2004" i="19" a="1"/>
  <c r="I2004" i="19" s="1"/>
  <c r="O2004" i="19"/>
  <c r="O2005" i="19" l="1"/>
  <c r="G2005" i="19" a="1"/>
  <c r="G2005" i="19" s="1"/>
  <c r="M2005" i="19" s="1"/>
  <c r="I2005" i="19" a="1"/>
  <c r="I2005" i="19" s="1"/>
  <c r="O2006" i="19" l="1"/>
  <c r="G2006" i="19" a="1"/>
  <c r="G2006" i="19" s="1"/>
  <c r="M2006" i="19" s="1"/>
  <c r="I2006" i="19" a="1"/>
  <c r="I2006" i="19" s="1"/>
  <c r="O2007" i="19" l="1"/>
  <c r="G2007" i="19" a="1"/>
  <c r="G2007" i="19" s="1"/>
  <c r="M2007" i="19" s="1"/>
  <c r="I2007" i="19" a="1"/>
  <c r="I2007" i="19" s="1"/>
  <c r="G2008" i="19" l="1" a="1"/>
  <c r="G2008" i="19" s="1"/>
  <c r="M2008" i="19" s="1"/>
  <c r="I2008" i="19" a="1"/>
  <c r="I2008" i="19" s="1"/>
  <c r="O2008" i="19"/>
  <c r="O2009" i="19" l="1"/>
  <c r="G2009" i="19" a="1"/>
  <c r="G2009" i="19" s="1"/>
  <c r="M2009" i="19" s="1"/>
  <c r="I2009" i="19" a="1"/>
  <c r="I2009" i="19" s="1"/>
  <c r="O2010" i="19" l="1"/>
  <c r="G2010" i="19" a="1"/>
  <c r="G2010" i="19" s="1"/>
  <c r="M2010" i="19" s="1"/>
  <c r="I2010" i="19" a="1"/>
  <c r="I2010" i="19" s="1"/>
  <c r="O2011" i="19" l="1"/>
  <c r="G2011" i="19" a="1"/>
  <c r="G2011" i="19" s="1"/>
  <c r="M2011" i="19" s="1"/>
  <c r="I2011" i="19" a="1"/>
  <c r="I2011" i="19" s="1"/>
  <c r="O2012" i="19" l="1"/>
  <c r="G2012" i="19" a="1"/>
  <c r="G2012" i="19" s="1"/>
  <c r="M2012" i="19" s="1"/>
  <c r="I2012" i="19" a="1"/>
  <c r="I2012" i="19" s="1"/>
  <c r="O2013" i="19" l="1"/>
  <c r="G2013" i="19" a="1"/>
  <c r="G2013" i="19" s="1"/>
  <c r="M2013" i="19" s="1"/>
  <c r="I2013" i="19" a="1"/>
  <c r="I2013" i="19" s="1"/>
  <c r="O2014" i="19" l="1"/>
  <c r="G2014" i="19" a="1"/>
  <c r="G2014" i="19" s="1"/>
  <c r="M2014" i="19" s="1"/>
  <c r="I2014" i="19" a="1"/>
  <c r="I2014" i="19" s="1"/>
  <c r="O2015" i="19" l="1"/>
  <c r="G2015" i="19" a="1"/>
  <c r="G2015" i="19" s="1"/>
  <c r="M2015" i="19" s="1"/>
  <c r="I2015" i="19" a="1"/>
  <c r="I2015" i="19" s="1"/>
  <c r="O2016" i="19" l="1"/>
  <c r="G2016" i="19" a="1"/>
  <c r="G2016" i="19" s="1"/>
  <c r="M2016" i="19" s="1"/>
  <c r="I2016" i="19" a="1"/>
  <c r="I2016" i="19" s="1"/>
  <c r="O2017" i="19" l="1"/>
  <c r="G2017" i="19" a="1"/>
  <c r="G2017" i="19" s="1"/>
  <c r="M2017" i="19" s="1"/>
  <c r="I2017" i="19" a="1"/>
  <c r="I2017" i="19" s="1"/>
  <c r="O2018" i="19" l="1"/>
  <c r="G2018" i="19" a="1"/>
  <c r="G2018" i="19" s="1"/>
  <c r="M2018" i="19" s="1"/>
  <c r="I2018" i="19" a="1"/>
  <c r="I2018" i="19" s="1"/>
  <c r="G2019" i="19" l="1" a="1"/>
  <c r="G2019" i="19" s="1"/>
  <c r="M2019" i="19" s="1"/>
  <c r="I2019" i="19" a="1"/>
  <c r="I2019" i="19" s="1"/>
  <c r="O2019" i="19"/>
  <c r="G2020" i="19" l="1" a="1"/>
  <c r="G2020" i="19" s="1"/>
  <c r="M2020" i="19" s="1"/>
  <c r="I2020" i="19" a="1"/>
  <c r="I2020" i="19" s="1"/>
  <c r="O2020" i="19"/>
  <c r="O2021" i="19" l="1"/>
  <c r="G2021" i="19" a="1"/>
  <c r="G2021" i="19" s="1"/>
  <c r="M2021" i="19" s="1"/>
  <c r="I2021" i="19" a="1"/>
  <c r="I2021" i="19" s="1"/>
  <c r="O2022" i="19" l="1"/>
  <c r="G2022" i="19" a="1"/>
  <c r="G2022" i="19" s="1"/>
  <c r="M2022" i="19" s="1"/>
  <c r="I2022" i="19" a="1"/>
  <c r="I2022" i="19" s="1"/>
  <c r="O2023" i="19" l="1"/>
  <c r="G2023" i="19" a="1"/>
  <c r="G2023" i="19" s="1"/>
  <c r="M2023" i="19" s="1"/>
  <c r="I2023" i="19" a="1"/>
  <c r="I2023" i="19" s="1"/>
  <c r="O2024" i="19" l="1"/>
  <c r="G2024" i="19" a="1"/>
  <c r="G2024" i="19" s="1"/>
  <c r="M2024" i="19" s="1"/>
  <c r="I2024" i="19" a="1"/>
  <c r="I2024" i="19" s="1"/>
  <c r="O2025" i="19" l="1"/>
  <c r="G2025" i="19" a="1"/>
  <c r="G2025" i="19" s="1"/>
  <c r="M2025" i="19" s="1"/>
  <c r="I2025" i="19" a="1"/>
  <c r="I2025" i="19" s="1"/>
  <c r="O2026" i="19" l="1"/>
  <c r="G2026" i="19" a="1"/>
  <c r="G2026" i="19" s="1"/>
  <c r="M2026" i="19" s="1"/>
  <c r="I2026" i="19" a="1"/>
  <c r="I2026" i="19" s="1"/>
  <c r="O2027" i="19" l="1"/>
  <c r="G2027" i="19" a="1"/>
  <c r="G2027" i="19" s="1"/>
  <c r="M2027" i="19" s="1"/>
  <c r="I2027" i="19" a="1"/>
  <c r="I2027" i="19" s="1"/>
  <c r="O2028" i="19" l="1"/>
  <c r="G2028" i="19" a="1"/>
  <c r="G2028" i="19" s="1"/>
  <c r="M2028" i="19" s="1"/>
  <c r="I2028" i="19" a="1"/>
  <c r="I2028" i="19" s="1"/>
  <c r="O2029" i="19" l="1"/>
  <c r="G2029" i="19" a="1"/>
  <c r="G2029" i="19" s="1"/>
  <c r="M2029" i="19" s="1"/>
  <c r="I2029" i="19" a="1"/>
  <c r="I2029" i="19" s="1"/>
  <c r="O2030" i="19" l="1"/>
  <c r="G2030" i="19" a="1"/>
  <c r="G2030" i="19" s="1"/>
  <c r="M2030" i="19" s="1"/>
  <c r="I2030" i="19" a="1"/>
  <c r="I2030" i="19" s="1"/>
  <c r="O2031" i="19" l="1"/>
  <c r="G2031" i="19" a="1"/>
  <c r="G2031" i="19" s="1"/>
  <c r="M2031" i="19" s="1"/>
  <c r="I2031" i="19" a="1"/>
  <c r="I2031" i="19" s="1"/>
  <c r="G2032" i="19" l="1" a="1"/>
  <c r="G2032" i="19" s="1"/>
  <c r="M2032" i="19" s="1"/>
  <c r="I2032" i="19" a="1"/>
  <c r="I2032" i="19" s="1"/>
  <c r="O2032" i="19"/>
  <c r="O2033" i="19" l="1"/>
  <c r="G2033" i="19" a="1"/>
  <c r="G2033" i="19" s="1"/>
  <c r="M2033" i="19" s="1"/>
  <c r="I2033" i="19" a="1"/>
  <c r="I2033" i="19" s="1"/>
  <c r="O2034" i="19" l="1"/>
  <c r="G2034" i="19" a="1"/>
  <c r="G2034" i="19" s="1"/>
  <c r="M2034" i="19" s="1"/>
  <c r="I2034" i="19" a="1"/>
  <c r="I2034" i="19" s="1"/>
  <c r="O2035" i="19" l="1"/>
  <c r="G2035" i="19" a="1"/>
  <c r="G2035" i="19" s="1"/>
  <c r="M2035" i="19" s="1"/>
  <c r="I2035" i="19" a="1"/>
  <c r="I2035" i="19" s="1"/>
  <c r="O2036" i="19" l="1"/>
  <c r="G2036" i="19" a="1"/>
  <c r="G2036" i="19" s="1"/>
  <c r="M2036" i="19" s="1"/>
  <c r="I2036" i="19" a="1"/>
  <c r="I2036" i="19" s="1"/>
  <c r="O2037" i="19" l="1"/>
  <c r="G2037" i="19" a="1"/>
  <c r="G2037" i="19" s="1"/>
  <c r="M2037" i="19" s="1"/>
  <c r="I2037" i="19" a="1"/>
  <c r="I2037" i="19" s="1"/>
  <c r="O2038" i="19" l="1"/>
  <c r="G2038" i="19" a="1"/>
  <c r="G2038" i="19" s="1"/>
  <c r="M2038" i="19" s="1"/>
  <c r="I2038" i="19" a="1"/>
  <c r="I2038" i="19" s="1"/>
  <c r="O2039" i="19" l="1"/>
  <c r="G2039" i="19" a="1"/>
  <c r="G2039" i="19" s="1"/>
  <c r="M2039" i="19" s="1"/>
  <c r="I2039" i="19" a="1"/>
  <c r="I2039" i="19" s="1"/>
  <c r="O2040" i="19" l="1"/>
  <c r="G2040" i="19" a="1"/>
  <c r="G2040" i="19" s="1"/>
  <c r="M2040" i="19" s="1"/>
  <c r="I2040" i="19" a="1"/>
  <c r="I2040" i="19" s="1"/>
  <c r="O2041" i="19" l="1"/>
  <c r="G2041" i="19" a="1"/>
  <c r="G2041" i="19" s="1"/>
  <c r="M2041" i="19" s="1"/>
  <c r="I2041" i="19" a="1"/>
  <c r="I2041" i="19" s="1"/>
  <c r="O2042" i="19" l="1"/>
  <c r="G2042" i="19" a="1"/>
  <c r="G2042" i="19" s="1"/>
  <c r="M2042" i="19" s="1"/>
  <c r="I2042" i="19" a="1"/>
  <c r="I2042" i="19" s="1"/>
  <c r="O2043" i="19" l="1"/>
  <c r="G2043" i="19" a="1"/>
  <c r="G2043" i="19" s="1"/>
  <c r="M2043" i="19" s="1"/>
  <c r="I2043" i="19" a="1"/>
  <c r="I2043" i="19" s="1"/>
  <c r="O2044" i="19" l="1"/>
  <c r="G2044" i="19" a="1"/>
  <c r="G2044" i="19" s="1"/>
  <c r="M2044" i="19" s="1"/>
  <c r="I2044" i="19" a="1"/>
  <c r="I2044" i="19" s="1"/>
  <c r="G2045" i="19" l="1" a="1"/>
  <c r="G2045" i="19" s="1"/>
  <c r="M2045" i="19" s="1"/>
  <c r="I2045" i="19" a="1"/>
  <c r="I2045" i="19" s="1"/>
  <c r="O2045" i="19"/>
  <c r="O2046" i="19" l="1"/>
  <c r="G2046" i="19" a="1"/>
  <c r="G2046" i="19" s="1"/>
  <c r="M2046" i="19" s="1"/>
  <c r="I2046" i="19" a="1"/>
  <c r="I2046" i="19" s="1"/>
  <c r="O2047" i="19" l="1"/>
  <c r="G2047" i="19" a="1"/>
  <c r="G2047" i="19" s="1"/>
  <c r="M2047" i="19" s="1"/>
  <c r="I2047" i="19" a="1"/>
  <c r="I2047" i="19" s="1"/>
  <c r="O2048" i="19" l="1"/>
  <c r="G2048" i="19" a="1"/>
  <c r="G2048" i="19" s="1"/>
  <c r="M2048" i="19" s="1"/>
  <c r="I2048" i="19" a="1"/>
  <c r="I2048" i="19" s="1"/>
  <c r="O2049" i="19" l="1"/>
  <c r="G2049" i="19" a="1"/>
  <c r="G2049" i="19" s="1"/>
  <c r="M2049" i="19" s="1"/>
  <c r="I2049" i="19" a="1"/>
  <c r="I2049" i="19" s="1"/>
  <c r="O2050" i="19" l="1"/>
  <c r="G2050" i="19" a="1"/>
  <c r="G2050" i="19" s="1"/>
  <c r="M2050" i="19" s="1"/>
  <c r="I2050" i="19" a="1"/>
  <c r="I2050" i="19" s="1"/>
  <c r="O2051" i="19" l="1"/>
  <c r="G2051" i="19" a="1"/>
  <c r="G2051" i="19" s="1"/>
  <c r="M2051" i="19" s="1"/>
  <c r="I2051" i="19" a="1"/>
  <c r="I2051" i="19" s="1"/>
  <c r="O2052" i="19" l="1"/>
  <c r="G2052" i="19" a="1"/>
  <c r="G2052" i="19" s="1"/>
  <c r="M2052" i="19" s="1"/>
  <c r="I2052" i="19" a="1"/>
  <c r="I2052" i="19" s="1"/>
  <c r="O2053" i="19" l="1"/>
  <c r="G2053" i="19" a="1"/>
  <c r="G2053" i="19" s="1"/>
  <c r="M2053" i="19" s="1"/>
  <c r="I2053" i="19" a="1"/>
  <c r="I2053" i="19" s="1"/>
  <c r="O2054" i="19" l="1"/>
  <c r="G2054" i="19" a="1"/>
  <c r="G2054" i="19" s="1"/>
  <c r="M2054" i="19" s="1"/>
  <c r="I2054" i="19" a="1"/>
  <c r="I2054" i="19" s="1"/>
  <c r="O2055" i="19" l="1"/>
  <c r="G2055" i="19" a="1"/>
  <c r="G2055" i="19" s="1"/>
  <c r="M2055" i="19" s="1"/>
  <c r="I2055" i="19" a="1"/>
  <c r="I2055" i="19" s="1"/>
  <c r="O2056" i="19" l="1"/>
  <c r="G2056" i="19" a="1"/>
  <c r="G2056" i="19" s="1"/>
  <c r="M2056" i="19" s="1"/>
  <c r="I2056" i="19" a="1"/>
  <c r="I2056" i="19" s="1"/>
  <c r="O2057" i="19" l="1"/>
  <c r="G2057" i="19" a="1"/>
  <c r="G2057" i="19" s="1"/>
  <c r="M2057" i="19" s="1"/>
  <c r="I2057" i="19" a="1"/>
  <c r="I2057" i="19" s="1"/>
  <c r="O2058" i="19" l="1"/>
  <c r="G2058" i="19" a="1"/>
  <c r="G2058" i="19" s="1"/>
  <c r="M2058" i="19" s="1"/>
  <c r="I2058" i="19" a="1"/>
  <c r="I2058" i="19" s="1"/>
  <c r="O2059" i="19" l="1"/>
  <c r="G2059" i="19" a="1"/>
  <c r="G2059" i="19" s="1"/>
  <c r="M2059" i="19" s="1"/>
  <c r="I2059" i="19" a="1"/>
  <c r="I2059" i="19" s="1"/>
  <c r="O2060" i="19" l="1"/>
  <c r="G2060" i="19" a="1"/>
  <c r="G2060" i="19" s="1"/>
  <c r="M2060" i="19" s="1"/>
  <c r="I2060" i="19" a="1"/>
  <c r="I2060" i="19" s="1"/>
  <c r="O2061" i="19" l="1"/>
  <c r="G2061" i="19" a="1"/>
  <c r="G2061" i="19" s="1"/>
  <c r="M2061" i="19" s="1"/>
  <c r="I2061" i="19" a="1"/>
  <c r="I2061" i="19" s="1"/>
  <c r="O2062" i="19" l="1"/>
  <c r="G2062" i="19" a="1"/>
  <c r="G2062" i="19" s="1"/>
  <c r="M2062" i="19" s="1"/>
  <c r="I2062" i="19" a="1"/>
  <c r="I2062" i="19" s="1"/>
  <c r="O2063" i="19" l="1"/>
  <c r="G2063" i="19" a="1"/>
  <c r="G2063" i="19" s="1"/>
  <c r="M2063" i="19" s="1"/>
  <c r="I2063" i="19" a="1"/>
  <c r="I2063" i="19" s="1"/>
  <c r="O2064" i="19" l="1"/>
  <c r="G2064" i="19" a="1"/>
  <c r="G2064" i="19" s="1"/>
  <c r="M2064" i="19" s="1"/>
  <c r="I2064" i="19" a="1"/>
  <c r="I2064" i="19" s="1"/>
  <c r="O2065" i="19" l="1"/>
  <c r="G2065" i="19" a="1"/>
  <c r="G2065" i="19" s="1"/>
  <c r="M2065" i="19" s="1"/>
  <c r="I2065" i="19" a="1"/>
  <c r="I2065" i="19" s="1"/>
  <c r="O2066" i="19" l="1"/>
  <c r="G2066" i="19" a="1"/>
  <c r="G2066" i="19" s="1"/>
  <c r="M2066" i="19" s="1"/>
  <c r="I2066" i="19" a="1"/>
  <c r="I2066" i="19" s="1"/>
  <c r="O2067" i="19" l="1"/>
  <c r="G2067" i="19" a="1"/>
  <c r="G2067" i="19" s="1"/>
  <c r="M2067" i="19" s="1"/>
  <c r="I2067" i="19" a="1"/>
  <c r="I2067" i="19" s="1"/>
  <c r="O2068" i="19" l="1"/>
  <c r="G2068" i="19" a="1"/>
  <c r="G2068" i="19" s="1"/>
  <c r="M2068" i="19" s="1"/>
  <c r="I2068" i="19" a="1"/>
  <c r="I2068" i="19" s="1"/>
  <c r="O2069" i="19" l="1"/>
  <c r="G2069" i="19" a="1"/>
  <c r="G2069" i="19" s="1"/>
  <c r="M2069" i="19" s="1"/>
  <c r="I2069" i="19" a="1"/>
  <c r="I2069" i="19" s="1"/>
  <c r="O2070" i="19" l="1"/>
  <c r="G2070" i="19" a="1"/>
  <c r="G2070" i="19" s="1"/>
  <c r="M2070" i="19" s="1"/>
  <c r="I2070" i="19" a="1"/>
  <c r="I2070" i="19" s="1"/>
  <c r="O2071" i="19" l="1"/>
  <c r="G2071" i="19" a="1"/>
  <c r="G2071" i="19" s="1"/>
  <c r="M2071" i="19" s="1"/>
  <c r="I2071" i="19" a="1"/>
  <c r="I2071" i="19" s="1"/>
  <c r="O2072" i="19" l="1"/>
  <c r="G2072" i="19" a="1"/>
  <c r="G2072" i="19" s="1"/>
  <c r="M2072" i="19" s="1"/>
  <c r="I2072" i="19" a="1"/>
  <c r="I2072" i="19" s="1"/>
  <c r="O2073" i="19" l="1"/>
  <c r="G2073" i="19" a="1"/>
  <c r="G2073" i="19" s="1"/>
  <c r="M2073" i="19" s="1"/>
  <c r="I2073" i="19" a="1"/>
  <c r="I2073" i="19" s="1"/>
  <c r="O2074" i="19" l="1"/>
  <c r="G2074" i="19" a="1"/>
  <c r="G2074" i="19" s="1"/>
  <c r="M2074" i="19" s="1"/>
  <c r="I2074" i="19" a="1"/>
  <c r="I2074" i="19" s="1"/>
  <c r="O2075" i="19" l="1"/>
  <c r="G2075" i="19" a="1"/>
  <c r="G2075" i="19" s="1"/>
  <c r="M2075" i="19" s="1"/>
  <c r="I2075" i="19" a="1"/>
  <c r="I2075" i="19" s="1"/>
  <c r="O2076" i="19" l="1"/>
  <c r="G2076" i="19" a="1"/>
  <c r="G2076" i="19" s="1"/>
  <c r="M2076" i="19" s="1"/>
  <c r="I2076" i="19" a="1"/>
  <c r="I2076" i="19" s="1"/>
  <c r="O2077" i="19" l="1"/>
  <c r="G2077" i="19" a="1"/>
  <c r="G2077" i="19" s="1"/>
  <c r="M2077" i="19" s="1"/>
  <c r="I2077" i="19" a="1"/>
  <c r="I2077" i="19" s="1"/>
  <c r="G2078" i="19" l="1" a="1"/>
  <c r="G2078" i="19" s="1"/>
  <c r="M2078" i="19" s="1"/>
  <c r="I2078" i="19" a="1"/>
  <c r="I2078" i="19" s="1"/>
  <c r="O2078" i="19"/>
  <c r="O2079" i="19" l="1"/>
  <c r="G2079" i="19" a="1"/>
  <c r="G2079" i="19" s="1"/>
  <c r="M2079" i="19" s="1"/>
  <c r="I2079" i="19" a="1"/>
  <c r="I2079" i="19" s="1"/>
  <c r="O2080" i="19" l="1"/>
  <c r="G2080" i="19" a="1"/>
  <c r="G2080" i="19" s="1"/>
  <c r="M2080" i="19" s="1"/>
  <c r="I2080" i="19" a="1"/>
  <c r="I2080" i="19" s="1"/>
  <c r="G2081" i="19" l="1" a="1"/>
  <c r="G2081" i="19" s="1"/>
  <c r="M2081" i="19" s="1"/>
  <c r="I2081" i="19" a="1"/>
  <c r="I2081" i="19" s="1"/>
  <c r="O2081" i="19"/>
  <c r="O2082" i="19" l="1"/>
  <c r="G2082" i="19" a="1"/>
  <c r="G2082" i="19" s="1"/>
  <c r="M2082" i="19" s="1"/>
  <c r="I2082" i="19" a="1"/>
  <c r="I2082" i="19" s="1"/>
  <c r="O2083" i="19" l="1"/>
  <c r="G2083" i="19" a="1"/>
  <c r="G2083" i="19" s="1"/>
  <c r="M2083" i="19" s="1"/>
  <c r="I2083" i="19" a="1"/>
  <c r="I2083" i="19" s="1"/>
  <c r="O2084" i="19" l="1"/>
  <c r="G2084" i="19" a="1"/>
  <c r="G2084" i="19" s="1"/>
  <c r="M2084" i="19" s="1"/>
  <c r="I2084" i="19" a="1"/>
  <c r="I2084" i="19" s="1"/>
  <c r="O2085" i="19" l="1"/>
  <c r="G2085" i="19" a="1"/>
  <c r="G2085" i="19" s="1"/>
  <c r="M2085" i="19" s="1"/>
  <c r="I2085" i="19" a="1"/>
  <c r="I2085" i="19" s="1"/>
  <c r="O2086" i="19" l="1"/>
  <c r="G2086" i="19" a="1"/>
  <c r="G2086" i="19" s="1"/>
  <c r="M2086" i="19" s="1"/>
  <c r="I2086" i="19" a="1"/>
  <c r="I2086" i="19" s="1"/>
  <c r="O2087" i="19" l="1"/>
  <c r="G2087" i="19" a="1"/>
  <c r="G2087" i="19" s="1"/>
  <c r="M2087" i="19" s="1"/>
  <c r="I2087" i="19" a="1"/>
  <c r="I2087" i="19" s="1"/>
  <c r="O2088" i="19" l="1"/>
  <c r="G2088" i="19" a="1"/>
  <c r="G2088" i="19" s="1"/>
  <c r="M2088" i="19" s="1"/>
  <c r="I2088" i="19" a="1"/>
  <c r="I2088" i="19" s="1"/>
  <c r="O2089" i="19" l="1"/>
  <c r="G2089" i="19" a="1"/>
  <c r="G2089" i="19" s="1"/>
  <c r="M2089" i="19" s="1"/>
  <c r="I2089" i="19" a="1"/>
  <c r="I2089" i="19" s="1"/>
  <c r="O2090" i="19" l="1"/>
  <c r="G2090" i="19" a="1"/>
  <c r="G2090" i="19" s="1"/>
  <c r="M2090" i="19" s="1"/>
  <c r="I2090" i="19" a="1"/>
  <c r="I2090" i="19" s="1"/>
  <c r="O2091" i="19" l="1"/>
  <c r="G2091" i="19" a="1"/>
  <c r="G2091" i="19" s="1"/>
  <c r="M2091" i="19" s="1"/>
  <c r="I2091" i="19" a="1"/>
  <c r="I2091" i="19" s="1"/>
  <c r="O2092" i="19" l="1"/>
  <c r="G2092" i="19" a="1"/>
  <c r="G2092" i="19" s="1"/>
  <c r="M2092" i="19" s="1"/>
  <c r="I2092" i="19" a="1"/>
  <c r="I2092" i="19" s="1"/>
  <c r="O2093" i="19" l="1"/>
  <c r="G2093" i="19" a="1"/>
  <c r="G2093" i="19" s="1"/>
  <c r="M2093" i="19" s="1"/>
  <c r="I2093" i="19" a="1"/>
  <c r="I2093" i="19" s="1"/>
  <c r="G2094" i="19" l="1" a="1"/>
  <c r="G2094" i="19" s="1"/>
  <c r="M2094" i="19" s="1"/>
  <c r="I2094" i="19" a="1"/>
  <c r="I2094" i="19" s="1"/>
  <c r="O2094" i="19"/>
  <c r="O2095" i="19" l="1"/>
  <c r="G2095" i="19" a="1"/>
  <c r="G2095" i="19" s="1"/>
  <c r="M2095" i="19" s="1"/>
  <c r="I2095" i="19" a="1"/>
  <c r="I2095" i="19" s="1"/>
  <c r="O2096" i="19" l="1"/>
  <c r="G2096" i="19" a="1"/>
  <c r="G2096" i="19" s="1"/>
  <c r="M2096" i="19" s="1"/>
  <c r="I2096" i="19" a="1"/>
  <c r="I2096" i="19" s="1"/>
  <c r="O2097" i="19" l="1"/>
  <c r="G2097" i="19" a="1"/>
  <c r="G2097" i="19" s="1"/>
  <c r="M2097" i="19" s="1"/>
  <c r="I2097" i="19" a="1"/>
  <c r="I2097" i="19" s="1"/>
  <c r="O2098" i="19" l="1"/>
  <c r="G2098" i="19" a="1"/>
  <c r="G2098" i="19" s="1"/>
  <c r="M2098" i="19" s="1"/>
  <c r="I2098" i="19" a="1"/>
  <c r="I2098" i="19" s="1"/>
  <c r="O2099" i="19" l="1"/>
  <c r="G2099" i="19" a="1"/>
  <c r="G2099" i="19" s="1"/>
  <c r="M2099" i="19" s="1"/>
  <c r="I2099" i="19" a="1"/>
  <c r="I2099" i="19" s="1"/>
  <c r="O2100" i="19" l="1"/>
  <c r="G2100" i="19" a="1"/>
  <c r="G2100" i="19" s="1"/>
  <c r="M2100" i="19" s="1"/>
  <c r="I2100" i="19" a="1"/>
  <c r="I2100" i="19" s="1"/>
  <c r="O2101" i="19" l="1"/>
  <c r="G2101" i="19" a="1"/>
  <c r="G2101" i="19" s="1"/>
  <c r="M2101" i="19" s="1"/>
  <c r="I2101" i="19" a="1"/>
  <c r="I2101" i="19" s="1"/>
  <c r="O2102" i="19" l="1"/>
  <c r="G2102" i="19" a="1"/>
  <c r="G2102" i="19" s="1"/>
  <c r="M2102" i="19" s="1"/>
  <c r="I2102" i="19" a="1"/>
  <c r="I2102" i="19" s="1"/>
  <c r="O2103" i="19" l="1"/>
  <c r="G2103" i="19" a="1"/>
  <c r="G2103" i="19" s="1"/>
  <c r="M2103" i="19" s="1"/>
  <c r="I2103" i="19" a="1"/>
  <c r="I2103" i="19" s="1"/>
  <c r="O2104" i="19" l="1"/>
  <c r="G2104" i="19" a="1"/>
  <c r="G2104" i="19" s="1"/>
  <c r="M2104" i="19" s="1"/>
  <c r="I2104" i="19" a="1"/>
  <c r="I2104" i="19" s="1"/>
  <c r="O2105" i="19" l="1"/>
  <c r="G2105" i="19" a="1"/>
  <c r="G2105" i="19" s="1"/>
  <c r="M2105" i="19" s="1"/>
  <c r="I2105" i="19" a="1"/>
  <c r="I2105" i="19" s="1"/>
  <c r="O2106" i="19" l="1"/>
  <c r="G2106" i="19" a="1"/>
  <c r="G2106" i="19" s="1"/>
  <c r="M2106" i="19" s="1"/>
  <c r="I2106" i="19" a="1"/>
  <c r="I2106" i="19" s="1"/>
  <c r="O2107" i="19" l="1"/>
  <c r="G2107" i="19" a="1"/>
  <c r="G2107" i="19" s="1"/>
  <c r="M2107" i="19" s="1"/>
  <c r="I2107" i="19" a="1"/>
  <c r="I2107" i="19" s="1"/>
  <c r="O2108" i="19" l="1"/>
  <c r="G2108" i="19" a="1"/>
  <c r="G2108" i="19" s="1"/>
  <c r="M2108" i="19" s="1"/>
  <c r="I2108" i="19" a="1"/>
  <c r="I2108" i="19" s="1"/>
  <c r="O2109" i="19" l="1"/>
  <c r="G2109" i="19" a="1"/>
  <c r="G2109" i="19" s="1"/>
  <c r="M2109" i="19" s="1"/>
  <c r="I2109" i="19" a="1"/>
  <c r="I2109" i="19" s="1"/>
  <c r="O2110" i="19" l="1"/>
  <c r="G2110" i="19" a="1"/>
  <c r="G2110" i="19" s="1"/>
  <c r="M2110" i="19" s="1"/>
  <c r="I2110" i="19" a="1"/>
  <c r="I2110" i="19" s="1"/>
  <c r="O2111" i="19" l="1"/>
  <c r="G2111" i="19" a="1"/>
  <c r="G2111" i="19" s="1"/>
  <c r="M2111" i="19" s="1"/>
  <c r="I2111" i="19" a="1"/>
  <c r="I2111" i="19" s="1"/>
  <c r="O2112" i="19" l="1"/>
  <c r="G2112" i="19" a="1"/>
  <c r="G2112" i="19" s="1"/>
  <c r="M2112" i="19" s="1"/>
  <c r="I2112" i="19" a="1"/>
  <c r="I2112" i="19" s="1"/>
  <c r="O2113" i="19" l="1"/>
  <c r="G2113" i="19" a="1"/>
  <c r="G2113" i="19" s="1"/>
  <c r="M2113" i="19" s="1"/>
  <c r="I2113" i="19" a="1"/>
  <c r="I2113" i="19" s="1"/>
  <c r="O2114" i="19" l="1"/>
  <c r="G2114" i="19" a="1"/>
  <c r="G2114" i="19" s="1"/>
  <c r="M2114" i="19" s="1"/>
  <c r="I2114" i="19" a="1"/>
  <c r="I2114" i="19" s="1"/>
  <c r="O2115" i="19" l="1"/>
  <c r="G2115" i="19" a="1"/>
  <c r="G2115" i="19" s="1"/>
  <c r="M2115" i="19" s="1"/>
  <c r="I2115" i="19" a="1"/>
  <c r="I2115" i="19" s="1"/>
  <c r="O2116" i="19" l="1"/>
  <c r="G2116" i="19" a="1"/>
  <c r="G2116" i="19" s="1"/>
  <c r="M2116" i="19" s="1"/>
  <c r="I2116" i="19" a="1"/>
  <c r="I2116" i="19" s="1"/>
  <c r="O2117" i="19" l="1"/>
  <c r="G2117" i="19" a="1"/>
  <c r="G2117" i="19" s="1"/>
  <c r="M2117" i="19" s="1"/>
  <c r="I2117" i="19" a="1"/>
  <c r="I2117" i="19" s="1"/>
  <c r="O2118" i="19" l="1"/>
  <c r="G2118" i="19" a="1"/>
  <c r="G2118" i="19" s="1"/>
  <c r="M2118" i="19" s="1"/>
  <c r="I2118" i="19" a="1"/>
  <c r="I2118" i="19" s="1"/>
  <c r="O2119" i="19" l="1"/>
  <c r="G2119" i="19" a="1"/>
  <c r="G2119" i="19" s="1"/>
  <c r="M2119" i="19" s="1"/>
  <c r="I2119" i="19" a="1"/>
  <c r="I2119" i="19" s="1"/>
  <c r="O2120" i="19" l="1"/>
  <c r="G2120" i="19" a="1"/>
  <c r="G2120" i="19" s="1"/>
  <c r="M2120" i="19" s="1"/>
  <c r="I2120" i="19" a="1"/>
  <c r="I2120" i="19" s="1"/>
  <c r="O2121" i="19" l="1"/>
  <c r="G2121" i="19" a="1"/>
  <c r="G2121" i="19" s="1"/>
  <c r="M2121" i="19" s="1"/>
  <c r="I2121" i="19" a="1"/>
  <c r="I2121" i="19" s="1"/>
  <c r="O2122" i="19" l="1"/>
  <c r="G2122" i="19" a="1"/>
  <c r="G2122" i="19" s="1"/>
  <c r="M2122" i="19" s="1"/>
  <c r="I2122" i="19" a="1"/>
  <c r="I2122" i="19" s="1"/>
  <c r="O2123" i="19" l="1"/>
  <c r="G2123" i="19" a="1"/>
  <c r="G2123" i="19" s="1"/>
  <c r="M2123" i="19" s="1"/>
  <c r="I2123" i="19" a="1"/>
  <c r="I2123" i="19" s="1"/>
  <c r="O2124" i="19" l="1"/>
  <c r="G2124" i="19" a="1"/>
  <c r="G2124" i="19" s="1"/>
  <c r="M2124" i="19" s="1"/>
  <c r="I2124" i="19" a="1"/>
  <c r="I2124" i="19" s="1"/>
  <c r="O2125" i="19" l="1"/>
  <c r="G2125" i="19" a="1"/>
  <c r="G2125" i="19" s="1"/>
  <c r="M2125" i="19" s="1"/>
  <c r="I2125" i="19" a="1"/>
  <c r="I2125" i="19" s="1"/>
  <c r="O2126" i="19" l="1"/>
  <c r="G2126" i="19" a="1"/>
  <c r="G2126" i="19" s="1"/>
  <c r="M2126" i="19" s="1"/>
  <c r="I2126" i="19" a="1"/>
  <c r="I2126" i="19" s="1"/>
  <c r="O2127" i="19" l="1"/>
  <c r="G2127" i="19" a="1"/>
  <c r="G2127" i="19" s="1"/>
  <c r="M2127" i="19" s="1"/>
  <c r="I2127" i="19" a="1"/>
  <c r="I2127" i="19" s="1"/>
  <c r="O2128" i="19" l="1"/>
  <c r="G2128" i="19" a="1"/>
  <c r="G2128" i="19" s="1"/>
  <c r="M2128" i="19" s="1"/>
  <c r="I2128" i="19" a="1"/>
  <c r="I2128" i="19" s="1"/>
  <c r="O2129" i="19" l="1"/>
  <c r="G2129" i="19" a="1"/>
  <c r="G2129" i="19" s="1"/>
  <c r="M2129" i="19" s="1"/>
  <c r="I2129" i="19" a="1"/>
  <c r="I2129" i="19" s="1"/>
  <c r="O2130" i="19" l="1"/>
  <c r="G2130" i="19" a="1"/>
  <c r="G2130" i="19" s="1"/>
  <c r="M2130" i="19" s="1"/>
  <c r="I2130" i="19" a="1"/>
  <c r="I2130" i="19" s="1"/>
  <c r="O2131" i="19" l="1"/>
  <c r="G2131" i="19" a="1"/>
  <c r="G2131" i="19" s="1"/>
  <c r="M2131" i="19" s="1"/>
  <c r="I2131" i="19" a="1"/>
  <c r="I2131" i="19" s="1"/>
  <c r="O2132" i="19" l="1"/>
  <c r="G2132" i="19" a="1"/>
  <c r="G2132" i="19" s="1"/>
  <c r="M2132" i="19" s="1"/>
  <c r="I2132" i="19" a="1"/>
  <c r="I2132" i="19" s="1"/>
  <c r="O2133" i="19" l="1"/>
  <c r="G2133" i="19" a="1"/>
  <c r="G2133" i="19" s="1"/>
  <c r="M2133" i="19" s="1"/>
  <c r="I2133" i="19" a="1"/>
  <c r="I2133" i="19" s="1"/>
  <c r="O2134" i="19" l="1"/>
  <c r="G2134" i="19" a="1"/>
  <c r="G2134" i="19" s="1"/>
  <c r="M2134" i="19" s="1"/>
  <c r="I2134" i="19" a="1"/>
  <c r="I2134" i="19" s="1"/>
  <c r="O2135" i="19" l="1"/>
  <c r="G2135" i="19" a="1"/>
  <c r="G2135" i="19" s="1"/>
  <c r="M2135" i="19" s="1"/>
  <c r="I2135" i="19" a="1"/>
  <c r="I2135" i="19" s="1"/>
  <c r="O2136" i="19" l="1"/>
  <c r="G2136" i="19" a="1"/>
  <c r="G2136" i="19" s="1"/>
  <c r="M2136" i="19" s="1"/>
  <c r="I2136" i="19" a="1"/>
  <c r="I2136" i="19" s="1"/>
  <c r="O2137" i="19" l="1"/>
  <c r="G2137" i="19" a="1"/>
  <c r="G2137" i="19" s="1"/>
  <c r="M2137" i="19" s="1"/>
  <c r="I2137" i="19" a="1"/>
  <c r="I2137" i="19" s="1"/>
  <c r="O2138" i="19" l="1"/>
  <c r="G2138" i="19" a="1"/>
  <c r="G2138" i="19" s="1"/>
  <c r="M2138" i="19" s="1"/>
  <c r="I2138" i="19" a="1"/>
  <c r="I2138" i="19" s="1"/>
  <c r="O2139" i="19" l="1"/>
  <c r="G2139" i="19" a="1"/>
  <c r="G2139" i="19" s="1"/>
  <c r="M2139" i="19" s="1"/>
  <c r="I2139" i="19" a="1"/>
  <c r="I2139" i="19" s="1"/>
  <c r="O2140" i="19" l="1"/>
  <c r="G2140" i="19" a="1"/>
  <c r="G2140" i="19" s="1"/>
  <c r="M2140" i="19" s="1"/>
  <c r="I2140" i="19" a="1"/>
  <c r="I2140" i="19" s="1"/>
  <c r="O2141" i="19" l="1"/>
  <c r="G2141" i="19" a="1"/>
  <c r="G2141" i="19" s="1"/>
  <c r="M2141" i="19" s="1"/>
  <c r="I2141" i="19" a="1"/>
  <c r="I2141" i="19" s="1"/>
  <c r="O2142" i="19" l="1"/>
  <c r="G2142" i="19" a="1"/>
  <c r="G2142" i="19" s="1"/>
  <c r="M2142" i="19" s="1"/>
  <c r="I2142" i="19" a="1"/>
  <c r="I2142" i="19" s="1"/>
  <c r="O2143" i="19" l="1"/>
  <c r="G2143" i="19" a="1"/>
  <c r="G2143" i="19" s="1"/>
  <c r="M2143" i="19" s="1"/>
  <c r="I2143" i="19" a="1"/>
  <c r="I2143" i="19" s="1"/>
  <c r="O2144" i="19" l="1"/>
  <c r="G2144" i="19" a="1"/>
  <c r="G2144" i="19" s="1"/>
  <c r="M2144" i="19" s="1"/>
  <c r="I2144" i="19" a="1"/>
  <c r="I2144" i="19" s="1"/>
  <c r="O2145" i="19" l="1"/>
  <c r="G2145" i="19" a="1"/>
  <c r="G2145" i="19" s="1"/>
  <c r="M2145" i="19" s="1"/>
  <c r="I2145" i="19" a="1"/>
  <c r="I2145" i="19" s="1"/>
  <c r="O2146" i="19" l="1"/>
  <c r="G2146" i="19" a="1"/>
  <c r="G2146" i="19" s="1"/>
  <c r="M2146" i="19" s="1"/>
  <c r="I2146" i="19" a="1"/>
  <c r="I2146" i="19" s="1"/>
  <c r="O2147" i="19" l="1"/>
  <c r="G2147" i="19" a="1"/>
  <c r="G2147" i="19" s="1"/>
  <c r="M2147" i="19" s="1"/>
  <c r="I2147" i="19" a="1"/>
  <c r="I2147" i="19" s="1"/>
  <c r="O2148" i="19" l="1"/>
  <c r="G2148" i="19" a="1"/>
  <c r="G2148" i="19" s="1"/>
  <c r="M2148" i="19" s="1"/>
  <c r="I2148" i="19" a="1"/>
  <c r="I2148" i="19" s="1"/>
  <c r="O2149" i="19" l="1"/>
  <c r="G2149" i="19" a="1"/>
  <c r="G2149" i="19" s="1"/>
  <c r="M2149" i="19" s="1"/>
  <c r="I2149" i="19" a="1"/>
  <c r="I2149" i="19" s="1"/>
  <c r="O2150" i="19" l="1"/>
  <c r="G2150" i="19" a="1"/>
  <c r="G2150" i="19" s="1"/>
  <c r="M2150" i="19" s="1"/>
  <c r="I2150" i="19" a="1"/>
  <c r="I2150" i="19" s="1"/>
  <c r="O2151" i="19" l="1"/>
  <c r="G2151" i="19" a="1"/>
  <c r="G2151" i="19" s="1"/>
  <c r="M2151" i="19" s="1"/>
  <c r="I2151" i="19" a="1"/>
  <c r="I2151" i="19" s="1"/>
  <c r="O2152" i="19" l="1"/>
  <c r="G2152" i="19" a="1"/>
  <c r="G2152" i="19" s="1"/>
  <c r="M2152" i="19" s="1"/>
  <c r="I2152" i="19" a="1"/>
  <c r="I2152" i="19" s="1"/>
  <c r="O2153" i="19" l="1"/>
  <c r="G2153" i="19" a="1"/>
  <c r="G2153" i="19" s="1"/>
  <c r="M2153" i="19" s="1"/>
  <c r="I2153" i="19" a="1"/>
  <c r="I2153" i="19" s="1"/>
  <c r="O2154" i="19" l="1"/>
  <c r="G2154" i="19" a="1"/>
  <c r="G2154" i="19" s="1"/>
  <c r="M2154" i="19" s="1"/>
  <c r="I2154" i="19" a="1"/>
  <c r="I2154" i="19" s="1"/>
  <c r="O2155" i="19" l="1"/>
  <c r="G2155" i="19" a="1"/>
  <c r="G2155" i="19" s="1"/>
  <c r="M2155" i="19" s="1"/>
  <c r="I2155" i="19" a="1"/>
  <c r="I2155" i="19" s="1"/>
  <c r="O2156" i="19" l="1"/>
  <c r="G2156" i="19" a="1"/>
  <c r="G2156" i="19" s="1"/>
  <c r="M2156" i="19" s="1"/>
  <c r="I2156" i="19" a="1"/>
  <c r="I2156" i="19" s="1"/>
  <c r="O2157" i="19" l="1"/>
  <c r="G2157" i="19" a="1"/>
  <c r="G2157" i="19" s="1"/>
  <c r="M2157" i="19" s="1"/>
  <c r="I2157" i="19" a="1"/>
  <c r="I2157" i="19" s="1"/>
  <c r="O2158" i="19" l="1"/>
  <c r="G2158" i="19" a="1"/>
  <c r="G2158" i="19" s="1"/>
  <c r="M2158" i="19" s="1"/>
  <c r="I2158" i="19" a="1"/>
  <c r="I2158" i="19" s="1"/>
  <c r="O2159" i="19" l="1"/>
  <c r="G2159" i="19" a="1"/>
  <c r="G2159" i="19" s="1"/>
  <c r="M2159" i="19" s="1"/>
  <c r="I2159" i="19" a="1"/>
  <c r="I2159" i="19" s="1"/>
  <c r="O2160" i="19" l="1"/>
  <c r="G2160" i="19" a="1"/>
  <c r="G2160" i="19" s="1"/>
  <c r="M2160" i="19" s="1"/>
  <c r="I2160" i="19" a="1"/>
  <c r="I2160" i="19" s="1"/>
  <c r="O2161" i="19" l="1"/>
  <c r="G2161" i="19" a="1"/>
  <c r="G2161" i="19" s="1"/>
  <c r="M2161" i="19" s="1"/>
  <c r="I2161" i="19" a="1"/>
  <c r="I2161" i="19" s="1"/>
  <c r="O2162" i="19" l="1"/>
  <c r="G2162" i="19" a="1"/>
  <c r="G2162" i="19" s="1"/>
  <c r="M2162" i="19" s="1"/>
  <c r="I2162" i="19" a="1"/>
  <c r="I2162" i="19" s="1"/>
  <c r="O2163" i="19" l="1"/>
  <c r="G2163" i="19" a="1"/>
  <c r="G2163" i="19" s="1"/>
  <c r="M2163" i="19" s="1"/>
  <c r="I2163" i="19" a="1"/>
  <c r="I2163" i="19" s="1"/>
  <c r="O2164" i="19" l="1"/>
  <c r="G2164" i="19" a="1"/>
  <c r="G2164" i="19" s="1"/>
  <c r="M2164" i="19" s="1"/>
  <c r="I2164" i="19" a="1"/>
  <c r="I2164" i="19" s="1"/>
  <c r="O2165" i="19" l="1"/>
  <c r="G2165" i="19" a="1"/>
  <c r="G2165" i="19" s="1"/>
  <c r="M2165" i="19" s="1"/>
  <c r="I2165" i="19" a="1"/>
  <c r="I2165" i="19" s="1"/>
  <c r="O2166" i="19" l="1"/>
  <c r="G2166" i="19" a="1"/>
  <c r="G2166" i="19" s="1"/>
  <c r="M2166" i="19" s="1"/>
  <c r="I2166" i="19" a="1"/>
  <c r="I2166" i="19" s="1"/>
  <c r="O2167" i="19" l="1"/>
  <c r="G2167" i="19" a="1"/>
  <c r="G2167" i="19" s="1"/>
  <c r="M2167" i="19" s="1"/>
  <c r="I2167" i="19" a="1"/>
  <c r="I2167" i="19" s="1"/>
  <c r="O2168" i="19" l="1"/>
  <c r="G2168" i="19" a="1"/>
  <c r="G2168" i="19" s="1"/>
  <c r="M2168" i="19" s="1"/>
  <c r="I2168" i="19" a="1"/>
  <c r="I2168" i="19" s="1"/>
  <c r="O2169" i="19" l="1"/>
  <c r="G2169" i="19" a="1"/>
  <c r="G2169" i="19" s="1"/>
  <c r="M2169" i="19" s="1"/>
  <c r="I2169" i="19" a="1"/>
  <c r="I2169" i="19" s="1"/>
  <c r="O2170" i="19" l="1"/>
  <c r="G2170" i="19" a="1"/>
  <c r="G2170" i="19" s="1"/>
  <c r="M2170" i="19" s="1"/>
  <c r="I2170" i="19" a="1"/>
  <c r="I2170" i="19" s="1"/>
  <c r="O2171" i="19" l="1"/>
  <c r="G2171" i="19" a="1"/>
  <c r="G2171" i="19" s="1"/>
  <c r="M2171" i="19" s="1"/>
  <c r="I2171" i="19" a="1"/>
  <c r="I2171" i="19" s="1"/>
  <c r="O2172" i="19" l="1"/>
  <c r="G2172" i="19" a="1"/>
  <c r="G2172" i="19" s="1"/>
  <c r="M2172" i="19" s="1"/>
  <c r="I2172" i="19" a="1"/>
  <c r="I2172" i="19" s="1"/>
  <c r="O2173" i="19" l="1"/>
  <c r="G2173" i="19" a="1"/>
  <c r="G2173" i="19" s="1"/>
  <c r="M2173" i="19" s="1"/>
  <c r="I2173" i="19" a="1"/>
  <c r="I2173" i="19" s="1"/>
  <c r="O2174" i="19" l="1"/>
  <c r="G2174" i="19" a="1"/>
  <c r="G2174" i="19" s="1"/>
  <c r="M2174" i="19" s="1"/>
  <c r="I2174" i="19" a="1"/>
  <c r="I2174" i="19" s="1"/>
  <c r="O2175" i="19" l="1"/>
  <c r="G2175" i="19" a="1"/>
  <c r="G2175" i="19" s="1"/>
  <c r="M2175" i="19" s="1"/>
  <c r="I2175" i="19" a="1"/>
  <c r="I2175" i="19" s="1"/>
  <c r="O2176" i="19" l="1"/>
  <c r="G2176" i="19" a="1"/>
  <c r="G2176" i="19" s="1"/>
  <c r="M2176" i="19" s="1"/>
  <c r="I2176" i="19" a="1"/>
  <c r="I2176" i="19" s="1"/>
  <c r="O2177" i="19" l="1"/>
  <c r="G2177" i="19" a="1"/>
  <c r="G2177" i="19" s="1"/>
  <c r="M2177" i="19" s="1"/>
  <c r="I2177" i="19" a="1"/>
  <c r="I2177" i="19" s="1"/>
  <c r="O2178" i="19" l="1"/>
  <c r="G2178" i="19" a="1"/>
  <c r="G2178" i="19" s="1"/>
  <c r="M2178" i="19" s="1"/>
  <c r="I2178" i="19" a="1"/>
  <c r="I2178" i="19" s="1"/>
  <c r="O2179" i="19" l="1"/>
  <c r="G2179" i="19" a="1"/>
  <c r="G2179" i="19" s="1"/>
  <c r="M2179" i="19" s="1"/>
  <c r="I2179" i="19" a="1"/>
  <c r="I2179" i="19" s="1"/>
  <c r="O2180" i="19" l="1"/>
  <c r="G2180" i="19" a="1"/>
  <c r="G2180" i="19" s="1"/>
  <c r="M2180" i="19" s="1"/>
  <c r="I2180" i="19" a="1"/>
  <c r="I2180" i="19" s="1"/>
  <c r="O2181" i="19" l="1"/>
  <c r="G2181" i="19" a="1"/>
  <c r="G2181" i="19" s="1"/>
  <c r="M2181" i="19" s="1"/>
  <c r="I2181" i="19" a="1"/>
  <c r="I2181" i="19" s="1"/>
  <c r="O2182" i="19" l="1"/>
  <c r="G2182" i="19" a="1"/>
  <c r="G2182" i="19" s="1"/>
  <c r="M2182" i="19" s="1"/>
  <c r="I2182" i="19" a="1"/>
  <c r="I2182" i="19" s="1"/>
  <c r="O2183" i="19" l="1"/>
  <c r="G2183" i="19" a="1"/>
  <c r="G2183" i="19" s="1"/>
  <c r="M2183" i="19" s="1"/>
  <c r="I2183" i="19" a="1"/>
  <c r="I2183" i="19" s="1"/>
  <c r="O2184" i="19" l="1"/>
  <c r="G2184" i="19" a="1"/>
  <c r="G2184" i="19" s="1"/>
  <c r="M2184" i="19" s="1"/>
  <c r="I2184" i="19" a="1"/>
  <c r="I2184" i="19" s="1"/>
  <c r="O2185" i="19" l="1"/>
  <c r="G2185" i="19" a="1"/>
  <c r="G2185" i="19" s="1"/>
  <c r="M2185" i="19" s="1"/>
  <c r="I2185" i="19" a="1"/>
  <c r="I2185" i="19" s="1"/>
  <c r="O2186" i="19" l="1"/>
  <c r="G2186" i="19" a="1"/>
  <c r="G2186" i="19" s="1"/>
  <c r="M2186" i="19" s="1"/>
  <c r="I2186" i="19" a="1"/>
  <c r="I2186" i="19" s="1"/>
  <c r="O2187" i="19" l="1"/>
  <c r="G2187" i="19" a="1"/>
  <c r="G2187" i="19" s="1"/>
  <c r="M2187" i="19" s="1"/>
  <c r="I2187" i="19" a="1"/>
  <c r="I2187" i="19" s="1"/>
  <c r="O2188" i="19" l="1"/>
  <c r="G2188" i="19" a="1"/>
  <c r="G2188" i="19" s="1"/>
  <c r="M2188" i="19" s="1"/>
  <c r="I2188" i="19" a="1"/>
  <c r="I2188" i="19" s="1"/>
  <c r="O2189" i="19" l="1"/>
  <c r="G2189" i="19" a="1"/>
  <c r="G2189" i="19" s="1"/>
  <c r="M2189" i="19" s="1"/>
  <c r="I2189" i="19" a="1"/>
  <c r="I2189" i="19" s="1"/>
  <c r="O2190" i="19" l="1"/>
  <c r="G2190" i="19" a="1"/>
  <c r="G2190" i="19" s="1"/>
  <c r="M2190" i="19" s="1"/>
  <c r="I2190" i="19" a="1"/>
  <c r="I2190" i="19" s="1"/>
  <c r="O2191" i="19" l="1"/>
  <c r="G2191" i="19" a="1"/>
  <c r="G2191" i="19" s="1"/>
  <c r="M2191" i="19" s="1"/>
  <c r="I2191" i="19" a="1"/>
  <c r="I2191" i="19" s="1"/>
  <c r="O2192" i="19" l="1"/>
  <c r="G2192" i="19" a="1"/>
  <c r="G2192" i="19" s="1"/>
  <c r="M2192" i="19" s="1"/>
  <c r="I2192" i="19" a="1"/>
  <c r="I2192" i="19" s="1"/>
  <c r="O2193" i="19" l="1"/>
  <c r="G2193" i="19" a="1"/>
  <c r="G2193" i="19" s="1"/>
  <c r="M2193" i="19" s="1"/>
  <c r="I2193" i="19" a="1"/>
  <c r="I2193" i="19" s="1"/>
  <c r="O2194" i="19" l="1"/>
  <c r="G2194" i="19" a="1"/>
  <c r="G2194" i="19" s="1"/>
  <c r="M2194" i="19" s="1"/>
  <c r="I2194" i="19" a="1"/>
  <c r="I2194" i="19" s="1"/>
  <c r="O2195" i="19" l="1"/>
  <c r="G2195" i="19" a="1"/>
  <c r="G2195" i="19" s="1"/>
  <c r="M2195" i="19" s="1"/>
  <c r="I2195" i="19" a="1"/>
  <c r="I2195" i="19" s="1"/>
  <c r="O2196" i="19" l="1"/>
  <c r="G2196" i="19" a="1"/>
  <c r="G2196" i="19" s="1"/>
  <c r="M2196" i="19" s="1"/>
  <c r="I2196" i="19" a="1"/>
  <c r="I2196" i="19" s="1"/>
  <c r="O2197" i="19" l="1"/>
  <c r="G2197" i="19" a="1"/>
  <c r="G2197" i="19" s="1"/>
  <c r="M2197" i="19" s="1"/>
  <c r="I2197" i="19" a="1"/>
  <c r="I2197" i="19" s="1"/>
  <c r="G2198" i="19" l="1" a="1"/>
  <c r="G2198" i="19" s="1"/>
  <c r="M2198" i="19" s="1"/>
  <c r="I2198" i="19" a="1"/>
  <c r="I2198" i="19" s="1"/>
  <c r="O2198" i="19"/>
  <c r="O2199" i="19" l="1"/>
  <c r="G2199" i="19" a="1"/>
  <c r="G2199" i="19" s="1"/>
  <c r="M2199" i="19" s="1"/>
  <c r="I2199" i="19" a="1"/>
  <c r="I2199" i="19" s="1"/>
  <c r="O2200" i="19" l="1"/>
  <c r="G2200" i="19" a="1"/>
  <c r="G2200" i="19" s="1"/>
  <c r="M2200" i="19" s="1"/>
  <c r="I2200" i="19" a="1"/>
  <c r="I2200" i="19" s="1"/>
  <c r="O2201" i="19" l="1"/>
  <c r="G2201" i="19" a="1"/>
  <c r="G2201" i="19" s="1"/>
  <c r="M2201" i="19" s="1"/>
  <c r="I2201" i="19" a="1"/>
  <c r="I2201" i="19" s="1"/>
  <c r="O2202" i="19" l="1"/>
  <c r="G2202" i="19" a="1"/>
  <c r="G2202" i="19" s="1"/>
  <c r="M2202" i="19" s="1"/>
  <c r="I2202" i="19" a="1"/>
  <c r="I2202" i="19" s="1"/>
  <c r="O2203" i="19" l="1"/>
  <c r="G2203" i="19" a="1"/>
  <c r="G2203" i="19" s="1"/>
  <c r="M2203" i="19" s="1"/>
  <c r="I2203" i="19" a="1"/>
  <c r="I2203" i="19" s="1"/>
  <c r="O2204" i="19" l="1"/>
  <c r="G2204" i="19" a="1"/>
  <c r="G2204" i="19" s="1"/>
  <c r="M2204" i="19" s="1"/>
  <c r="I2204" i="19" a="1"/>
  <c r="I2204" i="19" s="1"/>
  <c r="O2205" i="19" l="1"/>
  <c r="G2205" i="19" a="1"/>
  <c r="G2205" i="19" s="1"/>
  <c r="M2205" i="19" s="1"/>
  <c r="I2205" i="19" a="1"/>
  <c r="I2205" i="19" s="1"/>
  <c r="O2206" i="19" l="1"/>
  <c r="G2206" i="19" a="1"/>
  <c r="G2206" i="19" s="1"/>
  <c r="M2206" i="19" s="1"/>
  <c r="I2206" i="19" a="1"/>
  <c r="I2206" i="19" s="1"/>
  <c r="G2207" i="19" l="1" a="1"/>
  <c r="G2207" i="19" s="1"/>
  <c r="M2207" i="19" s="1"/>
  <c r="I2207" i="19" a="1"/>
  <c r="I2207" i="19" s="1"/>
  <c r="O2207" i="19"/>
  <c r="O2208" i="19" l="1"/>
  <c r="G2208" i="19" a="1"/>
  <c r="G2208" i="19" s="1"/>
  <c r="M2208" i="19" s="1"/>
  <c r="I2208" i="19" a="1"/>
  <c r="I2208" i="19" s="1"/>
  <c r="G2209" i="19" l="1" a="1"/>
  <c r="G2209" i="19" s="1"/>
  <c r="M2209" i="19" s="1"/>
  <c r="I2209" i="19" a="1"/>
  <c r="I2209" i="19" s="1"/>
  <c r="O2209" i="19"/>
  <c r="O2210" i="19" l="1"/>
  <c r="G2210" i="19" a="1"/>
  <c r="G2210" i="19" s="1"/>
  <c r="M2210" i="19" s="1"/>
  <c r="I2210" i="19" a="1"/>
  <c r="I2210" i="19" s="1"/>
  <c r="G2211" i="19" l="1" a="1"/>
  <c r="G2211" i="19" s="1"/>
  <c r="M2211" i="19" s="1"/>
  <c r="I2211" i="19" a="1"/>
  <c r="I2211" i="19" s="1"/>
  <c r="O2211" i="19"/>
  <c r="G2212" i="19" l="1" a="1"/>
  <c r="G2212" i="19" s="1"/>
  <c r="M2212" i="19" s="1"/>
  <c r="I2212" i="19" a="1"/>
  <c r="I2212" i="19" s="1"/>
  <c r="O2212" i="19"/>
  <c r="O2213" i="19" l="1"/>
  <c r="G2213" i="19" a="1"/>
  <c r="G2213" i="19" s="1"/>
  <c r="M2213" i="19" s="1"/>
  <c r="I2213" i="19" a="1"/>
  <c r="I2213" i="19" s="1"/>
  <c r="G2214" i="19" l="1" a="1"/>
  <c r="G2214" i="19" s="1"/>
  <c r="M2214" i="19" s="1"/>
  <c r="I2214" i="19" a="1"/>
  <c r="I2214" i="19" s="1"/>
  <c r="O2214" i="19"/>
  <c r="O2215" i="19" l="1"/>
  <c r="G2215" i="19" a="1"/>
  <c r="G2215" i="19" s="1"/>
  <c r="M2215" i="19" s="1"/>
  <c r="I2215" i="19" a="1"/>
  <c r="I2215" i="19" s="1"/>
  <c r="O2216" i="19" l="1"/>
  <c r="G2216" i="19" a="1"/>
  <c r="G2216" i="19" s="1"/>
  <c r="M2216" i="19" s="1"/>
  <c r="I2216" i="19" a="1"/>
  <c r="I2216" i="19" s="1"/>
  <c r="O2217" i="19" l="1"/>
  <c r="G2217" i="19" a="1"/>
  <c r="G2217" i="19" s="1"/>
  <c r="M2217" i="19" s="1"/>
  <c r="I2217" i="19" a="1"/>
  <c r="I2217" i="19" s="1"/>
  <c r="O2218" i="19" l="1"/>
  <c r="G2218" i="19" a="1"/>
  <c r="G2218" i="19" s="1"/>
  <c r="M2218" i="19" s="1"/>
  <c r="I2218" i="19" a="1"/>
  <c r="I2218" i="19" s="1"/>
  <c r="O2219" i="19" l="1"/>
  <c r="G2219" i="19" a="1"/>
  <c r="G2219" i="19" s="1"/>
  <c r="M2219" i="19" s="1"/>
  <c r="I2219" i="19" a="1"/>
  <c r="I2219" i="19" s="1"/>
  <c r="O2220" i="19" l="1"/>
  <c r="G2220" i="19" a="1"/>
  <c r="G2220" i="19" s="1"/>
  <c r="M2220" i="19" s="1"/>
  <c r="I2220" i="19" a="1"/>
  <c r="I2220" i="19" s="1"/>
  <c r="O2221" i="19" l="1"/>
  <c r="G2221" i="19" a="1"/>
  <c r="G2221" i="19" s="1"/>
  <c r="M2221" i="19" s="1"/>
  <c r="I2221" i="19" a="1"/>
  <c r="I2221" i="19" s="1"/>
  <c r="O2222" i="19" l="1"/>
  <c r="G2222" i="19" a="1"/>
  <c r="G2222" i="19" s="1"/>
  <c r="M2222" i="19" s="1"/>
  <c r="I2222" i="19" a="1"/>
  <c r="I2222" i="19" s="1"/>
  <c r="O2223" i="19" l="1"/>
  <c r="G2223" i="19" a="1"/>
  <c r="G2223" i="19" s="1"/>
  <c r="M2223" i="19" s="1"/>
  <c r="I2223" i="19" a="1"/>
  <c r="I2223" i="19" s="1"/>
  <c r="O2224" i="19" l="1"/>
  <c r="G2224" i="19" a="1"/>
  <c r="G2224" i="19" s="1"/>
  <c r="M2224" i="19" s="1"/>
  <c r="I2224" i="19" a="1"/>
  <c r="I2224" i="19" s="1"/>
  <c r="O2225" i="19" l="1"/>
  <c r="G2225" i="19" a="1"/>
  <c r="G2225" i="19" s="1"/>
  <c r="M2225" i="19" s="1"/>
  <c r="I2225" i="19" a="1"/>
  <c r="I2225" i="19" s="1"/>
  <c r="O2226" i="19" l="1"/>
  <c r="G2226" i="19" a="1"/>
  <c r="G2226" i="19" s="1"/>
  <c r="M2226" i="19" s="1"/>
  <c r="I2226" i="19" a="1"/>
  <c r="I2226" i="19" s="1"/>
  <c r="O2227" i="19" l="1"/>
  <c r="G2227" i="19" a="1"/>
  <c r="G2227" i="19" s="1"/>
  <c r="M2227" i="19" s="1"/>
  <c r="I2227" i="19" a="1"/>
  <c r="I2227" i="19" s="1"/>
  <c r="O2228" i="19" l="1"/>
  <c r="G2228" i="19" a="1"/>
  <c r="G2228" i="19" s="1"/>
  <c r="M2228" i="19" s="1"/>
  <c r="I2228" i="19" a="1"/>
  <c r="I2228" i="19" s="1"/>
  <c r="O2229" i="19" l="1"/>
  <c r="G2229" i="19" a="1"/>
  <c r="G2229" i="19" s="1"/>
  <c r="M2229" i="19" s="1"/>
  <c r="I2229" i="19" a="1"/>
  <c r="I2229" i="19" s="1"/>
  <c r="O2230" i="19" l="1"/>
  <c r="G2230" i="19" a="1"/>
  <c r="G2230" i="19" s="1"/>
  <c r="M2230" i="19" s="1"/>
  <c r="I2230" i="19" a="1"/>
  <c r="I2230" i="19" s="1"/>
  <c r="G2231" i="19" l="1" a="1"/>
  <c r="G2231" i="19" s="1"/>
  <c r="M2231" i="19" s="1"/>
  <c r="I2231" i="19" a="1"/>
  <c r="I2231" i="19" s="1"/>
  <c r="O2231" i="19"/>
  <c r="G2232" i="19" l="1" a="1"/>
  <c r="G2232" i="19" s="1"/>
  <c r="M2232" i="19" s="1"/>
  <c r="I2232" i="19" a="1"/>
  <c r="I2232" i="19" s="1"/>
  <c r="O2232" i="19"/>
  <c r="O2233" i="19" l="1"/>
  <c r="G2233" i="19" a="1"/>
  <c r="G2233" i="19" s="1"/>
  <c r="M2233" i="19" s="1"/>
  <c r="I2233" i="19" a="1"/>
  <c r="I2233" i="19" s="1"/>
  <c r="O2234" i="19" l="1"/>
  <c r="G2234" i="19" a="1"/>
  <c r="G2234" i="19" s="1"/>
  <c r="M2234" i="19" s="1"/>
  <c r="I2234" i="19" a="1"/>
  <c r="I2234" i="19" s="1"/>
  <c r="G2235" i="19" l="1" a="1"/>
  <c r="G2235" i="19" s="1"/>
  <c r="M2235" i="19" s="1"/>
  <c r="I2235" i="19" a="1"/>
  <c r="I2235" i="19" s="1"/>
  <c r="O2235" i="19"/>
  <c r="O2236" i="19" l="1"/>
  <c r="G2236" i="19" a="1"/>
  <c r="G2236" i="19" s="1"/>
  <c r="M2236" i="19" s="1"/>
  <c r="I2236" i="19" a="1"/>
  <c r="I2236" i="19" s="1"/>
  <c r="O2237" i="19" l="1"/>
  <c r="G2237" i="19" a="1"/>
  <c r="G2237" i="19" s="1"/>
  <c r="M2237" i="19" s="1"/>
  <c r="I2237" i="19" a="1"/>
  <c r="I2237" i="19" s="1"/>
  <c r="G2238" i="19" l="1" a="1"/>
  <c r="G2238" i="19" s="1"/>
  <c r="M2238" i="19" s="1"/>
  <c r="I2238" i="19" a="1"/>
  <c r="I2238" i="19" s="1"/>
  <c r="O2238" i="19"/>
  <c r="O2239" i="19" l="1"/>
  <c r="G2239" i="19" a="1"/>
  <c r="G2239" i="19" s="1"/>
  <c r="M2239" i="19" s="1"/>
  <c r="I2239" i="19" a="1"/>
  <c r="I2239" i="19" s="1"/>
  <c r="O2240" i="19" l="1"/>
  <c r="G2240" i="19" a="1"/>
  <c r="G2240" i="19" s="1"/>
  <c r="M2240" i="19" s="1"/>
  <c r="I2240" i="19" a="1"/>
  <c r="I2240" i="19" s="1"/>
  <c r="O2241" i="19" l="1"/>
  <c r="G2241" i="19" a="1"/>
  <c r="G2241" i="19" s="1"/>
  <c r="M2241" i="19" s="1"/>
  <c r="I2241" i="19" a="1"/>
  <c r="I2241" i="19" s="1"/>
  <c r="O2242" i="19" l="1"/>
  <c r="G2242" i="19" a="1"/>
  <c r="G2242" i="19" s="1"/>
  <c r="M2242" i="19" s="1"/>
  <c r="I2242" i="19" a="1"/>
  <c r="I2242" i="19" s="1"/>
  <c r="O2243" i="19" l="1"/>
  <c r="G2243" i="19" a="1"/>
  <c r="G2243" i="19" s="1"/>
  <c r="M2243" i="19" s="1"/>
  <c r="I2243" i="19" a="1"/>
  <c r="I2243" i="19" s="1"/>
  <c r="O2244" i="19" l="1"/>
  <c r="G2244" i="19" a="1"/>
  <c r="G2244" i="19" s="1"/>
  <c r="M2244" i="19" s="1"/>
  <c r="I2244" i="19" a="1"/>
  <c r="I2244" i="19" s="1"/>
  <c r="O2245" i="19" l="1"/>
  <c r="G2245" i="19" a="1"/>
  <c r="G2245" i="19" s="1"/>
  <c r="M2245" i="19" s="1"/>
  <c r="I2245" i="19" a="1"/>
  <c r="I2245" i="19" s="1"/>
  <c r="O2246" i="19" l="1"/>
  <c r="G2246" i="19" a="1"/>
  <c r="G2246" i="19" s="1"/>
  <c r="M2246" i="19" s="1"/>
  <c r="I2246" i="19" a="1"/>
  <c r="I2246" i="19" s="1"/>
  <c r="O2247" i="19" l="1"/>
  <c r="G2247" i="19" a="1"/>
  <c r="G2247" i="19" s="1"/>
  <c r="M2247" i="19" s="1"/>
  <c r="I2247" i="19" a="1"/>
  <c r="I2247" i="19" s="1"/>
  <c r="O2248" i="19" l="1"/>
  <c r="G2248" i="19" a="1"/>
  <c r="G2248" i="19" s="1"/>
  <c r="M2248" i="19" s="1"/>
  <c r="I2248" i="19" a="1"/>
  <c r="I2248" i="19" s="1"/>
  <c r="O2249" i="19" l="1"/>
  <c r="G2249" i="19" a="1"/>
  <c r="G2249" i="19" s="1"/>
  <c r="M2249" i="19" s="1"/>
  <c r="I2249" i="19" a="1"/>
  <c r="I2249" i="19" s="1"/>
  <c r="O2250" i="19" l="1"/>
  <c r="G2250" i="19" a="1"/>
  <c r="G2250" i="19" s="1"/>
  <c r="M2250" i="19" s="1"/>
  <c r="I2250" i="19" a="1"/>
  <c r="I2250" i="19" s="1"/>
  <c r="O2251" i="19" l="1"/>
  <c r="G2251" i="19" a="1"/>
  <c r="G2251" i="19" s="1"/>
  <c r="M2251" i="19" s="1"/>
  <c r="I2251" i="19" a="1"/>
  <c r="I2251" i="19" s="1"/>
  <c r="O2252" i="19" l="1"/>
  <c r="G2252" i="19" a="1"/>
  <c r="G2252" i="19" s="1"/>
  <c r="M2252" i="19" s="1"/>
  <c r="I2252" i="19" a="1"/>
  <c r="I2252" i="19" s="1"/>
  <c r="O2253" i="19" l="1"/>
  <c r="G2253" i="19" a="1"/>
  <c r="G2253" i="19" s="1"/>
  <c r="M2253" i="19" s="1"/>
  <c r="I2253" i="19" a="1"/>
  <c r="I2253" i="19" s="1"/>
  <c r="O2254" i="19" l="1"/>
  <c r="G2254" i="19" a="1"/>
  <c r="G2254" i="19" s="1"/>
  <c r="M2254" i="19" s="1"/>
  <c r="I2254" i="19" a="1"/>
  <c r="I2254" i="19" s="1"/>
  <c r="O2255" i="19" l="1"/>
  <c r="G2255" i="19" a="1"/>
  <c r="G2255" i="19" s="1"/>
  <c r="M2255" i="19" s="1"/>
  <c r="I2255" i="19" a="1"/>
  <c r="I2255" i="19" s="1"/>
  <c r="O2256" i="19" l="1"/>
  <c r="G2256" i="19" a="1"/>
  <c r="G2256" i="19" s="1"/>
  <c r="M2256" i="19" s="1"/>
  <c r="I2256" i="19" a="1"/>
  <c r="I2256" i="19" s="1"/>
  <c r="O2257" i="19" l="1"/>
  <c r="G2257" i="19" a="1"/>
  <c r="G2257" i="19" s="1"/>
  <c r="M2257" i="19" s="1"/>
  <c r="I2257" i="19" a="1"/>
  <c r="I2257" i="19" s="1"/>
  <c r="O2258" i="19" l="1"/>
  <c r="G2258" i="19" a="1"/>
  <c r="G2258" i="19" s="1"/>
  <c r="M2258" i="19" s="1"/>
  <c r="I2258" i="19" a="1"/>
  <c r="I2258" i="19" s="1"/>
  <c r="O2259" i="19" l="1"/>
  <c r="G2259" i="19" a="1"/>
  <c r="G2259" i="19" s="1"/>
  <c r="M2259" i="19" s="1"/>
  <c r="I2259" i="19" a="1"/>
  <c r="I2259" i="19" s="1"/>
  <c r="O2260" i="19" l="1"/>
  <c r="G2260" i="19" a="1"/>
  <c r="G2260" i="19" s="1"/>
  <c r="M2260" i="19" s="1"/>
  <c r="I2260" i="19" a="1"/>
  <c r="I2260" i="19" s="1"/>
  <c r="O2261" i="19" l="1"/>
  <c r="G2261" i="19" a="1"/>
  <c r="G2261" i="19" s="1"/>
  <c r="M2261" i="19" s="1"/>
  <c r="I2261" i="19" a="1"/>
  <c r="I2261" i="19" s="1"/>
  <c r="O2262" i="19" l="1"/>
  <c r="G2262" i="19" a="1"/>
  <c r="G2262" i="19" s="1"/>
  <c r="M2262" i="19" s="1"/>
  <c r="I2262" i="19" a="1"/>
  <c r="I2262" i="19" s="1"/>
  <c r="O2263" i="19" l="1"/>
  <c r="G2263" i="19" a="1"/>
  <c r="G2263" i="19" s="1"/>
  <c r="M2263" i="19" s="1"/>
  <c r="I2263" i="19" a="1"/>
  <c r="I2263" i="19" s="1"/>
  <c r="O2264" i="19" l="1"/>
  <c r="G2264" i="19" a="1"/>
  <c r="G2264" i="19" s="1"/>
  <c r="M2264" i="19" s="1"/>
  <c r="I2264" i="19" a="1"/>
  <c r="I2264" i="19" s="1"/>
  <c r="O2265" i="19" l="1"/>
  <c r="G2265" i="19" a="1"/>
  <c r="G2265" i="19" s="1"/>
  <c r="M2265" i="19" s="1"/>
  <c r="I2265" i="19" a="1"/>
  <c r="I2265" i="19" s="1"/>
  <c r="O2266" i="19" l="1"/>
  <c r="G2266" i="19" a="1"/>
  <c r="G2266" i="19" s="1"/>
  <c r="M2266" i="19" s="1"/>
  <c r="I2266" i="19" a="1"/>
  <c r="I2266" i="19" s="1"/>
  <c r="O2267" i="19" l="1"/>
  <c r="G2267" i="19" a="1"/>
  <c r="G2267" i="19" s="1"/>
  <c r="M2267" i="19" s="1"/>
  <c r="I2267" i="19" a="1"/>
  <c r="I2267" i="19" s="1"/>
  <c r="O2268" i="19" l="1"/>
  <c r="G2268" i="19" a="1"/>
  <c r="G2268" i="19" s="1"/>
  <c r="M2268" i="19" s="1"/>
  <c r="I2268" i="19" a="1"/>
  <c r="I2268" i="19" s="1"/>
  <c r="O2269" i="19" l="1"/>
  <c r="G2269" i="19" a="1"/>
  <c r="G2269" i="19" s="1"/>
  <c r="M2269" i="19" s="1"/>
  <c r="I2269" i="19" a="1"/>
  <c r="I2269" i="19" s="1"/>
  <c r="O2270" i="19" l="1"/>
  <c r="G2270" i="19" a="1"/>
  <c r="G2270" i="19" s="1"/>
  <c r="M2270" i="19" s="1"/>
  <c r="I2270" i="19" a="1"/>
  <c r="I2270" i="19" s="1"/>
  <c r="O2271" i="19" l="1"/>
  <c r="G2271" i="19" a="1"/>
  <c r="G2271" i="19" s="1"/>
  <c r="M2271" i="19" s="1"/>
  <c r="I2271" i="19" a="1"/>
  <c r="I2271" i="19" s="1"/>
  <c r="O2272" i="19" l="1"/>
  <c r="G2272" i="19" a="1"/>
  <c r="G2272" i="19" s="1"/>
  <c r="M2272" i="19" s="1"/>
  <c r="I2272" i="19" a="1"/>
  <c r="I2272" i="19" s="1"/>
  <c r="O2273" i="19" l="1"/>
  <c r="G2273" i="19" a="1"/>
  <c r="G2273" i="19" s="1"/>
  <c r="M2273" i="19" s="1"/>
  <c r="I2273" i="19" a="1"/>
  <c r="I2273" i="19" s="1"/>
  <c r="O2274" i="19" l="1"/>
  <c r="G2274" i="19" a="1"/>
  <c r="G2274" i="19" s="1"/>
  <c r="M2274" i="19" s="1"/>
  <c r="I2274" i="19" a="1"/>
  <c r="I2274" i="19" s="1"/>
  <c r="O2275" i="19" l="1"/>
  <c r="G2275" i="19" a="1"/>
  <c r="G2275" i="19" s="1"/>
  <c r="M2275" i="19" s="1"/>
  <c r="I2275" i="19" a="1"/>
  <c r="I2275" i="19" s="1"/>
  <c r="O2276" i="19" l="1"/>
  <c r="G2276" i="19" a="1"/>
  <c r="G2276" i="19" s="1"/>
  <c r="M2276" i="19" s="1"/>
  <c r="I2276" i="19" a="1"/>
  <c r="I2276" i="19" s="1"/>
  <c r="O2277" i="19" l="1"/>
  <c r="G2277" i="19" a="1"/>
  <c r="G2277" i="19" s="1"/>
  <c r="M2277" i="19" s="1"/>
  <c r="I2277" i="19" a="1"/>
  <c r="I2277" i="19" s="1"/>
  <c r="O2278" i="19" l="1"/>
  <c r="G2278" i="19" a="1"/>
  <c r="G2278" i="19" s="1"/>
  <c r="M2278" i="19" s="1"/>
  <c r="I2278" i="19" a="1"/>
  <c r="I2278" i="19" s="1"/>
  <c r="O2279" i="19" l="1"/>
  <c r="G2279" i="19" a="1"/>
  <c r="G2279" i="19" s="1"/>
  <c r="M2279" i="19" s="1"/>
  <c r="I2279" i="19" a="1"/>
  <c r="I2279" i="19" s="1"/>
  <c r="O2280" i="19" l="1"/>
  <c r="G2280" i="19" a="1"/>
  <c r="G2280" i="19" s="1"/>
  <c r="M2280" i="19" s="1"/>
  <c r="I2280" i="19" a="1"/>
  <c r="I2280" i="19" s="1"/>
  <c r="O2281" i="19" l="1"/>
  <c r="G2281" i="19" a="1"/>
  <c r="G2281" i="19" s="1"/>
  <c r="M2281" i="19" s="1"/>
  <c r="I2281" i="19" a="1"/>
  <c r="I2281" i="19" s="1"/>
  <c r="O2282" i="19" l="1"/>
  <c r="G2282" i="19" a="1"/>
  <c r="G2282" i="19" s="1"/>
  <c r="M2282" i="19" s="1"/>
  <c r="I2282" i="19" a="1"/>
  <c r="I2282" i="19" s="1"/>
  <c r="O2283" i="19" l="1"/>
  <c r="G2283" i="19" a="1"/>
  <c r="G2283" i="19" s="1"/>
  <c r="M2283" i="19" s="1"/>
  <c r="I2283" i="19" a="1"/>
  <c r="I2283" i="19" s="1"/>
  <c r="O2284" i="19" l="1"/>
  <c r="G2284" i="19" a="1"/>
  <c r="G2284" i="19" s="1"/>
  <c r="M2284" i="19" s="1"/>
  <c r="I2284" i="19" a="1"/>
  <c r="I2284" i="19" s="1"/>
  <c r="O2285" i="19" l="1"/>
  <c r="G2285" i="19" a="1"/>
  <c r="G2285" i="19" s="1"/>
  <c r="M2285" i="19" s="1"/>
  <c r="I2285" i="19" a="1"/>
  <c r="I2285" i="19" s="1"/>
  <c r="O2286" i="19" l="1"/>
  <c r="G2286" i="19" a="1"/>
  <c r="G2286" i="19" s="1"/>
  <c r="M2286" i="19" s="1"/>
  <c r="I2286" i="19" a="1"/>
  <c r="I2286" i="19" s="1"/>
  <c r="O2287" i="19" l="1"/>
  <c r="G2287" i="19" a="1"/>
  <c r="G2287" i="19" s="1"/>
  <c r="M2287" i="19" s="1"/>
  <c r="I2287" i="19" a="1"/>
  <c r="I2287" i="19" s="1"/>
  <c r="O2288" i="19" l="1"/>
  <c r="G2288" i="19" a="1"/>
  <c r="G2288" i="19" s="1"/>
  <c r="M2288" i="19" s="1"/>
  <c r="I2288" i="19" a="1"/>
  <c r="I2288" i="19" s="1"/>
  <c r="O2289" i="19" l="1"/>
  <c r="G2289" i="19" a="1"/>
  <c r="G2289" i="19" s="1"/>
  <c r="M2289" i="19" s="1"/>
  <c r="I2289" i="19" a="1"/>
  <c r="I2289" i="19" s="1"/>
  <c r="O2290" i="19" l="1"/>
  <c r="G2290" i="19" a="1"/>
  <c r="G2290" i="19" s="1"/>
  <c r="M2290" i="19" s="1"/>
  <c r="I2290" i="19" a="1"/>
  <c r="I2290" i="19" s="1"/>
  <c r="O2291" i="19" l="1"/>
  <c r="G2291" i="19" a="1"/>
  <c r="G2291" i="19" s="1"/>
  <c r="M2291" i="19" s="1"/>
  <c r="I2291" i="19" a="1"/>
  <c r="I2291" i="19" s="1"/>
  <c r="O2292" i="19" l="1"/>
  <c r="G2292" i="19" a="1"/>
  <c r="G2292" i="19" s="1"/>
  <c r="M2292" i="19" s="1"/>
  <c r="I2292" i="19" a="1"/>
  <c r="I2292" i="19" s="1"/>
  <c r="O2293" i="19" l="1"/>
  <c r="G2293" i="19" a="1"/>
  <c r="G2293" i="19" s="1"/>
  <c r="M2293" i="19" s="1"/>
  <c r="I2293" i="19" a="1"/>
  <c r="I2293" i="19" s="1"/>
  <c r="G2294" i="19" l="1" a="1"/>
  <c r="G2294" i="19" s="1"/>
  <c r="M2294" i="19" s="1"/>
  <c r="I2294" i="19" a="1"/>
  <c r="I2294" i="19" s="1"/>
  <c r="O2294" i="19"/>
  <c r="O2295" i="19" l="1"/>
  <c r="G2295" i="19" a="1"/>
  <c r="G2295" i="19" s="1"/>
  <c r="M2295" i="19" s="1"/>
  <c r="I2295" i="19" a="1"/>
  <c r="I2295" i="19" s="1"/>
  <c r="O2296" i="19" l="1"/>
  <c r="G2296" i="19" a="1"/>
  <c r="G2296" i="19" s="1"/>
  <c r="M2296" i="19" s="1"/>
  <c r="I2296" i="19" a="1"/>
  <c r="I2296" i="19" s="1"/>
  <c r="O2297" i="19" l="1"/>
  <c r="G2297" i="19" a="1"/>
  <c r="G2297" i="19" s="1"/>
  <c r="M2297" i="19" s="1"/>
  <c r="I2297" i="19" a="1"/>
  <c r="I2297" i="19" s="1"/>
  <c r="G2298" i="19" l="1" a="1"/>
  <c r="G2298" i="19" s="1"/>
  <c r="A7" i="132" s="1" a="1"/>
  <c r="A7" i="132" s="1"/>
  <c r="I2298" i="19" a="1"/>
  <c r="I2298" i="19" s="1"/>
  <c r="O2298" i="19"/>
  <c r="C17" i="16"/>
  <c r="I4" i="19" a="1"/>
  <c r="H4" i="19" a="1"/>
  <c r="I5" i="19" a="1"/>
  <c r="H5" i="19" a="1"/>
  <c r="I6" i="19" a="1"/>
  <c r="H6" i="19" a="1"/>
  <c r="M2298" i="19" l="1"/>
  <c r="BH23" i="1" s="1"/>
  <c r="H4" i="19"/>
  <c r="N8" i="1" s="1"/>
  <c r="F4" i="132" s="1"/>
  <c r="I4" i="19"/>
  <c r="O5" i="19"/>
  <c r="H5" i="19"/>
  <c r="AM7" i="1" s="1"/>
  <c r="AI7" i="1" s="1"/>
  <c r="I5" i="19"/>
  <c r="H6" i="19"/>
  <c r="I6" i="19"/>
  <c r="D7" i="1" a="1"/>
  <c r="S3" i="19" l="1" a="1"/>
  <c r="O4" i="19"/>
  <c r="P21" i="1" a="1"/>
  <c r="P21" i="1" s="1"/>
  <c r="P18" i="1" a="1"/>
  <c r="P18" i="1" s="1"/>
  <c r="N24" i="1" s="1"/>
  <c r="P19" i="1" a="1"/>
  <c r="P19" i="1" s="1"/>
  <c r="P20" i="1" a="1"/>
  <c r="P20" i="1" s="1"/>
  <c r="D7" i="1"/>
  <c r="Q11" i="19" a="1"/>
  <c r="Q11" i="19" s="1"/>
  <c r="Q3" i="19" a="1"/>
  <c r="V25" i="1"/>
  <c r="AA19" i="1" s="1"/>
  <c r="E5" i="1" a="1"/>
  <c r="E5" i="1" s="1"/>
  <c r="W25" i="1"/>
  <c r="AA23" i="1" s="1"/>
  <c r="O6" i="19"/>
  <c r="C24" i="19"/>
  <c r="C25" i="19"/>
  <c r="C26" i="19"/>
  <c r="C27" i="19"/>
  <c r="Y3" i="19" a="1"/>
  <c r="Y3" i="19" s="1"/>
  <c r="D5" i="1" a="1"/>
  <c r="D6" i="1" a="1"/>
  <c r="S3" i="19" l="1"/>
  <c r="M29" i="1" s="1"/>
  <c r="D6" i="1"/>
  <c r="D5" i="1"/>
  <c r="AI29" i="1"/>
  <c r="AI33" i="1"/>
  <c r="AI35" i="1"/>
  <c r="AO33" i="1"/>
  <c r="Q3" i="19"/>
  <c r="AO29" i="1" s="1"/>
  <c r="AO31" i="1"/>
  <c r="AO35" i="1"/>
  <c r="AO32" i="1"/>
  <c r="AO34" i="1"/>
  <c r="AI32" i="1"/>
  <c r="AI30" i="1"/>
  <c r="AO30" i="1"/>
  <c r="AI34" i="1"/>
  <c r="AI31" i="1"/>
  <c r="I33" i="1"/>
  <c r="P31" i="1"/>
  <c r="P34" i="1"/>
  <c r="M33" i="1"/>
  <c r="M32" i="1"/>
  <c r="I31" i="1"/>
  <c r="I35" i="1"/>
  <c r="P32" i="1"/>
  <c r="I32" i="1"/>
  <c r="M30" i="1"/>
  <c r="M31" i="1"/>
  <c r="M35" i="1"/>
  <c r="I29" i="1"/>
  <c r="P33" i="1"/>
  <c r="M34" i="1"/>
  <c r="P29" i="1"/>
  <c r="I30" i="1"/>
  <c r="I34" i="1"/>
  <c r="P30" i="1"/>
  <c r="P35" i="1"/>
  <c r="AP8" i="1" a="1"/>
  <c r="AP8" i="1" s="1"/>
  <c r="AM8" i="1" s="1"/>
  <c r="AI8" i="1" l="1"/>
  <c r="AP9" i="1" a="1"/>
  <c r="AP9" i="1" s="1"/>
  <c r="AM9" i="1" s="1"/>
  <c r="AI9" i="1" l="1"/>
  <c r="AP10" i="1" a="1"/>
  <c r="AP10" i="1" s="1"/>
  <c r="AM10" i="1" s="1"/>
  <c r="AI10" i="1" l="1"/>
  <c r="AP11" i="1" a="1"/>
  <c r="AP11" i="1" s="1"/>
  <c r="AM11" i="1" s="1"/>
  <c r="AI11" i="1" l="1"/>
  <c r="AP12" i="1" a="1"/>
  <c r="AP12" i="1" s="1"/>
  <c r="AM12" i="1" s="1"/>
  <c r="AI12" i="1" l="1"/>
  <c r="AP13" i="1" a="1"/>
  <c r="AP13" i="1" s="1"/>
  <c r="AM13" i="1" l="1"/>
  <c r="AI13" i="1" l="1"/>
  <c r="AH5" i="1"/>
  <c r="BH10" i="1" l="1"/>
  <c r="C2" i="132" l="1"/>
  <c r="BH19" i="1"/>
  <c r="AW13" i="1"/>
  <c r="AW15" i="1"/>
  <c r="AW7" i="1"/>
  <c r="AW8" i="1"/>
  <c r="AW10" i="1"/>
  <c r="AW11" i="1"/>
  <c r="AW17" i="1"/>
  <c r="AW12" i="1"/>
  <c r="AW22" i="1"/>
  <c r="AW24" i="1"/>
  <c r="AW16" i="1"/>
  <c r="AW14" i="1"/>
  <c r="AW20" i="1"/>
  <c r="AW9" i="1"/>
  <c r="AW21" i="1"/>
  <c r="AW19" i="1"/>
  <c r="AW18" i="1"/>
  <c r="AW23" i="1"/>
  <c r="K7" i="132" l="1"/>
  <c r="L28" i="132"/>
  <c r="K29" i="132" s="1"/>
  <c r="L7" i="132"/>
  <c r="K8" i="132" s="1"/>
  <c r="BB8" i="1" s="1"/>
  <c r="L17" i="132"/>
  <c r="K18" i="132" s="1"/>
  <c r="BB18" i="1" s="1"/>
  <c r="L24" i="132"/>
  <c r="K25" i="132" s="1"/>
  <c r="L13" i="132"/>
  <c r="K14" i="132" s="1"/>
  <c r="BB14" i="1" s="1"/>
  <c r="L20" i="132"/>
  <c r="K21" i="132" s="1"/>
  <c r="BB21" i="1" s="1"/>
  <c r="L30" i="132"/>
  <c r="K31" i="132" s="1"/>
  <c r="L9" i="132"/>
  <c r="K10" i="132" s="1"/>
  <c r="BB10" i="1" s="1"/>
  <c r="L16" i="132"/>
  <c r="K17" i="132" s="1"/>
  <c r="BB17" i="1" s="1"/>
  <c r="L26" i="132"/>
  <c r="K27" i="132" s="1"/>
  <c r="L12" i="132"/>
  <c r="K13" i="132" s="1"/>
  <c r="BB13" i="1" s="1"/>
  <c r="L22" i="132"/>
  <c r="K23" i="132" s="1"/>
  <c r="BB23" i="1" s="1"/>
  <c r="L8" i="132"/>
  <c r="K9" i="132" s="1"/>
  <c r="BB9" i="1" s="1"/>
  <c r="L18" i="132"/>
  <c r="K19" i="132" s="1"/>
  <c r="BB19" i="1" s="1"/>
  <c r="L31" i="132"/>
  <c r="K32" i="132" s="1"/>
  <c r="L14" i="132"/>
  <c r="K15" i="132" s="1"/>
  <c r="BB15" i="1" s="1"/>
  <c r="L27" i="132"/>
  <c r="K28" i="132" s="1"/>
  <c r="L10" i="132"/>
  <c r="K11" i="132" s="1"/>
  <c r="BB11" i="1" s="1"/>
  <c r="L23" i="132"/>
  <c r="K24" i="132" s="1"/>
  <c r="BB24" i="1" s="1"/>
  <c r="L19" i="132"/>
  <c r="K20" i="132" s="1"/>
  <c r="BB20" i="1" s="1"/>
  <c r="L29" i="132"/>
  <c r="K30" i="132" s="1"/>
  <c r="L15" i="132"/>
  <c r="K16" i="132" s="1"/>
  <c r="BB16" i="1" s="1"/>
  <c r="L25" i="132"/>
  <c r="K26" i="132" s="1"/>
  <c r="L11" i="132"/>
  <c r="K12" i="132" s="1"/>
  <c r="BB12" i="1" s="1"/>
  <c r="L21" i="132"/>
  <c r="K22" i="132" s="1"/>
  <c r="BB22" i="1" s="1"/>
  <c r="C4" i="132"/>
  <c r="BB7" i="1" l="1"/>
  <c r="BH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<sst xmlns="http://schemas.openxmlformats.org/spreadsheetml/2006/main" count="199" uniqueCount="132">
  <si>
    <t>Accounts</t>
  </si>
  <si>
    <t>Dashboard</t>
  </si>
  <si>
    <t>Credit Limit</t>
  </si>
  <si>
    <t>Credit</t>
  </si>
  <si>
    <t>Interest Rate</t>
  </si>
  <si>
    <t>Balance</t>
  </si>
  <si>
    <t>Due Date</t>
  </si>
  <si>
    <t>Website</t>
  </si>
  <si>
    <t>Date</t>
  </si>
  <si>
    <t>Payee</t>
  </si>
  <si>
    <t>Memo</t>
  </si>
  <si>
    <t>Category</t>
  </si>
  <si>
    <t>Charge</t>
  </si>
  <si>
    <t>Payment</t>
  </si>
  <si>
    <t>Monthly Payment</t>
  </si>
  <si>
    <t>Interest</t>
  </si>
  <si>
    <t>Auto Pay Enabled</t>
  </si>
  <si>
    <t>Monthly Payments</t>
  </si>
  <si>
    <t>Mailing Address</t>
  </si>
  <si>
    <t>Phone</t>
  </si>
  <si>
    <t>Institute</t>
  </si>
  <si>
    <t>Payments Remaining</t>
  </si>
  <si>
    <t>First Pay Date</t>
  </si>
  <si>
    <t>Pay Iterator</t>
  </si>
  <si>
    <t>Net</t>
  </si>
  <si>
    <t>Gross</t>
  </si>
  <si>
    <t>Federal</t>
  </si>
  <si>
    <t>SS</t>
  </si>
  <si>
    <t>Med</t>
  </si>
  <si>
    <t>State</t>
  </si>
  <si>
    <t>City</t>
  </si>
  <si>
    <t>Health</t>
  </si>
  <si>
    <t>Vision</t>
  </si>
  <si>
    <t>Dental</t>
  </si>
  <si>
    <t>AD&amp;D</t>
  </si>
  <si>
    <t>Accident</t>
  </si>
  <si>
    <t>STD</t>
  </si>
  <si>
    <t>ESPP</t>
  </si>
  <si>
    <t>Retirement</t>
  </si>
  <si>
    <t>Gross YTD</t>
  </si>
  <si>
    <t>Fed YTD</t>
  </si>
  <si>
    <t>State YTD</t>
  </si>
  <si>
    <t>ESPP YTD</t>
  </si>
  <si>
    <t>Net Pay YTD</t>
  </si>
  <si>
    <t>ESTIMATED</t>
  </si>
  <si>
    <t>Running YTD</t>
  </si>
  <si>
    <t>Income</t>
  </si>
  <si>
    <t>Expenses</t>
  </si>
  <si>
    <t>Current Pay</t>
  </si>
  <si>
    <t>Upcoming Expenses</t>
  </si>
  <si>
    <t>Acct</t>
  </si>
  <si>
    <t>S</t>
  </si>
  <si>
    <t>M</t>
  </si>
  <si>
    <t>T</t>
  </si>
  <si>
    <t>W</t>
  </si>
  <si>
    <t>F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</si>
  <si>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</si>
  <si>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</si>
  <si>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</si>
  <si>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</si>
  <si>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</si>
  <si>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</si>
  <si>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</si>
  <si>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</si>
  <si>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</si>
  <si>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</si>
  <si>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</si>
  <si>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</si>
  <si>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Pay</t>
  </si>
  <si>
    <t>Bill</t>
  </si>
  <si>
    <t>Low</t>
  </si>
  <si>
    <t>Bill Interest</t>
  </si>
  <si>
    <t>Creditor</t>
  </si>
  <si>
    <t>Total Credit Debt</t>
  </si>
  <si>
    <t>Company</t>
  </si>
  <si>
    <t>Bonus</t>
  </si>
  <si>
    <t>Index</t>
  </si>
  <si>
    <t>Updated</t>
  </si>
  <si>
    <t>Credit Sheet Names</t>
  </si>
  <si>
    <t>Type</t>
  </si>
  <si>
    <t>Bill Accounts</t>
  </si>
  <si>
    <t>Credit Accounts</t>
  </si>
  <si>
    <t>Investments</t>
  </si>
  <si>
    <t>Bills</t>
  </si>
  <si>
    <t>Month Names</t>
  </si>
  <si>
    <t>Account Information</t>
  </si>
  <si>
    <t>Month #</t>
  </si>
  <si>
    <t>Credit Payments</t>
  </si>
  <si>
    <t>Bill Payments</t>
  </si>
  <si>
    <t>Bill Day</t>
  </si>
  <si>
    <t>Rank</t>
  </si>
  <si>
    <t>Remaining Expenses</t>
  </si>
  <si>
    <t>Bill Date</t>
  </si>
  <si>
    <t>Amount</t>
  </si>
  <si>
    <t>Payday</t>
  </si>
  <si>
    <t>Remaining</t>
  </si>
  <si>
    <t>Lowest 6 Credit Accounts</t>
  </si>
  <si>
    <t>Highest 6 Credit Accounts</t>
  </si>
  <si>
    <t>Holidays</t>
  </si>
  <si>
    <t>Name</t>
  </si>
  <si>
    <t>Location</t>
  </si>
  <si>
    <t>Cash Accounts</t>
  </si>
  <si>
    <t>What If Names</t>
  </si>
  <si>
    <t>Snowball</t>
  </si>
  <si>
    <t>Avalanche</t>
  </si>
  <si>
    <t>Highest</t>
  </si>
  <si>
    <t>Lowest</t>
  </si>
  <si>
    <t>Waterfall</t>
  </si>
  <si>
    <t>Extra Payment</t>
  </si>
  <si>
    <t>Initial Payment</t>
  </si>
  <si>
    <t>Manual Payment</t>
  </si>
  <si>
    <t>Calc Pay</t>
  </si>
  <si>
    <t>Paydown Options</t>
  </si>
  <si>
    <t>Left over each pay</t>
  </si>
  <si>
    <t>Paydown type</t>
  </si>
  <si>
    <t>Monthly Credit Payments</t>
  </si>
  <si>
    <t>Paydown Calculator</t>
  </si>
  <si>
    <t>Total Credit Monthly</t>
  </si>
  <si>
    <t>Rate</t>
  </si>
  <si>
    <t>Total Interest</t>
  </si>
  <si>
    <t>Payoff Date</t>
  </si>
  <si>
    <t>Paydown Calculations</t>
  </si>
  <si>
    <t>Paydown and Interest Chart</t>
  </si>
  <si>
    <t>Highest 6 interest accounts</t>
  </si>
  <si>
    <t>Expenses by paycheck</t>
  </si>
  <si>
    <t>Credit vs bills</t>
  </si>
  <si>
    <t>Payoff Months</t>
  </si>
  <si>
    <t>Period</t>
  </si>
  <si>
    <t>Principle</t>
  </si>
  <si>
    <t>Extra Pay</t>
  </si>
  <si>
    <t>No Paydown</t>
  </si>
  <si>
    <t>LeftOver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</si>
</sst>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d"/>
    <numFmt numFmtId="166" formatCode="mm/dd/yyyy"/>
    <numFmt numFmtId="167" formatCode="0.0000%"/>
    <numFmt numFmtId="168" formatCode="[$-F800]dddd\,\ mmmm\ dd\,\ yyyy"/>
    <numFmt numFmtId="169" formatCode="[$-409]mmm\-yy;@"/>
    <numFmt numFmtId="170" formatCode="mmmm\-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8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/>
      <bottom style="thin">
        <color theme="1" tint="0.34998626667073579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4659260841701"/>
      </bottom>
      <diagonal/>
    </border>
    <border>
      <left/>
      <right/>
      <top style="thin">
        <color indexed="64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2" tint="-0.24994659260841701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</cellStyleXfs>
  <cellXfs count="212">
    <xf numFmtId="0" fontId="0" fillId="0" borderId="0" xfId="0"/>
    <xf numFmtId="0" fontId="0" fillId="3" borderId="3" xfId="0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4" fontId="0" fillId="0" borderId="0" xfId="0" applyNumberFormat="1"/>
    <xf numFmtId="44" fontId="0" fillId="3" borderId="0" xfId="0" applyNumberFormat="1" applyFill="1"/>
    <xf numFmtId="44" fontId="0" fillId="0" borderId="0" xfId="0" applyNumberFormat="1"/>
    <xf numFmtId="14" fontId="0" fillId="3" borderId="0" xfId="0" applyNumberFormat="1" applyFill="1"/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4" fontId="10" fillId="0" borderId="0" xfId="0" applyNumberFormat="1" applyFont="1" applyAlignment="1">
      <alignment horizontal="center"/>
    </xf>
    <xf numFmtId="0" fontId="4" fillId="3" borderId="0" xfId="0" applyFont="1" applyFill="1"/>
    <xf numFmtId="164" fontId="0" fillId="3" borderId="0" xfId="0" applyNumberFormat="1" applyFill="1" applyAlignment="1">
      <alignment horizontal="left" indent="1"/>
    </xf>
    <xf numFmtId="0" fontId="7" fillId="3" borderId="15" xfId="0" applyFont="1" applyFill="1" applyBorder="1"/>
    <xf numFmtId="0" fontId="7" fillId="3" borderId="4" xfId="0" applyFont="1" applyFill="1" applyBorder="1" applyAlignment="1">
      <alignment horizontal="left" vertical="center"/>
    </xf>
    <xf numFmtId="44" fontId="0" fillId="3" borderId="0" xfId="1" applyFont="1" applyFill="1" applyAlignment="1">
      <alignment horizontal="center" vertical="center"/>
    </xf>
    <xf numFmtId="44" fontId="0" fillId="3" borderId="0" xfId="1" applyFont="1" applyFill="1"/>
    <xf numFmtId="44" fontId="10" fillId="0" borderId="0" xfId="1" applyFont="1" applyAlignment="1">
      <alignment horizontal="center"/>
    </xf>
    <xf numFmtId="44" fontId="0" fillId="0" borderId="0" xfId="1" applyFont="1"/>
    <xf numFmtId="14" fontId="0" fillId="3" borderId="0" xfId="1" applyNumberFormat="1" applyFont="1" applyFill="1" applyAlignment="1">
      <alignment horizontal="center" vertical="center"/>
    </xf>
    <xf numFmtId="0" fontId="0" fillId="3" borderId="0" xfId="0" applyFill="1" applyAlignment="1">
      <alignment horizontal="right"/>
    </xf>
    <xf numFmtId="0" fontId="17" fillId="7" borderId="16" xfId="0" applyFont="1" applyFill="1" applyBorder="1" applyAlignment="1">
      <alignment horizontal="left" vertical="center"/>
    </xf>
    <xf numFmtId="0" fontId="4" fillId="3" borderId="4" xfId="0" applyFont="1" applyFill="1" applyBorder="1"/>
    <xf numFmtId="44" fontId="8" fillId="3" borderId="5" xfId="1" applyFont="1" applyFill="1" applyBorder="1"/>
    <xf numFmtId="44" fontId="8" fillId="3" borderId="22" xfId="1" applyFont="1" applyFill="1" applyBorder="1"/>
    <xf numFmtId="0" fontId="14" fillId="3" borderId="0" xfId="3" applyFill="1" applyBorder="1" applyAlignment="1">
      <alignment horizontal="center" vertical="center"/>
    </xf>
    <xf numFmtId="0" fontId="7" fillId="3" borderId="1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 vertical="center"/>
    </xf>
    <xf numFmtId="0" fontId="4" fillId="3" borderId="6" xfId="0" applyFont="1" applyFill="1" applyBorder="1"/>
    <xf numFmtId="0" fontId="4" fillId="3" borderId="7" xfId="0" applyFont="1" applyFill="1" applyBorder="1"/>
    <xf numFmtId="0" fontId="3" fillId="9" borderId="0" xfId="0" applyFont="1" applyFill="1" applyAlignment="1">
      <alignment horizontal="center"/>
    </xf>
    <xf numFmtId="0" fontId="3" fillId="9" borderId="0" xfId="0" applyFont="1" applyFill="1"/>
    <xf numFmtId="14" fontId="0" fillId="9" borderId="0" xfId="0" applyNumberFormat="1" applyFill="1"/>
    <xf numFmtId="0" fontId="0" fillId="9" borderId="0" xfId="0" applyFill="1" applyAlignment="1">
      <alignment horizontal="left"/>
    </xf>
    <xf numFmtId="0" fontId="0" fillId="9" borderId="0" xfId="0" applyFill="1"/>
    <xf numFmtId="0" fontId="3" fillId="10" borderId="0" xfId="0" applyFont="1" applyFill="1"/>
    <xf numFmtId="0" fontId="0" fillId="10" borderId="0" xfId="0" applyFill="1"/>
    <xf numFmtId="0" fontId="0" fillId="11" borderId="0" xfId="0" applyFill="1"/>
    <xf numFmtId="0" fontId="3" fillId="8" borderId="0" xfId="0" applyFont="1" applyFill="1"/>
    <xf numFmtId="1" fontId="0" fillId="8" borderId="0" xfId="0" applyNumberFormat="1" applyFill="1"/>
    <xf numFmtId="0" fontId="3" fillId="3" borderId="7" xfId="0" applyFont="1" applyFill="1" applyBorder="1"/>
    <xf numFmtId="44" fontId="3" fillId="9" borderId="0" xfId="1" applyFont="1" applyFill="1"/>
    <xf numFmtId="44" fontId="0" fillId="9" borderId="0" xfId="1" applyFont="1" applyFill="1"/>
    <xf numFmtId="0" fontId="3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10" fontId="0" fillId="9" borderId="0" xfId="2" applyNumberFormat="1" applyFont="1" applyFill="1" applyAlignment="1">
      <alignment horizontal="center" vertical="center"/>
    </xf>
    <xf numFmtId="14" fontId="20" fillId="3" borderId="0" xfId="3" applyNumberFormat="1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left" vertical="center"/>
    </xf>
    <xf numFmtId="0" fontId="5" fillId="13" borderId="16" xfId="0" applyFont="1" applyFill="1" applyBorder="1" applyAlignment="1">
      <alignment horizontal="left" vertical="center"/>
    </xf>
    <xf numFmtId="165" fontId="0" fillId="3" borderId="18" xfId="0" applyNumberFormat="1" applyFill="1" applyBorder="1" applyAlignment="1">
      <alignment horizontal="right"/>
    </xf>
    <xf numFmtId="165" fontId="0" fillId="3" borderId="16" xfId="0" applyNumberFormat="1" applyFill="1" applyBorder="1" applyAlignment="1">
      <alignment horizontal="right"/>
    </xf>
    <xf numFmtId="165" fontId="0" fillId="3" borderId="19" xfId="0" applyNumberFormat="1" applyFill="1" applyBorder="1" applyAlignment="1">
      <alignment horizontal="right"/>
    </xf>
    <xf numFmtId="0" fontId="5" fillId="11" borderId="9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center" vertical="center"/>
    </xf>
    <xf numFmtId="164" fontId="5" fillId="11" borderId="0" xfId="0" applyNumberFormat="1" applyFont="1" applyFill="1" applyAlignment="1">
      <alignment horizontal="center" vertical="center"/>
    </xf>
    <xf numFmtId="0" fontId="13" fillId="11" borderId="5" xfId="0" applyFont="1" applyFill="1" applyBorder="1" applyAlignment="1">
      <alignment horizontal="right"/>
    </xf>
    <xf numFmtId="0" fontId="22" fillId="5" borderId="18" xfId="0" applyFont="1" applyFill="1" applyBorder="1" applyAlignment="1">
      <alignment horizontal="center"/>
    </xf>
    <xf numFmtId="0" fontId="22" fillId="5" borderId="16" xfId="0" applyFont="1" applyFill="1" applyBorder="1" applyAlignment="1">
      <alignment horizontal="center"/>
    </xf>
    <xf numFmtId="0" fontId="22" fillId="5" borderId="19" xfId="0" applyFont="1" applyFill="1" applyBorder="1" applyAlignment="1">
      <alignment horizontal="center"/>
    </xf>
    <xf numFmtId="10" fontId="0" fillId="0" borderId="0" xfId="0" applyNumberFormat="1"/>
    <xf numFmtId="0" fontId="0" fillId="5" borderId="0" xfId="0" applyFill="1"/>
    <xf numFmtId="167" fontId="0" fillId="5" borderId="0" xfId="0" applyNumberFormat="1" applyFill="1"/>
    <xf numFmtId="0" fontId="3" fillId="11" borderId="0" xfId="0" applyFont="1" applyFill="1"/>
    <xf numFmtId="14" fontId="0" fillId="11" borderId="0" xfId="0" applyNumberFormat="1" applyFill="1"/>
    <xf numFmtId="9" fontId="0" fillId="11" borderId="0" xfId="2" applyFont="1" applyFill="1"/>
    <xf numFmtId="164" fontId="0" fillId="11" borderId="0" xfId="0" applyNumberFormat="1" applyFill="1"/>
    <xf numFmtId="0" fontId="0" fillId="14" borderId="0" xfId="0" applyFill="1"/>
    <xf numFmtId="14" fontId="0" fillId="14" borderId="0" xfId="0" applyNumberFormat="1" applyFill="1"/>
    <xf numFmtId="10" fontId="0" fillId="14" borderId="0" xfId="0" applyNumberFormat="1" applyFill="1"/>
    <xf numFmtId="0" fontId="3" fillId="14" borderId="0" xfId="0" applyFont="1" applyFill="1"/>
    <xf numFmtId="14" fontId="20" fillId="3" borderId="7" xfId="3" applyNumberFormat="1" applyFont="1" applyFill="1" applyBorder="1" applyAlignment="1">
      <alignment horizontal="center" vertical="center"/>
    </xf>
    <xf numFmtId="0" fontId="14" fillId="3" borderId="7" xfId="3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0" xfId="0" applyFont="1" applyFill="1" applyAlignment="1">
      <alignment horizontal="left"/>
    </xf>
    <xf numFmtId="167" fontId="0" fillId="14" borderId="0" xfId="0" applyNumberFormat="1" applyFill="1"/>
    <xf numFmtId="44" fontId="7" fillId="3" borderId="0" xfId="1" applyFont="1" applyFill="1" applyAlignment="1">
      <alignment horizontal="left" vertical="center" indent="1"/>
    </xf>
    <xf numFmtId="44" fontId="7" fillId="0" borderId="0" xfId="1" applyFont="1" applyFill="1" applyAlignment="1">
      <alignment horizontal="left" vertical="center" indent="1"/>
    </xf>
    <xf numFmtId="44" fontId="7" fillId="3" borderId="17" xfId="1" applyFont="1" applyFill="1" applyBorder="1" applyAlignment="1">
      <alignment horizontal="left" vertical="center" indent="1"/>
    </xf>
    <xf numFmtId="0" fontId="0" fillId="6" borderId="0" xfId="0" applyFill="1"/>
    <xf numFmtId="14" fontId="0" fillId="6" borderId="0" xfId="0" applyNumberFormat="1" applyFill="1"/>
    <xf numFmtId="0" fontId="5" fillId="11" borderId="0" xfId="0" applyFont="1" applyFill="1"/>
    <xf numFmtId="14" fontId="5" fillId="11" borderId="0" xfId="0" applyNumberFormat="1" applyFont="1" applyFill="1"/>
    <xf numFmtId="44" fontId="0" fillId="8" borderId="0" xfId="1" applyFont="1" applyFill="1"/>
    <xf numFmtId="44" fontId="7" fillId="3" borderId="0" xfId="1" applyFont="1" applyFill="1" applyBorder="1" applyAlignment="1">
      <alignment horizontal="left" vertical="center" indent="1"/>
    </xf>
    <xf numFmtId="0" fontId="4" fillId="3" borderId="1" xfId="0" applyFont="1" applyFill="1" applyBorder="1"/>
    <xf numFmtId="0" fontId="4" fillId="3" borderId="2" xfId="0" applyFont="1" applyFill="1" applyBorder="1"/>
    <xf numFmtId="0" fontId="0" fillId="3" borderId="2" xfId="0" applyFill="1" applyBorder="1"/>
    <xf numFmtId="0" fontId="3" fillId="3" borderId="0" xfId="0" applyFont="1" applyFill="1"/>
    <xf numFmtId="0" fontId="0" fillId="3" borderId="9" xfId="0" applyFill="1" applyBorder="1"/>
    <xf numFmtId="0" fontId="0" fillId="3" borderId="10" xfId="0" applyFill="1" applyBorder="1"/>
    <xf numFmtId="0" fontId="0" fillId="3" borderId="27" xfId="0" applyFill="1" applyBorder="1"/>
    <xf numFmtId="0" fontId="2" fillId="15" borderId="0" xfId="0" applyFont="1" applyFill="1"/>
    <xf numFmtId="0" fontId="4" fillId="15" borderId="0" xfId="0" applyFont="1" applyFill="1"/>
    <xf numFmtId="10" fontId="0" fillId="16" borderId="0" xfId="2" applyNumberFormat="1" applyFont="1" applyFill="1"/>
    <xf numFmtId="0" fontId="0" fillId="16" borderId="0" xfId="0" applyFill="1"/>
    <xf numFmtId="44" fontId="0" fillId="16" borderId="0" xfId="1" applyFont="1" applyFill="1"/>
    <xf numFmtId="0" fontId="3" fillId="16" borderId="0" xfId="0" applyFont="1" applyFill="1" applyAlignment="1">
      <alignment horizontal="right"/>
    </xf>
    <xf numFmtId="44" fontId="24" fillId="16" borderId="0" xfId="1" applyFont="1" applyFill="1"/>
    <xf numFmtId="44" fontId="0" fillId="16" borderId="0" xfId="0" applyNumberFormat="1" applyFill="1"/>
    <xf numFmtId="0" fontId="0" fillId="3" borderId="28" xfId="0" applyFill="1" applyBorder="1"/>
    <xf numFmtId="10" fontId="0" fillId="5" borderId="0" xfId="2" applyNumberFormat="1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6" borderId="0" xfId="1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2" fillId="20" borderId="0" xfId="0" applyFont="1" applyFill="1"/>
    <xf numFmtId="8" fontId="0" fillId="3" borderId="0" xfId="0" applyNumberFormat="1" applyFill="1"/>
    <xf numFmtId="0" fontId="32" fillId="20" borderId="0" xfId="0" applyFont="1" applyFill="1" applyAlignment="1">
      <alignment horizontal="center"/>
    </xf>
    <xf numFmtId="1" fontId="0" fillId="3" borderId="0" xfId="0" applyNumberFormat="1" applyFill="1" applyAlignment="1">
      <alignment horizontal="center"/>
    </xf>
    <xf numFmtId="44" fontId="3" fillId="9" borderId="0" xfId="1" applyFont="1" applyFill="1" applyAlignment="1">
      <alignment horizontal="center" vertical="center"/>
    </xf>
    <xf numFmtId="44" fontId="0" fillId="9" borderId="0" xfId="1" applyFont="1" applyFill="1" applyAlignment="1">
      <alignment horizontal="center" vertical="center"/>
    </xf>
    <xf numFmtId="169" fontId="3" fillId="9" borderId="0" xfId="1" applyNumberFormat="1" applyFont="1" applyFill="1" applyAlignment="1">
      <alignment horizontal="center" vertical="center"/>
    </xf>
    <xf numFmtId="169" fontId="0" fillId="9" borderId="0" xfId="1" applyNumberFormat="1" applyFont="1" applyFill="1" applyAlignment="1">
      <alignment horizontal="center" vertical="center"/>
    </xf>
    <xf numFmtId="44" fontId="3" fillId="16" borderId="0" xfId="1" applyFont="1" applyFill="1" applyAlignment="1">
      <alignment horizontal="center"/>
    </xf>
    <xf numFmtId="170" fontId="0" fillId="16" borderId="0" xfId="1" applyNumberFormat="1" applyFont="1" applyFill="1"/>
    <xf numFmtId="170" fontId="0" fillId="16" borderId="0" xfId="0" applyNumberFormat="1" applyFill="1"/>
    <xf numFmtId="170" fontId="0" fillId="0" borderId="0" xfId="0" applyNumberFormat="1"/>
    <xf numFmtId="170" fontId="3" fillId="16" borderId="0" xfId="0" applyNumberFormat="1" applyFont="1" applyFill="1" applyAlignment="1">
      <alignment horizontal="center"/>
    </xf>
    <xf numFmtId="0" fontId="31" fillId="3" borderId="29" xfId="0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right" vertical="center" indent="1"/>
    </xf>
    <xf numFmtId="168" fontId="2" fillId="2" borderId="3" xfId="0" applyNumberFormat="1" applyFont="1" applyFill="1" applyBorder="1" applyAlignment="1">
      <alignment horizontal="right" vertical="center" indent="1"/>
    </xf>
    <xf numFmtId="168" fontId="2" fillId="2" borderId="7" xfId="0" applyNumberFormat="1" applyFont="1" applyFill="1" applyBorder="1" applyAlignment="1">
      <alignment horizontal="right" vertical="center" indent="1"/>
    </xf>
    <xf numFmtId="168" fontId="2" fillId="2" borderId="8" xfId="0" applyNumberFormat="1" applyFont="1" applyFill="1" applyBorder="1" applyAlignment="1">
      <alignment horizontal="right" vertical="center" indent="1"/>
    </xf>
    <xf numFmtId="0" fontId="3" fillId="3" borderId="14" xfId="0" applyFont="1" applyFill="1" applyBorder="1" applyAlignment="1">
      <alignment horizontal="center"/>
    </xf>
    <xf numFmtId="165" fontId="23" fillId="3" borderId="10" xfId="1" applyNumberFormat="1" applyFont="1" applyFill="1" applyBorder="1" applyAlignment="1">
      <alignment horizontal="center" vertical="center"/>
    </xf>
    <xf numFmtId="165" fontId="23" fillId="3" borderId="7" xfId="1" applyNumberFormat="1" applyFont="1" applyFill="1" applyBorder="1" applyAlignment="1">
      <alignment horizontal="center" vertical="center"/>
    </xf>
    <xf numFmtId="164" fontId="28" fillId="3" borderId="10" xfId="1" applyNumberFormat="1" applyFont="1" applyFill="1" applyBorder="1" applyAlignment="1">
      <alignment horizontal="center" vertical="center"/>
    </xf>
    <xf numFmtId="164" fontId="28" fillId="3" borderId="7" xfId="1" applyNumberFormat="1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left"/>
    </xf>
    <xf numFmtId="14" fontId="6" fillId="3" borderId="23" xfId="0" applyNumberFormat="1" applyFont="1" applyFill="1" applyBorder="1" applyAlignment="1">
      <alignment horizontal="center"/>
    </xf>
    <xf numFmtId="0" fontId="5" fillId="3" borderId="21" xfId="0" applyFont="1" applyFill="1" applyBorder="1" applyAlignment="1">
      <alignment horizontal="left"/>
    </xf>
    <xf numFmtId="10" fontId="8" fillId="3" borderId="21" xfId="2" applyNumberFormat="1" applyFont="1" applyFill="1" applyBorder="1" applyAlignment="1">
      <alignment horizontal="center"/>
    </xf>
    <xf numFmtId="0" fontId="5" fillId="3" borderId="20" xfId="0" applyFont="1" applyFill="1" applyBorder="1" applyAlignment="1">
      <alignment horizontal="left"/>
    </xf>
    <xf numFmtId="44" fontId="8" fillId="3" borderId="23" xfId="1" applyFont="1" applyFill="1" applyBorder="1" applyAlignment="1">
      <alignment horizontal="right"/>
    </xf>
    <xf numFmtId="44" fontId="8" fillId="3" borderId="23" xfId="0" applyNumberFormat="1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" fillId="17" borderId="11" xfId="0" applyFont="1" applyFill="1" applyBorder="1" applyAlignment="1">
      <alignment horizontal="left" vertical="center" indent="1"/>
    </xf>
    <xf numFmtId="0" fontId="3" fillId="17" borderId="12" xfId="0" applyFont="1" applyFill="1" applyBorder="1" applyAlignment="1">
      <alignment horizontal="left" vertical="center" indent="1"/>
    </xf>
    <xf numFmtId="0" fontId="3" fillId="17" borderId="13" xfId="0" applyFont="1" applyFill="1" applyBorder="1" applyAlignment="1">
      <alignment horizontal="left" vertical="center" indent="1"/>
    </xf>
    <xf numFmtId="14" fontId="5" fillId="3" borderId="23" xfId="0" applyNumberFormat="1" applyFont="1" applyFill="1" applyBorder="1" applyAlignment="1">
      <alignment horizontal="left"/>
    </xf>
    <xf numFmtId="44" fontId="8" fillId="3" borderId="20" xfId="1" applyFont="1" applyFill="1" applyBorder="1" applyAlignment="1">
      <alignment horizontal="left"/>
    </xf>
    <xf numFmtId="0" fontId="0" fillId="3" borderId="20" xfId="0" applyFill="1" applyBorder="1" applyAlignment="1">
      <alignment horizontal="left"/>
    </xf>
    <xf numFmtId="164" fontId="12" fillId="3" borderId="10" xfId="1" applyNumberFormat="1" applyFont="1" applyFill="1" applyBorder="1" applyAlignment="1">
      <alignment horizontal="center" vertical="center"/>
    </xf>
    <xf numFmtId="164" fontId="12" fillId="3" borderId="0" xfId="1" applyNumberFormat="1" applyFont="1" applyFill="1" applyBorder="1" applyAlignment="1">
      <alignment horizontal="center" vertical="center"/>
    </xf>
    <xf numFmtId="44" fontId="8" fillId="3" borderId="21" xfId="0" applyNumberFormat="1" applyFont="1" applyFill="1" applyBorder="1" applyAlignment="1">
      <alignment horizontal="center"/>
    </xf>
    <xf numFmtId="0" fontId="19" fillId="3" borderId="21" xfId="0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>
      <alignment horizontal="center" vertical="center"/>
    </xf>
    <xf numFmtId="0" fontId="25" fillId="5" borderId="1" xfId="0" applyFont="1" applyFill="1" applyBorder="1" applyAlignment="1">
      <alignment horizontal="left" vertical="center" indent="1"/>
    </xf>
    <xf numFmtId="0" fontId="25" fillId="5" borderId="2" xfId="0" applyFont="1" applyFill="1" applyBorder="1" applyAlignment="1">
      <alignment horizontal="left" vertical="center" indent="1"/>
    </xf>
    <xf numFmtId="0" fontId="25" fillId="5" borderId="6" xfId="0" applyFont="1" applyFill="1" applyBorder="1" applyAlignment="1">
      <alignment horizontal="left" vertical="center" indent="1"/>
    </xf>
    <xf numFmtId="0" fontId="25" fillId="5" borderId="7" xfId="0" applyFont="1" applyFill="1" applyBorder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wrapText="1"/>
    </xf>
    <xf numFmtId="0" fontId="18" fillId="5" borderId="8" xfId="0" applyFont="1" applyFill="1" applyBorder="1" applyAlignment="1">
      <alignment horizontal="left" vertical="center" wrapText="1"/>
    </xf>
    <xf numFmtId="0" fontId="26" fillId="2" borderId="1" xfId="0" applyFont="1" applyFill="1" applyBorder="1" applyAlignment="1">
      <alignment horizontal="left" vertical="center" indent="1"/>
    </xf>
    <xf numFmtId="0" fontId="26" fillId="2" borderId="2" xfId="0" applyFont="1" applyFill="1" applyBorder="1" applyAlignment="1">
      <alignment horizontal="left" vertical="center" indent="1"/>
    </xf>
    <xf numFmtId="0" fontId="26" fillId="2" borderId="6" xfId="0" applyFont="1" applyFill="1" applyBorder="1" applyAlignment="1">
      <alignment horizontal="left" vertical="center" indent="1"/>
    </xf>
    <xf numFmtId="0" fontId="26" fillId="2" borderId="7" xfId="0" applyFont="1" applyFill="1" applyBorder="1" applyAlignment="1">
      <alignment horizontal="left" vertical="center" indent="1"/>
    </xf>
    <xf numFmtId="44" fontId="12" fillId="3" borderId="0" xfId="0" applyNumberFormat="1" applyFont="1" applyFill="1" applyAlignment="1">
      <alignment horizontal="center" vertical="center"/>
    </xf>
    <xf numFmtId="164" fontId="28" fillId="3" borderId="0" xfId="1" applyNumberFormat="1" applyFont="1" applyFill="1" applyBorder="1" applyAlignment="1">
      <alignment horizontal="center" vertical="center"/>
    </xf>
    <xf numFmtId="14" fontId="20" fillId="3" borderId="21" xfId="1" applyNumberFormat="1" applyFont="1" applyFill="1" applyBorder="1" applyAlignment="1">
      <alignment horizontal="right"/>
    </xf>
    <xf numFmtId="0" fontId="3" fillId="19" borderId="24" xfId="0" applyFont="1" applyFill="1" applyBorder="1" applyAlignment="1">
      <alignment horizontal="left" vertical="center" indent="1"/>
    </xf>
    <xf numFmtId="0" fontId="3" fillId="19" borderId="25" xfId="0" applyFont="1" applyFill="1" applyBorder="1" applyAlignment="1">
      <alignment horizontal="left" vertical="center" indent="1"/>
    </xf>
    <xf numFmtId="0" fontId="3" fillId="19" borderId="26" xfId="0" applyFont="1" applyFill="1" applyBorder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169" fontId="23" fillId="3" borderId="10" xfId="0" applyNumberFormat="1" applyFont="1" applyFill="1" applyBorder="1" applyAlignment="1">
      <alignment horizontal="center" vertical="center"/>
    </xf>
    <xf numFmtId="169" fontId="23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left"/>
    </xf>
    <xf numFmtId="44" fontId="6" fillId="3" borderId="0" xfId="1" applyFont="1" applyFill="1" applyBorder="1" applyAlignment="1">
      <alignment horizontal="right"/>
    </xf>
    <xf numFmtId="0" fontId="25" fillId="18" borderId="1" xfId="0" applyFont="1" applyFill="1" applyBorder="1" applyAlignment="1">
      <alignment horizontal="left" vertical="center" indent="1"/>
    </xf>
    <xf numFmtId="0" fontId="25" fillId="18" borderId="2" xfId="0" applyFont="1" applyFill="1" applyBorder="1" applyAlignment="1">
      <alignment horizontal="left" vertical="center" indent="1"/>
    </xf>
    <xf numFmtId="0" fontId="25" fillId="18" borderId="6" xfId="0" applyFont="1" applyFill="1" applyBorder="1" applyAlignment="1">
      <alignment horizontal="left" vertical="center" indent="1"/>
    </xf>
    <xf numFmtId="0" fontId="25" fillId="18" borderId="7" xfId="0" applyFont="1" applyFill="1" applyBorder="1" applyAlignment="1">
      <alignment horizontal="left" vertical="center" indent="1"/>
    </xf>
    <xf numFmtId="0" fontId="27" fillId="18" borderId="2" xfId="0" applyFont="1" applyFill="1" applyBorder="1" applyAlignment="1">
      <alignment horizontal="left" vertical="center" indent="1"/>
    </xf>
    <xf numFmtId="0" fontId="27" fillId="18" borderId="3" xfId="0" applyFont="1" applyFill="1" applyBorder="1" applyAlignment="1">
      <alignment horizontal="left" vertical="center" indent="1"/>
    </xf>
    <xf numFmtId="0" fontId="27" fillId="18" borderId="7" xfId="0" applyFont="1" applyFill="1" applyBorder="1" applyAlignment="1">
      <alignment horizontal="left" vertical="center" indent="1"/>
    </xf>
    <xf numFmtId="0" fontId="27" fillId="18" borderId="8" xfId="0" applyFont="1" applyFill="1" applyBorder="1" applyAlignment="1">
      <alignment horizontal="left" vertical="center" indent="1"/>
    </xf>
    <xf numFmtId="0" fontId="3" fillId="18" borderId="2" xfId="0" applyFont="1" applyFill="1" applyBorder="1" applyAlignment="1">
      <alignment horizontal="right" vertical="center"/>
    </xf>
    <xf numFmtId="0" fontId="3" fillId="18" borderId="7" xfId="0" applyFont="1" applyFill="1" applyBorder="1" applyAlignment="1">
      <alignment horizontal="right" vertical="center"/>
    </xf>
    <xf numFmtId="44" fontId="29" fillId="3" borderId="23" xfId="1" applyFont="1" applyFill="1" applyBorder="1" applyAlignment="1">
      <alignment horizontal="right"/>
    </xf>
    <xf numFmtId="0" fontId="13" fillId="19" borderId="24" xfId="0" applyFont="1" applyFill="1" applyBorder="1" applyAlignment="1">
      <alignment horizontal="left" vertical="center" indent="1"/>
    </xf>
    <xf numFmtId="0" fontId="13" fillId="19" borderId="25" xfId="0" applyFont="1" applyFill="1" applyBorder="1" applyAlignment="1">
      <alignment horizontal="left" vertical="center" indent="1"/>
    </xf>
    <xf numFmtId="0" fontId="13" fillId="19" borderId="26" xfId="0" applyFont="1" applyFill="1" applyBorder="1" applyAlignment="1">
      <alignment horizontal="left" vertical="center" indent="1"/>
    </xf>
    <xf numFmtId="44" fontId="6" fillId="3" borderId="23" xfId="1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9" fillId="5" borderId="0" xfId="0" applyFont="1" applyFill="1" applyAlignment="1">
      <alignment horizontal="center" vertical="center" wrapText="1"/>
    </xf>
    <xf numFmtId="44" fontId="0" fillId="6" borderId="0" xfId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textRotation="90"/>
    </xf>
    <xf numFmtId="0" fontId="0" fillId="6" borderId="0" xfId="0" applyFill="1" applyAlignment="1">
      <alignment horizontal="center" vertical="center"/>
    </xf>
    <xf numFmtId="14" fontId="0" fillId="6" borderId="0" xfId="1" applyNumberFormat="1" applyFont="1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0" fontId="3" fillId="9" borderId="0" xfId="0" applyFont="1" applyFill="1" applyAlignment="1">
      <alignment horizontal="center"/>
    </xf>
    <xf numFmtId="0" fontId="3" fillId="16" borderId="0" xfId="0" applyFont="1" applyFill="1" applyAlignment="1">
      <alignment horizontal="right"/>
    </xf>
    <xf numFmtId="44" fontId="0" fillId="3" borderId="0" xfId="0" applyNumberFormat="1" applyFill="1" applyAlignment="1">
      <alignment horizontal="center"/>
    </xf>
    <xf numFmtId="44" fontId="0" fillId="6" borderId="0" xfId="1" applyFont="1" applyFill="1" applyAlignment="1">
      <alignment horizontal="left" vertical="center"/>
    </xf>
    <xf numFmtId="0" fontId="32" fillId="20" borderId="0" xfId="0" applyFont="1" applyFill="1" applyAlignment="1">
      <alignment horizontal="center"/>
    </xf>
    <xf numFmtId="166" fontId="21" fillId="6" borderId="0" xfId="1" applyNumberFormat="1" applyFont="1" applyFill="1" applyAlignment="1">
      <alignment horizontal="center" vertical="center"/>
    </xf>
    <xf numFmtId="14" fontId="1" fillId="6" borderId="0" xfId="1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 wrapText="1"/>
    </xf>
    <xf numFmtId="10" fontId="0" fillId="6" borderId="0" xfId="2" applyNumberFormat="1" applyFont="1" applyFill="1" applyAlignment="1">
      <alignment horizontal="center" vertical="center"/>
    </xf>
    <xf numFmtId="44" fontId="11" fillId="6" borderId="0" xfId="1" applyFont="1" applyFill="1" applyAlignment="1">
      <alignment horizontal="center" vertical="center"/>
    </xf>
    <xf numFmtId="0" fontId="14" fillId="6" borderId="0" xfId="3" applyFill="1" applyAlignment="1">
      <alignment horizontal="left" vertical="center" indent="1"/>
    </xf>
    <xf numFmtId="166" fontId="0" fillId="6" borderId="0" xfId="1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44" fontId="11" fillId="3" borderId="0" xfId="1" applyFont="1" applyFill="1" applyAlignment="1">
      <alignment horizontal="center" vertical="center"/>
    </xf>
    <xf numFmtId="0" fontId="14" fillId="3" borderId="0" xfId="3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6" borderId="0" xfId="1" applyNumberFormat="1" applyFont="1" applyFill="1"/>
  </cellXfs>
  <cellStyles count="5">
    <cellStyle name="Currency" xfId="1" builtinId="4"/>
    <cellStyle name="Hyperlink" xfId="3" builtinId="8"/>
    <cellStyle name="Hyperlink 2" xfId="4" xr:uid="{3A2AA959-C0E8-445B-8646-0A4CF44438D2}"/>
    <cellStyle name="Normal" xfId="0" builtinId="0"/>
    <cellStyle name="Percent" xfId="2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/>
        <i val="0"/>
        <color rgb="FF00B0F0"/>
      </font>
      <fill>
        <patternFill patternType="none">
          <bgColor auto="1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6EBF6"/>
      <color rgb="FFEB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5-4C38-A47E-8934441E166B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15-4C38-A47E-8934441E166B}"/>
              </c:ext>
            </c:extLst>
          </c:dPt>
          <c:dLbls>
            <c:dLbl>
              <c:idx val="0"/>
              <c:layout>
                <c:manualLayout>
                  <c:x val="-0.10041531573259233"/>
                  <c:y val="6.494402141853456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19050" rIns="38100" bIns="19050" numCol="1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8962405434614782"/>
                      <c:h val="0.199516137176157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515-4C38-A47E-8934441E166B}"/>
                </c:ext>
              </c:extLst>
            </c:dLbl>
            <c:dLbl>
              <c:idx val="1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70588235294117652"/>
                      <c:h val="0.201780280219259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515-4C38-A47E-8934441E16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Dashboard!$V$24:$W$24</c:f>
              <c:strCache>
                <c:ptCount val="2"/>
                <c:pt idx="0">
                  <c:v>Credit</c:v>
                </c:pt>
                <c:pt idx="1">
                  <c:v>Bills</c:v>
                </c:pt>
              </c:strCache>
            </c:strRef>
          </c:cat>
          <c:val>
            <c:numRef>
              <c:f>Dashboard!$V$25:$W$25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5-4C38-A47E-8934441E166B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6666666666666E-2"/>
          <c:y val="0.10348255463389991"/>
          <c:w val="0.81392257217847774"/>
          <c:h val="0.72777506866452979"/>
        </c:manualLayout>
      </c:layout>
      <c:lineChart>
        <c:grouping val="standard"/>
        <c:varyColors val="0"/>
        <c:ser>
          <c:idx val="1"/>
          <c:order val="0"/>
          <c:tx>
            <c:strRef>
              <c:f>Data!$B$23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Data!$A$2:$A$13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Data!$B$24:$B$35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5-49F2-884E-15CEC3135A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289445647"/>
        <c:axId val="1280299759"/>
      </c:lineChart>
      <c:catAx>
        <c:axId val="12894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299759"/>
        <c:crosses val="autoZero"/>
        <c:auto val="1"/>
        <c:lblAlgn val="ctr"/>
        <c:lblOffset val="100"/>
        <c:noMultiLvlLbl val="0"/>
      </c:catAx>
      <c:valAx>
        <c:axId val="1280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4456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>
          <a:outerShdw blurRad="50800" dist="50800" dir="5400000"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3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4-4AD1-B2A4-9F91B9D2F4A2}"/>
              </c:ext>
            </c:extLst>
          </c:dPt>
          <c:dPt>
            <c:idx val="1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44-4AD1-B2A4-9F91B9D2F4A2}"/>
              </c:ext>
            </c:extLst>
          </c:dPt>
          <c:dPt>
            <c:idx val="2"/>
            <c:bubble3D val="0"/>
            <c:spPr>
              <a:solidFill>
                <a:schemeClr val="accent1">
                  <a:shade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44-4AD1-B2A4-9F91B9D2F4A2}"/>
              </c:ext>
            </c:extLst>
          </c:dPt>
          <c:dPt>
            <c:idx val="3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44-4AD1-B2A4-9F91B9D2F4A2}"/>
              </c:ext>
            </c:extLst>
          </c:dPt>
          <c:dPt>
            <c:idx val="4"/>
            <c:bubble3D val="0"/>
            <c:spPr>
              <a:solidFill>
                <a:schemeClr val="accent1">
                  <a:shade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44-4AD1-B2A4-9F91B9D2F4A2}"/>
              </c:ext>
            </c:extLst>
          </c:dPt>
          <c:dPt>
            <c:idx val="5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C44-4AD1-B2A4-9F91B9D2F4A2}"/>
              </c:ext>
            </c:extLst>
          </c:dPt>
          <c:dPt>
            <c:idx val="6"/>
            <c:bubble3D val="0"/>
            <c:spPr>
              <a:solidFill>
                <a:schemeClr val="accent1">
                  <a:shade val="9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C44-4AD1-B2A4-9F91B9D2F4A2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C44-4AD1-B2A4-9F91B9D2F4A2}"/>
              </c:ext>
            </c:extLst>
          </c:dPt>
          <c:dPt>
            <c:idx val="8"/>
            <c:bubble3D val="0"/>
            <c:spPr>
              <a:solidFill>
                <a:schemeClr val="accent1">
                  <a:tint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C44-4AD1-B2A4-9F91B9D2F4A2}"/>
              </c:ext>
            </c:extLst>
          </c:dPt>
          <c:dPt>
            <c:idx val="9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C44-4AD1-B2A4-9F91B9D2F4A2}"/>
              </c:ext>
            </c:extLst>
          </c:dPt>
          <c:dPt>
            <c:idx val="10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C44-4AD1-B2A4-9F91B9D2F4A2}"/>
              </c:ext>
            </c:extLst>
          </c:dPt>
          <c:dPt>
            <c:idx val="1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C44-4AD1-B2A4-9F91B9D2F4A2}"/>
              </c:ext>
            </c:extLst>
          </c:dPt>
          <c:dPt>
            <c:idx val="12"/>
            <c:bubble3D val="0"/>
            <c:spPr>
              <a:solidFill>
                <a:schemeClr val="accent1">
                  <a:tint val="5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C44-4AD1-B2A4-9F91B9D2F4A2}"/>
              </c:ext>
            </c:extLst>
          </c:dPt>
          <c:dPt>
            <c:idx val="13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C44-4AD1-B2A4-9F91B9D2F4A2}"/>
              </c:ext>
            </c:extLst>
          </c:dPt>
          <c:dPt>
            <c:idx val="14"/>
            <c:bubble3D val="0"/>
            <c:spPr>
              <a:solidFill>
                <a:schemeClr val="accent1">
                  <a:tint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C44-4AD1-B2A4-9F91B9D2F4A2}"/>
              </c:ext>
            </c:extLst>
          </c:dPt>
          <c:cat>
            <c:multiLvlStrRef>
              <c:f>Data!$T$3:$V$17</c:f>
            </c:multiLvlStrRef>
          </c:cat>
          <c:val>
            <c:numRef>
              <c:f>Data!$W$3:$W$17</c:f>
              <c:numCache>
                <c:formatCode>"$"#,##0.00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E-3C44-4AD1-B2A4-9F91B9D2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19050</xdr:rowOff>
        </xdr:from>
        <xdr:to>
          <xdr:col>5</xdr:col>
          <xdr:colOff>609600</xdr:colOff>
          <xdr:row>2</xdr:row>
          <xdr:rowOff>180975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20</xdr:col>
      <xdr:colOff>57151</xdr:colOff>
      <xdr:row>16</xdr:row>
      <xdr:rowOff>52386</xdr:rowOff>
    </xdr:from>
    <xdr:to>
      <xdr:col>25</xdr:col>
      <xdr:colOff>114301</xdr:colOff>
      <xdr:row>24</xdr:row>
      <xdr:rowOff>152400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66674</xdr:colOff>
      <xdr:row>5</xdr:row>
      <xdr:rowOff>52388</xdr:rowOff>
    </xdr:from>
    <xdr:to>
      <xdr:col>25</xdr:col>
      <xdr:colOff>190499</xdr:colOff>
      <xdr:row>13</xdr:row>
      <xdr:rowOff>123826</xdr:rowOff>
    </xdr:to>
    <xdr:graphicFrame macro="">
      <xdr:nvGraphicFramePr>
        <xdr:cNvPr id="217" name="Chart 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76200</xdr:colOff>
      <xdr:row>5</xdr:row>
      <xdr:rowOff>71436</xdr:rowOff>
    </xdr:from>
    <xdr:to>
      <xdr:col>12</xdr:col>
      <xdr:colOff>123825</xdr:colOff>
      <xdr:row>13</xdr:row>
      <xdr:rowOff>133349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862e2f8689df714/Documents/BillMaster.xlsm" TargetMode="External"/><Relationship Id="rId1" Type="http://schemas.openxmlformats.org/officeDocument/2006/relationships/externalLinkPath" Target="https://d.docs.live.net/3862e2f8689df714/Documents/Bill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Income"/>
      <sheetName val="Data"/>
      <sheetName val="Paydown Calc"/>
      <sheetName val="CredTemplate"/>
      <sheetName val="BillTemplate"/>
      <sheetName val="InvestTemplate"/>
      <sheetName val="CashTemplate"/>
      <sheetName val="AES"/>
      <sheetName val="NewRez"/>
      <sheetName val="WPCU Visa Card"/>
      <sheetName val="ESSP"/>
      <sheetName val="Xenia Utilities"/>
      <sheetName val="Spectrum"/>
      <sheetName val="Center Point Energy"/>
      <sheetName val="GE Credit Union"/>
      <sheetName val="Hughes Auto Loan"/>
      <sheetName val="Hughes Visa Credit Card"/>
      <sheetName val="Verizon Wireless"/>
      <sheetName val="Samsung Financing"/>
      <sheetName val="WPCU qCash"/>
      <sheetName val="Lowes"/>
      <sheetName val="Amazon Store Card"/>
      <sheetName val="Jared Store Card"/>
      <sheetName val="Jared Store Card (Kim)"/>
      <sheetName val="United Consumer"/>
      <sheetName val="Kemba Visa Card"/>
      <sheetName val="Sleep Number (Kim)"/>
      <sheetName val="Sleep Number (0158)"/>
      <sheetName val="Sleep Number (7063)"/>
      <sheetName val="Lowes (Kim)"/>
      <sheetName val="At Home Store Card"/>
      <sheetName val="Best Buy Visa Card"/>
      <sheetName val="Petal Visa Card"/>
      <sheetName val="Indigo Visa Card"/>
      <sheetName val="New Egg Store Card"/>
      <sheetName val="Google Store Card"/>
      <sheetName val="Sams Club Store Card"/>
      <sheetName val="Staples"/>
      <sheetName val="Macys Store Card"/>
      <sheetName val="Torrid Store Card"/>
      <sheetName val="Guitar Center Store Card"/>
      <sheetName val="Jared (Gensis)"/>
      <sheetName val="State Farm"/>
      <sheetName val="ADT"/>
      <sheetName val="Legacy Visa Card"/>
      <sheetName val="Tractor Supply Store Card"/>
      <sheetName val="eBay Visa Card"/>
      <sheetName val="AquaFalls Loan"/>
      <sheetName val="AquaFalls"/>
      <sheetName val="Safe"/>
    </sheetNames>
    <sheetDataSet>
      <sheetData sheetId="0">
        <row r="7">
          <cell r="BM7" t="str">
            <v>Snowball</v>
          </cell>
        </row>
        <row r="16">
          <cell r="AH16" t="str">
            <v>March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EC079-9D8B-4519-ADE2-E4D41A16B9C0}">
  <sheetPr codeName="Sheet1"/>
  <dimension ref="A1:DE38"/>
  <sheetViews>
    <sheetView zoomScaleNormal="100" workbookViewId="0">
      <selection activeCell="AY33" sqref="AY33"/>
    </sheetView>
  </sheetViews>
  <sheetFormatPr defaultRowHeight="15" x14ac:dyDescent="0.25"/>
  <cols>
    <col min="1" max="1" width="0.85546875" style="3" customWidth="1"/>
    <col min="2" max="2" width="18" style="3" customWidth="1"/>
    <col min="3" max="3" width="7" style="77" customWidth="1"/>
    <col min="4" max="4" width="8.42578125" style="3" bestFit="1" customWidth="1"/>
    <col min="5" max="5" width="11.28515625" style="16" bestFit="1" customWidth="1"/>
    <col min="6" max="6" width="10.42578125" style="3" bestFit="1" customWidth="1"/>
    <col min="7" max="7" width="2.7109375" style="3" customWidth="1"/>
    <col min="8" max="19" width="3.7109375" style="3" customWidth="1"/>
    <col min="20" max="20" width="2.7109375" style="3" customWidth="1"/>
    <col min="21" max="32" width="3.7109375" style="3" customWidth="1"/>
    <col min="33" max="33" width="2.7109375" style="3" customWidth="1"/>
    <col min="34" max="45" width="3.7109375" style="3" customWidth="1"/>
    <col min="46" max="52" width="2.7109375" style="3" customWidth="1"/>
    <col min="53" max="53" width="3.85546875" style="3" customWidth="1"/>
    <col min="54" max="54" width="2.7109375" style="3" customWidth="1"/>
    <col min="55" max="55" width="3.5703125" style="3" customWidth="1"/>
    <col min="56" max="56" width="3.28515625" style="3" customWidth="1"/>
    <col min="57" max="57" width="2.7109375" style="3" customWidth="1"/>
    <col min="58" max="58" width="1.85546875" style="3" customWidth="1"/>
    <col min="59" max="65" width="2.7109375" style="3" customWidth="1"/>
    <col min="66" max="66" width="3.85546875" style="3" customWidth="1"/>
    <col min="67" max="67" width="4.28515625" style="3" customWidth="1"/>
    <col min="68" max="68" width="2.7109375" style="3" customWidth="1"/>
    <col min="69" max="69" width="1.28515625" style="3" customWidth="1"/>
    <col min="70" max="79" width="2.7109375" style="3" customWidth="1"/>
    <col min="80" max="109" width="9.140625" style="3"/>
  </cols>
  <sheetData>
    <row r="1" spans="2:69" ht="5.25" customHeight="1" x14ac:dyDescent="0.25"/>
    <row r="2" spans="2:69" ht="6.75" customHeight="1" x14ac:dyDescent="0.25">
      <c r="B2" s="152" t="s">
        <v>0</v>
      </c>
      <c r="C2" s="153"/>
      <c r="D2" s="153"/>
      <c r="E2" s="153"/>
      <c r="F2" s="156"/>
      <c r="G2" s="158" t="s">
        <v>1</v>
      </c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23">
        <f ca="1">TODAY()</f>
        <v>45009</v>
      </c>
      <c r="AM2" s="123"/>
      <c r="AN2" s="123"/>
      <c r="AO2" s="123"/>
      <c r="AP2" s="123"/>
      <c r="AQ2" s="123"/>
      <c r="AR2" s="123"/>
      <c r="AS2" s="123"/>
      <c r="AT2" s="124"/>
      <c r="AU2" s="173" t="s">
        <v>116</v>
      </c>
      <c r="AV2" s="174"/>
      <c r="AW2" s="174"/>
      <c r="AX2" s="174"/>
      <c r="AY2" s="174"/>
      <c r="AZ2" s="174"/>
      <c r="BA2" s="174"/>
      <c r="BB2" s="174"/>
      <c r="BC2" s="174"/>
      <c r="BD2" s="181"/>
      <c r="BE2" s="181"/>
      <c r="BF2" s="181"/>
      <c r="BG2" s="181"/>
      <c r="BH2" s="181"/>
      <c r="BI2" s="181"/>
      <c r="BJ2" s="181"/>
      <c r="BK2" s="177"/>
      <c r="BL2" s="177"/>
      <c r="BM2" s="177"/>
      <c r="BN2" s="177"/>
      <c r="BO2" s="177"/>
      <c r="BP2" s="177"/>
      <c r="BQ2" s="178"/>
    </row>
    <row r="3" spans="2:69" ht="15.75" customHeight="1" x14ac:dyDescent="0.25">
      <c r="B3" s="154"/>
      <c r="C3" s="155"/>
      <c r="D3" s="155"/>
      <c r="E3" s="155"/>
      <c r="F3" s="157"/>
      <c r="G3" s="160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25"/>
      <c r="AM3" s="125"/>
      <c r="AN3" s="125"/>
      <c r="AO3" s="125"/>
      <c r="AP3" s="125"/>
      <c r="AQ3" s="125"/>
      <c r="AR3" s="125"/>
      <c r="AS3" s="125"/>
      <c r="AT3" s="126"/>
      <c r="AU3" s="175"/>
      <c r="AV3" s="176"/>
      <c r="AW3" s="176"/>
      <c r="AX3" s="176"/>
      <c r="AY3" s="176"/>
      <c r="AZ3" s="176"/>
      <c r="BA3" s="176"/>
      <c r="BB3" s="176"/>
      <c r="BC3" s="176"/>
      <c r="BD3" s="182"/>
      <c r="BE3" s="182"/>
      <c r="BF3" s="182"/>
      <c r="BG3" s="182"/>
      <c r="BH3" s="182"/>
      <c r="BI3" s="182"/>
      <c r="BJ3" s="182"/>
      <c r="BK3" s="179"/>
      <c r="BL3" s="179"/>
      <c r="BM3" s="179"/>
      <c r="BN3" s="179"/>
      <c r="BO3" s="179"/>
      <c r="BP3" s="179"/>
      <c r="BQ3" s="180"/>
    </row>
    <row r="4" spans="2:69" x14ac:dyDescent="0.25">
      <c r="B4" s="57" t="s">
        <v>81</v>
      </c>
      <c r="C4" s="58" t="s">
        <v>50</v>
      </c>
      <c r="D4" s="58" t="s">
        <v>6</v>
      </c>
      <c r="E4" s="59" t="s">
        <v>13</v>
      </c>
      <c r="F4" s="60" t="s">
        <v>5</v>
      </c>
      <c r="AT4" s="1"/>
      <c r="AU4" s="89">
        <f>MATCH($AH$16,Data!$A$2:$A$13,0)</f>
        <v>3</v>
      </c>
      <c r="AV4" s="90">
        <f ca="1">WEEKDAY(DATE(YEAR($AL$2),$AU$4,1),17)</f>
        <v>4</v>
      </c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1"/>
      <c r="BN4" s="91"/>
      <c r="BO4" s="91"/>
      <c r="BP4" s="91"/>
      <c r="BQ4" s="1"/>
    </row>
    <row r="5" spans="2:69" x14ac:dyDescent="0.25">
      <c r="B5" s="17" t="str" cm="1">
        <f t="array" aca="1" ref="B5" ca="1">IFERROR(_xlfn._xlws.FILTER(Data!F3:F152, Data!G3:G152=$B$4),"")</f>
        <v/>
      </c>
      <c r="C5" s="29" t="str">
        <f t="shared" ref="C5:C19" ca="1" si="0">IF(B5&lt;&gt;"",HYPERLINK("#'"&amp;B5&amp;"'!A1","Go"),"")</f>
        <v/>
      </c>
      <c r="D5" s="51" t="str" cm="1">
        <f t="array" aca="1" ref="D5" ca="1">IF($D$4="Updated",IF(B5&lt;&gt;"",INDIRECT("'"&amp;B5&amp;"'"&amp;"!C11"),""),IF(B5&lt;&gt;"",INDEX(Data!$D$3:$D$2298,MATCH(B5,Data!$F$3:$F$2298,0)),""))</f>
        <v/>
      </c>
      <c r="E5" s="80" t="str" cm="1">
        <f t="array" aca="1" ref="E5" ca="1">IFERROR(_xlfn._xlws.FILTER(Data!H3:H152, Data!G3:G152=$B$4),"")</f>
        <v/>
      </c>
      <c r="F5" s="27" t="str" cm="1">
        <f t="array" aca="1" ref="F5" ca="1">IFERROR(_xlfn._xlws.FILTER(Data!J3:J152, Data!G3:G152=$B$4),"")</f>
        <v/>
      </c>
      <c r="H5" s="140" t="s">
        <v>47</v>
      </c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2"/>
      <c r="U5" s="140" t="s">
        <v>46</v>
      </c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2"/>
      <c r="AH5" s="140" t="str">
        <f ca="1">_xlfn.CONCAT("Top ",COUNT(AM7:AM13)," ",TEXT(AL2,"mmmm")," expenses")</f>
        <v>Top 0 March expenses</v>
      </c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2"/>
      <c r="AT5" s="4"/>
      <c r="AU5" s="2"/>
      <c r="AV5" s="165" t="str">
        <f>_xlfn.CONCAT(BM7," Method")</f>
        <v>Snowball Method</v>
      </c>
      <c r="AW5" s="166"/>
      <c r="AX5" s="166"/>
      <c r="AY5" s="166"/>
      <c r="AZ5" s="166"/>
      <c r="BA5" s="166"/>
      <c r="BB5" s="166"/>
      <c r="BC5" s="166"/>
      <c r="BD5" s="166"/>
      <c r="BE5" s="167"/>
      <c r="BF5" s="92"/>
      <c r="BG5" s="165" t="s">
        <v>112</v>
      </c>
      <c r="BH5" s="166"/>
      <c r="BI5" s="166"/>
      <c r="BJ5" s="166"/>
      <c r="BK5" s="166"/>
      <c r="BL5" s="166"/>
      <c r="BM5" s="166"/>
      <c r="BN5" s="166"/>
      <c r="BO5" s="166"/>
      <c r="BP5" s="167"/>
      <c r="BQ5" s="4"/>
    </row>
    <row r="6" spans="2:69" x14ac:dyDescent="0.25">
      <c r="B6" s="17"/>
      <c r="C6" s="29" t="str">
        <f t="shared" si="0"/>
        <v/>
      </c>
      <c r="D6" s="51" t="str" cm="1">
        <f t="array" aca="1" ref="D6" ca="1">IF($D$4="Updated",IF(B6&lt;&gt;"",INDIRECT("'"&amp;B6&amp;"'"&amp;"!C11"),""),IF(B6&lt;&gt;"",INDEX(Data!$D$3:$D$2298,MATCH(B6,Data!$F$3:$F$2298,0)),""))</f>
        <v/>
      </c>
      <c r="E6" s="80"/>
      <c r="F6" s="27"/>
      <c r="H6" s="2"/>
      <c r="S6" s="4"/>
      <c r="U6" s="2"/>
      <c r="AF6" s="4"/>
      <c r="AH6" s="2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4"/>
      <c r="AT6" s="4"/>
      <c r="AU6" s="2"/>
      <c r="AV6" s="93"/>
      <c r="AW6" s="94"/>
      <c r="AX6" s="94"/>
      <c r="AY6" s="94"/>
      <c r="AZ6" s="94"/>
      <c r="BA6" s="94"/>
      <c r="BB6" s="94"/>
      <c r="BC6" s="94"/>
      <c r="BD6" s="94"/>
      <c r="BE6" s="95"/>
      <c r="BG6" s="93"/>
      <c r="BH6" s="94"/>
      <c r="BI6" s="94"/>
      <c r="BJ6" s="94"/>
      <c r="BK6" s="94"/>
      <c r="BL6" s="94"/>
      <c r="BM6" s="94"/>
      <c r="BN6" s="94"/>
      <c r="BO6" s="94"/>
      <c r="BP6" s="95"/>
      <c r="BQ6" s="4"/>
    </row>
    <row r="7" spans="2:69" x14ac:dyDescent="0.25">
      <c r="B7" s="17"/>
      <c r="C7" s="29" t="str">
        <f t="shared" si="0"/>
        <v/>
      </c>
      <c r="D7" s="51" t="str" cm="1">
        <f t="array" aca="1" ref="D7" ca="1">IF($D$4="Updated",IF(B7&lt;&gt;"",INDIRECT("'"&amp;B7&amp;"'"&amp;"!C11"),""),IF(B7&lt;&gt;"",INDEX(Data!$D$3:$D$2298,MATCH(B7,Data!$F$3:$F$2298,0)),""))</f>
        <v/>
      </c>
      <c r="E7" s="80"/>
      <c r="F7" s="27"/>
      <c r="H7" s="2"/>
      <c r="N7" s="127" t="s">
        <v>17</v>
      </c>
      <c r="O7" s="127"/>
      <c r="P7" s="127"/>
      <c r="Q7" s="127"/>
      <c r="R7" s="127"/>
      <c r="S7" s="4"/>
      <c r="U7" s="2"/>
      <c r="AA7" s="127" t="s">
        <v>48</v>
      </c>
      <c r="AB7" s="127"/>
      <c r="AC7" s="127"/>
      <c r="AD7" s="127"/>
      <c r="AE7" s="127"/>
      <c r="AF7" s="4"/>
      <c r="AH7" s="2"/>
      <c r="AI7" s="149" t="str">
        <f ca="1">IFERROR(INDEX(Data!$F$3:$F$2298,MATCH(AM7,Data!$H$3:$H$2298,0)),"")</f>
        <v/>
      </c>
      <c r="AJ7" s="149"/>
      <c r="AK7" s="149"/>
      <c r="AL7" s="149"/>
      <c r="AM7" s="148" t="str">
        <f ca="1">IFERROR(INDEX(Data!$H$3:$H$2298,MATCH(AP7,Data!$D$3:$D$2298,0)),"")</f>
        <v/>
      </c>
      <c r="AN7" s="148"/>
      <c r="AO7" s="148"/>
      <c r="AP7" s="164" t="str" cm="1">
        <f t="array" aca="1" ref="AP7" ca="1">IFERROR(SMALL(IF((Data!$D$3:$D$152&gt;AP6),Data!$D$3:$D$152),1),"")</f>
        <v/>
      </c>
      <c r="AQ7" s="164"/>
      <c r="AR7" s="164"/>
      <c r="AS7" s="4"/>
      <c r="AT7" s="4"/>
      <c r="AU7" s="2"/>
      <c r="AV7" s="2"/>
      <c r="AW7" s="132" t="str">
        <f>IF('Paydown Calc'!B7&lt;&gt;"",'Paydown Calc'!B7,"")</f>
        <v/>
      </c>
      <c r="AX7" s="132"/>
      <c r="AY7" s="132"/>
      <c r="AZ7" s="132"/>
      <c r="BA7" s="132"/>
      <c r="BB7" s="137">
        <f>IF('Paydown Calc'!K7&lt;&gt;"",'Paydown Calc'!K7,"")</f>
        <v>0</v>
      </c>
      <c r="BC7" s="137"/>
      <c r="BD7" s="137"/>
      <c r="BE7" s="4"/>
      <c r="BG7" s="2"/>
      <c r="BH7" s="132" t="s">
        <v>114</v>
      </c>
      <c r="BI7" s="132"/>
      <c r="BJ7" s="132"/>
      <c r="BK7" s="132"/>
      <c r="BL7" s="132"/>
      <c r="BM7" s="187" t="s">
        <v>103</v>
      </c>
      <c r="BN7" s="187"/>
      <c r="BO7" s="187"/>
      <c r="BP7" s="4"/>
      <c r="BQ7" s="4"/>
    </row>
    <row r="8" spans="2:69" x14ac:dyDescent="0.25">
      <c r="B8" s="17"/>
      <c r="C8" s="29" t="str">
        <f t="shared" si="0"/>
        <v/>
      </c>
      <c r="D8" s="51" t="str" cm="1">
        <f t="array" aca="1" ref="D8" ca="1">IF($D$4="Updated",IF(B8&lt;&gt;"",INDIRECT("'"&amp;B8&amp;"'"&amp;"!C11"),""),IF(B8&lt;&gt;"",INDEX(Data!$D$3:$D$2298,MATCH(B8,Data!$F$3:$F$2298,0)),""))</f>
        <v/>
      </c>
      <c r="E8" s="80"/>
      <c r="F8" s="27"/>
      <c r="H8" s="2"/>
      <c r="N8" s="162">
        <f ca="1">IFERROR(SUMIFS(Data!H3:H152, Data!G3:G152, "&lt;&gt;Investments",  Data!G3:G152, "&lt;&gt;Cash Accounts"),"")</f>
        <v>0</v>
      </c>
      <c r="O8" s="162"/>
      <c r="P8" s="162"/>
      <c r="Q8" s="162"/>
      <c r="R8" s="162"/>
      <c r="S8" s="4"/>
      <c r="U8" s="2"/>
      <c r="AA8" s="130" t="str">
        <f>IFERROR(INDEX(Income!Y3:Y500,MATCH(I18,Income!I3:I500,0)),0)</f>
        <v/>
      </c>
      <c r="AB8" s="130"/>
      <c r="AC8" s="130"/>
      <c r="AD8" s="130"/>
      <c r="AE8" s="130"/>
      <c r="AF8" s="4"/>
      <c r="AH8" s="2"/>
      <c r="AI8" s="149" t="str">
        <f ca="1">IFERROR(INDEX(Data!$F$3:$F$2298,MATCH(AM8,Data!$H$3:$H$2298,0)),"")</f>
        <v/>
      </c>
      <c r="AJ8" s="149"/>
      <c r="AK8" s="149"/>
      <c r="AL8" s="149"/>
      <c r="AM8" s="148" t="str">
        <f ca="1">IFERROR(INDEX(Data!$H$3:$H$2298,MATCH(AP8,Data!$D$3:$D$2298,0)),"")</f>
        <v/>
      </c>
      <c r="AN8" s="148"/>
      <c r="AO8" s="148"/>
      <c r="AP8" s="164" t="str" cm="1">
        <f t="array" aca="1" ref="AP8" ca="1">IFERROR(SMALL(IF((Data!$D$3:$D$152&gt;AP7),Data!$D$3:$D$152),1),"")</f>
        <v/>
      </c>
      <c r="AQ8" s="164"/>
      <c r="AR8" s="164"/>
      <c r="AS8" s="4"/>
      <c r="AT8" s="4"/>
      <c r="AU8" s="2"/>
      <c r="AV8" s="2"/>
      <c r="AW8" s="132" t="str">
        <f>IF('Paydown Calc'!B8&lt;&gt;"",'Paydown Calc'!B8,"")</f>
        <v/>
      </c>
      <c r="AX8" s="132"/>
      <c r="AY8" s="132"/>
      <c r="AZ8" s="132"/>
      <c r="BA8" s="132"/>
      <c r="BB8" s="137">
        <f>IF('Paydown Calc'!K8&lt;&gt;"",'Paydown Calc'!K8,"")</f>
        <v>0</v>
      </c>
      <c r="BC8" s="137"/>
      <c r="BD8" s="137"/>
      <c r="BE8" s="4"/>
      <c r="BG8" s="2"/>
      <c r="BH8" s="132" t="s">
        <v>113</v>
      </c>
      <c r="BI8" s="132"/>
      <c r="BJ8" s="132"/>
      <c r="BK8" s="132"/>
      <c r="BL8" s="132"/>
      <c r="BM8" s="183">
        <v>0</v>
      </c>
      <c r="BN8" s="183"/>
      <c r="BO8" s="183"/>
      <c r="BP8" s="4"/>
      <c r="BQ8" s="4"/>
    </row>
    <row r="9" spans="2:69" x14ac:dyDescent="0.25">
      <c r="B9" s="17"/>
      <c r="C9" s="29" t="str">
        <f t="shared" si="0"/>
        <v/>
      </c>
      <c r="D9" s="51" t="str" cm="1">
        <f t="array" aca="1" ref="D9" ca="1">IF($D$4="Updated",IF(B9&lt;&gt;"",INDIRECT("'"&amp;B9&amp;"'"&amp;"!C11"),""),IF(B9&lt;&gt;"",INDEX(Data!$D$3:$D$2298,MATCH(B9,Data!$F$3:$F$2298,0)),""))</f>
        <v/>
      </c>
      <c r="E9" s="80"/>
      <c r="F9" s="27"/>
      <c r="H9" s="2"/>
      <c r="N9" s="162"/>
      <c r="O9" s="162"/>
      <c r="P9" s="162"/>
      <c r="Q9" s="162"/>
      <c r="R9" s="162"/>
      <c r="S9" s="4"/>
      <c r="U9" s="2"/>
      <c r="AA9" s="163"/>
      <c r="AB9" s="163"/>
      <c r="AC9" s="163"/>
      <c r="AD9" s="163"/>
      <c r="AE9" s="163"/>
      <c r="AF9" s="4"/>
      <c r="AH9" s="2"/>
      <c r="AI9" s="149" t="str">
        <f ca="1">IFERROR(INDEX(Data!$F$3:$F$2298,MATCH(AM9,Data!$H$3:$H$2298,0)),"")</f>
        <v/>
      </c>
      <c r="AJ9" s="149"/>
      <c r="AK9" s="149"/>
      <c r="AL9" s="149"/>
      <c r="AM9" s="148" t="str">
        <f ca="1">IFERROR(INDEX(Data!$H$3:$H$2298,MATCH(AP9,Data!$D$3:$D$2298,0)),"")</f>
        <v/>
      </c>
      <c r="AN9" s="148"/>
      <c r="AO9" s="148"/>
      <c r="AP9" s="164" t="str" cm="1">
        <f t="array" aca="1" ref="AP9" ca="1">IFERROR(SMALL(IF((Data!$D$3:$D$152&gt;AP8),Data!$D$3:$D$152),1),"")</f>
        <v/>
      </c>
      <c r="AQ9" s="164"/>
      <c r="AR9" s="164"/>
      <c r="AS9" s="4"/>
      <c r="AT9" s="4"/>
      <c r="AU9" s="2"/>
      <c r="AV9" s="2"/>
      <c r="AW9" s="132" t="str">
        <f>IF('Paydown Calc'!B9&lt;&gt;"",'Paydown Calc'!B9,"")</f>
        <v/>
      </c>
      <c r="AX9" s="132"/>
      <c r="AY9" s="132"/>
      <c r="AZ9" s="132"/>
      <c r="BA9" s="132"/>
      <c r="BB9" s="137">
        <f>IF('Paydown Calc'!K9&lt;&gt;"",'Paydown Calc'!K9,"")</f>
        <v>0</v>
      </c>
      <c r="BC9" s="137"/>
      <c r="BD9" s="137"/>
      <c r="BE9" s="4"/>
      <c r="BG9" s="2"/>
      <c r="BH9" s="132" t="s">
        <v>108</v>
      </c>
      <c r="BI9" s="132"/>
      <c r="BJ9" s="132"/>
      <c r="BK9" s="132"/>
      <c r="BL9" s="132"/>
      <c r="BM9" s="183">
        <v>0</v>
      </c>
      <c r="BN9" s="183"/>
      <c r="BO9" s="183"/>
      <c r="BP9" s="4"/>
      <c r="BQ9" s="4"/>
    </row>
    <row r="10" spans="2:69" x14ac:dyDescent="0.25">
      <c r="B10" s="17"/>
      <c r="C10" s="29" t="str">
        <f t="shared" si="0"/>
        <v/>
      </c>
      <c r="D10" s="51" t="str" cm="1">
        <f t="array" aca="1" ref="D10" ca="1">IF($D$4="Updated",IF(B10&lt;&gt;"",INDIRECT("'"&amp;B10&amp;"'"&amp;"!C11"),""),IF(B10&lt;&gt;"",INDEX(Data!$D$3:$D$2298,MATCH(B10,Data!$F$3:$F$2298,0)),""))</f>
        <v/>
      </c>
      <c r="E10" s="81"/>
      <c r="F10" s="27"/>
      <c r="H10" s="2"/>
      <c r="S10" s="4"/>
      <c r="U10" s="2"/>
      <c r="AF10" s="4"/>
      <c r="AH10" s="2"/>
      <c r="AI10" s="149" t="str">
        <f ca="1">IFERROR(INDEX(Data!$F$3:$F$2298,MATCH(AM10,Data!$H$3:$H$2298,0)),"")</f>
        <v/>
      </c>
      <c r="AJ10" s="149"/>
      <c r="AK10" s="149"/>
      <c r="AL10" s="149"/>
      <c r="AM10" s="148" t="str">
        <f ca="1">IFERROR(INDEX(Data!$H$3:$H$2298,MATCH(AP10,Data!$D$3:$D$2298,0)),"")</f>
        <v/>
      </c>
      <c r="AN10" s="148"/>
      <c r="AO10" s="148"/>
      <c r="AP10" s="164" t="str" cm="1">
        <f t="array" aca="1" ref="AP10" ca="1">IFERROR(SMALL(IF((Data!$D$3:$D$152&gt;AP9),Data!$D$3:$D$152),1),"")</f>
        <v/>
      </c>
      <c r="AQ10" s="164"/>
      <c r="AR10" s="164"/>
      <c r="AS10" s="4"/>
      <c r="AT10" s="4"/>
      <c r="AU10" s="2"/>
      <c r="AV10" s="2"/>
      <c r="AW10" s="132" t="str">
        <f>IF('Paydown Calc'!B10&lt;&gt;"",'Paydown Calc'!B10,"")</f>
        <v/>
      </c>
      <c r="AX10" s="132"/>
      <c r="AY10" s="132"/>
      <c r="AZ10" s="132"/>
      <c r="BA10" s="132"/>
      <c r="BB10" s="137">
        <f>IF('Paydown Calc'!K10&lt;&gt;"",'Paydown Calc'!K10,"")</f>
        <v>0</v>
      </c>
      <c r="BC10" s="137"/>
      <c r="BD10" s="137"/>
      <c r="BE10" s="4"/>
      <c r="BG10" s="2"/>
      <c r="BH10" s="122" t="str">
        <f ca="1">IF(SUM(N24-'Paydown Calc'!F3-BM9)&lt;0,_xlfn.CONCAT("ERROR: You have ",ROUND(SUM((BM8+(N24-'Paydown Calc'!F3-BM9)/3)),2)," available"),"")</f>
        <v/>
      </c>
      <c r="BI10" s="122"/>
      <c r="BJ10" s="122"/>
      <c r="BK10" s="122"/>
      <c r="BL10" s="122"/>
      <c r="BM10" s="122"/>
      <c r="BN10" s="122"/>
      <c r="BO10" s="122"/>
      <c r="BP10" s="4"/>
      <c r="BQ10" s="4"/>
    </row>
    <row r="11" spans="2:69" x14ac:dyDescent="0.25">
      <c r="B11" s="17"/>
      <c r="C11" s="29" t="str">
        <f t="shared" si="0"/>
        <v/>
      </c>
      <c r="D11" s="51" t="str" cm="1">
        <f t="array" aca="1" ref="D11" ca="1">IF($D$4="Updated",IF(B11&lt;&gt;"",INDIRECT("'"&amp;B11&amp;"'"&amp;"!C11"),""),IF(B11&lt;&gt;"",INDEX(Data!$D$3:$D$2298,MATCH(B11,Data!$F$3:$F$2298,0)),""))</f>
        <v/>
      </c>
      <c r="E11" s="80"/>
      <c r="F11" s="27"/>
      <c r="H11" s="2"/>
      <c r="N11" s="127" t="s">
        <v>73</v>
      </c>
      <c r="O11" s="127"/>
      <c r="P11" s="127"/>
      <c r="Q11" s="127"/>
      <c r="R11" s="127"/>
      <c r="S11" s="4"/>
      <c r="U11" s="2"/>
      <c r="AA11" s="127" t="str">
        <f ca="1">_xlfn.CONCAT(TEXT(AL2,"mmmm")," Pay")</f>
        <v>March Pay</v>
      </c>
      <c r="AB11" s="127"/>
      <c r="AC11" s="127"/>
      <c r="AD11" s="127"/>
      <c r="AE11" s="127"/>
      <c r="AF11" s="4"/>
      <c r="AH11" s="2"/>
      <c r="AI11" s="149" t="str">
        <f ca="1">IFERROR(INDEX(Data!$F$3:$F$2298,MATCH(AM11,Data!$H$3:$H$2298,0)),"")</f>
        <v/>
      </c>
      <c r="AJ11" s="149"/>
      <c r="AK11" s="149"/>
      <c r="AL11" s="149"/>
      <c r="AM11" s="148" t="str">
        <f ca="1">IFERROR(INDEX(Data!$H$3:$H$2298,MATCH(AP11,Data!$D$3:$D$2298,0)),"")</f>
        <v/>
      </c>
      <c r="AN11" s="148"/>
      <c r="AO11" s="148"/>
      <c r="AP11" s="164" t="str" cm="1">
        <f t="array" aca="1" ref="AP11" ca="1">IFERROR(SMALL(IF((Data!$D$3:$D$152&gt;AP10),Data!$D$3:$D$152),1),"")</f>
        <v/>
      </c>
      <c r="AQ11" s="164"/>
      <c r="AR11" s="164"/>
      <c r="AS11" s="4"/>
      <c r="AT11" s="4"/>
      <c r="AU11" s="2"/>
      <c r="AV11" s="2"/>
      <c r="AW11" s="132" t="str">
        <f>IF('Paydown Calc'!B11&lt;&gt;"",'Paydown Calc'!B11,"")</f>
        <v/>
      </c>
      <c r="AX11" s="132"/>
      <c r="AY11" s="132"/>
      <c r="AZ11" s="132"/>
      <c r="BA11" s="132"/>
      <c r="BB11" s="137">
        <f>IF('Paydown Calc'!K11&lt;&gt;"",'Paydown Calc'!K11,"")</f>
        <v>0</v>
      </c>
      <c r="BC11" s="137"/>
      <c r="BD11" s="137"/>
      <c r="BE11" s="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4"/>
    </row>
    <row r="12" spans="2:69" x14ac:dyDescent="0.25">
      <c r="B12" s="17"/>
      <c r="C12" s="29" t="str">
        <f t="shared" si="0"/>
        <v/>
      </c>
      <c r="D12" s="51" t="str" cm="1">
        <f t="array" aca="1" ref="D12" ca="1">IF($D$4="Updated",IF(B12&lt;&gt;"",INDIRECT("'"&amp;B12&amp;"'"&amp;"!C11"),""),IF(B12&lt;&gt;"",INDEX(Data!$D$3:$D$2298,MATCH(B12,Data!$F$3:$F$2298,0)),""))</f>
        <v/>
      </c>
      <c r="E12" s="80"/>
      <c r="F12" s="27"/>
      <c r="H12" s="2"/>
      <c r="N12" s="162">
        <f ca="1">IFERROR(SUM(Data!J3:J152),"")</f>
        <v>0</v>
      </c>
      <c r="O12" s="162"/>
      <c r="P12" s="162"/>
      <c r="Q12" s="162"/>
      <c r="R12" s="162"/>
      <c r="S12" s="4"/>
      <c r="U12" s="2"/>
      <c r="AA12" s="130">
        <f ca="1">SUMIFS(Income!$Y$3:$Y$150,Income!$I$3:$I$150,"&gt;="&amp;$AL$2-DAY($AL$2)+1,Income!$I$3:$I$150,"&lt;="&amp;EOMONTH($AL$2,0))</f>
        <v>0</v>
      </c>
      <c r="AB12" s="130"/>
      <c r="AC12" s="130"/>
      <c r="AD12" s="130"/>
      <c r="AE12" s="130"/>
      <c r="AF12" s="4"/>
      <c r="AH12" s="2"/>
      <c r="AI12" s="149" t="str">
        <f ca="1">IFERROR(INDEX(Data!$F$3:$F$2298,MATCH(AM12,Data!$H$3:$H$2298,0)),"")</f>
        <v/>
      </c>
      <c r="AJ12" s="149"/>
      <c r="AK12" s="149"/>
      <c r="AL12" s="149"/>
      <c r="AM12" s="148" t="str">
        <f ca="1">IFERROR(INDEX(Data!$H$3:$H$2298,MATCH(AP12,Data!$D$3:$D$2298,0)),"")</f>
        <v/>
      </c>
      <c r="AN12" s="148"/>
      <c r="AO12" s="148"/>
      <c r="AP12" s="164" t="str" cm="1">
        <f t="array" aca="1" ref="AP12" ca="1">IFERROR(SMALL(IF((Data!$D$3:$D$152&gt;AP11),Data!$D$3:$D$152),1),"")</f>
        <v/>
      </c>
      <c r="AQ12" s="164"/>
      <c r="AR12" s="164"/>
      <c r="AS12" s="4"/>
      <c r="AT12" s="4"/>
      <c r="AU12" s="2"/>
      <c r="AV12" s="2"/>
      <c r="AW12" s="132" t="str">
        <f>IF('Paydown Calc'!B12&lt;&gt;"",'Paydown Calc'!B12,"")</f>
        <v/>
      </c>
      <c r="AX12" s="132"/>
      <c r="AY12" s="132"/>
      <c r="AZ12" s="132"/>
      <c r="BA12" s="132"/>
      <c r="BB12" s="137">
        <f>IF('Paydown Calc'!K12&lt;&gt;"",'Paydown Calc'!K12,"")</f>
        <v>0</v>
      </c>
      <c r="BC12" s="137"/>
      <c r="BD12" s="137"/>
      <c r="BE12" s="4"/>
      <c r="BG12" s="184" t="s">
        <v>121</v>
      </c>
      <c r="BH12" s="185"/>
      <c r="BI12" s="185"/>
      <c r="BJ12" s="185"/>
      <c r="BK12" s="185"/>
      <c r="BL12" s="185"/>
      <c r="BM12" s="185"/>
      <c r="BN12" s="185"/>
      <c r="BO12" s="185"/>
      <c r="BP12" s="186"/>
      <c r="BQ12" s="4"/>
    </row>
    <row r="13" spans="2:69" x14ac:dyDescent="0.25">
      <c r="B13" s="17"/>
      <c r="C13" s="29" t="str">
        <f t="shared" si="0"/>
        <v/>
      </c>
      <c r="D13" s="51" t="str" cm="1">
        <f t="array" aca="1" ref="D13" ca="1">IF($D$4="Updated",IF(B13&lt;&gt;"",INDIRECT("'"&amp;B13&amp;"'"&amp;"!C11"),""),IF(B13&lt;&gt;"",INDEX(Data!$D$3:$D$2298,MATCH(B13,Data!$F$3:$F$2298,0)),""))</f>
        <v/>
      </c>
      <c r="E13" s="80"/>
      <c r="F13" s="27"/>
      <c r="H13" s="2"/>
      <c r="N13" s="162"/>
      <c r="O13" s="162"/>
      <c r="P13" s="162"/>
      <c r="Q13" s="162"/>
      <c r="R13" s="162"/>
      <c r="S13" s="4"/>
      <c r="U13" s="2"/>
      <c r="AA13" s="163"/>
      <c r="AB13" s="163"/>
      <c r="AC13" s="163"/>
      <c r="AD13" s="163"/>
      <c r="AE13" s="163"/>
      <c r="AF13" s="4"/>
      <c r="AH13" s="2"/>
      <c r="AI13" s="149" t="str">
        <f ca="1">IFERROR(INDEX(Data!$F$3:$F$2298,MATCH(AM13,Data!$H$3:$H$2298,0)),"")</f>
        <v/>
      </c>
      <c r="AJ13" s="149"/>
      <c r="AK13" s="149"/>
      <c r="AL13" s="149"/>
      <c r="AM13" s="148" t="str">
        <f ca="1">IFERROR(INDEX(Data!$H$3:$H$2298,MATCH(AP13,Data!$D$3:$D$2298,0)),"")</f>
        <v/>
      </c>
      <c r="AN13" s="148"/>
      <c r="AO13" s="148"/>
      <c r="AP13" s="164" t="str" cm="1">
        <f t="array" aca="1" ref="AP13" ca="1">IFERROR(SMALL(IF((Data!$D$3:$D$152&gt;AP12),Data!$D$3:$D$152),1),"")</f>
        <v/>
      </c>
      <c r="AQ13" s="164"/>
      <c r="AR13" s="164"/>
      <c r="AS13" s="4"/>
      <c r="AT13" s="4"/>
      <c r="AU13" s="2"/>
      <c r="AV13" s="2"/>
      <c r="AW13" s="132" t="str">
        <f>IF('Paydown Calc'!B13&lt;&gt;"",'Paydown Calc'!B13,"")</f>
        <v/>
      </c>
      <c r="AX13" s="132"/>
      <c r="AY13" s="132"/>
      <c r="AZ13" s="132"/>
      <c r="BA13" s="132"/>
      <c r="BB13" s="137">
        <f>IF('Paydown Calc'!K13&lt;&gt;"",'Paydown Calc'!K13,"")</f>
        <v>0</v>
      </c>
      <c r="BC13" s="137"/>
      <c r="BD13" s="137"/>
      <c r="BE13" s="4"/>
      <c r="BG13" s="2"/>
      <c r="BP13" s="4"/>
      <c r="BQ13" s="4"/>
    </row>
    <row r="14" spans="2:69" x14ac:dyDescent="0.25">
      <c r="B14" s="17"/>
      <c r="C14" s="29" t="str">
        <f t="shared" si="0"/>
        <v/>
      </c>
      <c r="D14" s="51" t="str" cm="1">
        <f t="array" aca="1" ref="D14" ca="1">IF($D$4="Updated",IF(B14&lt;&gt;"",INDIRECT("'"&amp;B14&amp;"'"&amp;"!C11"),""),IF(B14&lt;&gt;"",INDEX(Data!$D$3:$D$2298,MATCH(B14,Data!$F$3:$F$2298,0)),""))</f>
        <v/>
      </c>
      <c r="E14" s="80"/>
      <c r="F14" s="27"/>
      <c r="H14" s="5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  <c r="U14" s="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  <c r="AH14" s="5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7"/>
      <c r="AT14" s="4"/>
      <c r="AU14" s="2"/>
      <c r="AV14" s="2"/>
      <c r="AW14" s="132" t="str">
        <f>IF('Paydown Calc'!B14&lt;&gt;"",'Paydown Calc'!B14,"")</f>
        <v/>
      </c>
      <c r="AX14" s="132"/>
      <c r="AY14" s="132"/>
      <c r="AZ14" s="132"/>
      <c r="BA14" s="132"/>
      <c r="BB14" s="137">
        <f>IF('Paydown Calc'!K14&lt;&gt;"",'Paydown Calc'!K14,"")</f>
        <v>0</v>
      </c>
      <c r="BC14" s="137"/>
      <c r="BD14" s="137"/>
      <c r="BE14" s="4"/>
      <c r="BG14" s="2"/>
      <c r="BH14" s="127" t="s">
        <v>117</v>
      </c>
      <c r="BI14" s="127"/>
      <c r="BJ14" s="127"/>
      <c r="BK14" s="127"/>
      <c r="BL14" s="127"/>
      <c r="BM14" s="127"/>
      <c r="BN14" s="127"/>
      <c r="BO14" s="127"/>
      <c r="BP14" s="4"/>
      <c r="BQ14" s="4"/>
    </row>
    <row r="15" spans="2:69" x14ac:dyDescent="0.25">
      <c r="B15" s="17"/>
      <c r="C15" s="29" t="str">
        <f t="shared" si="0"/>
        <v/>
      </c>
      <c r="D15" s="51" t="str" cm="1">
        <f t="array" aca="1" ref="D15" ca="1">IF($D$4="Updated",IF(B15&lt;&gt;"",INDIRECT("'"&amp;B15&amp;"'"&amp;"!C11"),""),IF(B15&lt;&gt;"",INDEX(Data!$D$3:$D$2298,MATCH(B15,Data!$F$3:$F$2298,0)),""))</f>
        <v/>
      </c>
      <c r="E15" s="80"/>
      <c r="F15" s="27"/>
      <c r="AT15" s="4"/>
      <c r="AU15" s="2"/>
      <c r="AV15" s="2"/>
      <c r="AW15" s="132" t="str">
        <f>IF('Paydown Calc'!B15&lt;&gt;"",'Paydown Calc'!B15,"")</f>
        <v/>
      </c>
      <c r="AX15" s="132"/>
      <c r="AY15" s="132"/>
      <c r="AZ15" s="132"/>
      <c r="BA15" s="132"/>
      <c r="BB15" s="137">
        <f>IF('Paydown Calc'!K15&lt;&gt;"",'Paydown Calc'!K15,"")</f>
        <v>0</v>
      </c>
      <c r="BC15" s="137"/>
      <c r="BD15" s="137"/>
      <c r="BE15" s="4"/>
      <c r="BG15" s="2"/>
      <c r="BH15" s="150">
        <f>SUM('Paydown Calc'!$K$7:$K$40)</f>
        <v>0</v>
      </c>
      <c r="BI15" s="150"/>
      <c r="BJ15" s="150"/>
      <c r="BK15" s="150"/>
      <c r="BL15" s="150"/>
      <c r="BM15" s="150"/>
      <c r="BN15" s="150"/>
      <c r="BO15" s="150"/>
      <c r="BP15" s="4"/>
      <c r="BQ15" s="4"/>
    </row>
    <row r="16" spans="2:69" x14ac:dyDescent="0.25">
      <c r="B16" s="17"/>
      <c r="C16" s="29" t="str">
        <f t="shared" si="0"/>
        <v/>
      </c>
      <c r="D16" s="51" t="str" cm="1">
        <f t="array" aca="1" ref="D16" ca="1">IF($D$4="Updated",IF(B16&lt;&gt;"",INDIRECT("'"&amp;B16&amp;"'"&amp;"!C11"),""),IF(B16&lt;&gt;"",INDEX(Data!$D$3:$D$2298,MATCH(B16,Data!$F$3:$F$2298,0)),""))</f>
        <v/>
      </c>
      <c r="E16" s="80"/>
      <c r="F16" s="27"/>
      <c r="H16" s="140" t="s">
        <v>124</v>
      </c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2"/>
      <c r="U16" s="140" t="s">
        <v>125</v>
      </c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2"/>
      <c r="AH16" s="140" t="s">
        <v>58</v>
      </c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2"/>
      <c r="AT16" s="4"/>
      <c r="AU16" s="2"/>
      <c r="AV16" s="2"/>
      <c r="AW16" s="132" t="str">
        <f>IF('Paydown Calc'!B16&lt;&gt;"",'Paydown Calc'!B16,"")</f>
        <v/>
      </c>
      <c r="AX16" s="132"/>
      <c r="AY16" s="132"/>
      <c r="AZ16" s="132"/>
      <c r="BA16" s="132"/>
      <c r="BB16" s="137">
        <f>IF('Paydown Calc'!K16&lt;&gt;"",'Paydown Calc'!K16,"")</f>
        <v>0</v>
      </c>
      <c r="BC16" s="137"/>
      <c r="BD16" s="137"/>
      <c r="BE16" s="4"/>
      <c r="BG16" s="2"/>
      <c r="BH16" s="151"/>
      <c r="BI16" s="151"/>
      <c r="BJ16" s="151"/>
      <c r="BK16" s="151"/>
      <c r="BL16" s="151"/>
      <c r="BM16" s="151"/>
      <c r="BN16" s="151"/>
      <c r="BO16" s="151"/>
      <c r="BP16" s="4"/>
      <c r="BQ16" s="4"/>
    </row>
    <row r="17" spans="2:69" x14ac:dyDescent="0.25">
      <c r="B17" s="17"/>
      <c r="C17" s="29" t="str">
        <f t="shared" si="0"/>
        <v/>
      </c>
      <c r="D17" s="51" t="str" cm="1">
        <f t="array" aca="1" ref="D17" ca="1">IF($D$4="Updated",IF(B17&lt;&gt;"",INDIRECT("'"&amp;B17&amp;"'"&amp;"!C11"),""),IF(B17&lt;&gt;"",INDEX(Data!$D$3:$D$2298,MATCH(B17,Data!$F$3:$F$2298,0)),""))</f>
        <v/>
      </c>
      <c r="E17" s="80"/>
      <c r="F17" s="27"/>
      <c r="H17" s="2"/>
      <c r="S17" s="4"/>
      <c r="U17" s="2"/>
      <c r="AF17" s="4"/>
      <c r="AH17" s="26">
        <f ca="1">MONTH($AL$2)</f>
        <v>3</v>
      </c>
      <c r="AS17" s="4"/>
      <c r="AT17" s="4"/>
      <c r="AU17" s="2"/>
      <c r="AV17" s="2"/>
      <c r="AW17" s="132" t="str">
        <f>IF('Paydown Calc'!B17&lt;&gt;"",'Paydown Calc'!B17,"")</f>
        <v/>
      </c>
      <c r="AX17" s="132"/>
      <c r="AY17" s="132"/>
      <c r="AZ17" s="132"/>
      <c r="BA17" s="132"/>
      <c r="BB17" s="137">
        <f>IF('Paydown Calc'!K17&lt;&gt;"",'Paydown Calc'!K17,"")</f>
        <v>0</v>
      </c>
      <c r="BC17" s="137"/>
      <c r="BD17" s="137"/>
      <c r="BE17" s="4"/>
      <c r="BG17" s="2"/>
      <c r="BH17" s="171"/>
      <c r="BI17" s="171"/>
      <c r="BJ17" s="171"/>
      <c r="BK17" s="171"/>
      <c r="BL17" s="171"/>
      <c r="BM17" s="172"/>
      <c r="BN17" s="172"/>
      <c r="BO17" s="172"/>
      <c r="BP17" s="4"/>
      <c r="BQ17" s="4"/>
    </row>
    <row r="18" spans="2:69" x14ac:dyDescent="0.25">
      <c r="B18" s="17"/>
      <c r="C18" s="29" t="str">
        <f t="shared" si="0"/>
        <v/>
      </c>
      <c r="D18" s="51" t="str" cm="1">
        <f t="array" aca="1" ref="D18" ca="1">IF($D$4="Updated",IF(B18&lt;&gt;"",INDIRECT("'"&amp;B18&amp;"'"&amp;"!C11"),""),IF(B18&lt;&gt;"",INDEX(Data!$D$3:$D$2298,MATCH(B18,Data!$F$3:$F$2298,0)),""))</f>
        <v/>
      </c>
      <c r="E18" s="80"/>
      <c r="F18" s="27"/>
      <c r="H18" s="2"/>
      <c r="I18" s="143" t="str" cm="1">
        <f t="array" ref="I18">IF(Income!$I$3&lt;&gt;"",MIN(IF(Income!$I$3:$I$500&gt;$AL$2-Income!G2,Income!$I$3:$I$500)),"")</f>
        <v/>
      </c>
      <c r="J18" s="143"/>
      <c r="K18" s="143"/>
      <c r="L18" s="143"/>
      <c r="M18" s="139"/>
      <c r="N18" s="139"/>
      <c r="O18" s="139"/>
      <c r="P18" s="138" t="str" cm="1">
        <f t="array" ref="P18">IF(I18&lt;&gt;"",IF(DAY(I18) &lt; DAY(
        MIN(
            IF(
                Income!$I$3:$I$500&gt;I18,
                Income!$I$3:$I$500
            )
        )
    ),
    SUMIFS(
        Data!$H$3:$H$2998,
        Data!$O$3:$O$2998,
        "&gt;"&amp;DAY(I18)-1,
        Data!$O$3:$O$2998,
        "&lt;"&amp;DAY(
            MIN(
                IF(
                    Income!$I$3:$I$500&gt;I18,
                    Income!$I$3:$I$500
                )
            )
        ),
        Data!$G$3:$G$2998,
        "&lt;&gt;Investments"
    ),
    SUM(
        SUMIFS(
            Data!$H$3:$H$2998,
            Data!$O$3:$O$2998,
            "&gt;"&amp;DAY(I18)-1,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Income!$I$3:$I$500&gt;I18,
                        Income!$I$3:$I$500
                    )
                )
            ),
            Data!$G$3:$G$2998,
            "&lt;&gt;Investments"
        )
    )
),"")</f>
        <v/>
      </c>
      <c r="Q18" s="138"/>
      <c r="R18" s="138"/>
      <c r="S18" s="4"/>
      <c r="U18" s="2"/>
      <c r="AA18" s="127" t="s">
        <v>87</v>
      </c>
      <c r="AB18" s="127"/>
      <c r="AC18" s="127"/>
      <c r="AD18" s="127"/>
      <c r="AE18" s="127"/>
      <c r="AF18" s="4"/>
      <c r="AH18" s="2"/>
      <c r="AJ18" s="61" t="s">
        <v>51</v>
      </c>
      <c r="AK18" s="62" t="s">
        <v>52</v>
      </c>
      <c r="AL18" s="62" t="s">
        <v>53</v>
      </c>
      <c r="AM18" s="62" t="s">
        <v>54</v>
      </c>
      <c r="AN18" s="62" t="s">
        <v>53</v>
      </c>
      <c r="AO18" s="62" t="s">
        <v>55</v>
      </c>
      <c r="AP18" s="63" t="s">
        <v>51</v>
      </c>
      <c r="AR18" s="52" t="s">
        <v>68</v>
      </c>
      <c r="AS18" s="4"/>
      <c r="AT18" s="4"/>
      <c r="AU18" s="2"/>
      <c r="AV18" s="2"/>
      <c r="AW18" s="132" t="str">
        <f>IF('Paydown Calc'!B18&lt;&gt;"",'Paydown Calc'!B18,"")</f>
        <v/>
      </c>
      <c r="AX18" s="132"/>
      <c r="AY18" s="132"/>
      <c r="AZ18" s="132"/>
      <c r="BA18" s="132"/>
      <c r="BB18" s="137">
        <f>IF('Paydown Calc'!K18&lt;&gt;"",'Paydown Calc'!K18,"")</f>
        <v>0</v>
      </c>
      <c r="BC18" s="137"/>
      <c r="BD18" s="137"/>
      <c r="BE18" s="4"/>
      <c r="BG18" s="2"/>
      <c r="BH18" s="168" t="s">
        <v>119</v>
      </c>
      <c r="BI18" s="168"/>
      <c r="BJ18" s="168"/>
      <c r="BK18" s="168"/>
      <c r="BL18" s="168"/>
      <c r="BM18" s="168"/>
      <c r="BN18" s="168"/>
      <c r="BO18" s="168"/>
      <c r="BP18" s="4"/>
      <c r="BQ18" s="4"/>
    </row>
    <row r="19" spans="2:69" x14ac:dyDescent="0.25">
      <c r="B19" s="17"/>
      <c r="C19" s="29" t="str">
        <f t="shared" si="0"/>
        <v/>
      </c>
      <c r="D19" s="51" t="str" cm="1">
        <f t="array" aca="1" ref="D19" ca="1">IF($D$4="Updated",IF(B19&lt;&gt;"",INDIRECT("'"&amp;B19&amp;"'"&amp;"!C11"),""),IF(B19&lt;&gt;"",INDEX(Data!$D$3:$D$2298,MATCH(B19,Data!$F$3:$F$2298,0)),""))</f>
        <v/>
      </c>
      <c r="E19" s="80"/>
      <c r="F19" s="27"/>
      <c r="H19" s="2"/>
      <c r="I19" s="143" t="str">
        <f>IF(I18&lt;&gt;"",I18+Income!$G$2,"")</f>
        <v/>
      </c>
      <c r="J19" s="132"/>
      <c r="K19" s="132"/>
      <c r="L19" s="132"/>
      <c r="M19" s="139"/>
      <c r="N19" s="139"/>
      <c r="O19" s="139"/>
      <c r="P19" s="138" t="str" cm="1">
        <f t="array" ref="P19">IF(I19&lt;&gt;"",IF(DAY(I19) &lt; DAY(
        MIN(
            IF(
                Income!$I$3:$I$500&gt;I19,
                Income!$I$3:$I$500
            )
        )
    ),
    SUMIFS(
        Data!$H$3:$H$2998,
        Data!$O$3:$O$2998,
        "&gt;"&amp;DAY(I19)-1,
        Data!$O$3:$O$2998,
        "&lt;"&amp;DAY(
            MIN(
                IF(
                    Income!$I$3:$I$500&gt;I19,
                    Income!$I$3:$I$500
                )
            )
        ),
        Data!$G$3:$G$2998,
        "&lt;&gt;Investments"
    ),
    SUM(
        SUMIFS(
            Data!$H$3:$H$2998,
            Data!$O$3:$O$2998,
            "&gt;"&amp;DAY(I19)-1,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Income!$I$3:$I$500&gt;I19,
                        Income!$I$3:$I$500
                    )
                )
            ),
            Data!$G$3:$G$2998,
            "&lt;&gt;Investments"
        )
    )
),"")</f>
        <v/>
      </c>
      <c r="Q19" s="138"/>
      <c r="R19" s="138"/>
      <c r="S19" s="4"/>
      <c r="U19" s="2"/>
      <c r="AA19" s="150">
        <f ca="1">V25</f>
        <v>0</v>
      </c>
      <c r="AB19" s="150"/>
      <c r="AC19" s="150"/>
      <c r="AD19" s="150"/>
      <c r="AE19" s="150"/>
      <c r="AF19" s="4"/>
      <c r="AH19" s="2"/>
      <c r="AJ19" s="54" t="str" cm="1">
        <f t="array" aca="1" ref="AJ19:AP24" ca="1">IF(MONTH(DATE(YEAR($AL$2),$AU$4,1)+_xlfn.SEQUENCE(6,7)-$AV$4)=$AU$4,DATE(YEAR($AL$2),$AU$4,1)+_xlfn.SEQUENCE(6,7)-$AV$4,"")</f>
        <v/>
      </c>
      <c r="AK19" s="55" t="str">
        <f ca="1"/>
        <v/>
      </c>
      <c r="AL19" s="55" t="str">
        <f ca="1"/>
        <v/>
      </c>
      <c r="AM19" s="55">
        <f ca="1"/>
        <v>44986</v>
      </c>
      <c r="AN19" s="55">
        <f ca="1"/>
        <v>44987</v>
      </c>
      <c r="AO19" s="55">
        <f ca="1"/>
        <v>44988</v>
      </c>
      <c r="AP19" s="56">
        <f ca="1"/>
        <v>44989</v>
      </c>
      <c r="AS19" s="4"/>
      <c r="AT19" s="4"/>
      <c r="AU19" s="2"/>
      <c r="AV19" s="2"/>
      <c r="AW19" s="132" t="str">
        <f>IF('Paydown Calc'!B19&lt;&gt;"",'Paydown Calc'!B19,"")</f>
        <v/>
      </c>
      <c r="AX19" s="132"/>
      <c r="AY19" s="132"/>
      <c r="AZ19" s="132"/>
      <c r="BA19" s="132"/>
      <c r="BB19" s="137">
        <f>IF('Paydown Calc'!K19&lt;&gt;"",'Paydown Calc'!K19,"")</f>
        <v>0</v>
      </c>
      <c r="BC19" s="137"/>
      <c r="BD19" s="137"/>
      <c r="BE19" s="4"/>
      <c r="BG19" s="2"/>
      <c r="BH19" s="150">
        <f>SUM('Paydown Calc'!H7:H40)</f>
        <v>0</v>
      </c>
      <c r="BI19" s="150"/>
      <c r="BJ19" s="150"/>
      <c r="BK19" s="150"/>
      <c r="BL19" s="150"/>
      <c r="BM19" s="150"/>
      <c r="BN19" s="150"/>
      <c r="BO19" s="150"/>
      <c r="BP19" s="4"/>
      <c r="BQ19" s="4"/>
    </row>
    <row r="20" spans="2:69" x14ac:dyDescent="0.25">
      <c r="B20" s="17"/>
      <c r="C20" s="29" t="str">
        <f t="shared" ref="C20:C38" si="1">IF(B20&lt;&gt;"",HYPERLINK("#'"&amp;B20&amp;"'!A1","Go"),"")</f>
        <v/>
      </c>
      <c r="D20" s="51" t="str" cm="1">
        <f t="array" aca="1" ref="D20" ca="1">IF($D$4="Updated",IF(B20&lt;&gt;"",INDIRECT("'"&amp;B20&amp;"'"&amp;"!C11"),""),IF(B20&lt;&gt;"",INDEX(Data!$D$3:$D$2298,MATCH(B20,Data!$F$3:$F$2298,0)),""))</f>
        <v/>
      </c>
      <c r="E20" s="80"/>
      <c r="F20" s="27"/>
      <c r="H20" s="2"/>
      <c r="I20" s="143" t="str">
        <f>IF(I19&lt;&gt;"",I19+Income!$G$2,"")</f>
        <v/>
      </c>
      <c r="J20" s="132"/>
      <c r="K20" s="132"/>
      <c r="L20" s="132"/>
      <c r="M20" s="139"/>
      <c r="N20" s="139"/>
      <c r="O20" s="139"/>
      <c r="P20" s="138" t="str" cm="1">
        <f t="array" ref="P20">IF(I20&lt;&gt;"",IF(DAY(I20) &lt; DAY(
        MIN(
            IF(
                Income!$I$3:$I$500&gt;I20,
                Income!$I$3:$I$500
            )
        )
    ),
    SUMIFS(
        Data!$H$3:$H$2998,
        Data!$O$3:$O$2998,
        "&gt;"&amp;DAY(I20)-1,
        Data!$O$3:$O$2998,
        "&lt;"&amp;DAY(
            MIN(
                IF(
                    Income!$I$3:$I$500&gt;I20,
                    Income!$I$3:$I$500
                )
            )
        ),
        Data!$G$3:$G$2998,
        "&lt;&gt;Investments"
    ),
    SUM(
        SUMIFS(
            Data!$H$3:$H$2998,
            Data!$O$3:$O$2998,
            "&gt;"&amp;DAY(I20)-1,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Income!$I$3:$I$500&gt;I20,
                        Income!$I$3:$I$500
                    )
                )
            ),
            Data!$G$3:$G$2998,
            "&lt;&gt;Investments"
        )
    )
),"")</f>
        <v/>
      </c>
      <c r="Q20" s="138"/>
      <c r="R20" s="138"/>
      <c r="S20" s="4"/>
      <c r="U20" s="2"/>
      <c r="AA20" s="151"/>
      <c r="AB20" s="151"/>
      <c r="AC20" s="151"/>
      <c r="AD20" s="151"/>
      <c r="AE20" s="151"/>
      <c r="AF20" s="4"/>
      <c r="AH20" s="2"/>
      <c r="AJ20" s="54">
        <f ca="1"/>
        <v>44990</v>
      </c>
      <c r="AK20" s="55">
        <f ca="1"/>
        <v>44991</v>
      </c>
      <c r="AL20" s="55">
        <f ca="1"/>
        <v>44992</v>
      </c>
      <c r="AM20" s="55">
        <f ca="1"/>
        <v>44993</v>
      </c>
      <c r="AN20" s="55">
        <f ca="1"/>
        <v>44994</v>
      </c>
      <c r="AO20" s="55">
        <f ca="1"/>
        <v>44995</v>
      </c>
      <c r="AP20" s="56">
        <f ca="1"/>
        <v>44996</v>
      </c>
      <c r="AS20" s="4"/>
      <c r="AT20" s="4"/>
      <c r="AU20" s="2"/>
      <c r="AV20" s="2"/>
      <c r="AW20" s="132" t="str">
        <f>IF('Paydown Calc'!B20&lt;&gt;"",'Paydown Calc'!B20,"")</f>
        <v/>
      </c>
      <c r="AX20" s="132"/>
      <c r="AY20" s="132"/>
      <c r="AZ20" s="132"/>
      <c r="BA20" s="132"/>
      <c r="BB20" s="137">
        <f>IF('Paydown Calc'!K20&lt;&gt;"",'Paydown Calc'!K20,"")</f>
        <v>0</v>
      </c>
      <c r="BC20" s="137"/>
      <c r="BD20" s="137"/>
      <c r="BE20" s="4"/>
      <c r="BG20" s="2"/>
      <c r="BH20" s="151"/>
      <c r="BI20" s="151"/>
      <c r="BJ20" s="151"/>
      <c r="BK20" s="151"/>
      <c r="BL20" s="151"/>
      <c r="BM20" s="151"/>
      <c r="BN20" s="151"/>
      <c r="BO20" s="151"/>
      <c r="BP20" s="4"/>
      <c r="BQ20" s="4"/>
    </row>
    <row r="21" spans="2:69" x14ac:dyDescent="0.25">
      <c r="B21" s="17"/>
      <c r="C21" s="29" t="str">
        <f t="shared" si="1"/>
        <v/>
      </c>
      <c r="D21" s="51" t="str" cm="1">
        <f t="array" aca="1" ref="D21" ca="1">IF($D$4="Updated",IF(B21&lt;&gt;"",INDIRECT("'"&amp;B21&amp;"'"&amp;"!C11"),""),IF(B21&lt;&gt;"",INDEX(Data!$D$3:$D$2298,MATCH(B21,Data!$F$3:$F$2298,0)),""))</f>
        <v/>
      </c>
      <c r="E21" s="80"/>
      <c r="F21" s="27"/>
      <c r="H21" s="2"/>
      <c r="I21" s="143" t="str">
        <f>IF(I20&lt;&gt;"",I20+Income!$G$2,"")</f>
        <v/>
      </c>
      <c r="J21" s="132"/>
      <c r="K21" s="132"/>
      <c r="L21" s="132"/>
      <c r="M21" s="139"/>
      <c r="N21" s="139"/>
      <c r="O21" s="139"/>
      <c r="P21" s="138" t="str" cm="1">
        <f t="array" ref="P21">IF(I21&lt;&gt;"",IF(DAY(I21) &lt; DAY(
        MIN(
            IF(
                Income!$I$3:$I$500&gt;I21,
                Income!$I$3:$I$500
            )
        )
    ),
    SUMIFS(
        Data!$H$3:$H$2998,
        Data!$O$3:$O$2998,
        "&gt;"&amp;DAY(I21)-1,
        Data!$O$3:$O$2998,
        "&lt;"&amp;DAY(
            MIN(
                IF(
                    Income!$I$3:$I$500&gt;I21,
                    Income!$I$3:$I$500
                )
            )
        ),
        Data!$G$3:$G$2998,
        "&lt;&gt;Investments"
    ),
    SUM(
        SUMIFS(
            Data!$H$3:$H$2998,
            Data!$O$3:$O$2998,
            "&gt;"&amp;DAY(I21)-1,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Income!$I$3:$I$500&gt;I21,
                        Income!$I$3:$I$500
                    )
                )
            ),
            Data!$G$3:$G$2998,
            "&lt;&gt;Investments"
        )
    )
),"")</f>
        <v/>
      </c>
      <c r="Q21" s="138"/>
      <c r="R21" s="138"/>
      <c r="S21" s="4"/>
      <c r="U21" s="2"/>
      <c r="AF21" s="4"/>
      <c r="AH21" s="2"/>
      <c r="AJ21" s="54">
        <f ca="1"/>
        <v>44997</v>
      </c>
      <c r="AK21" s="55">
        <f ca="1"/>
        <v>44998</v>
      </c>
      <c r="AL21" s="55">
        <f ca="1"/>
        <v>44999</v>
      </c>
      <c r="AM21" s="55">
        <f ca="1"/>
        <v>45000</v>
      </c>
      <c r="AN21" s="55">
        <f ca="1"/>
        <v>45001</v>
      </c>
      <c r="AO21" s="55">
        <f ca="1"/>
        <v>45002</v>
      </c>
      <c r="AP21" s="56">
        <f ca="1"/>
        <v>45003</v>
      </c>
      <c r="AR21" s="25" t="s">
        <v>69</v>
      </c>
      <c r="AS21" s="4"/>
      <c r="AT21" s="4"/>
      <c r="AU21" s="2"/>
      <c r="AV21" s="2"/>
      <c r="AW21" s="132" t="str">
        <f>IF('Paydown Calc'!B21&lt;&gt;"",'Paydown Calc'!B21,"")</f>
        <v/>
      </c>
      <c r="AX21" s="132"/>
      <c r="AY21" s="132"/>
      <c r="AZ21" s="132"/>
      <c r="BA21" s="132"/>
      <c r="BB21" s="137">
        <f>IF('Paydown Calc'!K21&lt;&gt;"",'Paydown Calc'!K21,"")</f>
        <v>0</v>
      </c>
      <c r="BC21" s="137"/>
      <c r="BD21" s="137"/>
      <c r="BE21" s="4"/>
      <c r="BG21" s="2"/>
      <c r="BH21" s="171"/>
      <c r="BI21" s="171"/>
      <c r="BJ21" s="171"/>
      <c r="BK21" s="171"/>
      <c r="BL21" s="171"/>
      <c r="BM21" s="172"/>
      <c r="BN21" s="172"/>
      <c r="BO21" s="172"/>
      <c r="BP21" s="4"/>
      <c r="BQ21" s="4"/>
    </row>
    <row r="22" spans="2:69" x14ac:dyDescent="0.25">
      <c r="B22" s="17"/>
      <c r="C22" s="29" t="str">
        <f t="shared" si="1"/>
        <v/>
      </c>
      <c r="D22" s="51" t="str" cm="1">
        <f t="array" aca="1" ref="D22" ca="1">IF($D$4="Updated",IF(B22&lt;&gt;"",INDIRECT("'"&amp;B22&amp;"'"&amp;"!C11"),""),IF(B22&lt;&gt;"",INDEX(Data!$D$3:$D$2298,MATCH(B22,Data!$F$3:$F$2298,0)),""))</f>
        <v/>
      </c>
      <c r="E22" s="80"/>
      <c r="F22" s="27"/>
      <c r="H22" s="2"/>
      <c r="I22" s="24"/>
      <c r="J22" s="24"/>
      <c r="K22" s="24"/>
      <c r="L22" s="24"/>
      <c r="S22" s="4"/>
      <c r="U22" s="2"/>
      <c r="AA22" s="127" t="s">
        <v>88</v>
      </c>
      <c r="AB22" s="127"/>
      <c r="AC22" s="127"/>
      <c r="AD22" s="127"/>
      <c r="AE22" s="127"/>
      <c r="AF22" s="4"/>
      <c r="AH22" s="2"/>
      <c r="AJ22" s="54">
        <f ca="1"/>
        <v>45004</v>
      </c>
      <c r="AK22" s="55">
        <f ca="1"/>
        <v>45005</v>
      </c>
      <c r="AL22" s="55">
        <f ca="1"/>
        <v>45006</v>
      </c>
      <c r="AM22" s="55">
        <f ca="1"/>
        <v>45007</v>
      </c>
      <c r="AN22" s="55">
        <f ca="1"/>
        <v>45008</v>
      </c>
      <c r="AO22" s="55">
        <f ca="1"/>
        <v>45009</v>
      </c>
      <c r="AP22" s="56">
        <f ca="1"/>
        <v>45010</v>
      </c>
      <c r="AS22" s="4"/>
      <c r="AT22" s="4"/>
      <c r="AU22" s="2"/>
      <c r="AV22" s="2"/>
      <c r="AW22" s="132" t="str">
        <f>IF('Paydown Calc'!B22&lt;&gt;"",'Paydown Calc'!B22,"")</f>
        <v/>
      </c>
      <c r="AX22" s="132"/>
      <c r="AY22" s="132"/>
      <c r="AZ22" s="132"/>
      <c r="BA22" s="132"/>
      <c r="BB22" s="137">
        <f>IF('Paydown Calc'!K22&lt;&gt;"",'Paydown Calc'!K22,"")</f>
        <v>0</v>
      </c>
      <c r="BC22" s="137"/>
      <c r="BD22" s="137"/>
      <c r="BE22" s="4"/>
      <c r="BG22" s="2"/>
      <c r="BH22" s="168" t="s">
        <v>120</v>
      </c>
      <c r="BI22" s="168"/>
      <c r="BJ22" s="168"/>
      <c r="BK22" s="168"/>
      <c r="BL22" s="168"/>
      <c r="BM22" s="168"/>
      <c r="BN22" s="168"/>
      <c r="BO22" s="168"/>
      <c r="BP22" s="4"/>
      <c r="BQ22" s="4"/>
    </row>
    <row r="23" spans="2:69" x14ac:dyDescent="0.25">
      <c r="B23" s="17"/>
      <c r="C23" s="29" t="str">
        <f t="shared" si="1"/>
        <v/>
      </c>
      <c r="D23" s="51" t="str" cm="1">
        <f t="array" aca="1" ref="D23" ca="1">IF($D$4="Updated",IF(B23&lt;&gt;"",INDIRECT("'"&amp;B23&amp;"'"&amp;"!C11"),""),IF(B23&lt;&gt;"",INDEX(Data!$D$3:$D$2298,MATCH(B23,Data!$F$3:$F$2298,0)),""))</f>
        <v/>
      </c>
      <c r="E23" s="80"/>
      <c r="F23" s="27"/>
      <c r="H23" s="2"/>
      <c r="I23" s="127" t="s">
        <v>94</v>
      </c>
      <c r="J23" s="127"/>
      <c r="K23" s="127"/>
      <c r="L23" s="127"/>
      <c r="M23" s="127"/>
      <c r="N23" s="127" t="s">
        <v>95</v>
      </c>
      <c r="O23" s="127"/>
      <c r="P23" s="127"/>
      <c r="Q23" s="127"/>
      <c r="R23" s="127"/>
      <c r="S23" s="4"/>
      <c r="U23" s="2"/>
      <c r="AA23" s="146">
        <f ca="1">W25</f>
        <v>0</v>
      </c>
      <c r="AB23" s="146"/>
      <c r="AC23" s="146"/>
      <c r="AD23" s="146"/>
      <c r="AE23" s="146"/>
      <c r="AF23" s="4"/>
      <c r="AH23" s="2"/>
      <c r="AJ23" s="54">
        <f ca="1"/>
        <v>45011</v>
      </c>
      <c r="AK23" s="55">
        <f ca="1"/>
        <v>45012</v>
      </c>
      <c r="AL23" s="55">
        <f ca="1"/>
        <v>45013</v>
      </c>
      <c r="AM23" s="55">
        <f ca="1"/>
        <v>45014</v>
      </c>
      <c r="AN23" s="55">
        <f ca="1"/>
        <v>45015</v>
      </c>
      <c r="AO23" s="55">
        <f ca="1"/>
        <v>45016</v>
      </c>
      <c r="AP23" s="56" t="str">
        <f ca="1"/>
        <v/>
      </c>
      <c r="AS23" s="4"/>
      <c r="AT23" s="4"/>
      <c r="AU23" s="2"/>
      <c r="AV23" s="2"/>
      <c r="AW23" s="132" t="str">
        <f>IF('Paydown Calc'!B23&lt;&gt;"",'Paydown Calc'!B23,"")</f>
        <v/>
      </c>
      <c r="AX23" s="132"/>
      <c r="AY23" s="132"/>
      <c r="AZ23" s="132"/>
      <c r="BA23" s="132"/>
      <c r="BB23" s="137">
        <f>IF('Paydown Calc'!K23&lt;&gt;"",'Paydown Calc'!K23,"")</f>
        <v>0</v>
      </c>
      <c r="BC23" s="137"/>
      <c r="BD23" s="137"/>
      <c r="BE23" s="4"/>
      <c r="BG23" s="2"/>
      <c r="BH23" s="169" t="str">
        <f ca="1">IF(Data!M3&lt;&gt;"",MAX(Data!M3:M22298),"")</f>
        <v/>
      </c>
      <c r="BI23" s="169"/>
      <c r="BJ23" s="169"/>
      <c r="BK23" s="169"/>
      <c r="BL23" s="169"/>
      <c r="BM23" s="169"/>
      <c r="BN23" s="169"/>
      <c r="BO23" s="169"/>
      <c r="BP23" s="4"/>
      <c r="BQ23" s="4"/>
    </row>
    <row r="24" spans="2:69" x14ac:dyDescent="0.25">
      <c r="B24" s="17"/>
      <c r="C24" s="29" t="str">
        <f t="shared" si="1"/>
        <v/>
      </c>
      <c r="D24" s="51" t="str" cm="1">
        <f t="array" aca="1" ref="D24" ca="1">IF($D$4="Updated",IF(B24&lt;&gt;"",INDIRECT("'"&amp;B24&amp;"'"&amp;"!C11"),""),IF(B24&lt;&gt;"",INDEX(Data!$D$3:$D$2298,MATCH(B24,Data!$F$3:$F$2298,0)),""))</f>
        <v/>
      </c>
      <c r="E24" s="80"/>
      <c r="F24" s="27"/>
      <c r="H24" s="2"/>
      <c r="I24" s="128" t="str" cm="1">
        <f t="array" ref="I24">IF(Income!I3&lt;&gt;"",IF(ABS($AL$2-MIN(IF(Income!$I$3:$I$500&gt;$AL$2+14-Income!G2,Income!$I$3:$I$500)))=1,_xlfn.CONCAT(ABS($AL$2-MIN(IF(Income!$I$3:$I$500&gt;$AL$2+14-Income!G2,Income!$I$3:$I$500)))," day"),_xlfn.CONCAT(ABS($AL$2-MIN(IF(Income!$I$3:$I$500&gt;$AL$2+14-Income!G2,Income!$I$3:$I$500)))," days")),"")</f>
        <v/>
      </c>
      <c r="J24" s="128"/>
      <c r="K24" s="128"/>
      <c r="L24" s="128"/>
      <c r="M24" s="128"/>
      <c r="N24" s="130">
        <f>IFERROR(SUM(AA8-P18),0)</f>
        <v>0</v>
      </c>
      <c r="O24" s="130"/>
      <c r="P24" s="130"/>
      <c r="Q24" s="130"/>
      <c r="R24" s="130"/>
      <c r="S24" s="4"/>
      <c r="U24" s="26"/>
      <c r="V24" s="15" t="s">
        <v>3</v>
      </c>
      <c r="W24" s="15" t="s">
        <v>83</v>
      </c>
      <c r="X24" s="15"/>
      <c r="AA24" s="147"/>
      <c r="AB24" s="147"/>
      <c r="AC24" s="147"/>
      <c r="AD24" s="147"/>
      <c r="AE24" s="147"/>
      <c r="AF24" s="4"/>
      <c r="AH24" s="2"/>
      <c r="AJ24" s="54" t="str">
        <f ca="1"/>
        <v/>
      </c>
      <c r="AK24" s="55" t="str">
        <f ca="1"/>
        <v/>
      </c>
      <c r="AL24" s="55" t="str">
        <f ca="1"/>
        <v/>
      </c>
      <c r="AM24" s="55" t="str">
        <f ca="1"/>
        <v/>
      </c>
      <c r="AN24" s="55" t="str">
        <f ca="1"/>
        <v/>
      </c>
      <c r="AO24" s="55" t="str">
        <f ca="1"/>
        <v/>
      </c>
      <c r="AP24" s="56" t="str">
        <f ca="1"/>
        <v/>
      </c>
      <c r="AR24" s="53" t="s">
        <v>70</v>
      </c>
      <c r="AS24" s="4"/>
      <c r="AT24" s="4"/>
      <c r="AU24" s="2"/>
      <c r="AV24" s="2"/>
      <c r="AW24" s="132" t="str">
        <f>IF('Paydown Calc'!B24&lt;&gt;"",'Paydown Calc'!B24,"")</f>
        <v/>
      </c>
      <c r="AX24" s="132"/>
      <c r="AY24" s="132"/>
      <c r="AZ24" s="132"/>
      <c r="BA24" s="132"/>
      <c r="BB24" s="137">
        <f>IF('Paydown Calc'!K24&lt;&gt;"",'Paydown Calc'!K24,"")</f>
        <v>0</v>
      </c>
      <c r="BC24" s="137"/>
      <c r="BD24" s="137"/>
      <c r="BE24" s="4"/>
      <c r="BG24" s="2"/>
      <c r="BH24" s="170"/>
      <c r="BI24" s="170"/>
      <c r="BJ24" s="170"/>
      <c r="BK24" s="170"/>
      <c r="BL24" s="170"/>
      <c r="BM24" s="170"/>
      <c r="BN24" s="170"/>
      <c r="BO24" s="170"/>
      <c r="BP24" s="4"/>
      <c r="BQ24" s="4"/>
    </row>
    <row r="25" spans="2:69" ht="15" customHeight="1" x14ac:dyDescent="0.25">
      <c r="B25" s="30"/>
      <c r="C25" s="29" t="str">
        <f t="shared" si="1"/>
        <v/>
      </c>
      <c r="D25" s="51" t="str" cm="1">
        <f t="array" aca="1" ref="D25" ca="1">IF($D$4="Updated",IF(B25&lt;&gt;"",INDIRECT("'"&amp;B25&amp;"'"&amp;"!C11"),""),IF(B25&lt;&gt;"",INDEX(Data!$D$3:$D$2298,MATCH(B25,Data!$F$3:$F$2298,0)),""))</f>
        <v/>
      </c>
      <c r="E25" s="80"/>
      <c r="F25" s="27"/>
      <c r="H25" s="5"/>
      <c r="I25" s="129"/>
      <c r="J25" s="129"/>
      <c r="K25" s="129"/>
      <c r="L25" s="129"/>
      <c r="M25" s="129"/>
      <c r="N25" s="131"/>
      <c r="O25" s="131"/>
      <c r="P25" s="131"/>
      <c r="Q25" s="131"/>
      <c r="R25" s="131"/>
      <c r="S25" s="7"/>
      <c r="U25" s="32"/>
      <c r="V25" s="33">
        <f ca="1">SUMIFS(Data!$H$3:$H$152,Data!$G$3:$G$152,"Credit Accounts")</f>
        <v>0</v>
      </c>
      <c r="W25" s="33">
        <f ca="1">SUMIFS(Data!$H$3:$H$152,Data!$G$3:$G$152,"Bill Accounts")</f>
        <v>0</v>
      </c>
      <c r="X25" s="33"/>
      <c r="Y25" s="6"/>
      <c r="Z25" s="6"/>
      <c r="AA25" s="6"/>
      <c r="AB25" s="6"/>
      <c r="AC25" s="6"/>
      <c r="AD25" s="6"/>
      <c r="AE25" s="6"/>
      <c r="AF25" s="7"/>
      <c r="AH25" s="5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7"/>
      <c r="AT25" s="4"/>
      <c r="AU25" s="2"/>
      <c r="AV25" s="5"/>
      <c r="AW25" s="6"/>
      <c r="AX25" s="6"/>
      <c r="AY25" s="6"/>
      <c r="AZ25" s="6"/>
      <c r="BA25" s="6"/>
      <c r="BB25" s="6"/>
      <c r="BC25" s="6"/>
      <c r="BD25" s="6"/>
      <c r="BE25" s="7"/>
      <c r="BG25" s="5"/>
      <c r="BH25" s="6"/>
      <c r="BI25" s="6"/>
      <c r="BJ25" s="6"/>
      <c r="BK25" s="6"/>
      <c r="BL25" s="6"/>
      <c r="BM25" s="6"/>
      <c r="BN25" s="6"/>
      <c r="BO25" s="6"/>
      <c r="BP25" s="7"/>
      <c r="BQ25" s="4"/>
    </row>
    <row r="26" spans="2:69" x14ac:dyDescent="0.25">
      <c r="B26" s="17"/>
      <c r="C26" s="29" t="str">
        <f t="shared" si="1"/>
        <v/>
      </c>
      <c r="D26" s="51" t="str" cm="1">
        <f t="array" aca="1" ref="D26" ca="1">IF($D$4="Updated",IF(B26&lt;&gt;"",INDIRECT("'"&amp;B26&amp;"'"&amp;"!C11"),""),IF(B26&lt;&gt;"",INDEX(Data!$D$3:$D$2298,MATCH(B26,Data!$F$3:$F$2298,0)),""))</f>
        <v/>
      </c>
      <c r="E26" s="88"/>
      <c r="F26" s="27"/>
      <c r="AT26" s="4"/>
      <c r="AU26" s="2"/>
      <c r="BQ26" s="4"/>
    </row>
    <row r="27" spans="2:69" x14ac:dyDescent="0.25">
      <c r="B27" s="17"/>
      <c r="C27" s="29" t="str">
        <f t="shared" si="1"/>
        <v/>
      </c>
      <c r="D27" s="51" t="str" cm="1">
        <f t="array" aca="1" ref="D27" ca="1">IF($D$4="Updated",IF(B27&lt;&gt;"",INDIRECT("'"&amp;B27&amp;"'"&amp;"!C11"),""),IF(B27&lt;&gt;"",INDEX(Data!$D$3:$D$2298,MATCH(B27,Data!$F$3:$F$2298,0)),""))</f>
        <v/>
      </c>
      <c r="E27" s="80"/>
      <c r="F27" s="27"/>
      <c r="H27" s="140" t="str">
        <f>_xlfn.CONCAT("Remaining for ",TEXT( I18,"mmm dd"), " paycheck")</f>
        <v>Remaining for  paycheck</v>
      </c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2"/>
      <c r="U27" s="140" t="str">
        <f ca="1">_xlfn.CONCAT("Lowest ",COUNT(AB29:AB35)," credit ", IF(COUNT(AB29:AB35)="1","account","accounts"))</f>
        <v>Lowest 0 credit accounts</v>
      </c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2"/>
      <c r="AH27" s="140" t="s">
        <v>123</v>
      </c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2"/>
      <c r="AT27" s="4"/>
      <c r="AU27" s="2"/>
      <c r="AV27" s="165" t="s">
        <v>122</v>
      </c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7"/>
      <c r="BQ27" s="4"/>
    </row>
    <row r="28" spans="2:69" x14ac:dyDescent="0.25">
      <c r="B28" s="17"/>
      <c r="C28" s="29" t="str">
        <f t="shared" si="1"/>
        <v/>
      </c>
      <c r="D28" s="51" t="str" cm="1">
        <f t="array" aca="1" ref="D28" ca="1">IF($D$4="Updated",IF(B28&lt;&gt;"",INDIRECT("'"&amp;B28&amp;"'"&amp;"!C11"),""),IF(B28&lt;&gt;"",INDEX(Data!$D$3:$D$2298,MATCH(B28,Data!$F$3:$F$2298,0)),""))</f>
        <v/>
      </c>
      <c r="E28" s="80"/>
      <c r="F28" s="27"/>
      <c r="H28" s="2"/>
      <c r="S28" s="4"/>
      <c r="U28" s="2"/>
      <c r="V28" s="145"/>
      <c r="W28" s="145"/>
      <c r="X28" s="145"/>
      <c r="Y28" s="145"/>
      <c r="Z28" s="145"/>
      <c r="AA28" s="145"/>
      <c r="AB28" s="145"/>
      <c r="AC28" s="145"/>
      <c r="AD28" s="145"/>
      <c r="AE28" s="145"/>
      <c r="AF28" s="4"/>
      <c r="AH28" s="2"/>
      <c r="AI28" s="145"/>
      <c r="AJ28" s="145"/>
      <c r="AK28" s="145"/>
      <c r="AL28" s="145"/>
      <c r="AM28" s="145"/>
      <c r="AN28" s="145"/>
      <c r="AO28" s="145"/>
      <c r="AP28" s="145"/>
      <c r="AQ28" s="145"/>
      <c r="AR28" s="145"/>
      <c r="AS28" s="4"/>
      <c r="AT28" s="4"/>
      <c r="AU28" s="2"/>
      <c r="AV28" s="2"/>
      <c r="BP28" s="4"/>
      <c r="BQ28" s="4"/>
    </row>
    <row r="29" spans="2:69" x14ac:dyDescent="0.25">
      <c r="B29" s="17"/>
      <c r="C29" s="29" t="str">
        <f t="shared" si="1"/>
        <v/>
      </c>
      <c r="D29" s="51" t="str" cm="1">
        <f t="array" aca="1" ref="D29" ca="1">IF($D$4="Updated",IF(B29&lt;&gt;"",INDIRECT("'"&amp;B29&amp;"'"&amp;"!C11"),""),IF(B29&lt;&gt;"",INDEX(Data!$D$3:$D$2298,MATCH(B29,Data!$F$3:$F$2298,0)),""))</f>
        <v/>
      </c>
      <c r="E29" s="80"/>
      <c r="F29" s="27"/>
      <c r="H29" s="2"/>
      <c r="I29" s="132" t="str">
        <f>IF(Data!U3&lt;&gt;"",Data!U3,"")</f>
        <v/>
      </c>
      <c r="J29" s="132"/>
      <c r="K29" s="132"/>
      <c r="L29" s="132"/>
      <c r="M29" s="133" t="str">
        <f ca="1">IFERROR(IF(Data!S3&lt;&gt;"",Data!S3,""),"")</f>
        <v/>
      </c>
      <c r="N29" s="133"/>
      <c r="O29" s="133"/>
      <c r="P29" s="137" t="str">
        <f>IF(Data!W3&lt;&gt;"",Data!W3,"")</f>
        <v/>
      </c>
      <c r="Q29" s="137"/>
      <c r="R29" s="137"/>
      <c r="S29" s="4"/>
      <c r="U29" s="26"/>
      <c r="V29" s="136" t="str">
        <f ca="1">IFERROR(INDEX(Data!$F$3:$F$152,MATCH(AB29,Data!$J$3:$J$152,0)),"")</f>
        <v/>
      </c>
      <c r="W29" s="136"/>
      <c r="X29" s="136"/>
      <c r="Y29" s="136"/>
      <c r="Z29" s="136"/>
      <c r="AA29" s="136"/>
      <c r="AB29" s="144" t="str">
        <f ca="1">IFERROR(SMALL(Data!$J$3:$J$152,COUNTIF(Data!$J$3:$J$152,0)+AH29),"")</f>
        <v/>
      </c>
      <c r="AC29" s="144"/>
      <c r="AD29" s="144"/>
      <c r="AE29" s="144"/>
      <c r="AF29" s="4"/>
      <c r="AH29" s="26">
        <v>1</v>
      </c>
      <c r="AI29" s="134" t="str">
        <f>IF(Data!R3&lt;&gt;"",Data!R3,"")</f>
        <v/>
      </c>
      <c r="AJ29" s="134"/>
      <c r="AK29" s="134"/>
      <c r="AL29" s="134"/>
      <c r="AM29" s="134"/>
      <c r="AN29" s="134"/>
      <c r="AO29" s="135" t="str">
        <f ca="1">IF(Data!Q3&gt;0,Data!Q3,"")</f>
        <v/>
      </c>
      <c r="AP29" s="135"/>
      <c r="AQ29" s="135"/>
      <c r="AR29" s="135"/>
      <c r="AS29" s="4"/>
      <c r="AT29" s="4"/>
      <c r="AU29" s="2"/>
      <c r="AV29" s="2"/>
      <c r="BP29" s="4"/>
      <c r="BQ29" s="4"/>
    </row>
    <row r="30" spans="2:69" x14ac:dyDescent="0.25">
      <c r="B30" s="17"/>
      <c r="C30" s="29" t="str">
        <f t="shared" si="1"/>
        <v/>
      </c>
      <c r="D30" s="51" t="str" cm="1">
        <f t="array" aca="1" ref="D30" ca="1">IF($D$4="Updated",IF(B30&lt;&gt;"",INDIRECT("'"&amp;B30&amp;"'"&amp;"!C11"),""),IF(B30&lt;&gt;"",INDEX(Data!$D$3:$D$2298,MATCH(B30,Data!$F$3:$F$2298,0)),""))</f>
        <v/>
      </c>
      <c r="E30" s="80"/>
      <c r="F30" s="27"/>
      <c r="G30" s="2"/>
      <c r="H30" s="2"/>
      <c r="I30" s="132" t="str">
        <f>IF(Data!U4&lt;&gt;"",Data!U4,"")</f>
        <v/>
      </c>
      <c r="J30" s="132"/>
      <c r="K30" s="132"/>
      <c r="L30" s="132"/>
      <c r="M30" s="133" t="str">
        <f>IF(Data!S4&lt;&gt;"",Data!S4,"")</f>
        <v/>
      </c>
      <c r="N30" s="133"/>
      <c r="O30" s="133"/>
      <c r="P30" s="137" t="str">
        <f>IF(Data!W4&lt;&gt;"",Data!W4,"")</f>
        <v/>
      </c>
      <c r="Q30" s="137"/>
      <c r="R30" s="137"/>
      <c r="S30" s="4"/>
      <c r="U30" s="26"/>
      <c r="V30" s="136" t="str">
        <f ca="1">IFERROR(INDEX(Data!$F$3:$F$152,MATCH(AB30,Data!$J$3:$J$152,0)),"")</f>
        <v/>
      </c>
      <c r="W30" s="136"/>
      <c r="X30" s="136"/>
      <c r="Y30" s="136"/>
      <c r="Z30" s="136"/>
      <c r="AA30" s="136"/>
      <c r="AB30" s="144" t="str">
        <f ca="1">IFERROR(SMALL(Data!$J$3:$J$152,COUNTIF(Data!$J$3:$J$152,0)+AH30),"")</f>
        <v/>
      </c>
      <c r="AC30" s="144"/>
      <c r="AD30" s="144"/>
      <c r="AE30" s="144"/>
      <c r="AF30" s="4"/>
      <c r="AH30" s="26">
        <v>2</v>
      </c>
      <c r="AI30" s="134" t="str">
        <f>IF(Data!R4&lt;&gt;"",Data!R4,"")</f>
        <v/>
      </c>
      <c r="AJ30" s="134"/>
      <c r="AK30" s="134"/>
      <c r="AL30" s="134"/>
      <c r="AM30" s="134"/>
      <c r="AN30" s="134"/>
      <c r="AO30" s="135" t="str">
        <f>IF(Data!Q4&gt;0,Data!Q4,"")</f>
        <v/>
      </c>
      <c r="AP30" s="135"/>
      <c r="AQ30" s="135"/>
      <c r="AR30" s="135"/>
      <c r="AS30" s="4"/>
      <c r="AT30" s="4"/>
      <c r="AU30" s="2"/>
      <c r="AV30" s="2"/>
      <c r="BP30" s="4"/>
      <c r="BQ30" s="4"/>
    </row>
    <row r="31" spans="2:69" x14ac:dyDescent="0.25">
      <c r="B31" s="17"/>
      <c r="C31" s="29" t="str">
        <f t="shared" si="1"/>
        <v/>
      </c>
      <c r="D31" s="51" t="str" cm="1">
        <f t="array" aca="1" ref="D31" ca="1">IF($D$4="Updated",IF(B31&lt;&gt;"",INDIRECT("'"&amp;B31&amp;"'"&amp;"!C11"),""),IF(B31&lt;&gt;"",INDEX(Data!$D$3:$D$2298,MATCH(B31,Data!$F$3:$F$2298,0)),""))</f>
        <v/>
      </c>
      <c r="E31" s="80"/>
      <c r="F31" s="27"/>
      <c r="G31" s="2"/>
      <c r="H31" s="2"/>
      <c r="I31" s="132" t="str">
        <f>IF(Data!U5&lt;&gt;"",Data!U5,"")</f>
        <v/>
      </c>
      <c r="J31" s="132"/>
      <c r="K31" s="132"/>
      <c r="L31" s="132"/>
      <c r="M31" s="133" t="str">
        <f>IF(Data!S5&lt;&gt;"",Data!S5,"")</f>
        <v/>
      </c>
      <c r="N31" s="133"/>
      <c r="O31" s="133"/>
      <c r="P31" s="137" t="str">
        <f>IF(Data!W5&lt;&gt;"",Data!W5,"")</f>
        <v/>
      </c>
      <c r="Q31" s="137"/>
      <c r="R31" s="137"/>
      <c r="S31" s="4"/>
      <c r="U31" s="26"/>
      <c r="V31" s="136" t="str">
        <f ca="1">IFERROR(INDEX(Data!$F$3:$F$152,MATCH(AB31,Data!$J$3:$J$152,0)),"")</f>
        <v/>
      </c>
      <c r="W31" s="136"/>
      <c r="X31" s="136"/>
      <c r="Y31" s="136"/>
      <c r="Z31" s="136"/>
      <c r="AA31" s="136"/>
      <c r="AB31" s="144" t="str">
        <f ca="1">IFERROR(SMALL(Data!$J$3:$J$152,COUNTIF(Data!$J$3:$J$152,0)+AH31),"")</f>
        <v/>
      </c>
      <c r="AC31" s="144"/>
      <c r="AD31" s="144"/>
      <c r="AE31" s="144"/>
      <c r="AF31" s="4"/>
      <c r="AH31" s="26">
        <v>3</v>
      </c>
      <c r="AI31" s="134" t="str">
        <f>IF(Data!R5&lt;&gt;"",Data!R5,"")</f>
        <v/>
      </c>
      <c r="AJ31" s="134"/>
      <c r="AK31" s="134"/>
      <c r="AL31" s="134"/>
      <c r="AM31" s="134"/>
      <c r="AN31" s="134"/>
      <c r="AO31" s="135" t="str">
        <f>IF(Data!Q5&gt;0,Data!Q5,"")</f>
        <v/>
      </c>
      <c r="AP31" s="135"/>
      <c r="AQ31" s="135"/>
      <c r="AR31" s="135"/>
      <c r="AS31" s="4"/>
      <c r="AT31" s="4"/>
      <c r="AU31" s="2"/>
      <c r="AV31" s="2"/>
      <c r="BP31" s="4"/>
      <c r="BQ31" s="4"/>
    </row>
    <row r="32" spans="2:69" x14ac:dyDescent="0.25">
      <c r="B32" s="17"/>
      <c r="C32" s="29" t="str">
        <f t="shared" si="1"/>
        <v/>
      </c>
      <c r="D32" s="51" t="str" cm="1">
        <f t="array" aca="1" ref="D32" ca="1">IF($D$4="Updated",IF(B32&lt;&gt;"",INDIRECT("'"&amp;B32&amp;"'"&amp;"!C11"),""),IF(B32&lt;&gt;"",INDEX(Data!$D$3:$D$2298,MATCH(B32,Data!$F$3:$F$2298,0)),""))</f>
        <v/>
      </c>
      <c r="E32" s="80"/>
      <c r="F32" s="27"/>
      <c r="G32" s="2"/>
      <c r="H32" s="2"/>
      <c r="I32" s="132" t="str">
        <f>IF(Data!U6&lt;&gt;"",Data!U6,"")</f>
        <v/>
      </c>
      <c r="J32" s="132"/>
      <c r="K32" s="132"/>
      <c r="L32" s="132"/>
      <c r="M32" s="133" t="str">
        <f>IF(Data!S6&lt;&gt;"",Data!S6,"")</f>
        <v/>
      </c>
      <c r="N32" s="133"/>
      <c r="O32" s="133"/>
      <c r="P32" s="137" t="str">
        <f>IF(Data!W6&lt;&gt;"",Data!W6,"")</f>
        <v/>
      </c>
      <c r="Q32" s="137"/>
      <c r="R32" s="137"/>
      <c r="S32" s="4"/>
      <c r="U32" s="26"/>
      <c r="V32" s="136" t="str">
        <f ca="1">IFERROR(INDEX(Data!$F$3:$F$152,MATCH(AB32,Data!$J$3:$J$152,0)),"")</f>
        <v/>
      </c>
      <c r="W32" s="136"/>
      <c r="X32" s="136"/>
      <c r="Y32" s="136"/>
      <c r="Z32" s="136"/>
      <c r="AA32" s="136"/>
      <c r="AB32" s="144" t="str">
        <f ca="1">IFERROR(SMALL(Data!$J$3:$J$152,COUNTIF(Data!$J$3:$J$152,0)+AH32),"")</f>
        <v/>
      </c>
      <c r="AC32" s="144"/>
      <c r="AD32" s="144"/>
      <c r="AE32" s="144"/>
      <c r="AF32" s="4"/>
      <c r="AH32" s="26">
        <v>4</v>
      </c>
      <c r="AI32" s="134" t="str">
        <f>IF(Data!R6&lt;&gt;"",Data!R6,"")</f>
        <v/>
      </c>
      <c r="AJ32" s="134"/>
      <c r="AK32" s="134"/>
      <c r="AL32" s="134"/>
      <c r="AM32" s="134"/>
      <c r="AN32" s="134"/>
      <c r="AO32" s="135" t="str">
        <f>IF(Data!Q6&gt;0,Data!Q6,"")</f>
        <v/>
      </c>
      <c r="AP32" s="135"/>
      <c r="AQ32" s="135"/>
      <c r="AR32" s="135"/>
      <c r="AS32" s="4"/>
      <c r="AT32" s="4"/>
      <c r="AU32" s="2"/>
      <c r="AV32" s="2"/>
      <c r="BP32" s="4"/>
      <c r="BQ32" s="4"/>
    </row>
    <row r="33" spans="2:69" x14ac:dyDescent="0.25">
      <c r="B33" s="17"/>
      <c r="C33" s="29" t="str">
        <f t="shared" si="1"/>
        <v/>
      </c>
      <c r="D33" s="51" t="str" cm="1">
        <f t="array" aca="1" ref="D33" ca="1">IF($D$4="Updated",IF(B33&lt;&gt;"",INDIRECT("'"&amp;B33&amp;"'"&amp;"!C11"),""),IF(B33&lt;&gt;"",INDEX(Data!$D$3:$D$2298,MATCH(B33,Data!$F$3:$F$2298,0)),""))</f>
        <v/>
      </c>
      <c r="E33" s="80"/>
      <c r="F33" s="27"/>
      <c r="G33" s="2"/>
      <c r="H33" s="2"/>
      <c r="I33" s="132" t="str">
        <f>IF(Data!U7&lt;&gt;"",Data!U7,"")</f>
        <v/>
      </c>
      <c r="J33" s="132"/>
      <c r="K33" s="132"/>
      <c r="L33" s="132"/>
      <c r="M33" s="133" t="str">
        <f>IF(Data!S7&lt;&gt;"",Data!S7,"")</f>
        <v/>
      </c>
      <c r="N33" s="133"/>
      <c r="O33" s="133"/>
      <c r="P33" s="137" t="str">
        <f>IF(Data!W7&lt;&gt;"",Data!W7,"")</f>
        <v/>
      </c>
      <c r="Q33" s="137"/>
      <c r="R33" s="137"/>
      <c r="S33" s="4"/>
      <c r="U33" s="26"/>
      <c r="V33" s="136" t="str">
        <f ca="1">IFERROR(INDEX(Data!$F$3:$F$152,MATCH(AB33,Data!$J$3:$J$152,0)),"")</f>
        <v/>
      </c>
      <c r="W33" s="136"/>
      <c r="X33" s="136"/>
      <c r="Y33" s="136"/>
      <c r="Z33" s="136"/>
      <c r="AA33" s="136"/>
      <c r="AB33" s="144" t="str">
        <f ca="1">IFERROR(SMALL(Data!$J$3:$J$152,COUNTIF(Data!$J$3:$J$152,0)+AH33),"")</f>
        <v/>
      </c>
      <c r="AC33" s="144"/>
      <c r="AD33" s="144"/>
      <c r="AE33" s="144"/>
      <c r="AF33" s="4"/>
      <c r="AH33" s="26">
        <v>5</v>
      </c>
      <c r="AI33" s="134" t="str">
        <f>IF(Data!R7&lt;&gt;"",Data!R7,"")</f>
        <v/>
      </c>
      <c r="AJ33" s="134"/>
      <c r="AK33" s="134"/>
      <c r="AL33" s="134"/>
      <c r="AM33" s="134"/>
      <c r="AN33" s="134"/>
      <c r="AO33" s="135" t="str">
        <f>IF(Data!Q7&gt;0,Data!Q7,"")</f>
        <v/>
      </c>
      <c r="AP33" s="135"/>
      <c r="AQ33" s="135"/>
      <c r="AR33" s="135"/>
      <c r="AS33" s="4"/>
      <c r="AT33" s="4"/>
      <c r="AU33" s="2"/>
      <c r="AV33" s="2"/>
      <c r="BP33" s="4"/>
      <c r="BQ33" s="4"/>
    </row>
    <row r="34" spans="2:69" x14ac:dyDescent="0.25">
      <c r="B34" s="17"/>
      <c r="C34" s="29" t="str">
        <f t="shared" si="1"/>
        <v/>
      </c>
      <c r="D34" s="51" t="str" cm="1">
        <f t="array" aca="1" ref="D34" ca="1">IF($D$4="Updated",IF(B34&lt;&gt;"",INDIRECT("'"&amp;B34&amp;"'"&amp;"!C11"),""),IF(B34&lt;&gt;"",INDEX(Data!$D$3:$D$2298,MATCH(B34,Data!$F$3:$F$2298,0)),""))</f>
        <v/>
      </c>
      <c r="E34" s="80"/>
      <c r="F34" s="27"/>
      <c r="G34" s="2"/>
      <c r="H34" s="2"/>
      <c r="I34" s="132" t="str">
        <f>IF(Data!U8&lt;&gt;"",Data!U8,"")</f>
        <v/>
      </c>
      <c r="J34" s="132"/>
      <c r="K34" s="132"/>
      <c r="L34" s="132"/>
      <c r="M34" s="133" t="str">
        <f>IF(Data!S8&lt;&gt;"",Data!S8,"")</f>
        <v/>
      </c>
      <c r="N34" s="133"/>
      <c r="O34" s="133"/>
      <c r="P34" s="137" t="str">
        <f>IF(Data!W8&lt;&gt;"",Data!W8,"")</f>
        <v/>
      </c>
      <c r="Q34" s="137"/>
      <c r="R34" s="137"/>
      <c r="S34" s="4"/>
      <c r="U34" s="26"/>
      <c r="V34" s="136" t="str">
        <f ca="1">IFERROR(INDEX(Data!$F$3:$F$152,MATCH(AB34,Data!$J$3:$J$152,0)),"")</f>
        <v/>
      </c>
      <c r="W34" s="136"/>
      <c r="X34" s="136"/>
      <c r="Y34" s="136"/>
      <c r="Z34" s="136"/>
      <c r="AA34" s="136"/>
      <c r="AB34" s="144" t="str">
        <f ca="1">IFERROR(SMALL(Data!$J$3:$J$152,COUNTIF(Data!$J$3:$J$152,0)+AH34),"")</f>
        <v/>
      </c>
      <c r="AC34" s="144"/>
      <c r="AD34" s="144"/>
      <c r="AE34" s="144"/>
      <c r="AF34" s="4"/>
      <c r="AH34" s="26">
        <v>6</v>
      </c>
      <c r="AI34" s="134" t="str">
        <f>IF(Data!R8&lt;&gt;"",Data!R8,"")</f>
        <v/>
      </c>
      <c r="AJ34" s="134"/>
      <c r="AK34" s="134"/>
      <c r="AL34" s="134"/>
      <c r="AM34" s="134"/>
      <c r="AN34" s="134"/>
      <c r="AO34" s="135" t="str">
        <f>IF(Data!Q8&gt;0,Data!Q8,"")</f>
        <v/>
      </c>
      <c r="AP34" s="135"/>
      <c r="AQ34" s="135"/>
      <c r="AR34" s="135"/>
      <c r="AS34" s="4"/>
      <c r="AT34" s="4"/>
      <c r="AU34" s="2"/>
      <c r="AV34" s="2"/>
      <c r="BP34" s="4"/>
      <c r="BQ34" s="4"/>
    </row>
    <row r="35" spans="2:69" x14ac:dyDescent="0.25">
      <c r="B35" s="17"/>
      <c r="C35" s="29" t="str">
        <f t="shared" si="1"/>
        <v/>
      </c>
      <c r="D35" s="51" t="str" cm="1">
        <f t="array" aca="1" ref="D35" ca="1">IF($D$4="Updated",IF(B35&lt;&gt;"",INDIRECT("'"&amp;B35&amp;"'"&amp;"!C11"),""),IF(B35&lt;&gt;"",INDEX(Data!$D$3:$D$2298,MATCH(B35,Data!$F$3:$F$2298,0)),""))</f>
        <v/>
      </c>
      <c r="E35" s="80"/>
      <c r="F35" s="27"/>
      <c r="G35" s="2"/>
      <c r="H35" s="2"/>
      <c r="I35" s="132" t="str">
        <f>IF(Data!U9&lt;&gt;"",Data!U9,"")</f>
        <v/>
      </c>
      <c r="J35" s="132"/>
      <c r="K35" s="132"/>
      <c r="L35" s="132"/>
      <c r="M35" s="133" t="str">
        <f>IF(Data!S9&lt;&gt;"",Data!S9,"")</f>
        <v/>
      </c>
      <c r="N35" s="133"/>
      <c r="O35" s="133"/>
      <c r="P35" s="137" t="str">
        <f>IF(Data!W9&lt;&gt;"",Data!W9,"")</f>
        <v/>
      </c>
      <c r="Q35" s="137"/>
      <c r="R35" s="137"/>
      <c r="S35" s="4"/>
      <c r="U35" s="2"/>
      <c r="V35" s="136" t="str">
        <f ca="1">IFERROR(INDEX(Data!$F$3:$F$152,MATCH(AB35,Data!$J$3:$J$152,0)),"")</f>
        <v/>
      </c>
      <c r="W35" s="136"/>
      <c r="X35" s="136"/>
      <c r="Y35" s="136"/>
      <c r="Z35" s="136"/>
      <c r="AA35" s="136"/>
      <c r="AB35" s="144" t="str">
        <f ca="1">IFERROR(SMALL(Data!$J$3:$J$152,COUNTIF(Data!$J$3:$J$152,0)+AH35),"")</f>
        <v/>
      </c>
      <c r="AC35" s="144"/>
      <c r="AD35" s="144"/>
      <c r="AE35" s="144"/>
      <c r="AF35" s="4"/>
      <c r="AH35" s="26">
        <v>7</v>
      </c>
      <c r="AI35" s="134" t="str">
        <f>IF(Data!R9&lt;&gt;"",Data!R9,"")</f>
        <v/>
      </c>
      <c r="AJ35" s="134"/>
      <c r="AK35" s="134"/>
      <c r="AL35" s="134"/>
      <c r="AM35" s="134"/>
      <c r="AN35" s="134"/>
      <c r="AO35" s="135" t="str">
        <f>IF(Data!Q9&gt;0,Data!Q9,"")</f>
        <v/>
      </c>
      <c r="AP35" s="135"/>
      <c r="AQ35" s="135"/>
      <c r="AR35" s="135"/>
      <c r="AS35" s="4"/>
      <c r="AT35" s="4"/>
      <c r="AU35" s="2"/>
      <c r="AV35" s="2"/>
      <c r="BP35" s="4"/>
      <c r="BQ35" s="4"/>
    </row>
    <row r="36" spans="2:69" x14ac:dyDescent="0.25">
      <c r="B36" s="18"/>
      <c r="C36" s="29" t="str">
        <f t="shared" si="1"/>
        <v/>
      </c>
      <c r="D36" s="51" t="str" cm="1">
        <f t="array" aca="1" ref="D36" ca="1">IF($D$4="Updated",IF(B36&lt;&gt;"",INDIRECT("'"&amp;B36&amp;"'"&amp;"!C11"),""),IF(B36&lt;&gt;"",INDEX(Data!$D$3:$D$2298,MATCH(B36,Data!$F$3:$F$2298,0)),""))</f>
        <v/>
      </c>
      <c r="E36" s="80"/>
      <c r="F36" s="27"/>
      <c r="G36" s="2"/>
      <c r="H36" s="5"/>
      <c r="I36" s="6"/>
      <c r="J36" s="6"/>
      <c r="K36" s="6"/>
      <c r="L36" s="44"/>
      <c r="M36" s="44"/>
      <c r="N36" s="44"/>
      <c r="O36" s="44"/>
      <c r="P36" s="6"/>
      <c r="Q36" s="6"/>
      <c r="R36" s="6"/>
      <c r="S36" s="7"/>
      <c r="U36" s="5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  <c r="AH36" s="5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7"/>
      <c r="AT36" s="4"/>
      <c r="AU36" s="2"/>
      <c r="AV36" s="5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7"/>
      <c r="BQ36" s="4"/>
    </row>
    <row r="37" spans="2:69" x14ac:dyDescent="0.25">
      <c r="B37" s="18"/>
      <c r="C37" s="29" t="str">
        <f t="shared" si="1"/>
        <v/>
      </c>
      <c r="D37" s="51" t="str" cm="1">
        <f t="array" aca="1" ref="D37" ca="1">IF($D$4="Updated",IF(B37&lt;&gt;"",INDIRECT("'"&amp;B37&amp;"'"&amp;"!C11"),""),IF(B37&lt;&gt;"",INDEX(Data!$D$3:$D$2298,MATCH(B37,Data!$F$3:$F$2298,0)),""))</f>
        <v/>
      </c>
      <c r="E37" s="80"/>
      <c r="F37" s="27"/>
      <c r="G37" s="2"/>
      <c r="AT37" s="4"/>
      <c r="AU37" s="2"/>
      <c r="BQ37" s="4"/>
    </row>
    <row r="38" spans="2:69" x14ac:dyDescent="0.25">
      <c r="B38" s="31"/>
      <c r="C38" s="76" t="str">
        <f t="shared" si="1"/>
        <v/>
      </c>
      <c r="D38" s="75" t="str" cm="1">
        <f t="array" aca="1" ref="D38" ca="1">IF($D$4="Updated",IF(B38&lt;&gt;"",INDIRECT("'"&amp;B38&amp;"'"&amp;"!C11"),""),IF(B38&lt;&gt;"",INDEX(Data!$D$3:$D$2298,MATCH(B38,Data!$F$3:$F$2298,0)),""))</f>
        <v/>
      </c>
      <c r="E38" s="82"/>
      <c r="F38" s="28"/>
      <c r="G38" s="5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7"/>
    </row>
  </sheetData>
  <mergeCells count="177">
    <mergeCell ref="BB24:BD24"/>
    <mergeCell ref="BH21:BL21"/>
    <mergeCell ref="BM21:BO21"/>
    <mergeCell ref="AU2:BC3"/>
    <mergeCell ref="BK2:BQ3"/>
    <mergeCell ref="BD2:BJ3"/>
    <mergeCell ref="BM8:BO8"/>
    <mergeCell ref="BH9:BL9"/>
    <mergeCell ref="BM9:BO9"/>
    <mergeCell ref="AV5:BE5"/>
    <mergeCell ref="BG5:BP5"/>
    <mergeCell ref="AW8:BA8"/>
    <mergeCell ref="AW7:BA7"/>
    <mergeCell ref="BB7:BD7"/>
    <mergeCell ref="BB8:BD8"/>
    <mergeCell ref="BH18:BO18"/>
    <mergeCell ref="BH19:BO20"/>
    <mergeCell ref="BG12:BP12"/>
    <mergeCell ref="AW14:BA14"/>
    <mergeCell ref="BB14:BD14"/>
    <mergeCell ref="BH7:BL7"/>
    <mergeCell ref="BM7:BO7"/>
    <mergeCell ref="BH8:BL8"/>
    <mergeCell ref="BH14:BO14"/>
    <mergeCell ref="AV27:BP27"/>
    <mergeCell ref="AW15:BA15"/>
    <mergeCell ref="BB15:BD15"/>
    <mergeCell ref="AW16:BA16"/>
    <mergeCell ref="BB16:BD16"/>
    <mergeCell ref="AW17:BA17"/>
    <mergeCell ref="BB17:BD17"/>
    <mergeCell ref="AW18:BA18"/>
    <mergeCell ref="BB18:BD18"/>
    <mergeCell ref="AW19:BA19"/>
    <mergeCell ref="BB19:BD19"/>
    <mergeCell ref="AW20:BA20"/>
    <mergeCell ref="BB20:BD20"/>
    <mergeCell ref="AW21:BA21"/>
    <mergeCell ref="BB21:BD21"/>
    <mergeCell ref="BH22:BO22"/>
    <mergeCell ref="BH23:BO24"/>
    <mergeCell ref="BH17:BL17"/>
    <mergeCell ref="BM17:BO17"/>
    <mergeCell ref="AW22:BA22"/>
    <mergeCell ref="BB22:BD22"/>
    <mergeCell ref="AW23:BA23"/>
    <mergeCell ref="BB23:BD23"/>
    <mergeCell ref="AW24:BA24"/>
    <mergeCell ref="AW9:BA9"/>
    <mergeCell ref="BB9:BD9"/>
    <mergeCell ref="AW10:BA10"/>
    <mergeCell ref="BB10:BD10"/>
    <mergeCell ref="AW11:BA11"/>
    <mergeCell ref="BB11:BD11"/>
    <mergeCell ref="AW12:BA12"/>
    <mergeCell ref="BB12:BD12"/>
    <mergeCell ref="AW13:BA13"/>
    <mergeCell ref="BB13:BD13"/>
    <mergeCell ref="H16:S16"/>
    <mergeCell ref="AA11:AE11"/>
    <mergeCell ref="AA12:AE13"/>
    <mergeCell ref="AA8:AE9"/>
    <mergeCell ref="AP7:AR7"/>
    <mergeCell ref="AP8:AR8"/>
    <mergeCell ref="AP9:AR9"/>
    <mergeCell ref="AP10:AR10"/>
    <mergeCell ref="AP11:AR11"/>
    <mergeCell ref="AP12:AR12"/>
    <mergeCell ref="AP13:AR13"/>
    <mergeCell ref="AM13:AO13"/>
    <mergeCell ref="BH15:BO16"/>
    <mergeCell ref="B2:E3"/>
    <mergeCell ref="F2:F3"/>
    <mergeCell ref="G2:AK3"/>
    <mergeCell ref="V28:AA28"/>
    <mergeCell ref="AB28:AE28"/>
    <mergeCell ref="AA7:AE7"/>
    <mergeCell ref="AA18:AE18"/>
    <mergeCell ref="AA19:AE20"/>
    <mergeCell ref="AA22:AE22"/>
    <mergeCell ref="U27:AF27"/>
    <mergeCell ref="AH27:AS27"/>
    <mergeCell ref="AH16:AS16"/>
    <mergeCell ref="U16:AF16"/>
    <mergeCell ref="H5:S5"/>
    <mergeCell ref="U5:AF5"/>
    <mergeCell ref="AH5:AS5"/>
    <mergeCell ref="N12:R13"/>
    <mergeCell ref="N11:R11"/>
    <mergeCell ref="N7:R7"/>
    <mergeCell ref="N8:R9"/>
    <mergeCell ref="I18:L18"/>
    <mergeCell ref="I19:L19"/>
    <mergeCell ref="I20:L20"/>
    <mergeCell ref="AI35:AN35"/>
    <mergeCell ref="AO35:AR35"/>
    <mergeCell ref="AI6:AN6"/>
    <mergeCell ref="AO6:AR6"/>
    <mergeCell ref="AI32:AN32"/>
    <mergeCell ref="AO32:AR32"/>
    <mergeCell ref="AI33:AN33"/>
    <mergeCell ref="AO33:AR33"/>
    <mergeCell ref="AI34:AN34"/>
    <mergeCell ref="AO34:AR34"/>
    <mergeCell ref="AM7:AO7"/>
    <mergeCell ref="AM8:AO8"/>
    <mergeCell ref="AM10:AO10"/>
    <mergeCell ref="AM11:AO11"/>
    <mergeCell ref="AM12:AO12"/>
    <mergeCell ref="AM9:AO9"/>
    <mergeCell ref="AI7:AL7"/>
    <mergeCell ref="AI8:AL8"/>
    <mergeCell ref="AI9:AL9"/>
    <mergeCell ref="AI10:AL10"/>
    <mergeCell ref="AI11:AL11"/>
    <mergeCell ref="AI12:AL12"/>
    <mergeCell ref="AI13:AL13"/>
    <mergeCell ref="I34:L34"/>
    <mergeCell ref="M34:O34"/>
    <mergeCell ref="V35:AA35"/>
    <mergeCell ref="AB35:AE35"/>
    <mergeCell ref="AI28:AN28"/>
    <mergeCell ref="AO28:AR28"/>
    <mergeCell ref="AI29:AN29"/>
    <mergeCell ref="AO29:AR29"/>
    <mergeCell ref="AA23:AE24"/>
    <mergeCell ref="P29:R29"/>
    <mergeCell ref="P30:R30"/>
    <mergeCell ref="P31:R31"/>
    <mergeCell ref="P32:R32"/>
    <mergeCell ref="V34:AA34"/>
    <mergeCell ref="AB34:AE34"/>
    <mergeCell ref="V29:AA29"/>
    <mergeCell ref="AB29:AE29"/>
    <mergeCell ref="V30:AA30"/>
    <mergeCell ref="AB30:AE30"/>
    <mergeCell ref="V31:AA31"/>
    <mergeCell ref="AB31:AE31"/>
    <mergeCell ref="AB32:AE32"/>
    <mergeCell ref="V33:AA33"/>
    <mergeCell ref="AB33:AE33"/>
    <mergeCell ref="P19:R19"/>
    <mergeCell ref="P20:R20"/>
    <mergeCell ref="P21:R21"/>
    <mergeCell ref="I29:L29"/>
    <mergeCell ref="M29:O29"/>
    <mergeCell ref="I30:L30"/>
    <mergeCell ref="M18:O18"/>
    <mergeCell ref="M19:O19"/>
    <mergeCell ref="M20:O20"/>
    <mergeCell ref="M21:O21"/>
    <mergeCell ref="H27:S27"/>
    <mergeCell ref="I21:L21"/>
    <mergeCell ref="BH10:BO10"/>
    <mergeCell ref="AL2:AT3"/>
    <mergeCell ref="I23:M23"/>
    <mergeCell ref="I24:M25"/>
    <mergeCell ref="N23:R23"/>
    <mergeCell ref="N24:R25"/>
    <mergeCell ref="I35:L35"/>
    <mergeCell ref="M35:O35"/>
    <mergeCell ref="M30:O30"/>
    <mergeCell ref="I31:L31"/>
    <mergeCell ref="M31:O31"/>
    <mergeCell ref="I32:L32"/>
    <mergeCell ref="M32:O32"/>
    <mergeCell ref="I33:L33"/>
    <mergeCell ref="M33:O33"/>
    <mergeCell ref="AI30:AN30"/>
    <mergeCell ref="AO30:AR30"/>
    <mergeCell ref="AI31:AN31"/>
    <mergeCell ref="AO31:AR31"/>
    <mergeCell ref="V32:AA32"/>
    <mergeCell ref="P33:R33"/>
    <mergeCell ref="P34:R34"/>
    <mergeCell ref="P35:R35"/>
    <mergeCell ref="P18:R18"/>
  </mergeCells>
  <conditionalFormatting sqref="F5:F38">
    <cfRule type="cellIs" dxfId="20" priority="8" operator="lessThan">
      <formula>0</formula>
    </cfRule>
  </conditionalFormatting>
  <conditionalFormatting sqref="N12:R13">
    <cfRule type="cellIs" dxfId="19" priority="7" operator="lessThan">
      <formula>0</formula>
    </cfRule>
  </conditionalFormatting>
  <conditionalFormatting sqref="N8:R9">
    <cfRule type="cellIs" dxfId="18" priority="6" operator="lessThan">
      <formula>0</formula>
    </cfRule>
  </conditionalFormatting>
  <conditionalFormatting sqref="B5:F38">
    <cfRule type="cellIs" dxfId="17" priority="2" operator="equal">
      <formula>0</formula>
    </cfRule>
  </conditionalFormatting>
  <conditionalFormatting sqref="N24:R25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1">
          <controlPr defaultSize="0" print="0" autoLine="0" r:id="rId5">
            <anchor moveWithCells="1">
              <from>
                <xdr:col>5</xdr:col>
                <xdr:colOff>361950</xdr:colOff>
                <xdr:row>1</xdr:row>
                <xdr:rowOff>19050</xdr:rowOff>
              </from>
              <to>
                <xdr:col>5</xdr:col>
                <xdr:colOff>609600</xdr:colOff>
                <xdr:row>2</xdr:row>
                <xdr:rowOff>180975</xdr:rowOff>
              </to>
            </anchor>
          </controlPr>
        </control>
      </mc:Choice>
      <mc:Fallback>
        <control shapeId="1043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DCF61D3-FACC-45FB-AACD-60F214672419}">
            <xm:f>ISNUMBER(VLOOKUP(AJ19,Data!$A$15,1,0))</xm:f>
            <x14:dxf>
              <font>
                <b/>
                <i val="0"/>
                <color rgb="FF00B0F0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4" id="{D31449CC-CF70-4E1F-B152-4E235607E32C}">
            <xm:f>ISNUMBER(VLOOKUP(AJ19,Income!$I$3:$I$36,1,0))</xm:f>
            <x14:dxf>
              <font>
                <b val="0"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14:cfRule type="expression" priority="5" id="{41B82C53-D42E-4701-AEFE-601A79549CCE}">
            <xm:f>ISNUMBER(VLOOKUP(AJ19,Data!$D$3:$D$116,1,0))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AJ19:AP24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9CAF64-7A24-41F3-AA8A-3FF44BCFA01A}">
          <x14:formula1>
            <xm:f>Data!$A$2:$A$13</xm:f>
          </x14:formula1>
          <xm:sqref>AH16:AS16</xm:sqref>
        </x14:dataValidation>
        <x14:dataValidation type="list" allowBlank="1" showInputMessage="1" showErrorMessage="1" xr:uid="{5EA665B2-7C26-4492-A2B5-36FC6E8717B8}">
          <x14:formula1>
            <xm:f>Data!$A$17:$A$20</xm:f>
          </x14:formula1>
          <xm:sqref>B4</xm:sqref>
        </x14:dataValidation>
        <x14:dataValidation type="list" allowBlank="1" showInputMessage="1" showErrorMessage="1" xr:uid="{881087E5-B46B-4116-8E2A-76B0A6E9F985}">
          <x14:formula1>
            <xm:f>Data!$B$17:$B$18</xm:f>
          </x14:formula1>
          <xm:sqref>D4</xm:sqref>
        </x14:dataValidation>
        <x14:dataValidation type="list" allowBlank="1" showInputMessage="1" showErrorMessage="1" xr:uid="{41352A9E-2B81-4E55-895F-D6F2A6B59F6B}">
          <x14:formula1>
            <xm:f>Data!$B$2:$B$7</xm:f>
          </x14:formula1>
          <xm:sqref>BM7:BO7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6604-25F7-437E-BB91-3BDB6DC58041}">
  <sheetPr codeName="Sheet2"/>
  <dimension ref="A1:AG750"/>
  <sheetViews>
    <sheetView workbookViewId="0"/>
  </sheetViews>
  <sheetFormatPr defaultRowHeight="15" x14ac:dyDescent="0.25"/>
  <cols>
    <col min="2" max="2" width="10.7109375" customWidth="1"/>
    <col min="3" max="3" width="12.5703125" bestFit="1" customWidth="1"/>
    <col min="4" max="4" width="10.7109375" customWidth="1"/>
    <col min="5" max="5" width="3.140625" customWidth="1"/>
    <col min="6" max="6" width="10.140625" customWidth="1"/>
    <col min="7" max="7" width="12.5703125" bestFit="1" customWidth="1"/>
    <col min="8" max="8" width="4.7109375" customWidth="1"/>
    <col min="9" max="9" width="14.85546875" style="8" customWidth="1"/>
    <col min="10" max="10" width="12.7109375" style="22" customWidth="1"/>
    <col min="11" max="11" width="11.5703125" style="22" bestFit="1" customWidth="1"/>
    <col min="12" max="12" width="9" style="22" bestFit="1" customWidth="1"/>
    <col min="13" max="13" width="8.28515625" style="22" bestFit="1" customWidth="1"/>
    <col min="14" max="14" width="9" style="22" bestFit="1" customWidth="1"/>
    <col min="15" max="15" width="7.42578125" style="22" bestFit="1" customWidth="1"/>
    <col min="16" max="16" width="10.5703125" style="22" bestFit="1" customWidth="1"/>
    <col min="17" max="17" width="10" style="22" bestFit="1" customWidth="1"/>
    <col min="18" max="18" width="10.5703125" style="22" customWidth="1"/>
    <col min="19" max="19" width="10" style="22" bestFit="1" customWidth="1"/>
    <col min="20" max="20" width="13" style="22" bestFit="1" customWidth="1"/>
    <col min="21" max="21" width="7.28515625" style="22" bestFit="1" customWidth="1"/>
    <col min="22" max="22" width="8.42578125" style="22" bestFit="1" customWidth="1"/>
    <col min="23" max="23" width="10.5703125" style="22" bestFit="1" customWidth="1"/>
    <col min="24" max="24" width="16.28515625" style="22" bestFit="1" customWidth="1"/>
    <col min="25" max="25" width="10.5703125" style="22" bestFit="1" customWidth="1"/>
  </cols>
  <sheetData>
    <row r="1" spans="1:33" x14ac:dyDescent="0.25">
      <c r="A1" s="3"/>
      <c r="B1" s="3"/>
      <c r="C1" s="3"/>
      <c r="D1" s="3"/>
      <c r="E1" s="3"/>
      <c r="F1" s="3"/>
      <c r="G1" s="3"/>
      <c r="H1" s="3"/>
      <c r="I1" s="1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3"/>
      <c r="AA1" s="3"/>
      <c r="AB1" s="3"/>
      <c r="AC1" s="3"/>
      <c r="AD1" s="3"/>
      <c r="AE1" s="3"/>
      <c r="AF1" s="3"/>
      <c r="AG1" s="3"/>
    </row>
    <row r="2" spans="1:33" ht="18.75" customHeight="1" x14ac:dyDescent="0.3">
      <c r="A2" s="3"/>
      <c r="B2" s="189" t="s">
        <v>22</v>
      </c>
      <c r="C2" s="193"/>
      <c r="D2" s="23"/>
      <c r="E2" s="3"/>
      <c r="F2" s="189" t="s">
        <v>23</v>
      </c>
      <c r="G2" s="192"/>
      <c r="H2" s="3"/>
      <c r="I2" s="12" t="s">
        <v>8</v>
      </c>
      <c r="J2" s="21" t="s">
        <v>25</v>
      </c>
      <c r="K2" s="21" t="s">
        <v>26</v>
      </c>
      <c r="L2" s="21" t="s">
        <v>27</v>
      </c>
      <c r="M2" s="21" t="s">
        <v>28</v>
      </c>
      <c r="N2" s="21" t="s">
        <v>29</v>
      </c>
      <c r="O2" s="21" t="s">
        <v>30</v>
      </c>
      <c r="P2" s="21" t="s">
        <v>31</v>
      </c>
      <c r="Q2" s="21" t="s">
        <v>32</v>
      </c>
      <c r="R2" s="21" t="s">
        <v>33</v>
      </c>
      <c r="S2" s="21" t="s">
        <v>34</v>
      </c>
      <c r="T2" s="21" t="s">
        <v>35</v>
      </c>
      <c r="U2" s="21" t="s">
        <v>36</v>
      </c>
      <c r="V2" s="21" t="s">
        <v>37</v>
      </c>
      <c r="W2" s="21" t="s">
        <v>75</v>
      </c>
      <c r="X2" s="21" t="s">
        <v>38</v>
      </c>
      <c r="Y2" s="21" t="s">
        <v>24</v>
      </c>
      <c r="Z2" s="3"/>
      <c r="AA2" s="3"/>
      <c r="AB2" s="3"/>
      <c r="AC2" s="3"/>
      <c r="AD2" s="3"/>
      <c r="AE2" s="3"/>
      <c r="AF2" s="3"/>
      <c r="AG2" s="3"/>
    </row>
    <row r="3" spans="1:33" x14ac:dyDescent="0.25">
      <c r="A3" s="3"/>
      <c r="B3" s="189"/>
      <c r="C3" s="190"/>
      <c r="D3" s="19"/>
      <c r="E3" s="3"/>
      <c r="F3" s="189"/>
      <c r="G3" s="192"/>
      <c r="H3" s="3"/>
      <c r="I3" s="8" t="str">
        <f>IF(C2&lt;&gt;"",C2,"")</f>
        <v/>
      </c>
      <c r="Y3" s="22" t="str">
        <f>IF(J3&gt;0,SUM(J3-K3-L3-M3-N3-O3-P3-Q3-R3-S3-T3-U3-V3-X3+W3),"")</f>
        <v/>
      </c>
      <c r="Z3" s="3"/>
      <c r="AA3" s="3"/>
      <c r="AB3" s="3"/>
      <c r="AC3" s="3"/>
      <c r="AD3" s="3"/>
      <c r="AE3" s="3"/>
      <c r="AF3" s="3"/>
      <c r="AG3" s="3"/>
    </row>
    <row r="4" spans="1:33" x14ac:dyDescent="0.25">
      <c r="A4" s="3"/>
      <c r="B4" s="3"/>
      <c r="C4" s="3"/>
      <c r="D4" s="3"/>
      <c r="E4" s="3"/>
      <c r="F4" s="3"/>
      <c r="G4" s="3"/>
      <c r="H4" s="3"/>
      <c r="I4" s="8" t="str">
        <f>IFERROR($I3+$G$2,"")</f>
        <v/>
      </c>
      <c r="Y4" s="22" t="str">
        <f t="shared" ref="Y4:Y67" si="0">IF(J4&gt;0,SUM(J4-K4-L4-M4-N4-O4-P4-Q4-R4-S4-T4-U4-V4-X4+W4),"")</f>
        <v/>
      </c>
      <c r="Z4" s="3"/>
      <c r="AA4" s="3"/>
      <c r="AB4" s="3"/>
      <c r="AC4" s="3"/>
      <c r="AD4" s="3"/>
      <c r="AE4" s="3"/>
      <c r="AF4" s="3"/>
      <c r="AG4" s="3"/>
    </row>
    <row r="5" spans="1:33" x14ac:dyDescent="0.25">
      <c r="A5" s="3"/>
      <c r="B5" s="189" t="s">
        <v>74</v>
      </c>
      <c r="C5" s="194"/>
      <c r="D5" s="194"/>
      <c r="E5" s="194"/>
      <c r="F5" s="194"/>
      <c r="G5" s="194"/>
      <c r="H5" s="3"/>
      <c r="I5" s="8" t="str">
        <f t="shared" ref="I5:I68" si="1">IFERROR($I4+$G$2,"")</f>
        <v/>
      </c>
      <c r="Y5" s="22" t="str">
        <f t="shared" si="0"/>
        <v/>
      </c>
      <c r="Z5" s="3"/>
      <c r="AA5" s="3"/>
      <c r="AB5" s="3"/>
      <c r="AC5" s="3"/>
      <c r="AD5" s="3"/>
      <c r="AE5" s="3"/>
      <c r="AF5" s="3"/>
      <c r="AG5" s="3"/>
    </row>
    <row r="6" spans="1:33" x14ac:dyDescent="0.25">
      <c r="A6" s="3"/>
      <c r="B6" s="189"/>
      <c r="C6" s="194"/>
      <c r="D6" s="194"/>
      <c r="E6" s="194"/>
      <c r="F6" s="194"/>
      <c r="G6" s="194"/>
      <c r="H6" s="3"/>
      <c r="I6" s="8" t="str">
        <f t="shared" si="1"/>
        <v/>
      </c>
      <c r="Y6" s="22" t="str">
        <f t="shared" si="0"/>
        <v/>
      </c>
      <c r="Z6" s="3"/>
      <c r="AA6" s="3"/>
      <c r="AB6" s="3"/>
      <c r="AC6" s="3"/>
      <c r="AD6" s="3"/>
      <c r="AE6" s="3"/>
      <c r="AF6" s="3"/>
      <c r="AG6" s="3"/>
    </row>
    <row r="7" spans="1:33" x14ac:dyDescent="0.25">
      <c r="A7" s="3"/>
      <c r="B7" s="3"/>
      <c r="C7" s="3"/>
      <c r="D7" s="3"/>
      <c r="E7" s="3"/>
      <c r="F7" s="3"/>
      <c r="G7" s="3"/>
      <c r="H7" s="3"/>
      <c r="I7" s="8" t="str">
        <f t="shared" si="1"/>
        <v/>
      </c>
      <c r="Y7" s="22" t="str">
        <f t="shared" si="0"/>
        <v/>
      </c>
      <c r="Z7" s="3"/>
      <c r="AA7" s="3"/>
      <c r="AB7" s="3"/>
      <c r="AC7" s="3"/>
      <c r="AD7" s="3"/>
      <c r="AE7" s="3"/>
      <c r="AF7" s="3"/>
      <c r="AG7" s="3"/>
    </row>
    <row r="8" spans="1:33" ht="15" customHeight="1" x14ac:dyDescent="0.25">
      <c r="A8" s="3"/>
      <c r="B8" s="189" t="s">
        <v>18</v>
      </c>
      <c r="C8" s="192"/>
      <c r="D8" s="192"/>
      <c r="E8" s="192"/>
      <c r="F8" s="192"/>
      <c r="G8" s="192"/>
      <c r="H8" s="3"/>
      <c r="I8" s="8" t="str">
        <f t="shared" si="1"/>
        <v/>
      </c>
      <c r="Y8" s="22" t="str">
        <f t="shared" si="0"/>
        <v/>
      </c>
      <c r="Z8" s="3"/>
      <c r="AA8" s="3"/>
      <c r="AB8" s="3"/>
      <c r="AC8" s="3"/>
      <c r="AD8" s="3"/>
      <c r="AE8" s="3"/>
      <c r="AF8" s="3"/>
      <c r="AG8" s="3"/>
    </row>
    <row r="9" spans="1:33" x14ac:dyDescent="0.25">
      <c r="A9" s="3"/>
      <c r="B9" s="189"/>
      <c r="C9" s="192"/>
      <c r="D9" s="192"/>
      <c r="E9" s="192"/>
      <c r="F9" s="192"/>
      <c r="G9" s="192"/>
      <c r="H9" s="3"/>
      <c r="I9" s="8" t="str">
        <f t="shared" si="1"/>
        <v/>
      </c>
      <c r="Y9" s="22" t="str">
        <f t="shared" si="0"/>
        <v/>
      </c>
      <c r="Z9" s="3"/>
      <c r="AA9" s="3"/>
      <c r="AB9" s="3"/>
      <c r="AC9" s="3"/>
      <c r="AD9" s="3"/>
      <c r="AE9" s="3"/>
      <c r="AF9" s="3"/>
      <c r="AG9" s="3"/>
    </row>
    <row r="10" spans="1:33" x14ac:dyDescent="0.25">
      <c r="A10" s="3"/>
      <c r="B10" s="3"/>
      <c r="C10" s="3"/>
      <c r="D10" s="3"/>
      <c r="E10" s="3"/>
      <c r="F10" s="3"/>
      <c r="G10" s="3"/>
      <c r="H10" s="3"/>
      <c r="I10" s="8" t="str">
        <f t="shared" si="1"/>
        <v/>
      </c>
      <c r="Y10" s="22" t="str">
        <f t="shared" si="0"/>
        <v/>
      </c>
      <c r="Z10" s="3"/>
      <c r="AA10" s="3"/>
      <c r="AB10" s="3"/>
      <c r="AC10" s="3"/>
      <c r="AD10" s="3"/>
      <c r="AE10" s="3"/>
      <c r="AF10" s="3"/>
      <c r="AG10" s="3"/>
    </row>
    <row r="11" spans="1:33" ht="15" customHeight="1" x14ac:dyDescent="0.25">
      <c r="A11" s="3"/>
      <c r="B11" s="189" t="s">
        <v>19</v>
      </c>
      <c r="C11" s="192"/>
      <c r="D11" s="192"/>
      <c r="E11" s="192"/>
      <c r="F11" s="192"/>
      <c r="G11" s="192"/>
      <c r="H11" s="3"/>
      <c r="I11" s="8" t="str">
        <f t="shared" si="1"/>
        <v/>
      </c>
      <c r="Y11" s="22" t="str">
        <f t="shared" si="0"/>
        <v/>
      </c>
      <c r="Z11" s="3"/>
      <c r="AA11" s="3"/>
      <c r="AB11" s="3"/>
      <c r="AC11" s="3"/>
      <c r="AD11" s="3"/>
      <c r="AE11" s="3"/>
      <c r="AF11" s="3"/>
      <c r="AG11" s="3"/>
    </row>
    <row r="12" spans="1:33" ht="15" customHeight="1" x14ac:dyDescent="0.25">
      <c r="A12" s="3"/>
      <c r="B12" s="189"/>
      <c r="C12" s="192"/>
      <c r="D12" s="192"/>
      <c r="E12" s="192"/>
      <c r="F12" s="192"/>
      <c r="G12" s="192"/>
      <c r="H12" s="3"/>
      <c r="I12" s="8" t="str">
        <f t="shared" si="1"/>
        <v/>
      </c>
      <c r="Y12" s="22" t="str">
        <f t="shared" si="0"/>
        <v/>
      </c>
      <c r="Z12" s="3"/>
      <c r="AA12" s="3"/>
      <c r="AB12" s="3"/>
      <c r="AC12" s="3"/>
      <c r="AD12" s="3"/>
      <c r="AE12" s="3"/>
      <c r="AF12" s="3"/>
      <c r="AG12" s="3"/>
    </row>
    <row r="13" spans="1:33" x14ac:dyDescent="0.25">
      <c r="A13" s="3"/>
      <c r="B13" s="3"/>
      <c r="C13" s="3"/>
      <c r="D13" s="3"/>
      <c r="E13" s="3"/>
      <c r="F13" s="3"/>
      <c r="G13" s="3"/>
      <c r="H13" s="3"/>
      <c r="I13" s="8" t="str">
        <f t="shared" si="1"/>
        <v/>
      </c>
      <c r="Y13" s="22" t="str">
        <f t="shared" si="0"/>
        <v/>
      </c>
      <c r="Z13" s="3"/>
      <c r="AA13" s="3"/>
      <c r="AB13" s="3"/>
      <c r="AC13" s="3"/>
      <c r="AD13" s="3"/>
      <c r="AE13" s="3"/>
      <c r="AF13" s="3"/>
      <c r="AG13" s="3"/>
    </row>
    <row r="14" spans="1:33" ht="15" customHeight="1" x14ac:dyDescent="0.25">
      <c r="A14" s="3"/>
      <c r="B14" s="189" t="s">
        <v>7</v>
      </c>
      <c r="C14" s="192"/>
      <c r="D14" s="192"/>
      <c r="E14" s="192"/>
      <c r="F14" s="192"/>
      <c r="G14" s="192"/>
      <c r="H14" s="3"/>
      <c r="I14" s="8" t="str">
        <f t="shared" si="1"/>
        <v/>
      </c>
      <c r="Y14" s="22" t="str">
        <f t="shared" si="0"/>
        <v/>
      </c>
      <c r="Z14" s="3"/>
      <c r="AA14" s="3"/>
      <c r="AB14" s="3"/>
      <c r="AC14" s="3"/>
      <c r="AD14" s="3"/>
      <c r="AE14" s="3"/>
      <c r="AF14" s="3"/>
      <c r="AG14" s="3"/>
    </row>
    <row r="15" spans="1:33" ht="15" customHeight="1" x14ac:dyDescent="0.25">
      <c r="A15" s="3"/>
      <c r="B15" s="189"/>
      <c r="C15" s="192"/>
      <c r="D15" s="192"/>
      <c r="E15" s="192"/>
      <c r="F15" s="192"/>
      <c r="G15" s="192"/>
      <c r="H15" s="3"/>
      <c r="I15" s="8" t="str">
        <f t="shared" si="1"/>
        <v/>
      </c>
      <c r="Y15" s="22" t="str">
        <f t="shared" si="0"/>
        <v/>
      </c>
      <c r="Z15" s="3"/>
      <c r="AA15" s="3"/>
      <c r="AB15" s="3"/>
      <c r="AC15" s="3"/>
      <c r="AD15" s="3"/>
      <c r="AE15" s="3"/>
      <c r="AF15" s="3"/>
      <c r="AG15" s="3"/>
    </row>
    <row r="16" spans="1:33" x14ac:dyDescent="0.25">
      <c r="A16" s="3"/>
      <c r="B16" s="3"/>
      <c r="C16" s="3"/>
      <c r="D16" s="3"/>
      <c r="E16" s="3"/>
      <c r="F16" s="3"/>
      <c r="G16" s="3"/>
      <c r="H16" s="3"/>
      <c r="I16" s="8" t="str">
        <f t="shared" si="1"/>
        <v/>
      </c>
      <c r="Y16" s="22" t="str">
        <f t="shared" si="0"/>
        <v/>
      </c>
      <c r="Z16" s="3"/>
      <c r="AA16" s="3"/>
      <c r="AB16" s="3"/>
      <c r="AC16" s="3"/>
      <c r="AD16" s="3"/>
      <c r="AE16" s="3"/>
      <c r="AF16" s="3"/>
      <c r="AG16" s="3"/>
    </row>
    <row r="17" spans="1:33" x14ac:dyDescent="0.25">
      <c r="A17" s="3"/>
      <c r="B17" s="189" t="s">
        <v>45</v>
      </c>
      <c r="C17" s="190">
        <f ca="1">SUMIFS($J$3:$J$750,I3:I750,"&gt;"&amp;DATE(YEAR(Dashboard!$AL$2),1,1),I3:I750,"&lt;"&amp;Dashboard!$AL$2)</f>
        <v>0</v>
      </c>
      <c r="D17" s="23"/>
      <c r="E17" s="191" t="s">
        <v>44</v>
      </c>
      <c r="F17" s="189" t="s">
        <v>39</v>
      </c>
      <c r="G17" s="190">
        <f>SUM(J:J)+SUM(W:W)</f>
        <v>0</v>
      </c>
      <c r="H17" s="3"/>
      <c r="I17" s="8" t="str">
        <f t="shared" si="1"/>
        <v/>
      </c>
      <c r="Y17" s="22" t="str">
        <f t="shared" si="0"/>
        <v/>
      </c>
      <c r="Z17" s="3"/>
      <c r="AA17" s="3"/>
      <c r="AB17" s="3"/>
      <c r="AC17" s="3"/>
      <c r="AD17" s="3"/>
      <c r="AE17" s="3"/>
      <c r="AF17" s="3"/>
      <c r="AG17" s="3"/>
    </row>
    <row r="18" spans="1:33" x14ac:dyDescent="0.25">
      <c r="A18" s="3"/>
      <c r="B18" s="189"/>
      <c r="C18" s="190"/>
      <c r="D18" s="19"/>
      <c r="E18" s="191"/>
      <c r="F18" s="189"/>
      <c r="G18" s="190"/>
      <c r="H18" s="3"/>
      <c r="I18" s="8" t="str">
        <f t="shared" si="1"/>
        <v/>
      </c>
      <c r="Y18" s="22" t="str">
        <f t="shared" si="0"/>
        <v/>
      </c>
      <c r="Z18" s="3"/>
      <c r="AA18" s="3"/>
      <c r="AB18" s="3"/>
      <c r="AC18" s="3"/>
      <c r="AD18" s="3"/>
      <c r="AE18" s="3"/>
      <c r="AF18" s="3"/>
      <c r="AG18" s="3"/>
    </row>
    <row r="19" spans="1:33" x14ac:dyDescent="0.25">
      <c r="A19" s="3"/>
      <c r="B19" s="3"/>
      <c r="C19" s="3"/>
      <c r="D19" s="3"/>
      <c r="E19" s="191"/>
      <c r="F19" s="189" t="s">
        <v>40</v>
      </c>
      <c r="G19" s="190">
        <f>SUM(K:K)</f>
        <v>0</v>
      </c>
      <c r="H19" s="3"/>
      <c r="I19" s="8" t="str">
        <f t="shared" si="1"/>
        <v/>
      </c>
      <c r="Y19" s="22" t="str">
        <f t="shared" si="0"/>
        <v/>
      </c>
      <c r="Z19" s="3"/>
      <c r="AA19" s="3"/>
      <c r="AB19" s="3"/>
      <c r="AC19" s="3"/>
      <c r="AD19" s="3"/>
      <c r="AE19" s="3"/>
      <c r="AF19" s="3"/>
      <c r="AG19" s="3"/>
    </row>
    <row r="20" spans="1:33" x14ac:dyDescent="0.25">
      <c r="A20" s="3"/>
      <c r="B20" s="3"/>
      <c r="C20" s="3"/>
      <c r="D20" s="3"/>
      <c r="E20" s="191"/>
      <c r="F20" s="189"/>
      <c r="G20" s="190"/>
      <c r="H20" s="3"/>
      <c r="I20" s="8" t="str">
        <f t="shared" si="1"/>
        <v/>
      </c>
      <c r="Y20" s="22" t="str">
        <f t="shared" si="0"/>
        <v/>
      </c>
      <c r="Z20" s="3"/>
      <c r="AA20" s="3"/>
      <c r="AB20" s="3"/>
      <c r="AC20" s="3"/>
      <c r="AD20" s="3"/>
      <c r="AE20" s="3"/>
      <c r="AF20" s="3"/>
      <c r="AG20" s="3"/>
    </row>
    <row r="21" spans="1:33" x14ac:dyDescent="0.25">
      <c r="A21" s="3"/>
      <c r="B21" s="188" t="s">
        <v>98</v>
      </c>
      <c r="C21" s="188"/>
      <c r="D21" s="3"/>
      <c r="E21" s="191"/>
      <c r="F21" s="189" t="s">
        <v>41</v>
      </c>
      <c r="G21" s="190">
        <f>SUM(N:N)</f>
        <v>0</v>
      </c>
      <c r="H21" s="3"/>
      <c r="I21" s="8" t="str">
        <f t="shared" si="1"/>
        <v/>
      </c>
      <c r="Y21" s="22" t="str">
        <f t="shared" si="0"/>
        <v/>
      </c>
      <c r="Z21" s="3"/>
      <c r="AA21" s="3"/>
      <c r="AB21" s="3"/>
      <c r="AC21" s="3"/>
      <c r="AD21" s="3"/>
      <c r="AE21" s="3"/>
      <c r="AF21" s="3"/>
      <c r="AG21" s="3"/>
    </row>
    <row r="22" spans="1:33" x14ac:dyDescent="0.25">
      <c r="A22" s="3"/>
      <c r="B22" s="85" t="s">
        <v>8</v>
      </c>
      <c r="C22" s="86" t="s">
        <v>99</v>
      </c>
      <c r="D22" s="3"/>
      <c r="E22" s="191"/>
      <c r="F22" s="189"/>
      <c r="G22" s="190"/>
      <c r="H22" s="3"/>
      <c r="I22" s="8" t="str">
        <f t="shared" si="1"/>
        <v/>
      </c>
      <c r="Y22" s="22" t="str">
        <f t="shared" si="0"/>
        <v/>
      </c>
      <c r="Z22" s="3"/>
      <c r="AA22" s="3"/>
      <c r="AB22" s="3"/>
      <c r="AC22" s="3"/>
      <c r="AD22" s="3"/>
      <c r="AE22" s="3"/>
      <c r="AF22" s="3"/>
      <c r="AG22" s="3"/>
    </row>
    <row r="23" spans="1:33" x14ac:dyDescent="0.25">
      <c r="A23" s="3"/>
      <c r="B23" s="84"/>
      <c r="C23" s="83"/>
      <c r="D23" s="3"/>
      <c r="E23" s="191"/>
      <c r="F23" s="189" t="s">
        <v>42</v>
      </c>
      <c r="G23" s="190">
        <f>SUM(V:V)</f>
        <v>0</v>
      </c>
      <c r="H23" s="3"/>
      <c r="I23" s="8" t="str">
        <f t="shared" si="1"/>
        <v/>
      </c>
      <c r="Y23" s="22" t="str">
        <f t="shared" si="0"/>
        <v/>
      </c>
      <c r="Z23" s="3"/>
      <c r="AA23" s="3"/>
      <c r="AB23" s="3"/>
      <c r="AC23" s="3"/>
      <c r="AD23" s="3"/>
      <c r="AE23" s="3"/>
      <c r="AF23" s="3"/>
      <c r="AG23" s="3"/>
    </row>
    <row r="24" spans="1:33" x14ac:dyDescent="0.25">
      <c r="A24" s="3"/>
      <c r="B24" s="83"/>
      <c r="C24" s="83"/>
      <c r="D24" s="3"/>
      <c r="E24" s="191"/>
      <c r="F24" s="189"/>
      <c r="G24" s="190"/>
      <c r="H24" s="3"/>
      <c r="I24" s="8" t="str">
        <f t="shared" si="1"/>
        <v/>
      </c>
      <c r="Y24" s="22" t="str">
        <f t="shared" si="0"/>
        <v/>
      </c>
      <c r="Z24" s="3"/>
      <c r="AA24" s="3"/>
      <c r="AB24" s="3"/>
      <c r="AC24" s="3"/>
      <c r="AD24" s="3"/>
      <c r="AE24" s="3"/>
      <c r="AF24" s="3"/>
      <c r="AG24" s="3"/>
    </row>
    <row r="25" spans="1:33" x14ac:dyDescent="0.25">
      <c r="A25" s="3"/>
      <c r="B25" s="83"/>
      <c r="C25" s="83"/>
      <c r="D25" s="3"/>
      <c r="E25" s="191"/>
      <c r="F25" s="189" t="s">
        <v>43</v>
      </c>
      <c r="G25" s="190">
        <f>SUM(Y:Y)</f>
        <v>0</v>
      </c>
      <c r="H25" s="3"/>
      <c r="I25" s="8" t="str">
        <f t="shared" si="1"/>
        <v/>
      </c>
      <c r="Y25" s="22" t="str">
        <f t="shared" si="0"/>
        <v/>
      </c>
      <c r="Z25" s="3"/>
      <c r="AA25" s="3"/>
      <c r="AB25" s="3"/>
      <c r="AC25" s="3"/>
      <c r="AD25" s="3"/>
      <c r="AE25" s="3"/>
      <c r="AF25" s="3"/>
      <c r="AG25" s="3"/>
    </row>
    <row r="26" spans="1:33" x14ac:dyDescent="0.25">
      <c r="A26" s="3"/>
      <c r="B26" s="83"/>
      <c r="C26" s="83"/>
      <c r="D26" s="3"/>
      <c r="E26" s="191"/>
      <c r="F26" s="189"/>
      <c r="G26" s="190"/>
      <c r="H26" s="3"/>
      <c r="I26" s="8" t="str">
        <f t="shared" si="1"/>
        <v/>
      </c>
      <c r="Y26" s="22" t="str">
        <f t="shared" si="0"/>
        <v/>
      </c>
      <c r="Z26" s="3"/>
      <c r="AA26" s="3"/>
      <c r="AB26" s="3"/>
      <c r="AC26" s="3"/>
      <c r="AD26" s="3"/>
      <c r="AE26" s="3"/>
      <c r="AF26" s="3"/>
      <c r="AG26" s="3"/>
    </row>
    <row r="27" spans="1:33" x14ac:dyDescent="0.25">
      <c r="A27" s="3"/>
      <c r="B27" s="83"/>
      <c r="C27" s="83"/>
      <c r="D27" s="3"/>
      <c r="E27" s="3"/>
      <c r="F27" s="3"/>
      <c r="G27" s="3"/>
      <c r="H27" s="3"/>
      <c r="I27" s="8" t="str">
        <f t="shared" si="1"/>
        <v/>
      </c>
      <c r="Y27" s="22" t="str">
        <f t="shared" si="0"/>
        <v/>
      </c>
      <c r="Z27" s="3"/>
      <c r="AA27" s="3"/>
      <c r="AB27" s="3"/>
      <c r="AC27" s="3"/>
      <c r="AD27" s="3"/>
      <c r="AE27" s="3"/>
      <c r="AF27" s="3"/>
      <c r="AG27" s="3"/>
    </row>
    <row r="28" spans="1:33" x14ac:dyDescent="0.25">
      <c r="A28" s="3"/>
      <c r="B28" s="83"/>
      <c r="C28" s="83"/>
      <c r="D28" s="3"/>
      <c r="E28" s="3"/>
      <c r="F28" s="3"/>
      <c r="G28" s="3"/>
      <c r="H28" s="3"/>
      <c r="I28" s="8" t="str">
        <f t="shared" si="1"/>
        <v/>
      </c>
      <c r="Y28" s="22" t="str">
        <f t="shared" si="0"/>
        <v/>
      </c>
      <c r="Z28" s="3"/>
      <c r="AA28" s="3"/>
      <c r="AB28" s="3"/>
      <c r="AC28" s="3"/>
      <c r="AD28" s="3"/>
      <c r="AE28" s="3"/>
      <c r="AF28" s="3"/>
      <c r="AG28" s="3"/>
    </row>
    <row r="29" spans="1:33" x14ac:dyDescent="0.25">
      <c r="A29" s="3"/>
      <c r="B29" s="83"/>
      <c r="C29" s="83"/>
      <c r="D29" s="3"/>
      <c r="E29" s="3"/>
      <c r="F29" s="3"/>
      <c r="G29" s="3"/>
      <c r="H29" s="3"/>
      <c r="I29" s="8" t="str">
        <f t="shared" si="1"/>
        <v/>
      </c>
      <c r="Y29" s="22" t="str">
        <f t="shared" si="0"/>
        <v/>
      </c>
      <c r="Z29" s="3"/>
      <c r="AA29" s="3"/>
      <c r="AB29" s="3"/>
      <c r="AC29" s="3"/>
      <c r="AD29" s="3"/>
      <c r="AE29" s="3"/>
      <c r="AF29" s="3"/>
      <c r="AG29" s="3"/>
    </row>
    <row r="30" spans="1:33" x14ac:dyDescent="0.25">
      <c r="A30" s="3"/>
      <c r="B30" s="83"/>
      <c r="C30" s="83"/>
      <c r="D30" s="3"/>
      <c r="E30" s="3"/>
      <c r="F30" s="3"/>
      <c r="G30" s="3"/>
      <c r="H30" s="3"/>
      <c r="I30" s="8" t="str">
        <f t="shared" si="1"/>
        <v/>
      </c>
      <c r="Y30" s="22" t="str">
        <f t="shared" si="0"/>
        <v/>
      </c>
      <c r="Z30" s="3"/>
      <c r="AA30" s="3"/>
      <c r="AB30" s="3"/>
      <c r="AC30" s="3"/>
      <c r="AD30" s="3"/>
      <c r="AE30" s="3"/>
      <c r="AF30" s="3"/>
      <c r="AG30" s="3"/>
    </row>
    <row r="31" spans="1:33" x14ac:dyDescent="0.25">
      <c r="A31" s="3"/>
      <c r="B31" s="83"/>
      <c r="C31" s="83"/>
      <c r="D31" s="3"/>
      <c r="E31" s="3"/>
      <c r="F31" s="3"/>
      <c r="G31" s="3"/>
      <c r="H31" s="3"/>
      <c r="I31" s="8" t="str">
        <f t="shared" si="1"/>
        <v/>
      </c>
      <c r="Y31" s="22" t="str">
        <f t="shared" si="0"/>
        <v/>
      </c>
      <c r="Z31" s="3"/>
      <c r="AA31" s="3"/>
      <c r="AB31" s="3"/>
      <c r="AC31" s="3"/>
      <c r="AD31" s="3"/>
      <c r="AE31" s="3"/>
      <c r="AF31" s="3"/>
      <c r="AG31" s="3"/>
    </row>
    <row r="32" spans="1:33" x14ac:dyDescent="0.25">
      <c r="A32" s="3"/>
      <c r="B32" s="83"/>
      <c r="C32" s="83"/>
      <c r="D32" s="3"/>
      <c r="E32" s="3"/>
      <c r="F32" s="3"/>
      <c r="G32" s="3"/>
      <c r="H32" s="3"/>
      <c r="I32" s="8" t="str">
        <f t="shared" si="1"/>
        <v/>
      </c>
      <c r="Y32" s="22" t="str">
        <f t="shared" si="0"/>
        <v/>
      </c>
      <c r="Z32" s="3"/>
      <c r="AA32" s="3"/>
      <c r="AB32" s="3"/>
      <c r="AC32" s="3"/>
      <c r="AD32" s="3"/>
      <c r="AE32" s="3"/>
      <c r="AF32" s="3"/>
      <c r="AG32" s="3"/>
    </row>
    <row r="33" spans="1:33" x14ac:dyDescent="0.25">
      <c r="A33" s="3"/>
      <c r="B33" s="83"/>
      <c r="C33" s="83"/>
      <c r="D33" s="3"/>
      <c r="E33" s="3"/>
      <c r="F33" s="3"/>
      <c r="G33" s="3"/>
      <c r="H33" s="3"/>
      <c r="I33" s="8" t="str">
        <f t="shared" si="1"/>
        <v/>
      </c>
      <c r="Y33" s="22" t="str">
        <f t="shared" si="0"/>
        <v/>
      </c>
      <c r="Z33" s="3"/>
      <c r="AA33" s="3"/>
      <c r="AB33" s="3"/>
      <c r="AC33" s="3"/>
      <c r="AD33" s="3"/>
      <c r="AE33" s="3"/>
      <c r="AF33" s="3"/>
      <c r="AG33" s="3"/>
    </row>
    <row r="34" spans="1:33" x14ac:dyDescent="0.25">
      <c r="A34" s="3"/>
      <c r="B34" s="83"/>
      <c r="C34" s="83"/>
      <c r="D34" s="3"/>
      <c r="E34" s="3"/>
      <c r="F34" s="3"/>
      <c r="G34" s="3"/>
      <c r="H34" s="3"/>
      <c r="I34" s="8" t="str">
        <f t="shared" si="1"/>
        <v/>
      </c>
      <c r="Y34" s="22" t="str">
        <f t="shared" si="0"/>
        <v/>
      </c>
      <c r="Z34" s="3"/>
      <c r="AA34" s="3"/>
      <c r="AB34" s="3"/>
      <c r="AC34" s="3"/>
      <c r="AD34" s="3"/>
      <c r="AE34" s="3"/>
      <c r="AF34" s="3"/>
      <c r="AG34" s="3"/>
    </row>
    <row r="35" spans="1:33" x14ac:dyDescent="0.25">
      <c r="A35" s="3"/>
      <c r="B35" s="83"/>
      <c r="C35" s="83"/>
      <c r="D35" s="3"/>
      <c r="E35" s="3"/>
      <c r="F35" s="3"/>
      <c r="G35" s="3"/>
      <c r="H35" s="3"/>
      <c r="I35" s="8" t="str">
        <f t="shared" si="1"/>
        <v/>
      </c>
      <c r="Y35" s="22" t="str">
        <f t="shared" si="0"/>
        <v/>
      </c>
      <c r="Z35" s="3"/>
      <c r="AA35" s="3"/>
      <c r="AB35" s="3"/>
      <c r="AC35" s="3"/>
      <c r="AD35" s="3"/>
      <c r="AE35" s="3"/>
      <c r="AF35" s="3"/>
      <c r="AG35" s="3"/>
    </row>
    <row r="36" spans="1:33" x14ac:dyDescent="0.25">
      <c r="A36" s="3"/>
      <c r="B36" s="83"/>
      <c r="C36" s="83"/>
      <c r="D36" s="3"/>
      <c r="E36" s="3"/>
      <c r="F36" s="3"/>
      <c r="G36" s="3"/>
      <c r="H36" s="3"/>
      <c r="I36" s="8" t="str">
        <f t="shared" si="1"/>
        <v/>
      </c>
      <c r="Y36" s="22" t="str">
        <f t="shared" si="0"/>
        <v/>
      </c>
      <c r="Z36" s="3"/>
      <c r="AA36" s="3"/>
      <c r="AB36" s="3"/>
      <c r="AC36" s="3"/>
      <c r="AD36" s="3"/>
      <c r="AE36" s="3"/>
      <c r="AF36" s="3"/>
      <c r="AG36" s="3"/>
    </row>
    <row r="37" spans="1:33" x14ac:dyDescent="0.25">
      <c r="A37" s="3"/>
      <c r="B37" s="3"/>
      <c r="C37" s="3"/>
      <c r="D37" s="3"/>
      <c r="E37" s="3"/>
      <c r="F37" s="3"/>
      <c r="G37" s="3"/>
      <c r="H37" s="3"/>
      <c r="I37" s="8" t="str">
        <f t="shared" si="1"/>
        <v/>
      </c>
      <c r="Y37" s="22" t="str">
        <f t="shared" si="0"/>
        <v/>
      </c>
      <c r="Z37" s="3"/>
      <c r="AA37" s="3"/>
      <c r="AB37" s="3"/>
      <c r="AC37" s="3"/>
      <c r="AD37" s="3"/>
      <c r="AE37" s="3"/>
      <c r="AF37" s="3"/>
      <c r="AG37" s="3"/>
    </row>
    <row r="38" spans="1:33" x14ac:dyDescent="0.25">
      <c r="A38" s="3"/>
      <c r="B38" s="3"/>
      <c r="C38" s="3"/>
      <c r="D38" s="3"/>
      <c r="E38" s="3"/>
      <c r="F38" s="3"/>
      <c r="G38" s="3"/>
      <c r="H38" s="3"/>
      <c r="I38" s="8" t="str">
        <f t="shared" si="1"/>
        <v/>
      </c>
      <c r="Y38" s="22" t="str">
        <f t="shared" si="0"/>
        <v/>
      </c>
      <c r="Z38" s="3"/>
      <c r="AA38" s="3"/>
      <c r="AB38" s="3"/>
      <c r="AC38" s="3"/>
      <c r="AD38" s="3"/>
      <c r="AE38" s="3"/>
      <c r="AF38" s="3"/>
      <c r="AG38" s="3"/>
    </row>
    <row r="39" spans="1:33" x14ac:dyDescent="0.25">
      <c r="I39" s="8" t="str">
        <f t="shared" si="1"/>
        <v/>
      </c>
      <c r="Y39" s="22" t="str">
        <f t="shared" si="0"/>
        <v/>
      </c>
    </row>
    <row r="40" spans="1:33" x14ac:dyDescent="0.25">
      <c r="I40" s="8" t="str">
        <f t="shared" si="1"/>
        <v/>
      </c>
      <c r="Y40" s="22" t="str">
        <f t="shared" si="0"/>
        <v/>
      </c>
    </row>
    <row r="41" spans="1:33" x14ac:dyDescent="0.25">
      <c r="I41" s="8" t="str">
        <f t="shared" si="1"/>
        <v/>
      </c>
      <c r="Y41" s="22" t="str">
        <f t="shared" si="0"/>
        <v/>
      </c>
    </row>
    <row r="42" spans="1:33" x14ac:dyDescent="0.25">
      <c r="I42" s="8" t="str">
        <f t="shared" si="1"/>
        <v/>
      </c>
      <c r="Y42" s="22" t="str">
        <f t="shared" si="0"/>
        <v/>
      </c>
    </row>
    <row r="43" spans="1:33" x14ac:dyDescent="0.25">
      <c r="I43" s="8" t="str">
        <f t="shared" si="1"/>
        <v/>
      </c>
      <c r="Y43" s="22" t="str">
        <f t="shared" si="0"/>
        <v/>
      </c>
    </row>
    <row r="44" spans="1:33" x14ac:dyDescent="0.25">
      <c r="I44" s="8" t="str">
        <f t="shared" si="1"/>
        <v/>
      </c>
      <c r="Y44" s="22" t="str">
        <f t="shared" si="0"/>
        <v/>
      </c>
    </row>
    <row r="45" spans="1:33" x14ac:dyDescent="0.25">
      <c r="I45" s="8" t="str">
        <f t="shared" si="1"/>
        <v/>
      </c>
      <c r="Y45" s="22" t="str">
        <f t="shared" si="0"/>
        <v/>
      </c>
    </row>
    <row r="46" spans="1:33" x14ac:dyDescent="0.25">
      <c r="I46" s="8" t="str">
        <f t="shared" si="1"/>
        <v/>
      </c>
      <c r="Y46" s="22" t="str">
        <f t="shared" si="0"/>
        <v/>
      </c>
    </row>
    <row r="47" spans="1:33" x14ac:dyDescent="0.25">
      <c r="I47" s="8" t="str">
        <f t="shared" si="1"/>
        <v/>
      </c>
      <c r="Y47" s="22" t="str">
        <f t="shared" si="0"/>
        <v/>
      </c>
    </row>
    <row r="48" spans="1:33" x14ac:dyDescent="0.25">
      <c r="I48" s="8" t="str">
        <f t="shared" si="1"/>
        <v/>
      </c>
      <c r="Y48" s="22" t="str">
        <f t="shared" si="0"/>
        <v/>
      </c>
    </row>
    <row r="49" spans="9:25" x14ac:dyDescent="0.25">
      <c r="I49" s="8" t="str">
        <f t="shared" si="1"/>
        <v/>
      </c>
      <c r="Y49" s="22" t="str">
        <f t="shared" si="0"/>
        <v/>
      </c>
    </row>
    <row r="50" spans="9:25" x14ac:dyDescent="0.25">
      <c r="I50" s="8" t="str">
        <f t="shared" si="1"/>
        <v/>
      </c>
      <c r="Y50" s="22" t="str">
        <f t="shared" si="0"/>
        <v/>
      </c>
    </row>
    <row r="51" spans="9:25" x14ac:dyDescent="0.25">
      <c r="I51" s="8" t="str">
        <f t="shared" si="1"/>
        <v/>
      </c>
      <c r="Y51" s="22" t="str">
        <f t="shared" si="0"/>
        <v/>
      </c>
    </row>
    <row r="52" spans="9:25" x14ac:dyDescent="0.25">
      <c r="I52" s="8" t="str">
        <f t="shared" si="1"/>
        <v/>
      </c>
      <c r="Y52" s="22" t="str">
        <f t="shared" si="0"/>
        <v/>
      </c>
    </row>
    <row r="53" spans="9:25" x14ac:dyDescent="0.25">
      <c r="I53" s="8" t="str">
        <f t="shared" si="1"/>
        <v/>
      </c>
      <c r="Y53" s="22" t="str">
        <f t="shared" si="0"/>
        <v/>
      </c>
    </row>
    <row r="54" spans="9:25" x14ac:dyDescent="0.25">
      <c r="I54" s="8" t="str">
        <f t="shared" si="1"/>
        <v/>
      </c>
      <c r="Y54" s="22" t="str">
        <f t="shared" si="0"/>
        <v/>
      </c>
    </row>
    <row r="55" spans="9:25" x14ac:dyDescent="0.25">
      <c r="I55" s="8" t="str">
        <f t="shared" si="1"/>
        <v/>
      </c>
      <c r="Y55" s="22" t="str">
        <f t="shared" si="0"/>
        <v/>
      </c>
    </row>
    <row r="56" spans="9:25" x14ac:dyDescent="0.25">
      <c r="I56" s="8" t="str">
        <f t="shared" si="1"/>
        <v/>
      </c>
      <c r="Y56" s="22" t="str">
        <f t="shared" si="0"/>
        <v/>
      </c>
    </row>
    <row r="57" spans="9:25" x14ac:dyDescent="0.25">
      <c r="I57" s="8" t="str">
        <f t="shared" si="1"/>
        <v/>
      </c>
      <c r="Y57" s="22" t="str">
        <f t="shared" si="0"/>
        <v/>
      </c>
    </row>
    <row r="58" spans="9:25" x14ac:dyDescent="0.25">
      <c r="I58" s="8" t="str">
        <f t="shared" si="1"/>
        <v/>
      </c>
      <c r="Y58" s="22" t="str">
        <f t="shared" si="0"/>
        <v/>
      </c>
    </row>
    <row r="59" spans="9:25" x14ac:dyDescent="0.25">
      <c r="I59" s="8" t="str">
        <f t="shared" si="1"/>
        <v/>
      </c>
      <c r="Y59" s="22" t="str">
        <f t="shared" si="0"/>
        <v/>
      </c>
    </row>
    <row r="60" spans="9:25" x14ac:dyDescent="0.25">
      <c r="I60" s="8" t="str">
        <f t="shared" si="1"/>
        <v/>
      </c>
      <c r="Y60" s="22" t="str">
        <f t="shared" si="0"/>
        <v/>
      </c>
    </row>
    <row r="61" spans="9:25" x14ac:dyDescent="0.25">
      <c r="I61" s="8" t="str">
        <f t="shared" si="1"/>
        <v/>
      </c>
      <c r="Y61" s="22" t="str">
        <f t="shared" si="0"/>
        <v/>
      </c>
    </row>
    <row r="62" spans="9:25" x14ac:dyDescent="0.25">
      <c r="I62" s="8" t="str">
        <f t="shared" si="1"/>
        <v/>
      </c>
      <c r="Y62" s="22" t="str">
        <f t="shared" si="0"/>
        <v/>
      </c>
    </row>
    <row r="63" spans="9:25" x14ac:dyDescent="0.25">
      <c r="I63" s="8" t="str">
        <f t="shared" si="1"/>
        <v/>
      </c>
      <c r="Y63" s="22" t="str">
        <f t="shared" si="0"/>
        <v/>
      </c>
    </row>
    <row r="64" spans="9:25" x14ac:dyDescent="0.25">
      <c r="I64" s="8" t="str">
        <f t="shared" si="1"/>
        <v/>
      </c>
      <c r="Y64" s="22" t="str">
        <f t="shared" si="0"/>
        <v/>
      </c>
    </row>
    <row r="65" spans="9:25" x14ac:dyDescent="0.25">
      <c r="I65" s="8" t="str">
        <f t="shared" si="1"/>
        <v/>
      </c>
      <c r="Y65" s="22" t="str">
        <f t="shared" si="0"/>
        <v/>
      </c>
    </row>
    <row r="66" spans="9:25" x14ac:dyDescent="0.25">
      <c r="I66" s="8" t="str">
        <f t="shared" si="1"/>
        <v/>
      </c>
      <c r="Y66" s="22" t="str">
        <f t="shared" si="0"/>
        <v/>
      </c>
    </row>
    <row r="67" spans="9:25" x14ac:dyDescent="0.25">
      <c r="I67" s="8" t="str">
        <f t="shared" si="1"/>
        <v/>
      </c>
      <c r="Y67" s="22" t="str">
        <f t="shared" si="0"/>
        <v/>
      </c>
    </row>
    <row r="68" spans="9:25" x14ac:dyDescent="0.25">
      <c r="I68" s="8" t="str">
        <f t="shared" si="1"/>
        <v/>
      </c>
      <c r="Y68" s="22" t="str">
        <f t="shared" ref="Y68:Y117" si="2">IF(J68&gt;0,SUM(J68-K68-L68-M68-N68-O68-P68-Q68-R68-S68-T68-U68-V68-X68+W68),"")</f>
        <v/>
      </c>
    </row>
    <row r="69" spans="9:25" x14ac:dyDescent="0.25">
      <c r="I69" s="8" t="str">
        <f t="shared" ref="I69:I132" si="3">IFERROR($I68+$G$2,"")</f>
        <v/>
      </c>
      <c r="Y69" s="22" t="str">
        <f t="shared" si="2"/>
        <v/>
      </c>
    </row>
    <row r="70" spans="9:25" x14ac:dyDescent="0.25">
      <c r="I70" s="8" t="str">
        <f t="shared" si="3"/>
        <v/>
      </c>
      <c r="Y70" s="22" t="str">
        <f t="shared" si="2"/>
        <v/>
      </c>
    </row>
    <row r="71" spans="9:25" x14ac:dyDescent="0.25">
      <c r="I71" s="8" t="str">
        <f t="shared" si="3"/>
        <v/>
      </c>
      <c r="Y71" s="22" t="str">
        <f t="shared" si="2"/>
        <v/>
      </c>
    </row>
    <row r="72" spans="9:25" x14ac:dyDescent="0.25">
      <c r="I72" s="8" t="str">
        <f t="shared" si="3"/>
        <v/>
      </c>
      <c r="Y72" s="22" t="str">
        <f t="shared" si="2"/>
        <v/>
      </c>
    </row>
    <row r="73" spans="9:25" x14ac:dyDescent="0.25">
      <c r="I73" s="8" t="str">
        <f t="shared" si="3"/>
        <v/>
      </c>
      <c r="Y73" s="22" t="str">
        <f t="shared" si="2"/>
        <v/>
      </c>
    </row>
    <row r="74" spans="9:25" x14ac:dyDescent="0.25">
      <c r="I74" s="8" t="str">
        <f t="shared" si="3"/>
        <v/>
      </c>
      <c r="Y74" s="22" t="str">
        <f t="shared" si="2"/>
        <v/>
      </c>
    </row>
    <row r="75" spans="9:25" x14ac:dyDescent="0.25">
      <c r="I75" s="8" t="str">
        <f t="shared" si="3"/>
        <v/>
      </c>
      <c r="Y75" s="22" t="str">
        <f t="shared" si="2"/>
        <v/>
      </c>
    </row>
    <row r="76" spans="9:25" x14ac:dyDescent="0.25">
      <c r="I76" s="8" t="str">
        <f t="shared" si="3"/>
        <v/>
      </c>
      <c r="Y76" s="22" t="str">
        <f t="shared" si="2"/>
        <v/>
      </c>
    </row>
    <row r="77" spans="9:25" x14ac:dyDescent="0.25">
      <c r="I77" s="8" t="str">
        <f t="shared" si="3"/>
        <v/>
      </c>
      <c r="Y77" s="22" t="str">
        <f t="shared" si="2"/>
        <v/>
      </c>
    </row>
    <row r="78" spans="9:25" x14ac:dyDescent="0.25">
      <c r="I78" s="8" t="str">
        <f t="shared" si="3"/>
        <v/>
      </c>
      <c r="Y78" s="22" t="str">
        <f t="shared" si="2"/>
        <v/>
      </c>
    </row>
    <row r="79" spans="9:25" x14ac:dyDescent="0.25">
      <c r="I79" s="8" t="str">
        <f t="shared" si="3"/>
        <v/>
      </c>
      <c r="Y79" s="22" t="str">
        <f t="shared" si="2"/>
        <v/>
      </c>
    </row>
    <row r="80" spans="9:25" x14ac:dyDescent="0.25">
      <c r="I80" s="8" t="str">
        <f t="shared" si="3"/>
        <v/>
      </c>
      <c r="Y80" s="22" t="str">
        <f t="shared" si="2"/>
        <v/>
      </c>
    </row>
    <row r="81" spans="9:25" x14ac:dyDescent="0.25">
      <c r="I81" s="8" t="str">
        <f t="shared" si="3"/>
        <v/>
      </c>
      <c r="Y81" s="22" t="str">
        <f t="shared" si="2"/>
        <v/>
      </c>
    </row>
    <row r="82" spans="9:25" x14ac:dyDescent="0.25">
      <c r="I82" s="8" t="str">
        <f t="shared" si="3"/>
        <v/>
      </c>
      <c r="Y82" s="22" t="str">
        <f t="shared" si="2"/>
        <v/>
      </c>
    </row>
    <row r="83" spans="9:25" x14ac:dyDescent="0.25">
      <c r="I83" s="8" t="str">
        <f t="shared" si="3"/>
        <v/>
      </c>
      <c r="Y83" s="22" t="str">
        <f t="shared" si="2"/>
        <v/>
      </c>
    </row>
    <row r="84" spans="9:25" x14ac:dyDescent="0.25">
      <c r="I84" s="8" t="str">
        <f t="shared" si="3"/>
        <v/>
      </c>
      <c r="Y84" s="22" t="str">
        <f t="shared" si="2"/>
        <v/>
      </c>
    </row>
    <row r="85" spans="9:25" x14ac:dyDescent="0.25">
      <c r="I85" s="8" t="str">
        <f t="shared" si="3"/>
        <v/>
      </c>
      <c r="Y85" s="22" t="str">
        <f t="shared" si="2"/>
        <v/>
      </c>
    </row>
    <row r="86" spans="9:25" x14ac:dyDescent="0.25">
      <c r="I86" s="8" t="str">
        <f t="shared" si="3"/>
        <v/>
      </c>
      <c r="Y86" s="22" t="str">
        <f t="shared" si="2"/>
        <v/>
      </c>
    </row>
    <row r="87" spans="9:25" x14ac:dyDescent="0.25">
      <c r="I87" s="8" t="str">
        <f t="shared" si="3"/>
        <v/>
      </c>
      <c r="Y87" s="22" t="str">
        <f t="shared" si="2"/>
        <v/>
      </c>
    </row>
    <row r="88" spans="9:25" x14ac:dyDescent="0.25">
      <c r="I88" s="8" t="str">
        <f t="shared" si="3"/>
        <v/>
      </c>
      <c r="Y88" s="22" t="str">
        <f t="shared" si="2"/>
        <v/>
      </c>
    </row>
    <row r="89" spans="9:25" x14ac:dyDescent="0.25">
      <c r="I89" s="8" t="str">
        <f t="shared" si="3"/>
        <v/>
      </c>
      <c r="Y89" s="22" t="str">
        <f t="shared" si="2"/>
        <v/>
      </c>
    </row>
    <row r="90" spans="9:25" x14ac:dyDescent="0.25">
      <c r="I90" s="8" t="str">
        <f t="shared" si="3"/>
        <v/>
      </c>
      <c r="Y90" s="22" t="str">
        <f t="shared" si="2"/>
        <v/>
      </c>
    </row>
    <row r="91" spans="9:25" x14ac:dyDescent="0.25">
      <c r="I91" s="8" t="str">
        <f t="shared" si="3"/>
        <v/>
      </c>
      <c r="Y91" s="22" t="str">
        <f t="shared" si="2"/>
        <v/>
      </c>
    </row>
    <row r="92" spans="9:25" x14ac:dyDescent="0.25">
      <c r="I92" s="8" t="str">
        <f t="shared" si="3"/>
        <v/>
      </c>
      <c r="Y92" s="22" t="str">
        <f t="shared" si="2"/>
        <v/>
      </c>
    </row>
    <row r="93" spans="9:25" x14ac:dyDescent="0.25">
      <c r="I93" s="8" t="str">
        <f t="shared" si="3"/>
        <v/>
      </c>
      <c r="Y93" s="22" t="str">
        <f t="shared" si="2"/>
        <v/>
      </c>
    </row>
    <row r="94" spans="9:25" x14ac:dyDescent="0.25">
      <c r="I94" s="8" t="str">
        <f t="shared" si="3"/>
        <v/>
      </c>
      <c r="Y94" s="22" t="str">
        <f t="shared" si="2"/>
        <v/>
      </c>
    </row>
    <row r="95" spans="9:25" x14ac:dyDescent="0.25">
      <c r="I95" s="8" t="str">
        <f t="shared" si="3"/>
        <v/>
      </c>
      <c r="Y95" s="22" t="str">
        <f t="shared" si="2"/>
        <v/>
      </c>
    </row>
    <row r="96" spans="9:25" x14ac:dyDescent="0.25">
      <c r="I96" s="8" t="str">
        <f t="shared" si="3"/>
        <v/>
      </c>
      <c r="Y96" s="22" t="str">
        <f t="shared" si="2"/>
        <v/>
      </c>
    </row>
    <row r="97" spans="9:25" x14ac:dyDescent="0.25">
      <c r="I97" s="8" t="str">
        <f t="shared" si="3"/>
        <v/>
      </c>
      <c r="Y97" s="22" t="str">
        <f t="shared" si="2"/>
        <v/>
      </c>
    </row>
    <row r="98" spans="9:25" x14ac:dyDescent="0.25">
      <c r="I98" s="8" t="str">
        <f t="shared" si="3"/>
        <v/>
      </c>
      <c r="Y98" s="22" t="str">
        <f t="shared" si="2"/>
        <v/>
      </c>
    </row>
    <row r="99" spans="9:25" x14ac:dyDescent="0.25">
      <c r="I99" s="8" t="str">
        <f t="shared" si="3"/>
        <v/>
      </c>
      <c r="Y99" s="22" t="str">
        <f t="shared" si="2"/>
        <v/>
      </c>
    </row>
    <row r="100" spans="9:25" x14ac:dyDescent="0.25">
      <c r="I100" s="8" t="str">
        <f t="shared" si="3"/>
        <v/>
      </c>
      <c r="Y100" s="22" t="str">
        <f t="shared" si="2"/>
        <v/>
      </c>
    </row>
    <row r="101" spans="9:25" x14ac:dyDescent="0.25">
      <c r="I101" s="8" t="str">
        <f t="shared" si="3"/>
        <v/>
      </c>
      <c r="Y101" s="22" t="str">
        <f t="shared" si="2"/>
        <v/>
      </c>
    </row>
    <row r="102" spans="9:25" x14ac:dyDescent="0.25">
      <c r="I102" s="8" t="str">
        <f t="shared" si="3"/>
        <v/>
      </c>
      <c r="Y102" s="22" t="str">
        <f t="shared" si="2"/>
        <v/>
      </c>
    </row>
    <row r="103" spans="9:25" x14ac:dyDescent="0.25">
      <c r="I103" s="8" t="str">
        <f t="shared" si="3"/>
        <v/>
      </c>
      <c r="Y103" s="22" t="str">
        <f t="shared" si="2"/>
        <v/>
      </c>
    </row>
    <row r="104" spans="9:25" x14ac:dyDescent="0.25">
      <c r="I104" s="8" t="str">
        <f t="shared" si="3"/>
        <v/>
      </c>
      <c r="Y104" s="22" t="str">
        <f t="shared" si="2"/>
        <v/>
      </c>
    </row>
    <row r="105" spans="9:25" x14ac:dyDescent="0.25">
      <c r="I105" s="8" t="str">
        <f t="shared" si="3"/>
        <v/>
      </c>
      <c r="Y105" s="22" t="str">
        <f t="shared" si="2"/>
        <v/>
      </c>
    </row>
    <row r="106" spans="9:25" x14ac:dyDescent="0.25">
      <c r="I106" s="8" t="str">
        <f t="shared" si="3"/>
        <v/>
      </c>
      <c r="Y106" s="22" t="str">
        <f t="shared" si="2"/>
        <v/>
      </c>
    </row>
    <row r="107" spans="9:25" x14ac:dyDescent="0.25">
      <c r="I107" s="8" t="str">
        <f t="shared" si="3"/>
        <v/>
      </c>
      <c r="Y107" s="22" t="str">
        <f t="shared" si="2"/>
        <v/>
      </c>
    </row>
    <row r="108" spans="9:25" x14ac:dyDescent="0.25">
      <c r="I108" s="8" t="str">
        <f t="shared" si="3"/>
        <v/>
      </c>
      <c r="Y108" s="22" t="str">
        <f t="shared" si="2"/>
        <v/>
      </c>
    </row>
    <row r="109" spans="9:25" x14ac:dyDescent="0.25">
      <c r="I109" s="8" t="str">
        <f t="shared" si="3"/>
        <v/>
      </c>
      <c r="Y109" s="22" t="str">
        <f t="shared" si="2"/>
        <v/>
      </c>
    </row>
    <row r="110" spans="9:25" x14ac:dyDescent="0.25">
      <c r="I110" s="8" t="str">
        <f t="shared" si="3"/>
        <v/>
      </c>
      <c r="Y110" s="22" t="str">
        <f t="shared" si="2"/>
        <v/>
      </c>
    </row>
    <row r="111" spans="9:25" x14ac:dyDescent="0.25">
      <c r="I111" s="8" t="str">
        <f t="shared" si="3"/>
        <v/>
      </c>
      <c r="Y111" s="22" t="str">
        <f t="shared" si="2"/>
        <v/>
      </c>
    </row>
    <row r="112" spans="9:25" x14ac:dyDescent="0.25">
      <c r="I112" s="8" t="str">
        <f t="shared" si="3"/>
        <v/>
      </c>
      <c r="Y112" s="22" t="str">
        <f t="shared" si="2"/>
        <v/>
      </c>
    </row>
    <row r="113" spans="9:25" x14ac:dyDescent="0.25">
      <c r="I113" s="8" t="str">
        <f t="shared" si="3"/>
        <v/>
      </c>
      <c r="Y113" s="22" t="str">
        <f t="shared" si="2"/>
        <v/>
      </c>
    </row>
    <row r="114" spans="9:25" x14ac:dyDescent="0.25">
      <c r="I114" s="8" t="str">
        <f t="shared" si="3"/>
        <v/>
      </c>
      <c r="Y114" s="22" t="str">
        <f t="shared" si="2"/>
        <v/>
      </c>
    </row>
    <row r="115" spans="9:25" x14ac:dyDescent="0.25">
      <c r="I115" s="8" t="str">
        <f t="shared" si="3"/>
        <v/>
      </c>
      <c r="Y115" s="22" t="str">
        <f t="shared" si="2"/>
        <v/>
      </c>
    </row>
    <row r="116" spans="9:25" x14ac:dyDescent="0.25">
      <c r="I116" s="8" t="str">
        <f t="shared" si="3"/>
        <v/>
      </c>
      <c r="Y116" s="22" t="str">
        <f t="shared" si="2"/>
        <v/>
      </c>
    </row>
    <row r="117" spans="9:25" x14ac:dyDescent="0.25">
      <c r="I117" s="8" t="str">
        <f t="shared" si="3"/>
        <v/>
      </c>
      <c r="Y117" s="22" t="str">
        <f t="shared" si="2"/>
        <v/>
      </c>
    </row>
    <row r="118" spans="9:25" x14ac:dyDescent="0.25">
      <c r="I118" s="8" t="str">
        <f t="shared" si="3"/>
        <v/>
      </c>
    </row>
    <row r="119" spans="9:25" x14ac:dyDescent="0.25">
      <c r="I119" s="8" t="str">
        <f t="shared" si="3"/>
        <v/>
      </c>
    </row>
    <row r="120" spans="9:25" x14ac:dyDescent="0.25">
      <c r="I120" s="8" t="str">
        <f t="shared" si="3"/>
        <v/>
      </c>
    </row>
    <row r="121" spans="9:25" x14ac:dyDescent="0.25">
      <c r="I121" s="8" t="str">
        <f t="shared" si="3"/>
        <v/>
      </c>
    </row>
    <row r="122" spans="9:25" x14ac:dyDescent="0.25">
      <c r="I122" s="8" t="str">
        <f t="shared" si="3"/>
        <v/>
      </c>
    </row>
    <row r="123" spans="9:25" x14ac:dyDescent="0.25">
      <c r="I123" s="8" t="str">
        <f t="shared" si="3"/>
        <v/>
      </c>
    </row>
    <row r="124" spans="9:25" x14ac:dyDescent="0.25">
      <c r="I124" s="8" t="str">
        <f t="shared" si="3"/>
        <v/>
      </c>
    </row>
    <row r="125" spans="9:25" x14ac:dyDescent="0.25">
      <c r="I125" s="8" t="str">
        <f t="shared" si="3"/>
        <v/>
      </c>
    </row>
    <row r="126" spans="9:25" x14ac:dyDescent="0.25">
      <c r="I126" s="8" t="str">
        <f t="shared" si="3"/>
        <v/>
      </c>
    </row>
    <row r="127" spans="9:25" x14ac:dyDescent="0.25">
      <c r="I127" s="8" t="str">
        <f t="shared" si="3"/>
        <v/>
      </c>
    </row>
    <row r="128" spans="9:25" x14ac:dyDescent="0.25">
      <c r="I128" s="8" t="str">
        <f t="shared" si="3"/>
        <v/>
      </c>
    </row>
    <row r="129" spans="9:9" x14ac:dyDescent="0.25">
      <c r="I129" s="8" t="str">
        <f t="shared" si="3"/>
        <v/>
      </c>
    </row>
    <row r="130" spans="9:9" x14ac:dyDescent="0.25">
      <c r="I130" s="8" t="str">
        <f t="shared" si="3"/>
        <v/>
      </c>
    </row>
    <row r="131" spans="9:9" x14ac:dyDescent="0.25">
      <c r="I131" s="8" t="str">
        <f t="shared" si="3"/>
        <v/>
      </c>
    </row>
    <row r="132" spans="9:9" x14ac:dyDescent="0.25">
      <c r="I132" s="8" t="str">
        <f t="shared" si="3"/>
        <v/>
      </c>
    </row>
    <row r="133" spans="9:9" x14ac:dyDescent="0.25">
      <c r="I133" s="8" t="str">
        <f t="shared" ref="I133:I196" si="4">IFERROR($I132+$G$2,"")</f>
        <v/>
      </c>
    </row>
    <row r="134" spans="9:9" x14ac:dyDescent="0.25">
      <c r="I134" s="8" t="str">
        <f t="shared" si="4"/>
        <v/>
      </c>
    </row>
    <row r="135" spans="9:9" x14ac:dyDescent="0.25">
      <c r="I135" s="8" t="str">
        <f t="shared" si="4"/>
        <v/>
      </c>
    </row>
    <row r="136" spans="9:9" x14ac:dyDescent="0.25">
      <c r="I136" s="8" t="str">
        <f t="shared" si="4"/>
        <v/>
      </c>
    </row>
    <row r="137" spans="9:9" x14ac:dyDescent="0.25">
      <c r="I137" s="8" t="str">
        <f t="shared" si="4"/>
        <v/>
      </c>
    </row>
    <row r="138" spans="9:9" x14ac:dyDescent="0.25">
      <c r="I138" s="8" t="str">
        <f t="shared" si="4"/>
        <v/>
      </c>
    </row>
    <row r="139" spans="9:9" x14ac:dyDescent="0.25">
      <c r="I139" s="8" t="str">
        <f t="shared" si="4"/>
        <v/>
      </c>
    </row>
    <row r="140" spans="9:9" x14ac:dyDescent="0.25">
      <c r="I140" s="8" t="str">
        <f t="shared" si="4"/>
        <v/>
      </c>
    </row>
    <row r="141" spans="9:9" x14ac:dyDescent="0.25">
      <c r="I141" s="8" t="str">
        <f t="shared" si="4"/>
        <v/>
      </c>
    </row>
    <row r="142" spans="9:9" x14ac:dyDescent="0.25">
      <c r="I142" s="8" t="str">
        <f t="shared" si="4"/>
        <v/>
      </c>
    </row>
    <row r="143" spans="9:9" x14ac:dyDescent="0.25">
      <c r="I143" s="8" t="str">
        <f t="shared" si="4"/>
        <v/>
      </c>
    </row>
    <row r="144" spans="9:9" x14ac:dyDescent="0.25">
      <c r="I144" s="8" t="str">
        <f t="shared" si="4"/>
        <v/>
      </c>
    </row>
    <row r="145" spans="9:9" x14ac:dyDescent="0.25">
      <c r="I145" s="8" t="str">
        <f t="shared" si="4"/>
        <v/>
      </c>
    </row>
    <row r="146" spans="9:9" x14ac:dyDescent="0.25">
      <c r="I146" s="8" t="str">
        <f t="shared" si="4"/>
        <v/>
      </c>
    </row>
    <row r="147" spans="9:9" x14ac:dyDescent="0.25">
      <c r="I147" s="8" t="str">
        <f t="shared" si="4"/>
        <v/>
      </c>
    </row>
    <row r="148" spans="9:9" x14ac:dyDescent="0.25">
      <c r="I148" s="8" t="str">
        <f t="shared" si="4"/>
        <v/>
      </c>
    </row>
    <row r="149" spans="9:9" x14ac:dyDescent="0.25">
      <c r="I149" s="8" t="str">
        <f t="shared" si="4"/>
        <v/>
      </c>
    </row>
    <row r="150" spans="9:9" x14ac:dyDescent="0.25">
      <c r="I150" s="8" t="str">
        <f t="shared" si="4"/>
        <v/>
      </c>
    </row>
    <row r="151" spans="9:9" x14ac:dyDescent="0.25">
      <c r="I151" s="8" t="str">
        <f t="shared" si="4"/>
        <v/>
      </c>
    </row>
    <row r="152" spans="9:9" x14ac:dyDescent="0.25">
      <c r="I152" s="8" t="str">
        <f t="shared" si="4"/>
        <v/>
      </c>
    </row>
    <row r="153" spans="9:9" x14ac:dyDescent="0.25">
      <c r="I153" s="8" t="str">
        <f t="shared" si="4"/>
        <v/>
      </c>
    </row>
    <row r="154" spans="9:9" x14ac:dyDescent="0.25">
      <c r="I154" s="8" t="str">
        <f t="shared" si="4"/>
        <v/>
      </c>
    </row>
    <row r="155" spans="9:9" x14ac:dyDescent="0.25">
      <c r="I155" s="8" t="str">
        <f t="shared" si="4"/>
        <v/>
      </c>
    </row>
    <row r="156" spans="9:9" x14ac:dyDescent="0.25">
      <c r="I156" s="8" t="str">
        <f t="shared" si="4"/>
        <v/>
      </c>
    </row>
    <row r="157" spans="9:9" x14ac:dyDescent="0.25">
      <c r="I157" s="8" t="str">
        <f t="shared" si="4"/>
        <v/>
      </c>
    </row>
    <row r="158" spans="9:9" x14ac:dyDescent="0.25">
      <c r="I158" s="8" t="str">
        <f t="shared" si="4"/>
        <v/>
      </c>
    </row>
    <row r="159" spans="9:9" x14ac:dyDescent="0.25">
      <c r="I159" s="8" t="str">
        <f t="shared" si="4"/>
        <v/>
      </c>
    </row>
    <row r="160" spans="9:9" x14ac:dyDescent="0.25">
      <c r="I160" s="8" t="str">
        <f t="shared" si="4"/>
        <v/>
      </c>
    </row>
    <row r="161" spans="9:9" x14ac:dyDescent="0.25">
      <c r="I161" s="8" t="str">
        <f t="shared" si="4"/>
        <v/>
      </c>
    </row>
    <row r="162" spans="9:9" x14ac:dyDescent="0.25">
      <c r="I162" s="8" t="str">
        <f t="shared" si="4"/>
        <v/>
      </c>
    </row>
    <row r="163" spans="9:9" x14ac:dyDescent="0.25">
      <c r="I163" s="8" t="str">
        <f t="shared" si="4"/>
        <v/>
      </c>
    </row>
    <row r="164" spans="9:9" x14ac:dyDescent="0.25">
      <c r="I164" s="8" t="str">
        <f t="shared" si="4"/>
        <v/>
      </c>
    </row>
    <row r="165" spans="9:9" x14ac:dyDescent="0.25">
      <c r="I165" s="8" t="str">
        <f t="shared" si="4"/>
        <v/>
      </c>
    </row>
    <row r="166" spans="9:9" x14ac:dyDescent="0.25">
      <c r="I166" s="8" t="str">
        <f t="shared" si="4"/>
        <v/>
      </c>
    </row>
    <row r="167" spans="9:9" x14ac:dyDescent="0.25">
      <c r="I167" s="8" t="str">
        <f t="shared" si="4"/>
        <v/>
      </c>
    </row>
    <row r="168" spans="9:9" x14ac:dyDescent="0.25">
      <c r="I168" s="8" t="str">
        <f t="shared" si="4"/>
        <v/>
      </c>
    </row>
    <row r="169" spans="9:9" x14ac:dyDescent="0.25">
      <c r="I169" s="8" t="str">
        <f t="shared" si="4"/>
        <v/>
      </c>
    </row>
    <row r="170" spans="9:9" x14ac:dyDescent="0.25">
      <c r="I170" s="8" t="str">
        <f t="shared" si="4"/>
        <v/>
      </c>
    </row>
    <row r="171" spans="9:9" x14ac:dyDescent="0.25">
      <c r="I171" s="8" t="str">
        <f t="shared" si="4"/>
        <v/>
      </c>
    </row>
    <row r="172" spans="9:9" x14ac:dyDescent="0.25">
      <c r="I172" s="8" t="str">
        <f t="shared" si="4"/>
        <v/>
      </c>
    </row>
    <row r="173" spans="9:9" x14ac:dyDescent="0.25">
      <c r="I173" s="8" t="str">
        <f t="shared" si="4"/>
        <v/>
      </c>
    </row>
    <row r="174" spans="9:9" x14ac:dyDescent="0.25">
      <c r="I174" s="8" t="str">
        <f t="shared" si="4"/>
        <v/>
      </c>
    </row>
    <row r="175" spans="9:9" x14ac:dyDescent="0.25">
      <c r="I175" s="8" t="str">
        <f t="shared" si="4"/>
        <v/>
      </c>
    </row>
    <row r="176" spans="9:9" x14ac:dyDescent="0.25">
      <c r="I176" s="8" t="str">
        <f t="shared" si="4"/>
        <v/>
      </c>
    </row>
    <row r="177" spans="9:9" x14ac:dyDescent="0.25">
      <c r="I177" s="8" t="str">
        <f t="shared" si="4"/>
        <v/>
      </c>
    </row>
    <row r="178" spans="9:9" x14ac:dyDescent="0.25">
      <c r="I178" s="8" t="str">
        <f t="shared" si="4"/>
        <v/>
      </c>
    </row>
    <row r="179" spans="9:9" x14ac:dyDescent="0.25">
      <c r="I179" s="8" t="str">
        <f t="shared" si="4"/>
        <v/>
      </c>
    </row>
    <row r="180" spans="9:9" x14ac:dyDescent="0.25">
      <c r="I180" s="8" t="str">
        <f t="shared" si="4"/>
        <v/>
      </c>
    </row>
    <row r="181" spans="9:9" x14ac:dyDescent="0.25">
      <c r="I181" s="8" t="str">
        <f t="shared" si="4"/>
        <v/>
      </c>
    </row>
    <row r="182" spans="9:9" x14ac:dyDescent="0.25">
      <c r="I182" s="8" t="str">
        <f t="shared" si="4"/>
        <v/>
      </c>
    </row>
    <row r="183" spans="9:9" x14ac:dyDescent="0.25">
      <c r="I183" s="8" t="str">
        <f t="shared" si="4"/>
        <v/>
      </c>
    </row>
    <row r="184" spans="9:9" x14ac:dyDescent="0.25">
      <c r="I184" s="8" t="str">
        <f t="shared" si="4"/>
        <v/>
      </c>
    </row>
    <row r="185" spans="9:9" x14ac:dyDescent="0.25">
      <c r="I185" s="8" t="str">
        <f t="shared" si="4"/>
        <v/>
      </c>
    </row>
    <row r="186" spans="9:9" x14ac:dyDescent="0.25">
      <c r="I186" s="8" t="str">
        <f t="shared" si="4"/>
        <v/>
      </c>
    </row>
    <row r="187" spans="9:9" x14ac:dyDescent="0.25">
      <c r="I187" s="8" t="str">
        <f t="shared" si="4"/>
        <v/>
      </c>
    </row>
    <row r="188" spans="9:9" x14ac:dyDescent="0.25">
      <c r="I188" s="8" t="str">
        <f t="shared" si="4"/>
        <v/>
      </c>
    </row>
    <row r="189" spans="9:9" x14ac:dyDescent="0.25">
      <c r="I189" s="8" t="str">
        <f t="shared" si="4"/>
        <v/>
      </c>
    </row>
    <row r="190" spans="9:9" x14ac:dyDescent="0.25">
      <c r="I190" s="8" t="str">
        <f t="shared" si="4"/>
        <v/>
      </c>
    </row>
    <row r="191" spans="9:9" x14ac:dyDescent="0.25">
      <c r="I191" s="8" t="str">
        <f t="shared" si="4"/>
        <v/>
      </c>
    </row>
    <row r="192" spans="9:9" x14ac:dyDescent="0.25">
      <c r="I192" s="8" t="str">
        <f t="shared" si="4"/>
        <v/>
      </c>
    </row>
    <row r="193" spans="9:9" x14ac:dyDescent="0.25">
      <c r="I193" s="8" t="str">
        <f t="shared" si="4"/>
        <v/>
      </c>
    </row>
    <row r="194" spans="9:9" x14ac:dyDescent="0.25">
      <c r="I194" s="8" t="str">
        <f t="shared" si="4"/>
        <v/>
      </c>
    </row>
    <row r="195" spans="9:9" x14ac:dyDescent="0.25">
      <c r="I195" s="8" t="str">
        <f t="shared" si="4"/>
        <v/>
      </c>
    </row>
    <row r="196" spans="9:9" x14ac:dyDescent="0.25">
      <c r="I196" s="8" t="str">
        <f t="shared" si="4"/>
        <v/>
      </c>
    </row>
    <row r="197" spans="9:9" x14ac:dyDescent="0.25">
      <c r="I197" s="8" t="str">
        <f t="shared" ref="I197:I260" si="5">IFERROR($I196+$G$2,"")</f>
        <v/>
      </c>
    </row>
    <row r="198" spans="9:9" x14ac:dyDescent="0.25">
      <c r="I198" s="8" t="str">
        <f t="shared" si="5"/>
        <v/>
      </c>
    </row>
    <row r="199" spans="9:9" x14ac:dyDescent="0.25">
      <c r="I199" s="8" t="str">
        <f t="shared" si="5"/>
        <v/>
      </c>
    </row>
    <row r="200" spans="9:9" x14ac:dyDescent="0.25">
      <c r="I200" s="8" t="str">
        <f t="shared" si="5"/>
        <v/>
      </c>
    </row>
    <row r="201" spans="9:9" x14ac:dyDescent="0.25">
      <c r="I201" s="8" t="str">
        <f t="shared" si="5"/>
        <v/>
      </c>
    </row>
    <row r="202" spans="9:9" x14ac:dyDescent="0.25">
      <c r="I202" s="8" t="str">
        <f t="shared" si="5"/>
        <v/>
      </c>
    </row>
    <row r="203" spans="9:9" x14ac:dyDescent="0.25">
      <c r="I203" s="8" t="str">
        <f t="shared" si="5"/>
        <v/>
      </c>
    </row>
    <row r="204" spans="9:9" x14ac:dyDescent="0.25">
      <c r="I204" s="8" t="str">
        <f t="shared" si="5"/>
        <v/>
      </c>
    </row>
    <row r="205" spans="9:9" x14ac:dyDescent="0.25">
      <c r="I205" s="8" t="str">
        <f t="shared" si="5"/>
        <v/>
      </c>
    </row>
    <row r="206" spans="9:9" x14ac:dyDescent="0.25">
      <c r="I206" s="8" t="str">
        <f t="shared" si="5"/>
        <v/>
      </c>
    </row>
    <row r="207" spans="9:9" x14ac:dyDescent="0.25">
      <c r="I207" s="8" t="str">
        <f t="shared" si="5"/>
        <v/>
      </c>
    </row>
    <row r="208" spans="9:9" x14ac:dyDescent="0.25">
      <c r="I208" s="8" t="str">
        <f t="shared" si="5"/>
        <v/>
      </c>
    </row>
    <row r="209" spans="9:9" x14ac:dyDescent="0.25">
      <c r="I209" s="8" t="str">
        <f t="shared" si="5"/>
        <v/>
      </c>
    </row>
    <row r="210" spans="9:9" x14ac:dyDescent="0.25">
      <c r="I210" s="8" t="str">
        <f t="shared" si="5"/>
        <v/>
      </c>
    </row>
    <row r="211" spans="9:9" x14ac:dyDescent="0.25">
      <c r="I211" s="8" t="str">
        <f t="shared" si="5"/>
        <v/>
      </c>
    </row>
    <row r="212" spans="9:9" x14ac:dyDescent="0.25">
      <c r="I212" s="8" t="str">
        <f t="shared" si="5"/>
        <v/>
      </c>
    </row>
    <row r="213" spans="9:9" x14ac:dyDescent="0.25">
      <c r="I213" s="8" t="str">
        <f t="shared" si="5"/>
        <v/>
      </c>
    </row>
    <row r="214" spans="9:9" x14ac:dyDescent="0.25">
      <c r="I214" s="8" t="str">
        <f t="shared" si="5"/>
        <v/>
      </c>
    </row>
    <row r="215" spans="9:9" x14ac:dyDescent="0.25">
      <c r="I215" s="8" t="str">
        <f t="shared" si="5"/>
        <v/>
      </c>
    </row>
    <row r="216" spans="9:9" x14ac:dyDescent="0.25">
      <c r="I216" s="8" t="str">
        <f t="shared" si="5"/>
        <v/>
      </c>
    </row>
    <row r="217" spans="9:9" x14ac:dyDescent="0.25">
      <c r="I217" s="8" t="str">
        <f t="shared" si="5"/>
        <v/>
      </c>
    </row>
    <row r="218" spans="9:9" x14ac:dyDescent="0.25">
      <c r="I218" s="8" t="str">
        <f t="shared" si="5"/>
        <v/>
      </c>
    </row>
    <row r="219" spans="9:9" x14ac:dyDescent="0.25">
      <c r="I219" s="8" t="str">
        <f t="shared" si="5"/>
        <v/>
      </c>
    </row>
    <row r="220" spans="9:9" x14ac:dyDescent="0.25">
      <c r="I220" s="8" t="str">
        <f t="shared" si="5"/>
        <v/>
      </c>
    </row>
    <row r="221" spans="9:9" x14ac:dyDescent="0.25">
      <c r="I221" s="8" t="str">
        <f t="shared" si="5"/>
        <v/>
      </c>
    </row>
    <row r="222" spans="9:9" x14ac:dyDescent="0.25">
      <c r="I222" s="8" t="str">
        <f t="shared" si="5"/>
        <v/>
      </c>
    </row>
    <row r="223" spans="9:9" x14ac:dyDescent="0.25">
      <c r="I223" s="8" t="str">
        <f t="shared" si="5"/>
        <v/>
      </c>
    </row>
    <row r="224" spans="9:9" x14ac:dyDescent="0.25">
      <c r="I224" s="8" t="str">
        <f t="shared" si="5"/>
        <v/>
      </c>
    </row>
    <row r="225" spans="9:9" x14ac:dyDescent="0.25">
      <c r="I225" s="8" t="str">
        <f t="shared" si="5"/>
        <v/>
      </c>
    </row>
    <row r="226" spans="9:9" x14ac:dyDescent="0.25">
      <c r="I226" s="8" t="str">
        <f t="shared" si="5"/>
        <v/>
      </c>
    </row>
    <row r="227" spans="9:9" x14ac:dyDescent="0.25">
      <c r="I227" s="8" t="str">
        <f t="shared" si="5"/>
        <v/>
      </c>
    </row>
    <row r="228" spans="9:9" x14ac:dyDescent="0.25">
      <c r="I228" s="8" t="str">
        <f t="shared" si="5"/>
        <v/>
      </c>
    </row>
    <row r="229" spans="9:9" x14ac:dyDescent="0.25">
      <c r="I229" s="8" t="str">
        <f t="shared" si="5"/>
        <v/>
      </c>
    </row>
    <row r="230" spans="9:9" x14ac:dyDescent="0.25">
      <c r="I230" s="8" t="str">
        <f t="shared" si="5"/>
        <v/>
      </c>
    </row>
    <row r="231" spans="9:9" x14ac:dyDescent="0.25">
      <c r="I231" s="8" t="str">
        <f t="shared" si="5"/>
        <v/>
      </c>
    </row>
    <row r="232" spans="9:9" x14ac:dyDescent="0.25">
      <c r="I232" s="8" t="str">
        <f t="shared" si="5"/>
        <v/>
      </c>
    </row>
    <row r="233" spans="9:9" x14ac:dyDescent="0.25">
      <c r="I233" s="8" t="str">
        <f t="shared" si="5"/>
        <v/>
      </c>
    </row>
    <row r="234" spans="9:9" x14ac:dyDescent="0.25">
      <c r="I234" s="8" t="str">
        <f t="shared" si="5"/>
        <v/>
      </c>
    </row>
    <row r="235" spans="9:9" x14ac:dyDescent="0.25">
      <c r="I235" s="8" t="str">
        <f t="shared" si="5"/>
        <v/>
      </c>
    </row>
    <row r="236" spans="9:9" x14ac:dyDescent="0.25">
      <c r="I236" s="8" t="str">
        <f t="shared" si="5"/>
        <v/>
      </c>
    </row>
    <row r="237" spans="9:9" x14ac:dyDescent="0.25">
      <c r="I237" s="8" t="str">
        <f t="shared" si="5"/>
        <v/>
      </c>
    </row>
    <row r="238" spans="9:9" x14ac:dyDescent="0.25">
      <c r="I238" s="8" t="str">
        <f t="shared" si="5"/>
        <v/>
      </c>
    </row>
    <row r="239" spans="9:9" x14ac:dyDescent="0.25">
      <c r="I239" s="8" t="str">
        <f t="shared" si="5"/>
        <v/>
      </c>
    </row>
    <row r="240" spans="9:9" x14ac:dyDescent="0.25">
      <c r="I240" s="8" t="str">
        <f t="shared" si="5"/>
        <v/>
      </c>
    </row>
    <row r="241" spans="9:9" x14ac:dyDescent="0.25">
      <c r="I241" s="8" t="str">
        <f t="shared" si="5"/>
        <v/>
      </c>
    </row>
    <row r="242" spans="9:9" x14ac:dyDescent="0.25">
      <c r="I242" s="8" t="str">
        <f t="shared" si="5"/>
        <v/>
      </c>
    </row>
    <row r="243" spans="9:9" x14ac:dyDescent="0.25">
      <c r="I243" s="8" t="str">
        <f t="shared" si="5"/>
        <v/>
      </c>
    </row>
    <row r="244" spans="9:9" x14ac:dyDescent="0.25">
      <c r="I244" s="8" t="str">
        <f t="shared" si="5"/>
        <v/>
      </c>
    </row>
    <row r="245" spans="9:9" x14ac:dyDescent="0.25">
      <c r="I245" s="8" t="str">
        <f t="shared" si="5"/>
        <v/>
      </c>
    </row>
    <row r="246" spans="9:9" x14ac:dyDescent="0.25">
      <c r="I246" s="8" t="str">
        <f t="shared" si="5"/>
        <v/>
      </c>
    </row>
    <row r="247" spans="9:9" x14ac:dyDescent="0.25">
      <c r="I247" s="8" t="str">
        <f t="shared" si="5"/>
        <v/>
      </c>
    </row>
    <row r="248" spans="9:9" x14ac:dyDescent="0.25">
      <c r="I248" s="8" t="str">
        <f t="shared" si="5"/>
        <v/>
      </c>
    </row>
    <row r="249" spans="9:9" x14ac:dyDescent="0.25">
      <c r="I249" s="8" t="str">
        <f t="shared" si="5"/>
        <v/>
      </c>
    </row>
    <row r="250" spans="9:9" x14ac:dyDescent="0.25">
      <c r="I250" s="8" t="str">
        <f t="shared" si="5"/>
        <v/>
      </c>
    </row>
    <row r="251" spans="9:9" x14ac:dyDescent="0.25">
      <c r="I251" s="8" t="str">
        <f t="shared" si="5"/>
        <v/>
      </c>
    </row>
    <row r="252" spans="9:9" x14ac:dyDescent="0.25">
      <c r="I252" s="8" t="str">
        <f t="shared" si="5"/>
        <v/>
      </c>
    </row>
    <row r="253" spans="9:9" x14ac:dyDescent="0.25">
      <c r="I253" s="8" t="str">
        <f t="shared" si="5"/>
        <v/>
      </c>
    </row>
    <row r="254" spans="9:9" x14ac:dyDescent="0.25">
      <c r="I254" s="8" t="str">
        <f t="shared" si="5"/>
        <v/>
      </c>
    </row>
    <row r="255" spans="9:9" x14ac:dyDescent="0.25">
      <c r="I255" s="8" t="str">
        <f t="shared" si="5"/>
        <v/>
      </c>
    </row>
    <row r="256" spans="9:9" x14ac:dyDescent="0.25">
      <c r="I256" s="8" t="str">
        <f t="shared" si="5"/>
        <v/>
      </c>
    </row>
    <row r="257" spans="9:9" x14ac:dyDescent="0.25">
      <c r="I257" s="8" t="str">
        <f t="shared" si="5"/>
        <v/>
      </c>
    </row>
    <row r="258" spans="9:9" x14ac:dyDescent="0.25">
      <c r="I258" s="8" t="str">
        <f t="shared" si="5"/>
        <v/>
      </c>
    </row>
    <row r="259" spans="9:9" x14ac:dyDescent="0.25">
      <c r="I259" s="8" t="str">
        <f t="shared" si="5"/>
        <v/>
      </c>
    </row>
    <row r="260" spans="9:9" x14ac:dyDescent="0.25">
      <c r="I260" s="8" t="str">
        <f t="shared" si="5"/>
        <v/>
      </c>
    </row>
    <row r="261" spans="9:9" x14ac:dyDescent="0.25">
      <c r="I261" s="8" t="str">
        <f t="shared" ref="I261:I324" si="6">IFERROR($I260+$G$2,"")</f>
        <v/>
      </c>
    </row>
    <row r="262" spans="9:9" x14ac:dyDescent="0.25">
      <c r="I262" s="8" t="str">
        <f t="shared" si="6"/>
        <v/>
      </c>
    </row>
    <row r="263" spans="9:9" x14ac:dyDescent="0.25">
      <c r="I263" s="8" t="str">
        <f t="shared" si="6"/>
        <v/>
      </c>
    </row>
    <row r="264" spans="9:9" x14ac:dyDescent="0.25">
      <c r="I264" s="8" t="str">
        <f t="shared" si="6"/>
        <v/>
      </c>
    </row>
    <row r="265" spans="9:9" x14ac:dyDescent="0.25">
      <c r="I265" s="8" t="str">
        <f t="shared" si="6"/>
        <v/>
      </c>
    </row>
    <row r="266" spans="9:9" x14ac:dyDescent="0.25">
      <c r="I266" s="8" t="str">
        <f t="shared" si="6"/>
        <v/>
      </c>
    </row>
    <row r="267" spans="9:9" x14ac:dyDescent="0.25">
      <c r="I267" s="8" t="str">
        <f t="shared" si="6"/>
        <v/>
      </c>
    </row>
    <row r="268" spans="9:9" x14ac:dyDescent="0.25">
      <c r="I268" s="8" t="str">
        <f t="shared" si="6"/>
        <v/>
      </c>
    </row>
    <row r="269" spans="9:9" x14ac:dyDescent="0.25">
      <c r="I269" s="8" t="str">
        <f t="shared" si="6"/>
        <v/>
      </c>
    </row>
    <row r="270" spans="9:9" x14ac:dyDescent="0.25">
      <c r="I270" s="8" t="str">
        <f t="shared" si="6"/>
        <v/>
      </c>
    </row>
    <row r="271" spans="9:9" x14ac:dyDescent="0.25">
      <c r="I271" s="8" t="str">
        <f t="shared" si="6"/>
        <v/>
      </c>
    </row>
    <row r="272" spans="9:9" x14ac:dyDescent="0.25">
      <c r="I272" s="8" t="str">
        <f t="shared" si="6"/>
        <v/>
      </c>
    </row>
    <row r="273" spans="9:9" x14ac:dyDescent="0.25">
      <c r="I273" s="8" t="str">
        <f t="shared" si="6"/>
        <v/>
      </c>
    </row>
    <row r="274" spans="9:9" x14ac:dyDescent="0.25">
      <c r="I274" s="8" t="str">
        <f t="shared" si="6"/>
        <v/>
      </c>
    </row>
    <row r="275" spans="9:9" x14ac:dyDescent="0.25">
      <c r="I275" s="8" t="str">
        <f t="shared" si="6"/>
        <v/>
      </c>
    </row>
    <row r="276" spans="9:9" x14ac:dyDescent="0.25">
      <c r="I276" s="8" t="str">
        <f t="shared" si="6"/>
        <v/>
      </c>
    </row>
    <row r="277" spans="9:9" x14ac:dyDescent="0.25">
      <c r="I277" s="8" t="str">
        <f t="shared" si="6"/>
        <v/>
      </c>
    </row>
    <row r="278" spans="9:9" x14ac:dyDescent="0.25">
      <c r="I278" s="8" t="str">
        <f t="shared" si="6"/>
        <v/>
      </c>
    </row>
    <row r="279" spans="9:9" x14ac:dyDescent="0.25">
      <c r="I279" s="8" t="str">
        <f t="shared" si="6"/>
        <v/>
      </c>
    </row>
    <row r="280" spans="9:9" x14ac:dyDescent="0.25">
      <c r="I280" s="8" t="str">
        <f t="shared" si="6"/>
        <v/>
      </c>
    </row>
    <row r="281" spans="9:9" x14ac:dyDescent="0.25">
      <c r="I281" s="8" t="str">
        <f t="shared" si="6"/>
        <v/>
      </c>
    </row>
    <row r="282" spans="9:9" x14ac:dyDescent="0.25">
      <c r="I282" s="8" t="str">
        <f t="shared" si="6"/>
        <v/>
      </c>
    </row>
    <row r="283" spans="9:9" x14ac:dyDescent="0.25">
      <c r="I283" s="8" t="str">
        <f t="shared" si="6"/>
        <v/>
      </c>
    </row>
    <row r="284" spans="9:9" x14ac:dyDescent="0.25">
      <c r="I284" s="8" t="str">
        <f t="shared" si="6"/>
        <v/>
      </c>
    </row>
    <row r="285" spans="9:9" x14ac:dyDescent="0.25">
      <c r="I285" s="8" t="str">
        <f t="shared" si="6"/>
        <v/>
      </c>
    </row>
    <row r="286" spans="9:9" x14ac:dyDescent="0.25">
      <c r="I286" s="8" t="str">
        <f t="shared" si="6"/>
        <v/>
      </c>
    </row>
    <row r="287" spans="9:9" x14ac:dyDescent="0.25">
      <c r="I287" s="8" t="str">
        <f t="shared" si="6"/>
        <v/>
      </c>
    </row>
    <row r="288" spans="9:9" x14ac:dyDescent="0.25">
      <c r="I288" s="8" t="str">
        <f t="shared" si="6"/>
        <v/>
      </c>
    </row>
    <row r="289" spans="9:9" x14ac:dyDescent="0.25">
      <c r="I289" s="8" t="str">
        <f t="shared" si="6"/>
        <v/>
      </c>
    </row>
    <row r="290" spans="9:9" x14ac:dyDescent="0.25">
      <c r="I290" s="8" t="str">
        <f t="shared" si="6"/>
        <v/>
      </c>
    </row>
    <row r="291" spans="9:9" x14ac:dyDescent="0.25">
      <c r="I291" s="8" t="str">
        <f t="shared" si="6"/>
        <v/>
      </c>
    </row>
    <row r="292" spans="9:9" x14ac:dyDescent="0.25">
      <c r="I292" s="8" t="str">
        <f t="shared" si="6"/>
        <v/>
      </c>
    </row>
    <row r="293" spans="9:9" x14ac:dyDescent="0.25">
      <c r="I293" s="8" t="str">
        <f t="shared" si="6"/>
        <v/>
      </c>
    </row>
    <row r="294" spans="9:9" x14ac:dyDescent="0.25">
      <c r="I294" s="8" t="str">
        <f t="shared" si="6"/>
        <v/>
      </c>
    </row>
    <row r="295" spans="9:9" x14ac:dyDescent="0.25">
      <c r="I295" s="8" t="str">
        <f t="shared" si="6"/>
        <v/>
      </c>
    </row>
    <row r="296" spans="9:9" x14ac:dyDescent="0.25">
      <c r="I296" s="8" t="str">
        <f t="shared" si="6"/>
        <v/>
      </c>
    </row>
    <row r="297" spans="9:9" x14ac:dyDescent="0.25">
      <c r="I297" s="8" t="str">
        <f t="shared" si="6"/>
        <v/>
      </c>
    </row>
    <row r="298" spans="9:9" x14ac:dyDescent="0.25">
      <c r="I298" s="8" t="str">
        <f t="shared" si="6"/>
        <v/>
      </c>
    </row>
    <row r="299" spans="9:9" x14ac:dyDescent="0.25">
      <c r="I299" s="8" t="str">
        <f t="shared" si="6"/>
        <v/>
      </c>
    </row>
    <row r="300" spans="9:9" x14ac:dyDescent="0.25">
      <c r="I300" s="8" t="str">
        <f t="shared" si="6"/>
        <v/>
      </c>
    </row>
    <row r="301" spans="9:9" x14ac:dyDescent="0.25">
      <c r="I301" s="8" t="str">
        <f t="shared" si="6"/>
        <v/>
      </c>
    </row>
    <row r="302" spans="9:9" x14ac:dyDescent="0.25">
      <c r="I302" s="8" t="str">
        <f t="shared" si="6"/>
        <v/>
      </c>
    </row>
    <row r="303" spans="9:9" x14ac:dyDescent="0.25">
      <c r="I303" s="8" t="str">
        <f t="shared" si="6"/>
        <v/>
      </c>
    </row>
    <row r="304" spans="9:9" x14ac:dyDescent="0.25">
      <c r="I304" s="8" t="str">
        <f t="shared" si="6"/>
        <v/>
      </c>
    </row>
    <row r="305" spans="9:9" x14ac:dyDescent="0.25">
      <c r="I305" s="8" t="str">
        <f t="shared" si="6"/>
        <v/>
      </c>
    </row>
    <row r="306" spans="9:9" x14ac:dyDescent="0.25">
      <c r="I306" s="8" t="str">
        <f t="shared" si="6"/>
        <v/>
      </c>
    </row>
    <row r="307" spans="9:9" x14ac:dyDescent="0.25">
      <c r="I307" s="8" t="str">
        <f t="shared" si="6"/>
        <v/>
      </c>
    </row>
    <row r="308" spans="9:9" x14ac:dyDescent="0.25">
      <c r="I308" s="8" t="str">
        <f t="shared" si="6"/>
        <v/>
      </c>
    </row>
    <row r="309" spans="9:9" x14ac:dyDescent="0.25">
      <c r="I309" s="8" t="str">
        <f t="shared" si="6"/>
        <v/>
      </c>
    </row>
    <row r="310" spans="9:9" x14ac:dyDescent="0.25">
      <c r="I310" s="8" t="str">
        <f t="shared" si="6"/>
        <v/>
      </c>
    </row>
    <row r="311" spans="9:9" x14ac:dyDescent="0.25">
      <c r="I311" s="8" t="str">
        <f t="shared" si="6"/>
        <v/>
      </c>
    </row>
    <row r="312" spans="9:9" x14ac:dyDescent="0.25">
      <c r="I312" s="8" t="str">
        <f t="shared" si="6"/>
        <v/>
      </c>
    </row>
    <row r="313" spans="9:9" x14ac:dyDescent="0.25">
      <c r="I313" s="8" t="str">
        <f t="shared" si="6"/>
        <v/>
      </c>
    </row>
    <row r="314" spans="9:9" x14ac:dyDescent="0.25">
      <c r="I314" s="8" t="str">
        <f t="shared" si="6"/>
        <v/>
      </c>
    </row>
    <row r="315" spans="9:9" x14ac:dyDescent="0.25">
      <c r="I315" s="8" t="str">
        <f t="shared" si="6"/>
        <v/>
      </c>
    </row>
    <row r="316" spans="9:9" x14ac:dyDescent="0.25">
      <c r="I316" s="8" t="str">
        <f t="shared" si="6"/>
        <v/>
      </c>
    </row>
    <row r="317" spans="9:9" x14ac:dyDescent="0.25">
      <c r="I317" s="8" t="str">
        <f t="shared" si="6"/>
        <v/>
      </c>
    </row>
    <row r="318" spans="9:9" x14ac:dyDescent="0.25">
      <c r="I318" s="8" t="str">
        <f t="shared" si="6"/>
        <v/>
      </c>
    </row>
    <row r="319" spans="9:9" x14ac:dyDescent="0.25">
      <c r="I319" s="8" t="str">
        <f t="shared" si="6"/>
        <v/>
      </c>
    </row>
    <row r="320" spans="9:9" x14ac:dyDescent="0.25">
      <c r="I320" s="8" t="str">
        <f t="shared" si="6"/>
        <v/>
      </c>
    </row>
    <row r="321" spans="9:9" x14ac:dyDescent="0.25">
      <c r="I321" s="8" t="str">
        <f t="shared" si="6"/>
        <v/>
      </c>
    </row>
    <row r="322" spans="9:9" x14ac:dyDescent="0.25">
      <c r="I322" s="8" t="str">
        <f t="shared" si="6"/>
        <v/>
      </c>
    </row>
    <row r="323" spans="9:9" x14ac:dyDescent="0.25">
      <c r="I323" s="8" t="str">
        <f t="shared" si="6"/>
        <v/>
      </c>
    </row>
    <row r="324" spans="9:9" x14ac:dyDescent="0.25">
      <c r="I324" s="8" t="str">
        <f t="shared" si="6"/>
        <v/>
      </c>
    </row>
    <row r="325" spans="9:9" x14ac:dyDescent="0.25">
      <c r="I325" s="8" t="str">
        <f t="shared" ref="I325:I388" si="7">IFERROR($I324+$G$2,"")</f>
        <v/>
      </c>
    </row>
    <row r="326" spans="9:9" x14ac:dyDescent="0.25">
      <c r="I326" s="8" t="str">
        <f t="shared" si="7"/>
        <v/>
      </c>
    </row>
    <row r="327" spans="9:9" x14ac:dyDescent="0.25">
      <c r="I327" s="8" t="str">
        <f t="shared" si="7"/>
        <v/>
      </c>
    </row>
    <row r="328" spans="9:9" x14ac:dyDescent="0.25">
      <c r="I328" s="8" t="str">
        <f t="shared" si="7"/>
        <v/>
      </c>
    </row>
    <row r="329" spans="9:9" x14ac:dyDescent="0.25">
      <c r="I329" s="8" t="str">
        <f t="shared" si="7"/>
        <v/>
      </c>
    </row>
    <row r="330" spans="9:9" x14ac:dyDescent="0.25">
      <c r="I330" s="8" t="str">
        <f t="shared" si="7"/>
        <v/>
      </c>
    </row>
    <row r="331" spans="9:9" x14ac:dyDescent="0.25">
      <c r="I331" s="8" t="str">
        <f t="shared" si="7"/>
        <v/>
      </c>
    </row>
    <row r="332" spans="9:9" x14ac:dyDescent="0.25">
      <c r="I332" s="8" t="str">
        <f t="shared" si="7"/>
        <v/>
      </c>
    </row>
    <row r="333" spans="9:9" x14ac:dyDescent="0.25">
      <c r="I333" s="8" t="str">
        <f t="shared" si="7"/>
        <v/>
      </c>
    </row>
    <row r="334" spans="9:9" x14ac:dyDescent="0.25">
      <c r="I334" s="8" t="str">
        <f t="shared" si="7"/>
        <v/>
      </c>
    </row>
    <row r="335" spans="9:9" x14ac:dyDescent="0.25">
      <c r="I335" s="8" t="str">
        <f t="shared" si="7"/>
        <v/>
      </c>
    </row>
    <row r="336" spans="9:9" x14ac:dyDescent="0.25">
      <c r="I336" s="8" t="str">
        <f t="shared" si="7"/>
        <v/>
      </c>
    </row>
    <row r="337" spans="9:9" x14ac:dyDescent="0.25">
      <c r="I337" s="8" t="str">
        <f t="shared" si="7"/>
        <v/>
      </c>
    </row>
    <row r="338" spans="9:9" x14ac:dyDescent="0.25">
      <c r="I338" s="8" t="str">
        <f t="shared" si="7"/>
        <v/>
      </c>
    </row>
    <row r="339" spans="9:9" x14ac:dyDescent="0.25">
      <c r="I339" s="8" t="str">
        <f t="shared" si="7"/>
        <v/>
      </c>
    </row>
    <row r="340" spans="9:9" x14ac:dyDescent="0.25">
      <c r="I340" s="8" t="str">
        <f t="shared" si="7"/>
        <v/>
      </c>
    </row>
    <row r="341" spans="9:9" x14ac:dyDescent="0.25">
      <c r="I341" s="8" t="str">
        <f t="shared" si="7"/>
        <v/>
      </c>
    </row>
    <row r="342" spans="9:9" x14ac:dyDescent="0.25">
      <c r="I342" s="8" t="str">
        <f t="shared" si="7"/>
        <v/>
      </c>
    </row>
    <row r="343" spans="9:9" x14ac:dyDescent="0.25">
      <c r="I343" s="8" t="str">
        <f t="shared" si="7"/>
        <v/>
      </c>
    </row>
    <row r="344" spans="9:9" x14ac:dyDescent="0.25">
      <c r="I344" s="8" t="str">
        <f t="shared" si="7"/>
        <v/>
      </c>
    </row>
    <row r="345" spans="9:9" x14ac:dyDescent="0.25">
      <c r="I345" s="8" t="str">
        <f t="shared" si="7"/>
        <v/>
      </c>
    </row>
    <row r="346" spans="9:9" x14ac:dyDescent="0.25">
      <c r="I346" s="8" t="str">
        <f t="shared" si="7"/>
        <v/>
      </c>
    </row>
    <row r="347" spans="9:9" x14ac:dyDescent="0.25">
      <c r="I347" s="8" t="str">
        <f t="shared" si="7"/>
        <v/>
      </c>
    </row>
    <row r="348" spans="9:9" x14ac:dyDescent="0.25">
      <c r="I348" s="8" t="str">
        <f t="shared" si="7"/>
        <v/>
      </c>
    </row>
    <row r="349" spans="9:9" x14ac:dyDescent="0.25">
      <c r="I349" s="8" t="str">
        <f t="shared" si="7"/>
        <v/>
      </c>
    </row>
    <row r="350" spans="9:9" x14ac:dyDescent="0.25">
      <c r="I350" s="8" t="str">
        <f t="shared" si="7"/>
        <v/>
      </c>
    </row>
    <row r="351" spans="9:9" x14ac:dyDescent="0.25">
      <c r="I351" s="8" t="str">
        <f t="shared" si="7"/>
        <v/>
      </c>
    </row>
    <row r="352" spans="9:9" x14ac:dyDescent="0.25">
      <c r="I352" s="8" t="str">
        <f t="shared" si="7"/>
        <v/>
      </c>
    </row>
    <row r="353" spans="9:9" x14ac:dyDescent="0.25">
      <c r="I353" s="8" t="str">
        <f t="shared" si="7"/>
        <v/>
      </c>
    </row>
    <row r="354" spans="9:9" x14ac:dyDescent="0.25">
      <c r="I354" s="8" t="str">
        <f t="shared" si="7"/>
        <v/>
      </c>
    </row>
    <row r="355" spans="9:9" x14ac:dyDescent="0.25">
      <c r="I355" s="8" t="str">
        <f t="shared" si="7"/>
        <v/>
      </c>
    </row>
    <row r="356" spans="9:9" x14ac:dyDescent="0.25">
      <c r="I356" s="8" t="str">
        <f t="shared" si="7"/>
        <v/>
      </c>
    </row>
    <row r="357" spans="9:9" x14ac:dyDescent="0.25">
      <c r="I357" s="8" t="str">
        <f t="shared" si="7"/>
        <v/>
      </c>
    </row>
    <row r="358" spans="9:9" x14ac:dyDescent="0.25">
      <c r="I358" s="8" t="str">
        <f t="shared" si="7"/>
        <v/>
      </c>
    </row>
    <row r="359" spans="9:9" x14ac:dyDescent="0.25">
      <c r="I359" s="8" t="str">
        <f t="shared" si="7"/>
        <v/>
      </c>
    </row>
    <row r="360" spans="9:9" x14ac:dyDescent="0.25">
      <c r="I360" s="8" t="str">
        <f t="shared" si="7"/>
        <v/>
      </c>
    </row>
    <row r="361" spans="9:9" x14ac:dyDescent="0.25">
      <c r="I361" s="8" t="str">
        <f t="shared" si="7"/>
        <v/>
      </c>
    </row>
    <row r="362" spans="9:9" x14ac:dyDescent="0.25">
      <c r="I362" s="8" t="str">
        <f t="shared" si="7"/>
        <v/>
      </c>
    </row>
    <row r="363" spans="9:9" x14ac:dyDescent="0.25">
      <c r="I363" s="8" t="str">
        <f t="shared" si="7"/>
        <v/>
      </c>
    </row>
    <row r="364" spans="9:9" x14ac:dyDescent="0.25">
      <c r="I364" s="8" t="str">
        <f t="shared" si="7"/>
        <v/>
      </c>
    </row>
    <row r="365" spans="9:9" x14ac:dyDescent="0.25">
      <c r="I365" s="8" t="str">
        <f t="shared" si="7"/>
        <v/>
      </c>
    </row>
    <row r="366" spans="9:9" x14ac:dyDescent="0.25">
      <c r="I366" s="8" t="str">
        <f t="shared" si="7"/>
        <v/>
      </c>
    </row>
    <row r="367" spans="9:9" x14ac:dyDescent="0.25">
      <c r="I367" s="8" t="str">
        <f t="shared" si="7"/>
        <v/>
      </c>
    </row>
    <row r="368" spans="9:9" x14ac:dyDescent="0.25">
      <c r="I368" s="8" t="str">
        <f t="shared" si="7"/>
        <v/>
      </c>
    </row>
    <row r="369" spans="9:9" x14ac:dyDescent="0.25">
      <c r="I369" s="8" t="str">
        <f t="shared" si="7"/>
        <v/>
      </c>
    </row>
    <row r="370" spans="9:9" x14ac:dyDescent="0.25">
      <c r="I370" s="8" t="str">
        <f t="shared" si="7"/>
        <v/>
      </c>
    </row>
    <row r="371" spans="9:9" x14ac:dyDescent="0.25">
      <c r="I371" s="8" t="str">
        <f t="shared" si="7"/>
        <v/>
      </c>
    </row>
    <row r="372" spans="9:9" x14ac:dyDescent="0.25">
      <c r="I372" s="8" t="str">
        <f t="shared" si="7"/>
        <v/>
      </c>
    </row>
    <row r="373" spans="9:9" x14ac:dyDescent="0.25">
      <c r="I373" s="8" t="str">
        <f t="shared" si="7"/>
        <v/>
      </c>
    </row>
    <row r="374" spans="9:9" x14ac:dyDescent="0.25">
      <c r="I374" s="8" t="str">
        <f t="shared" si="7"/>
        <v/>
      </c>
    </row>
    <row r="375" spans="9:9" x14ac:dyDescent="0.25">
      <c r="I375" s="8" t="str">
        <f t="shared" si="7"/>
        <v/>
      </c>
    </row>
    <row r="376" spans="9:9" x14ac:dyDescent="0.25">
      <c r="I376" s="8" t="str">
        <f t="shared" si="7"/>
        <v/>
      </c>
    </row>
    <row r="377" spans="9:9" x14ac:dyDescent="0.25">
      <c r="I377" s="8" t="str">
        <f t="shared" si="7"/>
        <v/>
      </c>
    </row>
    <row r="378" spans="9:9" x14ac:dyDescent="0.25">
      <c r="I378" s="8" t="str">
        <f t="shared" si="7"/>
        <v/>
      </c>
    </row>
    <row r="379" spans="9:9" x14ac:dyDescent="0.25">
      <c r="I379" s="8" t="str">
        <f t="shared" si="7"/>
        <v/>
      </c>
    </row>
    <row r="380" spans="9:9" x14ac:dyDescent="0.25">
      <c r="I380" s="8" t="str">
        <f t="shared" si="7"/>
        <v/>
      </c>
    </row>
    <row r="381" spans="9:9" x14ac:dyDescent="0.25">
      <c r="I381" s="8" t="str">
        <f t="shared" si="7"/>
        <v/>
      </c>
    </row>
    <row r="382" spans="9:9" x14ac:dyDescent="0.25">
      <c r="I382" s="8" t="str">
        <f t="shared" si="7"/>
        <v/>
      </c>
    </row>
    <row r="383" spans="9:9" x14ac:dyDescent="0.25">
      <c r="I383" s="8" t="str">
        <f t="shared" si="7"/>
        <v/>
      </c>
    </row>
    <row r="384" spans="9:9" x14ac:dyDescent="0.25">
      <c r="I384" s="8" t="str">
        <f t="shared" si="7"/>
        <v/>
      </c>
    </row>
    <row r="385" spans="9:9" x14ac:dyDescent="0.25">
      <c r="I385" s="8" t="str">
        <f t="shared" si="7"/>
        <v/>
      </c>
    </row>
    <row r="386" spans="9:9" x14ac:dyDescent="0.25">
      <c r="I386" s="8" t="str">
        <f t="shared" si="7"/>
        <v/>
      </c>
    </row>
    <row r="387" spans="9:9" x14ac:dyDescent="0.25">
      <c r="I387" s="8" t="str">
        <f t="shared" si="7"/>
        <v/>
      </c>
    </row>
    <row r="388" spans="9:9" x14ac:dyDescent="0.25">
      <c r="I388" s="8" t="str">
        <f t="shared" si="7"/>
        <v/>
      </c>
    </row>
    <row r="389" spans="9:9" x14ac:dyDescent="0.25">
      <c r="I389" s="8" t="str">
        <f t="shared" ref="I389:I452" si="8">IFERROR($I388+$G$2,"")</f>
        <v/>
      </c>
    </row>
    <row r="390" spans="9:9" x14ac:dyDescent="0.25">
      <c r="I390" s="8" t="str">
        <f t="shared" si="8"/>
        <v/>
      </c>
    </row>
    <row r="391" spans="9:9" x14ac:dyDescent="0.25">
      <c r="I391" s="8" t="str">
        <f t="shared" si="8"/>
        <v/>
      </c>
    </row>
    <row r="392" spans="9:9" x14ac:dyDescent="0.25">
      <c r="I392" s="8" t="str">
        <f t="shared" si="8"/>
        <v/>
      </c>
    </row>
    <row r="393" spans="9:9" x14ac:dyDescent="0.25">
      <c r="I393" s="8" t="str">
        <f t="shared" si="8"/>
        <v/>
      </c>
    </row>
    <row r="394" spans="9:9" x14ac:dyDescent="0.25">
      <c r="I394" s="8" t="str">
        <f t="shared" si="8"/>
        <v/>
      </c>
    </row>
    <row r="395" spans="9:9" x14ac:dyDescent="0.25">
      <c r="I395" s="8" t="str">
        <f t="shared" si="8"/>
        <v/>
      </c>
    </row>
    <row r="396" spans="9:9" x14ac:dyDescent="0.25">
      <c r="I396" s="8" t="str">
        <f t="shared" si="8"/>
        <v/>
      </c>
    </row>
    <row r="397" spans="9:9" x14ac:dyDescent="0.25">
      <c r="I397" s="8" t="str">
        <f t="shared" si="8"/>
        <v/>
      </c>
    </row>
    <row r="398" spans="9:9" x14ac:dyDescent="0.25">
      <c r="I398" s="8" t="str">
        <f t="shared" si="8"/>
        <v/>
      </c>
    </row>
    <row r="399" spans="9:9" x14ac:dyDescent="0.25">
      <c r="I399" s="8" t="str">
        <f t="shared" si="8"/>
        <v/>
      </c>
    </row>
    <row r="400" spans="9:9" x14ac:dyDescent="0.25">
      <c r="I400" s="8" t="str">
        <f t="shared" si="8"/>
        <v/>
      </c>
    </row>
    <row r="401" spans="9:9" x14ac:dyDescent="0.25">
      <c r="I401" s="8" t="str">
        <f t="shared" si="8"/>
        <v/>
      </c>
    </row>
    <row r="402" spans="9:9" x14ac:dyDescent="0.25">
      <c r="I402" s="8" t="str">
        <f t="shared" si="8"/>
        <v/>
      </c>
    </row>
    <row r="403" spans="9:9" x14ac:dyDescent="0.25">
      <c r="I403" s="8" t="str">
        <f t="shared" si="8"/>
        <v/>
      </c>
    </row>
    <row r="404" spans="9:9" x14ac:dyDescent="0.25">
      <c r="I404" s="8" t="str">
        <f t="shared" si="8"/>
        <v/>
      </c>
    </row>
    <row r="405" spans="9:9" x14ac:dyDescent="0.25">
      <c r="I405" s="8" t="str">
        <f t="shared" si="8"/>
        <v/>
      </c>
    </row>
    <row r="406" spans="9:9" x14ac:dyDescent="0.25">
      <c r="I406" s="8" t="str">
        <f t="shared" si="8"/>
        <v/>
      </c>
    </row>
    <row r="407" spans="9:9" x14ac:dyDescent="0.25">
      <c r="I407" s="8" t="str">
        <f t="shared" si="8"/>
        <v/>
      </c>
    </row>
    <row r="408" spans="9:9" x14ac:dyDescent="0.25">
      <c r="I408" s="8" t="str">
        <f t="shared" si="8"/>
        <v/>
      </c>
    </row>
    <row r="409" spans="9:9" x14ac:dyDescent="0.25">
      <c r="I409" s="8" t="str">
        <f t="shared" si="8"/>
        <v/>
      </c>
    </row>
    <row r="410" spans="9:9" x14ac:dyDescent="0.25">
      <c r="I410" s="8" t="str">
        <f t="shared" si="8"/>
        <v/>
      </c>
    </row>
    <row r="411" spans="9:9" x14ac:dyDescent="0.25">
      <c r="I411" s="8" t="str">
        <f t="shared" si="8"/>
        <v/>
      </c>
    </row>
    <row r="412" spans="9:9" x14ac:dyDescent="0.25">
      <c r="I412" s="8" t="str">
        <f t="shared" si="8"/>
        <v/>
      </c>
    </row>
    <row r="413" spans="9:9" x14ac:dyDescent="0.25">
      <c r="I413" s="8" t="str">
        <f t="shared" si="8"/>
        <v/>
      </c>
    </row>
    <row r="414" spans="9:9" x14ac:dyDescent="0.25">
      <c r="I414" s="8" t="str">
        <f t="shared" si="8"/>
        <v/>
      </c>
    </row>
    <row r="415" spans="9:9" x14ac:dyDescent="0.25">
      <c r="I415" s="8" t="str">
        <f t="shared" si="8"/>
        <v/>
      </c>
    </row>
    <row r="416" spans="9:9" x14ac:dyDescent="0.25">
      <c r="I416" s="8" t="str">
        <f t="shared" si="8"/>
        <v/>
      </c>
    </row>
    <row r="417" spans="9:9" x14ac:dyDescent="0.25">
      <c r="I417" s="8" t="str">
        <f t="shared" si="8"/>
        <v/>
      </c>
    </row>
    <row r="418" spans="9:9" x14ac:dyDescent="0.25">
      <c r="I418" s="8" t="str">
        <f t="shared" si="8"/>
        <v/>
      </c>
    </row>
    <row r="419" spans="9:9" x14ac:dyDescent="0.25">
      <c r="I419" s="8" t="str">
        <f t="shared" si="8"/>
        <v/>
      </c>
    </row>
    <row r="420" spans="9:9" x14ac:dyDescent="0.25">
      <c r="I420" s="8" t="str">
        <f t="shared" si="8"/>
        <v/>
      </c>
    </row>
    <row r="421" spans="9:9" x14ac:dyDescent="0.25">
      <c r="I421" s="8" t="str">
        <f t="shared" si="8"/>
        <v/>
      </c>
    </row>
    <row r="422" spans="9:9" x14ac:dyDescent="0.25">
      <c r="I422" s="8" t="str">
        <f t="shared" si="8"/>
        <v/>
      </c>
    </row>
    <row r="423" spans="9:9" x14ac:dyDescent="0.25">
      <c r="I423" s="8" t="str">
        <f t="shared" si="8"/>
        <v/>
      </c>
    </row>
    <row r="424" spans="9:9" x14ac:dyDescent="0.25">
      <c r="I424" s="8" t="str">
        <f t="shared" si="8"/>
        <v/>
      </c>
    </row>
    <row r="425" spans="9:9" x14ac:dyDescent="0.25">
      <c r="I425" s="8" t="str">
        <f t="shared" si="8"/>
        <v/>
      </c>
    </row>
    <row r="426" spans="9:9" x14ac:dyDescent="0.25">
      <c r="I426" s="8" t="str">
        <f t="shared" si="8"/>
        <v/>
      </c>
    </row>
    <row r="427" spans="9:9" x14ac:dyDescent="0.25">
      <c r="I427" s="8" t="str">
        <f t="shared" si="8"/>
        <v/>
      </c>
    </row>
    <row r="428" spans="9:9" x14ac:dyDescent="0.25">
      <c r="I428" s="8" t="str">
        <f t="shared" si="8"/>
        <v/>
      </c>
    </row>
    <row r="429" spans="9:9" x14ac:dyDescent="0.25">
      <c r="I429" s="8" t="str">
        <f t="shared" si="8"/>
        <v/>
      </c>
    </row>
    <row r="430" spans="9:9" x14ac:dyDescent="0.25">
      <c r="I430" s="8" t="str">
        <f t="shared" si="8"/>
        <v/>
      </c>
    </row>
    <row r="431" spans="9:9" x14ac:dyDescent="0.25">
      <c r="I431" s="8" t="str">
        <f t="shared" si="8"/>
        <v/>
      </c>
    </row>
    <row r="432" spans="9:9" x14ac:dyDescent="0.25">
      <c r="I432" s="8" t="str">
        <f t="shared" si="8"/>
        <v/>
      </c>
    </row>
    <row r="433" spans="9:9" x14ac:dyDescent="0.25">
      <c r="I433" s="8" t="str">
        <f t="shared" si="8"/>
        <v/>
      </c>
    </row>
    <row r="434" spans="9:9" x14ac:dyDescent="0.25">
      <c r="I434" s="8" t="str">
        <f t="shared" si="8"/>
        <v/>
      </c>
    </row>
    <row r="435" spans="9:9" x14ac:dyDescent="0.25">
      <c r="I435" s="8" t="str">
        <f t="shared" si="8"/>
        <v/>
      </c>
    </row>
    <row r="436" spans="9:9" x14ac:dyDescent="0.25">
      <c r="I436" s="8" t="str">
        <f t="shared" si="8"/>
        <v/>
      </c>
    </row>
    <row r="437" spans="9:9" x14ac:dyDescent="0.25">
      <c r="I437" s="8" t="str">
        <f t="shared" si="8"/>
        <v/>
      </c>
    </row>
    <row r="438" spans="9:9" x14ac:dyDescent="0.25">
      <c r="I438" s="8" t="str">
        <f t="shared" si="8"/>
        <v/>
      </c>
    </row>
    <row r="439" spans="9:9" x14ac:dyDescent="0.25">
      <c r="I439" s="8" t="str">
        <f t="shared" si="8"/>
        <v/>
      </c>
    </row>
    <row r="440" spans="9:9" x14ac:dyDescent="0.25">
      <c r="I440" s="8" t="str">
        <f t="shared" si="8"/>
        <v/>
      </c>
    </row>
    <row r="441" spans="9:9" x14ac:dyDescent="0.25">
      <c r="I441" s="8" t="str">
        <f t="shared" si="8"/>
        <v/>
      </c>
    </row>
    <row r="442" spans="9:9" x14ac:dyDescent="0.25">
      <c r="I442" s="8" t="str">
        <f t="shared" si="8"/>
        <v/>
      </c>
    </row>
    <row r="443" spans="9:9" x14ac:dyDescent="0.25">
      <c r="I443" s="8" t="str">
        <f t="shared" si="8"/>
        <v/>
      </c>
    </row>
    <row r="444" spans="9:9" x14ac:dyDescent="0.25">
      <c r="I444" s="8" t="str">
        <f t="shared" si="8"/>
        <v/>
      </c>
    </row>
    <row r="445" spans="9:9" x14ac:dyDescent="0.25">
      <c r="I445" s="8" t="str">
        <f t="shared" si="8"/>
        <v/>
      </c>
    </row>
    <row r="446" spans="9:9" x14ac:dyDescent="0.25">
      <c r="I446" s="8" t="str">
        <f t="shared" si="8"/>
        <v/>
      </c>
    </row>
    <row r="447" spans="9:9" x14ac:dyDescent="0.25">
      <c r="I447" s="8" t="str">
        <f t="shared" si="8"/>
        <v/>
      </c>
    </row>
    <row r="448" spans="9:9" x14ac:dyDescent="0.25">
      <c r="I448" s="8" t="str">
        <f t="shared" si="8"/>
        <v/>
      </c>
    </row>
    <row r="449" spans="9:9" x14ac:dyDescent="0.25">
      <c r="I449" s="8" t="str">
        <f t="shared" si="8"/>
        <v/>
      </c>
    </row>
    <row r="450" spans="9:9" x14ac:dyDescent="0.25">
      <c r="I450" s="8" t="str">
        <f t="shared" si="8"/>
        <v/>
      </c>
    </row>
    <row r="451" spans="9:9" x14ac:dyDescent="0.25">
      <c r="I451" s="8" t="str">
        <f t="shared" si="8"/>
        <v/>
      </c>
    </row>
    <row r="452" spans="9:9" x14ac:dyDescent="0.25">
      <c r="I452" s="8" t="str">
        <f t="shared" si="8"/>
        <v/>
      </c>
    </row>
    <row r="453" spans="9:9" x14ac:dyDescent="0.25">
      <c r="I453" s="8" t="str">
        <f t="shared" ref="I453:I516" si="9">IFERROR($I452+$G$2,"")</f>
        <v/>
      </c>
    </row>
    <row r="454" spans="9:9" x14ac:dyDescent="0.25">
      <c r="I454" s="8" t="str">
        <f t="shared" si="9"/>
        <v/>
      </c>
    </row>
    <row r="455" spans="9:9" x14ac:dyDescent="0.25">
      <c r="I455" s="8" t="str">
        <f t="shared" si="9"/>
        <v/>
      </c>
    </row>
    <row r="456" spans="9:9" x14ac:dyDescent="0.25">
      <c r="I456" s="8" t="str">
        <f t="shared" si="9"/>
        <v/>
      </c>
    </row>
    <row r="457" spans="9:9" x14ac:dyDescent="0.25">
      <c r="I457" s="8" t="str">
        <f t="shared" si="9"/>
        <v/>
      </c>
    </row>
    <row r="458" spans="9:9" x14ac:dyDescent="0.25">
      <c r="I458" s="8" t="str">
        <f t="shared" si="9"/>
        <v/>
      </c>
    </row>
    <row r="459" spans="9:9" x14ac:dyDescent="0.25">
      <c r="I459" s="8" t="str">
        <f t="shared" si="9"/>
        <v/>
      </c>
    </row>
    <row r="460" spans="9:9" x14ac:dyDescent="0.25">
      <c r="I460" s="8" t="str">
        <f t="shared" si="9"/>
        <v/>
      </c>
    </row>
    <row r="461" spans="9:9" x14ac:dyDescent="0.25">
      <c r="I461" s="8" t="str">
        <f t="shared" si="9"/>
        <v/>
      </c>
    </row>
    <row r="462" spans="9:9" x14ac:dyDescent="0.25">
      <c r="I462" s="8" t="str">
        <f t="shared" si="9"/>
        <v/>
      </c>
    </row>
    <row r="463" spans="9:9" x14ac:dyDescent="0.25">
      <c r="I463" s="8" t="str">
        <f t="shared" si="9"/>
        <v/>
      </c>
    </row>
    <row r="464" spans="9:9" x14ac:dyDescent="0.25">
      <c r="I464" s="8" t="str">
        <f t="shared" si="9"/>
        <v/>
      </c>
    </row>
    <row r="465" spans="9:9" x14ac:dyDescent="0.25">
      <c r="I465" s="8" t="str">
        <f t="shared" si="9"/>
        <v/>
      </c>
    </row>
    <row r="466" spans="9:9" x14ac:dyDescent="0.25">
      <c r="I466" s="8" t="str">
        <f t="shared" si="9"/>
        <v/>
      </c>
    </row>
    <row r="467" spans="9:9" x14ac:dyDescent="0.25">
      <c r="I467" s="8" t="str">
        <f t="shared" si="9"/>
        <v/>
      </c>
    </row>
    <row r="468" spans="9:9" x14ac:dyDescent="0.25">
      <c r="I468" s="8" t="str">
        <f t="shared" si="9"/>
        <v/>
      </c>
    </row>
    <row r="469" spans="9:9" x14ac:dyDescent="0.25">
      <c r="I469" s="8" t="str">
        <f t="shared" si="9"/>
        <v/>
      </c>
    </row>
    <row r="470" spans="9:9" x14ac:dyDescent="0.25">
      <c r="I470" s="8" t="str">
        <f t="shared" si="9"/>
        <v/>
      </c>
    </row>
    <row r="471" spans="9:9" x14ac:dyDescent="0.25">
      <c r="I471" s="8" t="str">
        <f t="shared" si="9"/>
        <v/>
      </c>
    </row>
    <row r="472" spans="9:9" x14ac:dyDescent="0.25">
      <c r="I472" s="8" t="str">
        <f t="shared" si="9"/>
        <v/>
      </c>
    </row>
    <row r="473" spans="9:9" x14ac:dyDescent="0.25">
      <c r="I473" s="8" t="str">
        <f t="shared" si="9"/>
        <v/>
      </c>
    </row>
    <row r="474" spans="9:9" x14ac:dyDescent="0.25">
      <c r="I474" s="8" t="str">
        <f t="shared" si="9"/>
        <v/>
      </c>
    </row>
    <row r="475" spans="9:9" x14ac:dyDescent="0.25">
      <c r="I475" s="8" t="str">
        <f t="shared" si="9"/>
        <v/>
      </c>
    </row>
    <row r="476" spans="9:9" x14ac:dyDescent="0.25">
      <c r="I476" s="8" t="str">
        <f t="shared" si="9"/>
        <v/>
      </c>
    </row>
    <row r="477" spans="9:9" x14ac:dyDescent="0.25">
      <c r="I477" s="8" t="str">
        <f t="shared" si="9"/>
        <v/>
      </c>
    </row>
    <row r="478" spans="9:9" x14ac:dyDescent="0.25">
      <c r="I478" s="8" t="str">
        <f t="shared" si="9"/>
        <v/>
      </c>
    </row>
    <row r="479" spans="9:9" x14ac:dyDescent="0.25">
      <c r="I479" s="8" t="str">
        <f t="shared" si="9"/>
        <v/>
      </c>
    </row>
    <row r="480" spans="9:9" x14ac:dyDescent="0.25">
      <c r="I480" s="8" t="str">
        <f t="shared" si="9"/>
        <v/>
      </c>
    </row>
    <row r="481" spans="9:9" x14ac:dyDescent="0.25">
      <c r="I481" s="8" t="str">
        <f t="shared" si="9"/>
        <v/>
      </c>
    </row>
    <row r="482" spans="9:9" x14ac:dyDescent="0.25">
      <c r="I482" s="8" t="str">
        <f t="shared" si="9"/>
        <v/>
      </c>
    </row>
    <row r="483" spans="9:9" x14ac:dyDescent="0.25">
      <c r="I483" s="8" t="str">
        <f t="shared" si="9"/>
        <v/>
      </c>
    </row>
    <row r="484" spans="9:9" x14ac:dyDescent="0.25">
      <c r="I484" s="8" t="str">
        <f t="shared" si="9"/>
        <v/>
      </c>
    </row>
    <row r="485" spans="9:9" x14ac:dyDescent="0.25">
      <c r="I485" s="8" t="str">
        <f t="shared" si="9"/>
        <v/>
      </c>
    </row>
    <row r="486" spans="9:9" x14ac:dyDescent="0.25">
      <c r="I486" s="8" t="str">
        <f t="shared" si="9"/>
        <v/>
      </c>
    </row>
    <row r="487" spans="9:9" x14ac:dyDescent="0.25">
      <c r="I487" s="8" t="str">
        <f t="shared" si="9"/>
        <v/>
      </c>
    </row>
    <row r="488" spans="9:9" x14ac:dyDescent="0.25">
      <c r="I488" s="8" t="str">
        <f t="shared" si="9"/>
        <v/>
      </c>
    </row>
    <row r="489" spans="9:9" x14ac:dyDescent="0.25">
      <c r="I489" s="8" t="str">
        <f t="shared" si="9"/>
        <v/>
      </c>
    </row>
    <row r="490" spans="9:9" x14ac:dyDescent="0.25">
      <c r="I490" s="8" t="str">
        <f t="shared" si="9"/>
        <v/>
      </c>
    </row>
    <row r="491" spans="9:9" x14ac:dyDescent="0.25">
      <c r="I491" s="8" t="str">
        <f t="shared" si="9"/>
        <v/>
      </c>
    </row>
    <row r="492" spans="9:9" x14ac:dyDescent="0.25">
      <c r="I492" s="8" t="str">
        <f t="shared" si="9"/>
        <v/>
      </c>
    </row>
    <row r="493" spans="9:9" x14ac:dyDescent="0.25">
      <c r="I493" s="8" t="str">
        <f t="shared" si="9"/>
        <v/>
      </c>
    </row>
    <row r="494" spans="9:9" x14ac:dyDescent="0.25">
      <c r="I494" s="8" t="str">
        <f t="shared" si="9"/>
        <v/>
      </c>
    </row>
    <row r="495" spans="9:9" x14ac:dyDescent="0.25">
      <c r="I495" s="8" t="str">
        <f t="shared" si="9"/>
        <v/>
      </c>
    </row>
    <row r="496" spans="9:9" x14ac:dyDescent="0.25">
      <c r="I496" s="8" t="str">
        <f t="shared" si="9"/>
        <v/>
      </c>
    </row>
    <row r="497" spans="9:9" x14ac:dyDescent="0.25">
      <c r="I497" s="8" t="str">
        <f t="shared" si="9"/>
        <v/>
      </c>
    </row>
    <row r="498" spans="9:9" x14ac:dyDescent="0.25">
      <c r="I498" s="8" t="str">
        <f t="shared" si="9"/>
        <v/>
      </c>
    </row>
    <row r="499" spans="9:9" x14ac:dyDescent="0.25">
      <c r="I499" s="8" t="str">
        <f t="shared" si="9"/>
        <v/>
      </c>
    </row>
    <row r="500" spans="9:9" x14ac:dyDescent="0.25">
      <c r="I500" s="8" t="str">
        <f t="shared" si="9"/>
        <v/>
      </c>
    </row>
    <row r="501" spans="9:9" x14ac:dyDescent="0.25">
      <c r="I501" s="8" t="str">
        <f t="shared" si="9"/>
        <v/>
      </c>
    </row>
    <row r="502" spans="9:9" x14ac:dyDescent="0.25">
      <c r="I502" s="8" t="str">
        <f t="shared" si="9"/>
        <v/>
      </c>
    </row>
    <row r="503" spans="9:9" x14ac:dyDescent="0.25">
      <c r="I503" s="8" t="str">
        <f t="shared" si="9"/>
        <v/>
      </c>
    </row>
    <row r="504" spans="9:9" x14ac:dyDescent="0.25">
      <c r="I504" s="8" t="str">
        <f t="shared" si="9"/>
        <v/>
      </c>
    </row>
    <row r="505" spans="9:9" x14ac:dyDescent="0.25">
      <c r="I505" s="8" t="str">
        <f t="shared" si="9"/>
        <v/>
      </c>
    </row>
    <row r="506" spans="9:9" x14ac:dyDescent="0.25">
      <c r="I506" s="8" t="str">
        <f t="shared" si="9"/>
        <v/>
      </c>
    </row>
    <row r="507" spans="9:9" x14ac:dyDescent="0.25">
      <c r="I507" s="8" t="str">
        <f t="shared" si="9"/>
        <v/>
      </c>
    </row>
    <row r="508" spans="9:9" x14ac:dyDescent="0.25">
      <c r="I508" s="8" t="str">
        <f t="shared" si="9"/>
        <v/>
      </c>
    </row>
    <row r="509" spans="9:9" x14ac:dyDescent="0.25">
      <c r="I509" s="8" t="str">
        <f t="shared" si="9"/>
        <v/>
      </c>
    </row>
    <row r="510" spans="9:9" x14ac:dyDescent="0.25">
      <c r="I510" s="8" t="str">
        <f t="shared" si="9"/>
        <v/>
      </c>
    </row>
    <row r="511" spans="9:9" x14ac:dyDescent="0.25">
      <c r="I511" s="8" t="str">
        <f t="shared" si="9"/>
        <v/>
      </c>
    </row>
    <row r="512" spans="9:9" x14ac:dyDescent="0.25">
      <c r="I512" s="8" t="str">
        <f t="shared" si="9"/>
        <v/>
      </c>
    </row>
    <row r="513" spans="9:9" x14ac:dyDescent="0.25">
      <c r="I513" s="8" t="str">
        <f t="shared" si="9"/>
        <v/>
      </c>
    </row>
    <row r="514" spans="9:9" x14ac:dyDescent="0.25">
      <c r="I514" s="8" t="str">
        <f t="shared" si="9"/>
        <v/>
      </c>
    </row>
    <row r="515" spans="9:9" x14ac:dyDescent="0.25">
      <c r="I515" s="8" t="str">
        <f t="shared" si="9"/>
        <v/>
      </c>
    </row>
    <row r="516" spans="9:9" x14ac:dyDescent="0.25">
      <c r="I516" s="8" t="str">
        <f t="shared" si="9"/>
        <v/>
      </c>
    </row>
    <row r="517" spans="9:9" x14ac:dyDescent="0.25">
      <c r="I517" s="8" t="str">
        <f t="shared" ref="I517:I580" si="10">IFERROR($I516+$G$2,"")</f>
        <v/>
      </c>
    </row>
    <row r="518" spans="9:9" x14ac:dyDescent="0.25">
      <c r="I518" s="8" t="str">
        <f t="shared" si="10"/>
        <v/>
      </c>
    </row>
    <row r="519" spans="9:9" x14ac:dyDescent="0.25">
      <c r="I519" s="8" t="str">
        <f t="shared" si="10"/>
        <v/>
      </c>
    </row>
    <row r="520" spans="9:9" x14ac:dyDescent="0.25">
      <c r="I520" s="8" t="str">
        <f t="shared" si="10"/>
        <v/>
      </c>
    </row>
    <row r="521" spans="9:9" x14ac:dyDescent="0.25">
      <c r="I521" s="8" t="str">
        <f t="shared" si="10"/>
        <v/>
      </c>
    </row>
    <row r="522" spans="9:9" x14ac:dyDescent="0.25">
      <c r="I522" s="8" t="str">
        <f t="shared" si="10"/>
        <v/>
      </c>
    </row>
    <row r="523" spans="9:9" x14ac:dyDescent="0.25">
      <c r="I523" s="8" t="str">
        <f t="shared" si="10"/>
        <v/>
      </c>
    </row>
    <row r="524" spans="9:9" x14ac:dyDescent="0.25">
      <c r="I524" s="8" t="str">
        <f t="shared" si="10"/>
        <v/>
      </c>
    </row>
    <row r="525" spans="9:9" x14ac:dyDescent="0.25">
      <c r="I525" s="8" t="str">
        <f t="shared" si="10"/>
        <v/>
      </c>
    </row>
    <row r="526" spans="9:9" x14ac:dyDescent="0.25">
      <c r="I526" s="8" t="str">
        <f t="shared" si="10"/>
        <v/>
      </c>
    </row>
    <row r="527" spans="9:9" x14ac:dyDescent="0.25">
      <c r="I527" s="8" t="str">
        <f t="shared" si="10"/>
        <v/>
      </c>
    </row>
    <row r="528" spans="9:9" x14ac:dyDescent="0.25">
      <c r="I528" s="8" t="str">
        <f t="shared" si="10"/>
        <v/>
      </c>
    </row>
    <row r="529" spans="9:9" x14ac:dyDescent="0.25">
      <c r="I529" s="8" t="str">
        <f t="shared" si="10"/>
        <v/>
      </c>
    </row>
    <row r="530" spans="9:9" x14ac:dyDescent="0.25">
      <c r="I530" s="8" t="str">
        <f t="shared" si="10"/>
        <v/>
      </c>
    </row>
    <row r="531" spans="9:9" x14ac:dyDescent="0.25">
      <c r="I531" s="8" t="str">
        <f t="shared" si="10"/>
        <v/>
      </c>
    </row>
    <row r="532" spans="9:9" x14ac:dyDescent="0.25">
      <c r="I532" s="8" t="str">
        <f t="shared" si="10"/>
        <v/>
      </c>
    </row>
    <row r="533" spans="9:9" x14ac:dyDescent="0.25">
      <c r="I533" s="8" t="str">
        <f t="shared" si="10"/>
        <v/>
      </c>
    </row>
    <row r="534" spans="9:9" x14ac:dyDescent="0.25">
      <c r="I534" s="8" t="str">
        <f t="shared" si="10"/>
        <v/>
      </c>
    </row>
    <row r="535" spans="9:9" x14ac:dyDescent="0.25">
      <c r="I535" s="8" t="str">
        <f t="shared" si="10"/>
        <v/>
      </c>
    </row>
    <row r="536" spans="9:9" x14ac:dyDescent="0.25">
      <c r="I536" s="8" t="str">
        <f t="shared" si="10"/>
        <v/>
      </c>
    </row>
    <row r="537" spans="9:9" x14ac:dyDescent="0.25">
      <c r="I537" s="8" t="str">
        <f t="shared" si="10"/>
        <v/>
      </c>
    </row>
    <row r="538" spans="9:9" x14ac:dyDescent="0.25">
      <c r="I538" s="8" t="str">
        <f t="shared" si="10"/>
        <v/>
      </c>
    </row>
    <row r="539" spans="9:9" x14ac:dyDescent="0.25">
      <c r="I539" s="8" t="str">
        <f t="shared" si="10"/>
        <v/>
      </c>
    </row>
    <row r="540" spans="9:9" x14ac:dyDescent="0.25">
      <c r="I540" s="8" t="str">
        <f t="shared" si="10"/>
        <v/>
      </c>
    </row>
    <row r="541" spans="9:9" x14ac:dyDescent="0.25">
      <c r="I541" s="8" t="str">
        <f t="shared" si="10"/>
        <v/>
      </c>
    </row>
    <row r="542" spans="9:9" x14ac:dyDescent="0.25">
      <c r="I542" s="8" t="str">
        <f t="shared" si="10"/>
        <v/>
      </c>
    </row>
    <row r="543" spans="9:9" x14ac:dyDescent="0.25">
      <c r="I543" s="8" t="str">
        <f t="shared" si="10"/>
        <v/>
      </c>
    </row>
    <row r="544" spans="9:9" x14ac:dyDescent="0.25">
      <c r="I544" s="8" t="str">
        <f t="shared" si="10"/>
        <v/>
      </c>
    </row>
    <row r="545" spans="9:9" x14ac:dyDescent="0.25">
      <c r="I545" s="8" t="str">
        <f t="shared" si="10"/>
        <v/>
      </c>
    </row>
    <row r="546" spans="9:9" x14ac:dyDescent="0.25">
      <c r="I546" s="8" t="str">
        <f t="shared" si="10"/>
        <v/>
      </c>
    </row>
    <row r="547" spans="9:9" x14ac:dyDescent="0.25">
      <c r="I547" s="8" t="str">
        <f t="shared" si="10"/>
        <v/>
      </c>
    </row>
    <row r="548" spans="9:9" x14ac:dyDescent="0.25">
      <c r="I548" s="8" t="str">
        <f t="shared" si="10"/>
        <v/>
      </c>
    </row>
    <row r="549" spans="9:9" x14ac:dyDescent="0.25">
      <c r="I549" s="8" t="str">
        <f t="shared" si="10"/>
        <v/>
      </c>
    </row>
    <row r="550" spans="9:9" x14ac:dyDescent="0.25">
      <c r="I550" s="8" t="str">
        <f t="shared" si="10"/>
        <v/>
      </c>
    </row>
    <row r="551" spans="9:9" x14ac:dyDescent="0.25">
      <c r="I551" s="8" t="str">
        <f t="shared" si="10"/>
        <v/>
      </c>
    </row>
    <row r="552" spans="9:9" x14ac:dyDescent="0.25">
      <c r="I552" s="8" t="str">
        <f t="shared" si="10"/>
        <v/>
      </c>
    </row>
    <row r="553" spans="9:9" x14ac:dyDescent="0.25">
      <c r="I553" s="8" t="str">
        <f t="shared" si="10"/>
        <v/>
      </c>
    </row>
    <row r="554" spans="9:9" x14ac:dyDescent="0.25">
      <c r="I554" s="8" t="str">
        <f t="shared" si="10"/>
        <v/>
      </c>
    </row>
    <row r="555" spans="9:9" x14ac:dyDescent="0.25">
      <c r="I555" s="8" t="str">
        <f t="shared" si="10"/>
        <v/>
      </c>
    </row>
    <row r="556" spans="9:9" x14ac:dyDescent="0.25">
      <c r="I556" s="8" t="str">
        <f t="shared" si="10"/>
        <v/>
      </c>
    </row>
    <row r="557" spans="9:9" x14ac:dyDescent="0.25">
      <c r="I557" s="8" t="str">
        <f t="shared" si="10"/>
        <v/>
      </c>
    </row>
    <row r="558" spans="9:9" x14ac:dyDescent="0.25">
      <c r="I558" s="8" t="str">
        <f t="shared" si="10"/>
        <v/>
      </c>
    </row>
    <row r="559" spans="9:9" x14ac:dyDescent="0.25">
      <c r="I559" s="8" t="str">
        <f t="shared" si="10"/>
        <v/>
      </c>
    </row>
    <row r="560" spans="9:9" x14ac:dyDescent="0.25">
      <c r="I560" s="8" t="str">
        <f t="shared" si="10"/>
        <v/>
      </c>
    </row>
    <row r="561" spans="9:9" x14ac:dyDescent="0.25">
      <c r="I561" s="8" t="str">
        <f t="shared" si="10"/>
        <v/>
      </c>
    </row>
    <row r="562" spans="9:9" x14ac:dyDescent="0.25">
      <c r="I562" s="8" t="str">
        <f t="shared" si="10"/>
        <v/>
      </c>
    </row>
    <row r="563" spans="9:9" x14ac:dyDescent="0.25">
      <c r="I563" s="8" t="str">
        <f t="shared" si="10"/>
        <v/>
      </c>
    </row>
    <row r="564" spans="9:9" x14ac:dyDescent="0.25">
      <c r="I564" s="8" t="str">
        <f t="shared" si="10"/>
        <v/>
      </c>
    </row>
    <row r="565" spans="9:9" x14ac:dyDescent="0.25">
      <c r="I565" s="8" t="str">
        <f t="shared" si="10"/>
        <v/>
      </c>
    </row>
    <row r="566" spans="9:9" x14ac:dyDescent="0.25">
      <c r="I566" s="8" t="str">
        <f t="shared" si="10"/>
        <v/>
      </c>
    </row>
    <row r="567" spans="9:9" x14ac:dyDescent="0.25">
      <c r="I567" s="8" t="str">
        <f t="shared" si="10"/>
        <v/>
      </c>
    </row>
    <row r="568" spans="9:9" x14ac:dyDescent="0.25">
      <c r="I568" s="8" t="str">
        <f t="shared" si="10"/>
        <v/>
      </c>
    </row>
    <row r="569" spans="9:9" x14ac:dyDescent="0.25">
      <c r="I569" s="8" t="str">
        <f t="shared" si="10"/>
        <v/>
      </c>
    </row>
    <row r="570" spans="9:9" x14ac:dyDescent="0.25">
      <c r="I570" s="8" t="str">
        <f t="shared" si="10"/>
        <v/>
      </c>
    </row>
    <row r="571" spans="9:9" x14ac:dyDescent="0.25">
      <c r="I571" s="8" t="str">
        <f t="shared" si="10"/>
        <v/>
      </c>
    </row>
    <row r="572" spans="9:9" x14ac:dyDescent="0.25">
      <c r="I572" s="8" t="str">
        <f t="shared" si="10"/>
        <v/>
      </c>
    </row>
    <row r="573" spans="9:9" x14ac:dyDescent="0.25">
      <c r="I573" s="8" t="str">
        <f t="shared" si="10"/>
        <v/>
      </c>
    </row>
    <row r="574" spans="9:9" x14ac:dyDescent="0.25">
      <c r="I574" s="8" t="str">
        <f t="shared" si="10"/>
        <v/>
      </c>
    </row>
    <row r="575" spans="9:9" x14ac:dyDescent="0.25">
      <c r="I575" s="8" t="str">
        <f t="shared" si="10"/>
        <v/>
      </c>
    </row>
    <row r="576" spans="9:9" x14ac:dyDescent="0.25">
      <c r="I576" s="8" t="str">
        <f t="shared" si="10"/>
        <v/>
      </c>
    </row>
    <row r="577" spans="9:9" x14ac:dyDescent="0.25">
      <c r="I577" s="8" t="str">
        <f t="shared" si="10"/>
        <v/>
      </c>
    </row>
    <row r="578" spans="9:9" x14ac:dyDescent="0.25">
      <c r="I578" s="8" t="str">
        <f t="shared" si="10"/>
        <v/>
      </c>
    </row>
    <row r="579" spans="9:9" x14ac:dyDescent="0.25">
      <c r="I579" s="8" t="str">
        <f t="shared" si="10"/>
        <v/>
      </c>
    </row>
    <row r="580" spans="9:9" x14ac:dyDescent="0.25">
      <c r="I580" s="8" t="str">
        <f t="shared" si="10"/>
        <v/>
      </c>
    </row>
    <row r="581" spans="9:9" x14ac:dyDescent="0.25">
      <c r="I581" s="8" t="str">
        <f t="shared" ref="I581:I644" si="11">IFERROR($I580+$G$2,"")</f>
        <v/>
      </c>
    </row>
    <row r="582" spans="9:9" x14ac:dyDescent="0.25">
      <c r="I582" s="8" t="str">
        <f t="shared" si="11"/>
        <v/>
      </c>
    </row>
    <row r="583" spans="9:9" x14ac:dyDescent="0.25">
      <c r="I583" s="8" t="str">
        <f t="shared" si="11"/>
        <v/>
      </c>
    </row>
    <row r="584" spans="9:9" x14ac:dyDescent="0.25">
      <c r="I584" s="8" t="str">
        <f t="shared" si="11"/>
        <v/>
      </c>
    </row>
    <row r="585" spans="9:9" x14ac:dyDescent="0.25">
      <c r="I585" s="8" t="str">
        <f t="shared" si="11"/>
        <v/>
      </c>
    </row>
    <row r="586" spans="9:9" x14ac:dyDescent="0.25">
      <c r="I586" s="8" t="str">
        <f t="shared" si="11"/>
        <v/>
      </c>
    </row>
    <row r="587" spans="9:9" x14ac:dyDescent="0.25">
      <c r="I587" s="8" t="str">
        <f t="shared" si="11"/>
        <v/>
      </c>
    </row>
    <row r="588" spans="9:9" x14ac:dyDescent="0.25">
      <c r="I588" s="8" t="str">
        <f t="shared" si="11"/>
        <v/>
      </c>
    </row>
    <row r="589" spans="9:9" x14ac:dyDescent="0.25">
      <c r="I589" s="8" t="str">
        <f t="shared" si="11"/>
        <v/>
      </c>
    </row>
    <row r="590" spans="9:9" x14ac:dyDescent="0.25">
      <c r="I590" s="8" t="str">
        <f t="shared" si="11"/>
        <v/>
      </c>
    </row>
    <row r="591" spans="9:9" x14ac:dyDescent="0.25">
      <c r="I591" s="8" t="str">
        <f t="shared" si="11"/>
        <v/>
      </c>
    </row>
    <row r="592" spans="9:9" x14ac:dyDescent="0.25">
      <c r="I592" s="8" t="str">
        <f t="shared" si="11"/>
        <v/>
      </c>
    </row>
    <row r="593" spans="9:9" x14ac:dyDescent="0.25">
      <c r="I593" s="8" t="str">
        <f t="shared" si="11"/>
        <v/>
      </c>
    </row>
    <row r="594" spans="9:9" x14ac:dyDescent="0.25">
      <c r="I594" s="8" t="str">
        <f t="shared" si="11"/>
        <v/>
      </c>
    </row>
    <row r="595" spans="9:9" x14ac:dyDescent="0.25">
      <c r="I595" s="8" t="str">
        <f t="shared" si="11"/>
        <v/>
      </c>
    </row>
    <row r="596" spans="9:9" x14ac:dyDescent="0.25">
      <c r="I596" s="8" t="str">
        <f t="shared" si="11"/>
        <v/>
      </c>
    </row>
    <row r="597" spans="9:9" x14ac:dyDescent="0.25">
      <c r="I597" s="8" t="str">
        <f t="shared" si="11"/>
        <v/>
      </c>
    </row>
    <row r="598" spans="9:9" x14ac:dyDescent="0.25">
      <c r="I598" s="8" t="str">
        <f t="shared" si="11"/>
        <v/>
      </c>
    </row>
    <row r="599" spans="9:9" x14ac:dyDescent="0.25">
      <c r="I599" s="8" t="str">
        <f t="shared" si="11"/>
        <v/>
      </c>
    </row>
    <row r="600" spans="9:9" x14ac:dyDescent="0.25">
      <c r="I600" s="8" t="str">
        <f t="shared" si="11"/>
        <v/>
      </c>
    </row>
    <row r="601" spans="9:9" x14ac:dyDescent="0.25">
      <c r="I601" s="8" t="str">
        <f t="shared" si="11"/>
        <v/>
      </c>
    </row>
    <row r="602" spans="9:9" x14ac:dyDescent="0.25">
      <c r="I602" s="8" t="str">
        <f t="shared" si="11"/>
        <v/>
      </c>
    </row>
    <row r="603" spans="9:9" x14ac:dyDescent="0.25">
      <c r="I603" s="8" t="str">
        <f t="shared" si="11"/>
        <v/>
      </c>
    </row>
    <row r="604" spans="9:9" x14ac:dyDescent="0.25">
      <c r="I604" s="8" t="str">
        <f t="shared" si="11"/>
        <v/>
      </c>
    </row>
    <row r="605" spans="9:9" x14ac:dyDescent="0.25">
      <c r="I605" s="8" t="str">
        <f t="shared" si="11"/>
        <v/>
      </c>
    </row>
    <row r="606" spans="9:9" x14ac:dyDescent="0.25">
      <c r="I606" s="8" t="str">
        <f t="shared" si="11"/>
        <v/>
      </c>
    </row>
    <row r="607" spans="9:9" x14ac:dyDescent="0.25">
      <c r="I607" s="8" t="str">
        <f t="shared" si="11"/>
        <v/>
      </c>
    </row>
    <row r="608" spans="9:9" x14ac:dyDescent="0.25">
      <c r="I608" s="8" t="str">
        <f t="shared" si="11"/>
        <v/>
      </c>
    </row>
    <row r="609" spans="9:9" x14ac:dyDescent="0.25">
      <c r="I609" s="8" t="str">
        <f t="shared" si="11"/>
        <v/>
      </c>
    </row>
    <row r="610" spans="9:9" x14ac:dyDescent="0.25">
      <c r="I610" s="8" t="str">
        <f t="shared" si="11"/>
        <v/>
      </c>
    </row>
    <row r="611" spans="9:9" x14ac:dyDescent="0.25">
      <c r="I611" s="8" t="str">
        <f t="shared" si="11"/>
        <v/>
      </c>
    </row>
    <row r="612" spans="9:9" x14ac:dyDescent="0.25">
      <c r="I612" s="8" t="str">
        <f t="shared" si="11"/>
        <v/>
      </c>
    </row>
    <row r="613" spans="9:9" x14ac:dyDescent="0.25">
      <c r="I613" s="8" t="str">
        <f t="shared" si="11"/>
        <v/>
      </c>
    </row>
    <row r="614" spans="9:9" x14ac:dyDescent="0.25">
      <c r="I614" s="8" t="str">
        <f t="shared" si="11"/>
        <v/>
      </c>
    </row>
    <row r="615" spans="9:9" x14ac:dyDescent="0.25">
      <c r="I615" s="8" t="str">
        <f t="shared" si="11"/>
        <v/>
      </c>
    </row>
    <row r="616" spans="9:9" x14ac:dyDescent="0.25">
      <c r="I616" s="8" t="str">
        <f t="shared" si="11"/>
        <v/>
      </c>
    </row>
    <row r="617" spans="9:9" x14ac:dyDescent="0.25">
      <c r="I617" s="8" t="str">
        <f t="shared" si="11"/>
        <v/>
      </c>
    </row>
    <row r="618" spans="9:9" x14ac:dyDescent="0.25">
      <c r="I618" s="8" t="str">
        <f t="shared" si="11"/>
        <v/>
      </c>
    </row>
    <row r="619" spans="9:9" x14ac:dyDescent="0.25">
      <c r="I619" s="8" t="str">
        <f t="shared" si="11"/>
        <v/>
      </c>
    </row>
    <row r="620" spans="9:9" x14ac:dyDescent="0.25">
      <c r="I620" s="8" t="str">
        <f t="shared" si="11"/>
        <v/>
      </c>
    </row>
    <row r="621" spans="9:9" x14ac:dyDescent="0.25">
      <c r="I621" s="8" t="str">
        <f t="shared" si="11"/>
        <v/>
      </c>
    </row>
    <row r="622" spans="9:9" x14ac:dyDescent="0.25">
      <c r="I622" s="8" t="str">
        <f t="shared" si="11"/>
        <v/>
      </c>
    </row>
    <row r="623" spans="9:9" x14ac:dyDescent="0.25">
      <c r="I623" s="8" t="str">
        <f t="shared" si="11"/>
        <v/>
      </c>
    </row>
    <row r="624" spans="9:9" x14ac:dyDescent="0.25">
      <c r="I624" s="8" t="str">
        <f t="shared" si="11"/>
        <v/>
      </c>
    </row>
    <row r="625" spans="9:9" x14ac:dyDescent="0.25">
      <c r="I625" s="8" t="str">
        <f t="shared" si="11"/>
        <v/>
      </c>
    </row>
    <row r="626" spans="9:9" x14ac:dyDescent="0.25">
      <c r="I626" s="8" t="str">
        <f t="shared" si="11"/>
        <v/>
      </c>
    </row>
    <row r="627" spans="9:9" x14ac:dyDescent="0.25">
      <c r="I627" s="8" t="str">
        <f t="shared" si="11"/>
        <v/>
      </c>
    </row>
    <row r="628" spans="9:9" x14ac:dyDescent="0.25">
      <c r="I628" s="8" t="str">
        <f t="shared" si="11"/>
        <v/>
      </c>
    </row>
    <row r="629" spans="9:9" x14ac:dyDescent="0.25">
      <c r="I629" s="8" t="str">
        <f t="shared" si="11"/>
        <v/>
      </c>
    </row>
    <row r="630" spans="9:9" x14ac:dyDescent="0.25">
      <c r="I630" s="8" t="str">
        <f t="shared" si="11"/>
        <v/>
      </c>
    </row>
    <row r="631" spans="9:9" x14ac:dyDescent="0.25">
      <c r="I631" s="8" t="str">
        <f t="shared" si="11"/>
        <v/>
      </c>
    </row>
    <row r="632" spans="9:9" x14ac:dyDescent="0.25">
      <c r="I632" s="8" t="str">
        <f t="shared" si="11"/>
        <v/>
      </c>
    </row>
    <row r="633" spans="9:9" x14ac:dyDescent="0.25">
      <c r="I633" s="8" t="str">
        <f t="shared" si="11"/>
        <v/>
      </c>
    </row>
    <row r="634" spans="9:9" x14ac:dyDescent="0.25">
      <c r="I634" s="8" t="str">
        <f t="shared" si="11"/>
        <v/>
      </c>
    </row>
    <row r="635" spans="9:9" x14ac:dyDescent="0.25">
      <c r="I635" s="8" t="str">
        <f t="shared" si="11"/>
        <v/>
      </c>
    </row>
    <row r="636" spans="9:9" x14ac:dyDescent="0.25">
      <c r="I636" s="8" t="str">
        <f t="shared" si="11"/>
        <v/>
      </c>
    </row>
    <row r="637" spans="9:9" x14ac:dyDescent="0.25">
      <c r="I637" s="8" t="str">
        <f t="shared" si="11"/>
        <v/>
      </c>
    </row>
    <row r="638" spans="9:9" x14ac:dyDescent="0.25">
      <c r="I638" s="8" t="str">
        <f t="shared" si="11"/>
        <v/>
      </c>
    </row>
    <row r="639" spans="9:9" x14ac:dyDescent="0.25">
      <c r="I639" s="8" t="str">
        <f t="shared" si="11"/>
        <v/>
      </c>
    </row>
    <row r="640" spans="9:9" x14ac:dyDescent="0.25">
      <c r="I640" s="8" t="str">
        <f t="shared" si="11"/>
        <v/>
      </c>
    </row>
    <row r="641" spans="9:9" x14ac:dyDescent="0.25">
      <c r="I641" s="8" t="str">
        <f t="shared" si="11"/>
        <v/>
      </c>
    </row>
    <row r="642" spans="9:9" x14ac:dyDescent="0.25">
      <c r="I642" s="8" t="str">
        <f t="shared" si="11"/>
        <v/>
      </c>
    </row>
    <row r="643" spans="9:9" x14ac:dyDescent="0.25">
      <c r="I643" s="8" t="str">
        <f t="shared" si="11"/>
        <v/>
      </c>
    </row>
    <row r="644" spans="9:9" x14ac:dyDescent="0.25">
      <c r="I644" s="8" t="str">
        <f t="shared" si="11"/>
        <v/>
      </c>
    </row>
    <row r="645" spans="9:9" x14ac:dyDescent="0.25">
      <c r="I645" s="8" t="str">
        <f t="shared" ref="I645:I708" si="12">IFERROR($I644+$G$2,"")</f>
        <v/>
      </c>
    </row>
    <row r="646" spans="9:9" x14ac:dyDescent="0.25">
      <c r="I646" s="8" t="str">
        <f t="shared" si="12"/>
        <v/>
      </c>
    </row>
    <row r="647" spans="9:9" x14ac:dyDescent="0.25">
      <c r="I647" s="8" t="str">
        <f t="shared" si="12"/>
        <v/>
      </c>
    </row>
    <row r="648" spans="9:9" x14ac:dyDescent="0.25">
      <c r="I648" s="8" t="str">
        <f t="shared" si="12"/>
        <v/>
      </c>
    </row>
    <row r="649" spans="9:9" x14ac:dyDescent="0.25">
      <c r="I649" s="8" t="str">
        <f t="shared" si="12"/>
        <v/>
      </c>
    </row>
    <row r="650" spans="9:9" x14ac:dyDescent="0.25">
      <c r="I650" s="8" t="str">
        <f t="shared" si="12"/>
        <v/>
      </c>
    </row>
    <row r="651" spans="9:9" x14ac:dyDescent="0.25">
      <c r="I651" s="8" t="str">
        <f t="shared" si="12"/>
        <v/>
      </c>
    </row>
    <row r="652" spans="9:9" x14ac:dyDescent="0.25">
      <c r="I652" s="8" t="str">
        <f t="shared" si="12"/>
        <v/>
      </c>
    </row>
    <row r="653" spans="9:9" x14ac:dyDescent="0.25">
      <c r="I653" s="8" t="str">
        <f t="shared" si="12"/>
        <v/>
      </c>
    </row>
    <row r="654" spans="9:9" x14ac:dyDescent="0.25">
      <c r="I654" s="8" t="str">
        <f t="shared" si="12"/>
        <v/>
      </c>
    </row>
    <row r="655" spans="9:9" x14ac:dyDescent="0.25">
      <c r="I655" s="8" t="str">
        <f t="shared" si="12"/>
        <v/>
      </c>
    </row>
    <row r="656" spans="9:9" x14ac:dyDescent="0.25">
      <c r="I656" s="8" t="str">
        <f t="shared" si="12"/>
        <v/>
      </c>
    </row>
    <row r="657" spans="9:9" x14ac:dyDescent="0.25">
      <c r="I657" s="8" t="str">
        <f t="shared" si="12"/>
        <v/>
      </c>
    </row>
    <row r="658" spans="9:9" x14ac:dyDescent="0.25">
      <c r="I658" s="8" t="str">
        <f t="shared" si="12"/>
        <v/>
      </c>
    </row>
    <row r="659" spans="9:9" x14ac:dyDescent="0.25">
      <c r="I659" s="8" t="str">
        <f t="shared" si="12"/>
        <v/>
      </c>
    </row>
    <row r="660" spans="9:9" x14ac:dyDescent="0.25">
      <c r="I660" s="8" t="str">
        <f t="shared" si="12"/>
        <v/>
      </c>
    </row>
    <row r="661" spans="9:9" x14ac:dyDescent="0.25">
      <c r="I661" s="8" t="str">
        <f t="shared" si="12"/>
        <v/>
      </c>
    </row>
    <row r="662" spans="9:9" x14ac:dyDescent="0.25">
      <c r="I662" s="8" t="str">
        <f t="shared" si="12"/>
        <v/>
      </c>
    </row>
    <row r="663" spans="9:9" x14ac:dyDescent="0.25">
      <c r="I663" s="8" t="str">
        <f t="shared" si="12"/>
        <v/>
      </c>
    </row>
    <row r="664" spans="9:9" x14ac:dyDescent="0.25">
      <c r="I664" s="8" t="str">
        <f t="shared" si="12"/>
        <v/>
      </c>
    </row>
    <row r="665" spans="9:9" x14ac:dyDescent="0.25">
      <c r="I665" s="8" t="str">
        <f t="shared" si="12"/>
        <v/>
      </c>
    </row>
    <row r="666" spans="9:9" x14ac:dyDescent="0.25">
      <c r="I666" s="8" t="str">
        <f t="shared" si="12"/>
        <v/>
      </c>
    </row>
    <row r="667" spans="9:9" x14ac:dyDescent="0.25">
      <c r="I667" s="8" t="str">
        <f t="shared" si="12"/>
        <v/>
      </c>
    </row>
    <row r="668" spans="9:9" x14ac:dyDescent="0.25">
      <c r="I668" s="8" t="str">
        <f t="shared" si="12"/>
        <v/>
      </c>
    </row>
    <row r="669" spans="9:9" x14ac:dyDescent="0.25">
      <c r="I669" s="8" t="str">
        <f t="shared" si="12"/>
        <v/>
      </c>
    </row>
    <row r="670" spans="9:9" x14ac:dyDescent="0.25">
      <c r="I670" s="8" t="str">
        <f t="shared" si="12"/>
        <v/>
      </c>
    </row>
    <row r="671" spans="9:9" x14ac:dyDescent="0.25">
      <c r="I671" s="8" t="str">
        <f t="shared" si="12"/>
        <v/>
      </c>
    </row>
    <row r="672" spans="9:9" x14ac:dyDescent="0.25">
      <c r="I672" s="8" t="str">
        <f t="shared" si="12"/>
        <v/>
      </c>
    </row>
    <row r="673" spans="9:9" x14ac:dyDescent="0.25">
      <c r="I673" s="8" t="str">
        <f t="shared" si="12"/>
        <v/>
      </c>
    </row>
    <row r="674" spans="9:9" x14ac:dyDescent="0.25">
      <c r="I674" s="8" t="str">
        <f t="shared" si="12"/>
        <v/>
      </c>
    </row>
    <row r="675" spans="9:9" x14ac:dyDescent="0.25">
      <c r="I675" s="8" t="str">
        <f t="shared" si="12"/>
        <v/>
      </c>
    </row>
    <row r="676" spans="9:9" x14ac:dyDescent="0.25">
      <c r="I676" s="8" t="str">
        <f t="shared" si="12"/>
        <v/>
      </c>
    </row>
    <row r="677" spans="9:9" x14ac:dyDescent="0.25">
      <c r="I677" s="8" t="str">
        <f t="shared" si="12"/>
        <v/>
      </c>
    </row>
    <row r="678" spans="9:9" x14ac:dyDescent="0.25">
      <c r="I678" s="8" t="str">
        <f t="shared" si="12"/>
        <v/>
      </c>
    </row>
    <row r="679" spans="9:9" x14ac:dyDescent="0.25">
      <c r="I679" s="8" t="str">
        <f t="shared" si="12"/>
        <v/>
      </c>
    </row>
    <row r="680" spans="9:9" x14ac:dyDescent="0.25">
      <c r="I680" s="8" t="str">
        <f t="shared" si="12"/>
        <v/>
      </c>
    </row>
    <row r="681" spans="9:9" x14ac:dyDescent="0.25">
      <c r="I681" s="8" t="str">
        <f t="shared" si="12"/>
        <v/>
      </c>
    </row>
    <row r="682" spans="9:9" x14ac:dyDescent="0.25">
      <c r="I682" s="8" t="str">
        <f t="shared" si="12"/>
        <v/>
      </c>
    </row>
    <row r="683" spans="9:9" x14ac:dyDescent="0.25">
      <c r="I683" s="8" t="str">
        <f t="shared" si="12"/>
        <v/>
      </c>
    </row>
    <row r="684" spans="9:9" x14ac:dyDescent="0.25">
      <c r="I684" s="8" t="str">
        <f t="shared" si="12"/>
        <v/>
      </c>
    </row>
    <row r="685" spans="9:9" x14ac:dyDescent="0.25">
      <c r="I685" s="8" t="str">
        <f t="shared" si="12"/>
        <v/>
      </c>
    </row>
    <row r="686" spans="9:9" x14ac:dyDescent="0.25">
      <c r="I686" s="8" t="str">
        <f t="shared" si="12"/>
        <v/>
      </c>
    </row>
    <row r="687" spans="9:9" x14ac:dyDescent="0.25">
      <c r="I687" s="8" t="str">
        <f t="shared" si="12"/>
        <v/>
      </c>
    </row>
    <row r="688" spans="9:9" x14ac:dyDescent="0.25">
      <c r="I688" s="8" t="str">
        <f t="shared" si="12"/>
        <v/>
      </c>
    </row>
    <row r="689" spans="9:9" x14ac:dyDescent="0.25">
      <c r="I689" s="8" t="str">
        <f t="shared" si="12"/>
        <v/>
      </c>
    </row>
    <row r="690" spans="9:9" x14ac:dyDescent="0.25">
      <c r="I690" s="8" t="str">
        <f t="shared" si="12"/>
        <v/>
      </c>
    </row>
    <row r="691" spans="9:9" x14ac:dyDescent="0.25">
      <c r="I691" s="8" t="str">
        <f t="shared" si="12"/>
        <v/>
      </c>
    </row>
    <row r="692" spans="9:9" x14ac:dyDescent="0.25">
      <c r="I692" s="8" t="str">
        <f t="shared" si="12"/>
        <v/>
      </c>
    </row>
    <row r="693" spans="9:9" x14ac:dyDescent="0.25">
      <c r="I693" s="8" t="str">
        <f t="shared" si="12"/>
        <v/>
      </c>
    </row>
    <row r="694" spans="9:9" x14ac:dyDescent="0.25">
      <c r="I694" s="8" t="str">
        <f t="shared" si="12"/>
        <v/>
      </c>
    </row>
    <row r="695" spans="9:9" x14ac:dyDescent="0.25">
      <c r="I695" s="8" t="str">
        <f t="shared" si="12"/>
        <v/>
      </c>
    </row>
    <row r="696" spans="9:9" x14ac:dyDescent="0.25">
      <c r="I696" s="8" t="str">
        <f t="shared" si="12"/>
        <v/>
      </c>
    </row>
    <row r="697" spans="9:9" x14ac:dyDescent="0.25">
      <c r="I697" s="8" t="str">
        <f t="shared" si="12"/>
        <v/>
      </c>
    </row>
    <row r="698" spans="9:9" x14ac:dyDescent="0.25">
      <c r="I698" s="8" t="str">
        <f t="shared" si="12"/>
        <v/>
      </c>
    </row>
    <row r="699" spans="9:9" x14ac:dyDescent="0.25">
      <c r="I699" s="8" t="str">
        <f t="shared" si="12"/>
        <v/>
      </c>
    </row>
    <row r="700" spans="9:9" x14ac:dyDescent="0.25">
      <c r="I700" s="8" t="str">
        <f t="shared" si="12"/>
        <v/>
      </c>
    </row>
    <row r="701" spans="9:9" x14ac:dyDescent="0.25">
      <c r="I701" s="8" t="str">
        <f t="shared" si="12"/>
        <v/>
      </c>
    </row>
    <row r="702" spans="9:9" x14ac:dyDescent="0.25">
      <c r="I702" s="8" t="str">
        <f t="shared" si="12"/>
        <v/>
      </c>
    </row>
    <row r="703" spans="9:9" x14ac:dyDescent="0.25">
      <c r="I703" s="8" t="str">
        <f t="shared" si="12"/>
        <v/>
      </c>
    </row>
    <row r="704" spans="9:9" x14ac:dyDescent="0.25">
      <c r="I704" s="8" t="str">
        <f t="shared" si="12"/>
        <v/>
      </c>
    </row>
    <row r="705" spans="9:9" x14ac:dyDescent="0.25">
      <c r="I705" s="8" t="str">
        <f t="shared" si="12"/>
        <v/>
      </c>
    </row>
    <row r="706" spans="9:9" x14ac:dyDescent="0.25">
      <c r="I706" s="8" t="str">
        <f t="shared" si="12"/>
        <v/>
      </c>
    </row>
    <row r="707" spans="9:9" x14ac:dyDescent="0.25">
      <c r="I707" s="8" t="str">
        <f t="shared" si="12"/>
        <v/>
      </c>
    </row>
    <row r="708" spans="9:9" x14ac:dyDescent="0.25">
      <c r="I708" s="8" t="str">
        <f t="shared" si="12"/>
        <v/>
      </c>
    </row>
    <row r="709" spans="9:9" x14ac:dyDescent="0.25">
      <c r="I709" s="8" t="str">
        <f t="shared" ref="I709:I750" si="13">IFERROR($I708+$G$2,"")</f>
        <v/>
      </c>
    </row>
    <row r="710" spans="9:9" x14ac:dyDescent="0.25">
      <c r="I710" s="8" t="str">
        <f t="shared" si="13"/>
        <v/>
      </c>
    </row>
    <row r="711" spans="9:9" x14ac:dyDescent="0.25">
      <c r="I711" s="8" t="str">
        <f t="shared" si="13"/>
        <v/>
      </c>
    </row>
    <row r="712" spans="9:9" x14ac:dyDescent="0.25">
      <c r="I712" s="8" t="str">
        <f t="shared" si="13"/>
        <v/>
      </c>
    </row>
    <row r="713" spans="9:9" x14ac:dyDescent="0.25">
      <c r="I713" s="8" t="str">
        <f t="shared" si="13"/>
        <v/>
      </c>
    </row>
    <row r="714" spans="9:9" x14ac:dyDescent="0.25">
      <c r="I714" s="8" t="str">
        <f t="shared" si="13"/>
        <v/>
      </c>
    </row>
    <row r="715" spans="9:9" x14ac:dyDescent="0.25">
      <c r="I715" s="8" t="str">
        <f t="shared" si="13"/>
        <v/>
      </c>
    </row>
    <row r="716" spans="9:9" x14ac:dyDescent="0.25">
      <c r="I716" s="8" t="str">
        <f t="shared" si="13"/>
        <v/>
      </c>
    </row>
    <row r="717" spans="9:9" x14ac:dyDescent="0.25">
      <c r="I717" s="8" t="str">
        <f t="shared" si="13"/>
        <v/>
      </c>
    </row>
    <row r="718" spans="9:9" x14ac:dyDescent="0.25">
      <c r="I718" s="8" t="str">
        <f t="shared" si="13"/>
        <v/>
      </c>
    </row>
    <row r="719" spans="9:9" x14ac:dyDescent="0.25">
      <c r="I719" s="8" t="str">
        <f t="shared" si="13"/>
        <v/>
      </c>
    </row>
    <row r="720" spans="9:9" x14ac:dyDescent="0.25">
      <c r="I720" s="8" t="str">
        <f t="shared" si="13"/>
        <v/>
      </c>
    </row>
    <row r="721" spans="9:9" x14ac:dyDescent="0.25">
      <c r="I721" s="8" t="str">
        <f t="shared" si="13"/>
        <v/>
      </c>
    </row>
    <row r="722" spans="9:9" x14ac:dyDescent="0.25">
      <c r="I722" s="8" t="str">
        <f t="shared" si="13"/>
        <v/>
      </c>
    </row>
    <row r="723" spans="9:9" x14ac:dyDescent="0.25">
      <c r="I723" s="8" t="str">
        <f t="shared" si="13"/>
        <v/>
      </c>
    </row>
    <row r="724" spans="9:9" x14ac:dyDescent="0.25">
      <c r="I724" s="8" t="str">
        <f t="shared" si="13"/>
        <v/>
      </c>
    </row>
    <row r="725" spans="9:9" x14ac:dyDescent="0.25">
      <c r="I725" s="8" t="str">
        <f t="shared" si="13"/>
        <v/>
      </c>
    </row>
    <row r="726" spans="9:9" x14ac:dyDescent="0.25">
      <c r="I726" s="8" t="str">
        <f t="shared" si="13"/>
        <v/>
      </c>
    </row>
    <row r="727" spans="9:9" x14ac:dyDescent="0.25">
      <c r="I727" s="8" t="str">
        <f t="shared" si="13"/>
        <v/>
      </c>
    </row>
    <row r="728" spans="9:9" x14ac:dyDescent="0.25">
      <c r="I728" s="8" t="str">
        <f t="shared" si="13"/>
        <v/>
      </c>
    </row>
    <row r="729" spans="9:9" x14ac:dyDescent="0.25">
      <c r="I729" s="8" t="str">
        <f t="shared" si="13"/>
        <v/>
      </c>
    </row>
    <row r="730" spans="9:9" x14ac:dyDescent="0.25">
      <c r="I730" s="8" t="str">
        <f t="shared" si="13"/>
        <v/>
      </c>
    </row>
    <row r="731" spans="9:9" x14ac:dyDescent="0.25">
      <c r="I731" s="8" t="str">
        <f t="shared" si="13"/>
        <v/>
      </c>
    </row>
    <row r="732" spans="9:9" x14ac:dyDescent="0.25">
      <c r="I732" s="8" t="str">
        <f t="shared" si="13"/>
        <v/>
      </c>
    </row>
    <row r="733" spans="9:9" x14ac:dyDescent="0.25">
      <c r="I733" s="8" t="str">
        <f t="shared" si="13"/>
        <v/>
      </c>
    </row>
    <row r="734" spans="9:9" x14ac:dyDescent="0.25">
      <c r="I734" s="8" t="str">
        <f t="shared" si="13"/>
        <v/>
      </c>
    </row>
    <row r="735" spans="9:9" x14ac:dyDescent="0.25">
      <c r="I735" s="8" t="str">
        <f t="shared" si="13"/>
        <v/>
      </c>
    </row>
    <row r="736" spans="9:9" x14ac:dyDescent="0.25">
      <c r="I736" s="8" t="str">
        <f t="shared" si="13"/>
        <v/>
      </c>
    </row>
    <row r="737" spans="9:9" x14ac:dyDescent="0.25">
      <c r="I737" s="8" t="str">
        <f t="shared" si="13"/>
        <v/>
      </c>
    </row>
    <row r="738" spans="9:9" x14ac:dyDescent="0.25">
      <c r="I738" s="8" t="str">
        <f t="shared" si="13"/>
        <v/>
      </c>
    </row>
    <row r="739" spans="9:9" x14ac:dyDescent="0.25">
      <c r="I739" s="8" t="str">
        <f t="shared" si="13"/>
        <v/>
      </c>
    </row>
    <row r="740" spans="9:9" x14ac:dyDescent="0.25">
      <c r="I740" s="8" t="str">
        <f t="shared" si="13"/>
        <v/>
      </c>
    </row>
    <row r="741" spans="9:9" x14ac:dyDescent="0.25">
      <c r="I741" s="8" t="str">
        <f t="shared" si="13"/>
        <v/>
      </c>
    </row>
    <row r="742" spans="9:9" x14ac:dyDescent="0.25">
      <c r="I742" s="8" t="str">
        <f t="shared" si="13"/>
        <v/>
      </c>
    </row>
    <row r="743" spans="9:9" x14ac:dyDescent="0.25">
      <c r="I743" s="8" t="str">
        <f t="shared" si="13"/>
        <v/>
      </c>
    </row>
    <row r="744" spans="9:9" x14ac:dyDescent="0.25">
      <c r="I744" s="8" t="str">
        <f t="shared" si="13"/>
        <v/>
      </c>
    </row>
    <row r="745" spans="9:9" x14ac:dyDescent="0.25">
      <c r="I745" s="8" t="str">
        <f t="shared" si="13"/>
        <v/>
      </c>
    </row>
    <row r="746" spans="9:9" x14ac:dyDescent="0.25">
      <c r="I746" s="8" t="str">
        <f t="shared" si="13"/>
        <v/>
      </c>
    </row>
    <row r="747" spans="9:9" x14ac:dyDescent="0.25">
      <c r="I747" s="8" t="str">
        <f t="shared" si="13"/>
        <v/>
      </c>
    </row>
    <row r="748" spans="9:9" x14ac:dyDescent="0.25">
      <c r="I748" s="8" t="str">
        <f t="shared" si="13"/>
        <v/>
      </c>
    </row>
    <row r="749" spans="9:9" x14ac:dyDescent="0.25">
      <c r="I749" s="8" t="str">
        <f t="shared" si="13"/>
        <v/>
      </c>
    </row>
    <row r="750" spans="9:9" x14ac:dyDescent="0.25">
      <c r="I750" s="8" t="str">
        <f t="shared" si="13"/>
        <v/>
      </c>
    </row>
  </sheetData>
  <mergeCells count="26">
    <mergeCell ref="B2:B3"/>
    <mergeCell ref="C2:C3"/>
    <mergeCell ref="F2:F3"/>
    <mergeCell ref="G2:G3"/>
    <mergeCell ref="B5:B6"/>
    <mergeCell ref="C5:G6"/>
    <mergeCell ref="B8:B9"/>
    <mergeCell ref="C8:G9"/>
    <mergeCell ref="F17:F18"/>
    <mergeCell ref="G17:G18"/>
    <mergeCell ref="B11:B12"/>
    <mergeCell ref="C11:G12"/>
    <mergeCell ref="B14:B15"/>
    <mergeCell ref="C14:G15"/>
    <mergeCell ref="B17:B18"/>
    <mergeCell ref="C17:C18"/>
    <mergeCell ref="B21:C21"/>
    <mergeCell ref="F25:F26"/>
    <mergeCell ref="G25:G26"/>
    <mergeCell ref="E17:E26"/>
    <mergeCell ref="F19:F20"/>
    <mergeCell ref="G19:G20"/>
    <mergeCell ref="F21:F22"/>
    <mergeCell ref="G21:G22"/>
    <mergeCell ref="F23:F24"/>
    <mergeCell ref="G23:G24"/>
  </mergeCells>
  <conditionalFormatting sqref="L1:Y2 L29:Y1048576 Y3:Y28">
    <cfRule type="cellIs" dxfId="12" priority="2" operator="lessThan">
      <formula>0</formula>
    </cfRule>
  </conditionalFormatting>
  <conditionalFormatting sqref="L3:X28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80B2-5063-4EFB-9D1A-BF206AEF5EF2}">
  <sheetPr codeName="Sheet16"/>
  <dimension ref="A1:AH2298"/>
  <sheetViews>
    <sheetView workbookViewId="0">
      <selection activeCell="A14" sqref="A14"/>
    </sheetView>
  </sheetViews>
  <sheetFormatPr defaultRowHeight="15" x14ac:dyDescent="0.25"/>
  <cols>
    <col min="1" max="1" width="15.28515625" customWidth="1"/>
    <col min="2" max="2" width="14.28515625" bestFit="1" customWidth="1"/>
    <col min="3" max="3" width="10.5703125" bestFit="1" customWidth="1"/>
    <col min="4" max="4" width="10.7109375" style="38" bestFit="1" customWidth="1"/>
    <col min="5" max="5" width="11.7109375" style="48" customWidth="1"/>
    <col min="6" max="6" width="20.42578125" style="38" customWidth="1"/>
    <col min="7" max="7" width="19.85546875" style="38" bestFit="1" customWidth="1"/>
    <col min="8" max="8" width="15" style="46" customWidth="1"/>
    <col min="9" max="9" width="17.7109375" style="46" bestFit="1" customWidth="1"/>
    <col min="10" max="10" width="15" style="46" customWidth="1"/>
    <col min="11" max="11" width="9.140625" style="48"/>
    <col min="12" max="12" width="12.85546875" style="114" bestFit="1" customWidth="1"/>
    <col min="13" max="13" width="12.85546875" style="116" customWidth="1"/>
    <col min="14" max="14" width="12.85546875" style="114" customWidth="1"/>
    <col min="15" max="15" width="9.140625" style="49"/>
    <col min="16" max="16" width="9.140625" style="38"/>
    <col min="17" max="17" width="9.7109375" bestFit="1" customWidth="1"/>
    <col min="18" max="18" width="18" bestFit="1" customWidth="1"/>
    <col min="19" max="19" width="19.28515625" bestFit="1" customWidth="1"/>
    <col min="20" max="20" width="4.5703125" bestFit="1" customWidth="1"/>
    <col min="21" max="21" width="19.28515625" bestFit="1" customWidth="1"/>
    <col min="22" max="22" width="15" bestFit="1" customWidth="1"/>
    <col min="23" max="23" width="7.5703125" bestFit="1" customWidth="1"/>
    <col min="24" max="24" width="7.5703125" customWidth="1"/>
    <col min="25" max="26" width="9.7109375" bestFit="1" customWidth="1"/>
  </cols>
  <sheetData>
    <row r="1" spans="1:34" x14ac:dyDescent="0.25">
      <c r="A1" s="39" t="s">
        <v>84</v>
      </c>
      <c r="B1" s="96" t="s">
        <v>102</v>
      </c>
      <c r="D1" s="195" t="s">
        <v>85</v>
      </c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</row>
    <row r="2" spans="1:34" x14ac:dyDescent="0.25">
      <c r="A2" s="40" t="s">
        <v>56</v>
      </c>
      <c r="B2" s="97" t="s">
        <v>103</v>
      </c>
      <c r="D2" s="35" t="s">
        <v>92</v>
      </c>
      <c r="E2" s="47" t="s">
        <v>71</v>
      </c>
      <c r="F2" s="35" t="s">
        <v>78</v>
      </c>
      <c r="G2" s="35" t="s">
        <v>79</v>
      </c>
      <c r="H2" s="45" t="s">
        <v>13</v>
      </c>
      <c r="I2" s="45" t="s">
        <v>110</v>
      </c>
      <c r="J2" s="45" t="s">
        <v>5</v>
      </c>
      <c r="K2" s="47" t="s">
        <v>76</v>
      </c>
      <c r="L2" s="113" t="s">
        <v>119</v>
      </c>
      <c r="M2" s="115" t="s">
        <v>120</v>
      </c>
      <c r="N2" s="113" t="s">
        <v>129</v>
      </c>
      <c r="O2" s="34" t="s">
        <v>89</v>
      </c>
      <c r="P2" s="34" t="s">
        <v>90</v>
      </c>
      <c r="Q2" s="78" t="s">
        <v>97</v>
      </c>
      <c r="R2" s="65"/>
      <c r="S2" s="67" t="s">
        <v>91</v>
      </c>
      <c r="T2" s="41"/>
      <c r="U2" s="41"/>
      <c r="V2" s="41"/>
      <c r="W2" s="41"/>
      <c r="X2" s="41"/>
      <c r="Y2" s="74" t="s">
        <v>49</v>
      </c>
      <c r="Z2" s="71"/>
      <c r="AA2" s="71"/>
      <c r="AB2" s="71"/>
      <c r="AC2" s="71"/>
      <c r="AH2" s="8"/>
    </row>
    <row r="3" spans="1:34" x14ac:dyDescent="0.25">
      <c r="A3" s="40" t="s">
        <v>57</v>
      </c>
      <c r="B3" s="97" t="s">
        <v>104</v>
      </c>
      <c r="D3" s="36" t="str" cm="1">
        <f t="array" aca="1" ref="D3" ca="1">IFERROR(IF(INDIRECT("'"&amp;F3&amp;"'!$C$5")&gt;0,DATE(YEAR(Dashboard!$AL$2),Dashboard!$AU$4,INDIRECT("'"&amp;F3&amp;"'!$C$5")),""),"")</f>
        <v/>
      </c>
      <c r="E3" s="50" t="str" cm="1">
        <f t="array" aca="1" ref="E3" ca="1">IF(J3&gt;0,IF(G3="Credit Accounts",IFERROR(IF(INDIRECT("'"&amp;F3&amp;"'!$C$8")&gt;0,INDIRECT("'"&amp;F3&amp;"'!$F$2"),""),""),""),0)</f>
        <v/>
      </c>
      <c r="F3" s="37" t="str" cm="1">
        <f t="array" ref="F3">IFERROR(INDEX(Sheet_Names,K3),"")</f>
        <v/>
      </c>
      <c r="G3" s="38" t="str" cm="1">
        <f t="array" aca="1" ref="G3" ca="1">IF(F3="",
    "",
    IFERROR(
        IF(INDIRECT("'"&amp;F3&amp;"'!$B$2")="Credit Limit",
            "Credit Accounts",
            IF(INDIRECT("'"&amp;F3&amp;"'!$E$2")="Location",
                "Cash Accounts",
                IF(INDIRECT("'"&amp;F3&amp;"'!$B$2")="Amount",
                    "Investments",
                    "Bill Accounts"
                )
            )
        ),
    "")
)</f>
        <v/>
      </c>
      <c r="H3" s="46" t="str" cm="1">
        <f t="array" aca="1" ref="H3" ca="1">IF(F3&lt;&gt;"",INDIRECT("'"&amp;F3&amp;"'!$C$10"),"")</f>
        <v/>
      </c>
      <c r="I3" s="46" t="str" cm="1">
        <f t="array" aca="1" ref="I3" ca="1">IF(F3&lt;&gt;"",IF(OR(G3="Bill Accounts",G3="Investments", G3="Cash Accounts"),INDIRECT("'"&amp;F3&amp;"'!$C$10"),INDIRECT("'"&amp;F3&amp;"'!$C$8")),"")</f>
        <v/>
      </c>
      <c r="J3" s="46" t="str" cm="1">
        <f t="array" aca="1" ref="J3" ca="1">IF(F3&lt;&gt;"",ABS(INDIRECT("'"&amp;F3&amp;"'!$I$2")),"")</f>
        <v/>
      </c>
      <c r="K3" s="48">
        <v>9</v>
      </c>
      <c r="L3" s="114" t="str" cm="1">
        <f t="array" aca="1" ref="L3" ca="1">IF(F3&lt;&gt;"",INDIRECT("'"&amp;F3&amp;"'!$F$17"),"")</f>
        <v/>
      </c>
      <c r="M3" s="116" t="str">
        <f ca="1">IF(G3="Credit Accounts",EDATE(TODAY(),INDIRECT("'"&amp;F3&amp;"'!$C$14")),"")</f>
        <v/>
      </c>
      <c r="O3" s="49" t="str">
        <f ca="1">IF(D3&lt;&gt;"",DAY(D3),"")</f>
        <v/>
      </c>
      <c r="P3" s="38" t="str">
        <f t="shared" ref="P3:P45" ca="1" si="0">IF(E3&lt;&gt;"",RANK(E3,$E$3:$E$2298)+COUNTIF($E$3:$E$2298,E3)-1,"")</f>
        <v/>
      </c>
      <c r="Q3" s="105" t="str" cm="1">
        <f t="array" aca="1" ref="Q3" ca="1">IFERROR(_xlfn.TAKE(_xlfn._xlws.SORT(_xlfn._xlws.FILTER(Data!E3:P2298, (Data!P3:P2298&gt;=LARGE(IF(Data!G3:G2298="Credit Accounts", Data!E3:E2298), 1)) * (Data!G3:G2298="Credit Accounts") *(Data!E3:E2298&gt;0)), 1, -1), 7, 2),"")</f>
        <v/>
      </c>
      <c r="R3" s="66"/>
      <c r="S3" s="68" t="e" cm="1">
        <f t="array" aca="1" ref="S3" ca="1">_xlfn.TAKE(_xlfn._xlws.SORT(_xlfn._xlws.FILTER(D3:J2298,(D3:D2298&lt;Dashboard!I19)*(D3:D2298&gt;=Dashboard!I19-Income!G2)*(D3:D2298&gt;=Dashboard!$AM$2)*(G3:G2298&lt;&gt;"Investments")*(G3:G2298&lt;&gt;"Cash Accounts")),1,1),,5)</f>
        <v>#VALUE!</v>
      </c>
      <c r="T3" s="69"/>
      <c r="U3" s="41"/>
      <c r="V3" s="41"/>
      <c r="W3" s="70"/>
      <c r="X3" s="70"/>
      <c r="Y3" s="72" t="str" cm="1">
        <f t="array" aca="1" ref="Y3" ca="1">IFERROR(_xlfn.TAKE(_xlfn._xlws.SORT(_xlfn._xlws.FILTER(D3:P2298,(D3:D2298&lt;Dashboard!I19)*(D3:D2298&gt;=Dashboard!I19-Income!G2)*(D3:D2298&gt;=Dashboard!$AL$2)),1,1),,5),"")</f>
        <v/>
      </c>
      <c r="Z3" s="71"/>
      <c r="AA3" s="71"/>
      <c r="AB3" s="71"/>
      <c r="AC3" s="71"/>
    </row>
    <row r="4" spans="1:34" x14ac:dyDescent="0.25">
      <c r="A4" s="40" t="s">
        <v>58</v>
      </c>
      <c r="B4" s="97" t="s">
        <v>105</v>
      </c>
      <c r="D4" s="36" t="str" cm="1">
        <f t="array" aca="1" ref="D4" ca="1">IFERROR(IF(INDIRECT("'"&amp;F4&amp;"'!$C$5")&gt;0,DATE(YEAR(Dashboard!$AL$2),Dashboard!$AU$4,INDIRECT("'"&amp;F4&amp;"'!$C$5")),""),"")</f>
        <v/>
      </c>
      <c r="E4" s="50" t="str" cm="1">
        <f t="array" aca="1" ref="E4" ca="1">IF(J4&gt;0,IF(G4="Credit Accounts",IFERROR(IF(INDIRECT("'"&amp;F4&amp;"'!$C$8")&gt;0,INDIRECT("'"&amp;F4&amp;"'!$F$2"),""),""),""),0)</f>
        <v/>
      </c>
      <c r="F4" s="37" t="str" cm="1">
        <f t="array" ref="F4">IFERROR(INDEX(Sheet_Names,K4),"")</f>
        <v/>
      </c>
      <c r="G4" s="38" t="str" cm="1">
        <f t="array" aca="1" ref="G4" ca="1">IF(F4="",
    "",
    IFERROR(
        IF(INDIRECT("'"&amp;F4&amp;"'!$B$2")="Credit Limit",
            "Credit Accounts",
            IF(INDIRECT("'"&amp;F4&amp;"'!$E$2")="Location",
                "Cash Accounts",
                IF(INDIRECT("'"&amp;F4&amp;"'!$B$2")="Amount",
                    "Investments",
                    "Bill Accounts"
                )
            )
        ),
    "")
)</f>
        <v/>
      </c>
      <c r="H4" s="46" t="str" cm="1">
        <f t="array" aca="1" ref="H4" ca="1">IF(F4&lt;&gt;"",INDIRECT("'"&amp;F4&amp;"'!$C$10"),"")</f>
        <v/>
      </c>
      <c r="I4" s="46" t="str" cm="1">
        <f t="array" aca="1" ref="I4" ca="1">IF(F4&lt;&gt;"",IF(OR(G4="Bill Accounts",G4="Investments", G4="Cash Accounts"),INDIRECT("'"&amp;F4&amp;"'!$C$10"),INDIRECT("'"&amp;F4&amp;"'!$C$8")),"")</f>
        <v/>
      </c>
      <c r="J4" s="46" t="str" cm="1">
        <f t="array" aca="1" ref="J4" ca="1">IF(F4&lt;&gt;"",ABS(INDIRECT("'"&amp;F4&amp;"'!$I$2")),"")</f>
        <v/>
      </c>
      <c r="K4" s="48">
        <f>SUM(K3+1)</f>
        <v>10</v>
      </c>
      <c r="L4" s="114" t="str" cm="1">
        <f t="array" aca="1" ref="L4" ca="1">IF(F4&lt;&gt;"",INDIRECT("'"&amp;F4&amp;"'!$F$17"),"")</f>
        <v/>
      </c>
      <c r="M4" s="116" t="str">
        <f t="shared" ref="M4:M67" ca="1" si="1">IF(G4="Credit Accounts",EDATE(TODAY(),INDIRECT("'"&amp;F4&amp;"'!$C$14")),"")</f>
        <v/>
      </c>
      <c r="O4" s="49" t="str">
        <f t="shared" ref="O4:O67" ca="1" si="2">IF(D4&lt;&gt;"",DAY(D4),"")</f>
        <v/>
      </c>
      <c r="P4" s="38" t="str">
        <f t="shared" ca="1" si="0"/>
        <v/>
      </c>
      <c r="Q4" s="105"/>
      <c r="R4" s="66"/>
      <c r="S4" s="68"/>
      <c r="T4" s="69"/>
      <c r="U4" s="41"/>
      <c r="V4" s="41"/>
      <c r="W4" s="70"/>
      <c r="X4" s="70"/>
      <c r="Y4" s="71"/>
      <c r="Z4" s="71"/>
      <c r="AA4" s="71"/>
      <c r="AB4" s="71"/>
      <c r="AC4" s="71"/>
    </row>
    <row r="5" spans="1:34" x14ac:dyDescent="0.25">
      <c r="A5" s="40" t="s">
        <v>59</v>
      </c>
      <c r="B5" s="97" t="s">
        <v>106</v>
      </c>
      <c r="D5" s="36" t="str" cm="1">
        <f t="array" aca="1" ref="D5" ca="1">IFERROR(IF(INDIRECT("'"&amp;F5&amp;"'!$C$5")&gt;0,DATE(YEAR(Dashboard!$AL$2),Dashboard!$AU$4,INDIRECT("'"&amp;F5&amp;"'!$C$5")),""),"")</f>
        <v/>
      </c>
      <c r="E5" s="50" t="str" cm="1">
        <f t="array" aca="1" ref="E5" ca="1">IF(J5&gt;0,IF(G5="Credit Accounts",IFERROR(IF(INDIRECT("'"&amp;F5&amp;"'!$C$8")&gt;0,INDIRECT("'"&amp;F5&amp;"'!$F$2"),""),""),""),0)</f>
        <v/>
      </c>
      <c r="F5" s="37" t="str" cm="1">
        <f t="array" ref="F5">IFERROR(INDEX(Sheet_Names,K5),"")</f>
        <v/>
      </c>
      <c r="G5" s="38" t="str" cm="1">
        <f t="array" aca="1" ref="G5" ca="1">IF(F5="",
    "",
    IFERROR(
        IF(INDIRECT("'"&amp;F5&amp;"'!$B$2")="Credit Limit",
            "Credit Accounts",
            IF(INDIRECT("'"&amp;F5&amp;"'!$E$2")="Location",
                "Cash Accounts",
                IF(INDIRECT("'"&amp;F5&amp;"'!$B$2")="Amount",
                    "Investments",
                    "Bill Accounts"
                )
            )
        ),
    "")
)</f>
        <v/>
      </c>
      <c r="H5" s="46" t="str" cm="1">
        <f t="array" aca="1" ref="H5" ca="1">IF(F5&lt;&gt;"",INDIRECT("'"&amp;F5&amp;"'!$C$10"),"")</f>
        <v/>
      </c>
      <c r="I5" s="46" t="str" cm="1">
        <f t="array" aca="1" ref="I5" ca="1">IF(F5&lt;&gt;"",IF(OR(G5="Bill Accounts",G5="Investments", G5="Cash Accounts"),INDIRECT("'"&amp;F5&amp;"'!$C$10"),INDIRECT("'"&amp;F5&amp;"'!$C$8")),"")</f>
        <v/>
      </c>
      <c r="J5" s="46" t="str" cm="1">
        <f t="array" aca="1" ref="J5" ca="1">IF(F5&lt;&gt;"",ABS(INDIRECT("'"&amp;F5&amp;"'!$I$2")),"")</f>
        <v/>
      </c>
      <c r="K5" s="48">
        <f>SUM(K4+1)</f>
        <v>11</v>
      </c>
      <c r="L5" s="114" t="str" cm="1">
        <f t="array" aca="1" ref="L5" ca="1">IF(F5&lt;&gt;"",INDIRECT("'"&amp;F5&amp;"'!$F$17"),"")</f>
        <v/>
      </c>
      <c r="M5" s="116" t="str">
        <f t="shared" ca="1" si="1"/>
        <v/>
      </c>
      <c r="O5" s="49" t="str">
        <f t="shared" ca="1" si="2"/>
        <v/>
      </c>
      <c r="P5" s="38" t="str">
        <f t="shared" ca="1" si="0"/>
        <v/>
      </c>
      <c r="Q5" s="105"/>
      <c r="R5" s="66"/>
      <c r="S5" s="68"/>
      <c r="T5" s="69"/>
      <c r="U5" s="41"/>
      <c r="V5" s="41"/>
      <c r="W5" s="70"/>
      <c r="X5" s="70"/>
      <c r="Y5" s="71"/>
      <c r="Z5" s="71"/>
      <c r="AA5" s="71"/>
      <c r="AB5" s="71"/>
      <c r="AC5" s="71"/>
    </row>
    <row r="6" spans="1:34" x14ac:dyDescent="0.25">
      <c r="A6" s="40" t="s">
        <v>60</v>
      </c>
      <c r="B6" s="97" t="s">
        <v>107</v>
      </c>
      <c r="D6" s="36" t="str" cm="1">
        <f t="array" aca="1" ref="D6" ca="1">IFERROR(IF(INDIRECT("'"&amp;F6&amp;"'!$C$5")&gt;0,DATE(YEAR(Dashboard!$AL$2),Dashboard!$AU$4,INDIRECT("'"&amp;F6&amp;"'!$C$5")),""),"")</f>
        <v/>
      </c>
      <c r="E6" s="50" t="str" cm="1">
        <f t="array" aca="1" ref="E6" ca="1">IF(J6&gt;0,IF(G6="Credit Accounts",IFERROR(IF(INDIRECT("'"&amp;F6&amp;"'!$C$8")&gt;0,INDIRECT("'"&amp;F6&amp;"'!$F$2"),""),""),""),0)</f>
        <v/>
      </c>
      <c r="F6" s="37" t="str" cm="1">
        <f t="array" ref="F6">IFERROR(INDEX(Sheet_Names,K6),"")</f>
        <v/>
      </c>
      <c r="G6" s="38" t="str" cm="1">
        <f t="array" aca="1" ref="G6" ca="1">IF(F6="",
    "",
    IFERROR(
        IF(INDIRECT("'"&amp;F6&amp;"'!$B$2")="Credit Limit",
            "Credit Accounts",
            IF(INDIRECT("'"&amp;F6&amp;"'!$E$2")="Location",
                "Cash Accounts",
                IF(INDIRECT("'"&amp;F6&amp;"'!$B$2")="Amount",
                    "Investments",
                    "Bill Accounts"
                )
            )
        ),
    "")
)</f>
        <v/>
      </c>
      <c r="H6" s="46" t="str" cm="1">
        <f t="array" aca="1" ref="H6" ca="1">IF(F6&lt;&gt;"",INDIRECT("'"&amp;F6&amp;"'!$C$10"),"")</f>
        <v/>
      </c>
      <c r="I6" s="46" t="str" cm="1">
        <f t="array" aca="1" ref="I6" ca="1">IF(F6&lt;&gt;"",IF(OR(G6="Bill Accounts",G6="Investments", G6="Cash Accounts"),INDIRECT("'"&amp;F6&amp;"'!$C$10"),INDIRECT("'"&amp;F6&amp;"'!$C$8")),"")</f>
        <v/>
      </c>
      <c r="J6" s="46" t="str" cm="1">
        <f t="array" aca="1" ref="J6" ca="1">IF(F6&lt;&gt;"",ABS(INDIRECT("'"&amp;F6&amp;"'!$I$2")),"")</f>
        <v/>
      </c>
      <c r="K6" s="48">
        <f>SUM(K5+1)</f>
        <v>12</v>
      </c>
      <c r="L6" s="114" t="str" cm="1">
        <f t="array" aca="1" ref="L6" ca="1">IF(F6&lt;&gt;"",INDIRECT("'"&amp;F6&amp;"'!$F$17"),"")</f>
        <v/>
      </c>
      <c r="M6" s="116" t="str">
        <f t="shared" ca="1" si="1"/>
        <v/>
      </c>
      <c r="O6" s="49" t="str">
        <f t="shared" ca="1" si="2"/>
        <v/>
      </c>
      <c r="P6" s="38" t="str">
        <f t="shared" ca="1" si="0"/>
        <v/>
      </c>
      <c r="Q6" s="105"/>
      <c r="R6" s="66"/>
      <c r="S6" s="68"/>
      <c r="T6" s="69"/>
      <c r="U6" s="41"/>
      <c r="V6" s="41"/>
      <c r="W6" s="70"/>
      <c r="X6" s="70"/>
      <c r="Y6" s="71"/>
      <c r="Z6" s="71"/>
      <c r="AA6" s="71"/>
      <c r="AB6" s="71"/>
      <c r="AC6" s="71"/>
    </row>
    <row r="7" spans="1:34" x14ac:dyDescent="0.25">
      <c r="A7" s="40" t="s">
        <v>61</v>
      </c>
      <c r="B7" s="97" t="s">
        <v>130</v>
      </c>
      <c r="D7" s="36" t="str" cm="1">
        <f t="array" aca="1" ref="D7" ca="1">IFERROR(IF(INDIRECT("'"&amp;F7&amp;"'!$C$5")&gt;0,DATE(YEAR(Dashboard!$AL$2),Dashboard!$AU$4,INDIRECT("'"&amp;F7&amp;"'!$C$5")),""),"")</f>
        <v/>
      </c>
      <c r="E7" s="50" t="str" cm="1">
        <f t="array" aca="1" ref="E7" ca="1">IF(J7&gt;0,IF(G7="Credit Accounts",IFERROR(IF(INDIRECT("'"&amp;F7&amp;"'!$C$8")&gt;0,INDIRECT("'"&amp;F7&amp;"'!$F$2"),""),""),""),0)</f>
        <v/>
      </c>
      <c r="F7" s="37" t="str" cm="1">
        <f t="array" ref="F7">IFERROR(INDEX(Sheet_Names,K7),"")</f>
        <v/>
      </c>
      <c r="G7" s="38" t="str" cm="1">
        <f t="array" aca="1" ref="G7" ca="1">IF(F7="",
    "",
    IFERROR(
        IF(INDIRECT("'"&amp;F7&amp;"'!$B$2")="Credit Limit",
            "Credit Accounts",
            IF(INDIRECT("'"&amp;F7&amp;"'!$E$2")="Location",
                "Cash Accounts",
                IF(INDIRECT("'"&amp;F7&amp;"'!$B$2")="Amount",
                    "Investments",
                    "Bill Accounts"
                )
            )
        ),
    "")
)</f>
        <v/>
      </c>
      <c r="H7" s="46" t="str" cm="1">
        <f t="array" aca="1" ref="H7" ca="1">IF(F7&lt;&gt;"",INDIRECT("'"&amp;F7&amp;"'!$C$10"),"")</f>
        <v/>
      </c>
      <c r="I7" s="46" t="str" cm="1">
        <f t="array" aca="1" ref="I7" ca="1">IF(F7&lt;&gt;"",IF(OR(G7="Bill Accounts",G7="Investments", G7="Cash Accounts"),INDIRECT("'"&amp;F7&amp;"'!$C$10"),INDIRECT("'"&amp;F7&amp;"'!$C$8")),"")</f>
        <v/>
      </c>
      <c r="J7" s="46" t="str" cm="1">
        <f t="array" aca="1" ref="J7" ca="1">IF(F7&lt;&gt;"",ABS(INDIRECT("'"&amp;F7&amp;"'!$I$2")),"")</f>
        <v/>
      </c>
      <c r="K7" s="48">
        <f>SUM(K6+1)</f>
        <v>13</v>
      </c>
      <c r="L7" s="114" t="str" cm="1">
        <f t="array" aca="1" ref="L7" ca="1">IF(F7&lt;&gt;"",INDIRECT("'"&amp;F7&amp;"'!$F$17"),"")</f>
        <v/>
      </c>
      <c r="M7" s="116" t="str">
        <f t="shared" ca="1" si="1"/>
        <v/>
      </c>
      <c r="O7" s="49" t="str">
        <f t="shared" ca="1" si="2"/>
        <v/>
      </c>
      <c r="P7" s="38" t="str">
        <f t="shared" ca="1" si="0"/>
        <v/>
      </c>
      <c r="Q7" s="105"/>
      <c r="R7" s="66"/>
      <c r="S7" s="68"/>
      <c r="T7" s="69"/>
      <c r="U7" s="41"/>
      <c r="V7" s="41"/>
      <c r="W7" s="70"/>
      <c r="X7" s="70"/>
      <c r="Y7" s="71"/>
      <c r="Z7" s="71"/>
      <c r="AA7" s="71"/>
      <c r="AB7" s="71"/>
      <c r="AC7" s="71"/>
    </row>
    <row r="8" spans="1:34" x14ac:dyDescent="0.25">
      <c r="A8" s="40" t="s">
        <v>62</v>
      </c>
      <c r="D8" s="36" t="str" cm="1">
        <f t="array" aca="1" ref="D8" ca="1">IFERROR(IF(INDIRECT("'"&amp;F8&amp;"'!$C$5")&gt;0,DATE(YEAR(Dashboard!$AL$2),Dashboard!$AU$4,INDIRECT("'"&amp;F8&amp;"'!$C$5")),""),"")</f>
        <v/>
      </c>
      <c r="E8" s="50" t="str" cm="1">
        <f t="array" aca="1" ref="E8" ca="1">IF(J8&gt;0,IF(G8="Credit Accounts",IFERROR(IF(INDIRECT("'"&amp;F8&amp;"'!$C$8")&gt;0,INDIRECT("'"&amp;F8&amp;"'!$F$2"),""),""),""),0)</f>
        <v/>
      </c>
      <c r="F8" s="37" t="str" cm="1">
        <f t="array" ref="F8">IFERROR(INDEX(Sheet_Names,K8),"")</f>
        <v/>
      </c>
      <c r="G8" s="38" t="str" cm="1">
        <f t="array" aca="1" ref="G8" ca="1">IF(F8="",
    "",
    IFERROR(
        IF(INDIRECT("'"&amp;F8&amp;"'!$B$2")="Credit Limit",
            "Credit Accounts",
            IF(INDIRECT("'"&amp;F8&amp;"'!$E$2")="Location",
                "Cash Accounts",
                IF(INDIRECT("'"&amp;F8&amp;"'!$B$2")="Amount",
                    "Investments",
                    "Bill Accounts"
                )
            )
        ),
    "")
)</f>
        <v/>
      </c>
      <c r="H8" s="46" t="str" cm="1">
        <f t="array" aca="1" ref="H8" ca="1">IF(F8&lt;&gt;"",INDIRECT("'"&amp;F8&amp;"'!$C$10"),"")</f>
        <v/>
      </c>
      <c r="I8" s="46" t="str" cm="1">
        <f t="array" aca="1" ref="I8" ca="1">IF(F8&lt;&gt;"",IF(OR(G8="Bill Accounts",G8="Investments", G8="Cash Accounts"),INDIRECT("'"&amp;F8&amp;"'!$C$10"),INDIRECT("'"&amp;F8&amp;"'!$C$8")),"")</f>
        <v/>
      </c>
      <c r="J8" s="46" t="str" cm="1">
        <f t="array" aca="1" ref="J8" ca="1">IF(F8&lt;&gt;"",ABS(INDIRECT("'"&amp;F8&amp;"'!$I$2")),"")</f>
        <v/>
      </c>
      <c r="K8" s="48">
        <f t="shared" ref="K8:K71" si="3">SUM(K7+1)</f>
        <v>14</v>
      </c>
      <c r="L8" s="114" t="str" cm="1">
        <f t="array" aca="1" ref="L8" ca="1">IF(F8&lt;&gt;"",INDIRECT("'"&amp;F8&amp;"'!$F$17"),"")</f>
        <v/>
      </c>
      <c r="M8" s="116" t="str">
        <f t="shared" ca="1" si="1"/>
        <v/>
      </c>
      <c r="O8" s="49" t="str">
        <f t="shared" ca="1" si="2"/>
        <v/>
      </c>
      <c r="P8" s="38" t="str">
        <f t="shared" ca="1" si="0"/>
        <v/>
      </c>
      <c r="Q8" s="105"/>
      <c r="R8" s="66"/>
      <c r="S8" s="68"/>
      <c r="T8" s="69"/>
      <c r="U8" s="41"/>
      <c r="V8" s="41"/>
      <c r="W8" s="70"/>
      <c r="X8" s="70"/>
      <c r="Y8" s="71"/>
      <c r="Z8" s="71"/>
      <c r="AA8" s="71"/>
      <c r="AB8" s="71"/>
      <c r="AC8" s="71"/>
    </row>
    <row r="9" spans="1:34" x14ac:dyDescent="0.25">
      <c r="A9" s="40" t="s">
        <v>63</v>
      </c>
      <c r="D9" s="36" t="str" cm="1">
        <f t="array" aca="1" ref="D9" ca="1">IFERROR(IF(INDIRECT("'"&amp;F9&amp;"'!$C$5")&gt;0,DATE(YEAR(Dashboard!$AL$2),Dashboard!$AU$4,INDIRECT("'"&amp;F9&amp;"'!$C$5")),""),"")</f>
        <v/>
      </c>
      <c r="E9" s="50" t="str" cm="1">
        <f t="array" aca="1" ref="E9" ca="1">IF(J9&gt;0,IF(G9="Credit Accounts",IFERROR(IF(INDIRECT("'"&amp;F9&amp;"'!$C$8")&gt;0,INDIRECT("'"&amp;F9&amp;"'!$F$2"),""),""),""),0)</f>
        <v/>
      </c>
      <c r="F9" s="37" t="str" cm="1">
        <f t="array" ref="F9">IFERROR(INDEX(Sheet_Names,K9),"")</f>
        <v/>
      </c>
      <c r="G9" s="38" t="str" cm="1">
        <f t="array" aca="1" ref="G9" ca="1">IF(F9="",
    "",
    IFERROR(
        IF(INDIRECT("'"&amp;F9&amp;"'!$B$2")="Credit Limit",
            "Credit Accounts",
            IF(INDIRECT("'"&amp;F9&amp;"'!$E$2")="Location",
                "Cash Accounts",
                IF(INDIRECT("'"&amp;F9&amp;"'!$B$2")="Amount",
                    "Investments",
                    "Bill Accounts"
                )
            )
        ),
    "")
)</f>
        <v/>
      </c>
      <c r="H9" s="46" t="str" cm="1">
        <f t="array" aca="1" ref="H9" ca="1">IF(F9&lt;&gt;"",INDIRECT("'"&amp;F9&amp;"'!$C$10"),"")</f>
        <v/>
      </c>
      <c r="I9" s="46" t="str" cm="1">
        <f t="array" aca="1" ref="I9" ca="1">IF(F9&lt;&gt;"",IF(OR(G9="Bill Accounts",G9="Investments", G9="Cash Accounts"),INDIRECT("'"&amp;F9&amp;"'!$C$10"),INDIRECT("'"&amp;F9&amp;"'!$C$8")),"")</f>
        <v/>
      </c>
      <c r="J9" s="46" t="str" cm="1">
        <f t="array" aca="1" ref="J9" ca="1">IF(F9&lt;&gt;"",ABS(INDIRECT("'"&amp;F9&amp;"'!$I$2")),"")</f>
        <v/>
      </c>
      <c r="K9" s="48">
        <f t="shared" si="3"/>
        <v>15</v>
      </c>
      <c r="L9" s="114" t="str" cm="1">
        <f t="array" aca="1" ref="L9" ca="1">IF(F9&lt;&gt;"",INDIRECT("'"&amp;F9&amp;"'!$F$17"),"")</f>
        <v/>
      </c>
      <c r="M9" s="116" t="str">
        <f t="shared" ca="1" si="1"/>
        <v/>
      </c>
      <c r="O9" s="49" t="str">
        <f t="shared" ca="1" si="2"/>
        <v/>
      </c>
      <c r="P9" s="38" t="str">
        <f t="shared" ca="1" si="0"/>
        <v/>
      </c>
      <c r="Q9" s="105"/>
      <c r="R9" s="66"/>
      <c r="S9" s="68"/>
      <c r="T9" s="69"/>
      <c r="U9" s="41"/>
      <c r="V9" s="41"/>
      <c r="W9" s="70"/>
      <c r="X9" s="70"/>
      <c r="Y9" s="71"/>
      <c r="Z9" s="71"/>
      <c r="AA9" s="71"/>
      <c r="AB9" s="71"/>
      <c r="AC9" s="71"/>
    </row>
    <row r="10" spans="1:34" x14ac:dyDescent="0.25">
      <c r="A10" s="40" t="s">
        <v>64</v>
      </c>
      <c r="D10" s="36" t="str" cm="1">
        <f t="array" aca="1" ref="D10" ca="1">IFERROR(IF(INDIRECT("'"&amp;F10&amp;"'!$C$5")&gt;0,DATE(YEAR(Dashboard!$AL$2),Dashboard!$AU$4,INDIRECT("'"&amp;F10&amp;"'!$C$5")),""),"")</f>
        <v/>
      </c>
      <c r="E10" s="50" t="str" cm="1">
        <f t="array" aca="1" ref="E10" ca="1">IF(J10&gt;0,IF(G10="Credit Accounts",IFERROR(IF(INDIRECT("'"&amp;F10&amp;"'!$C$8")&gt;0,INDIRECT("'"&amp;F10&amp;"'!$F$2"),""),""),""),0)</f>
        <v/>
      </c>
      <c r="F10" s="37" t="str" cm="1">
        <f t="array" ref="F10">IFERROR(INDEX(Sheet_Names,K10),"")</f>
        <v/>
      </c>
      <c r="G10" s="38" t="str" cm="1">
        <f t="array" aca="1" ref="G10" ca="1">IF(F10="",
    "",
    IFERROR(
        IF(INDIRECT("'"&amp;F10&amp;"'!$B$2")="Credit Limit",
            "Credit Accounts",
            IF(INDIRECT("'"&amp;F10&amp;"'!$E$2")="Location",
                "Cash Accounts",
                IF(INDIRECT("'"&amp;F10&amp;"'!$B$2")="Amount",
                    "Investments",
                    "Bill Accounts"
                )
            )
        ),
    "")
)</f>
        <v/>
      </c>
      <c r="H10" s="46" t="str" cm="1">
        <f t="array" aca="1" ref="H10" ca="1">IF(F10&lt;&gt;"",INDIRECT("'"&amp;F10&amp;"'!$C$10"),"")</f>
        <v/>
      </c>
      <c r="I10" s="46" t="str" cm="1">
        <f t="array" aca="1" ref="I10" ca="1">IF(F10&lt;&gt;"",IF(OR(G10="Bill Accounts",G10="Investments", G10="Cash Accounts"),INDIRECT("'"&amp;F10&amp;"'!$C$10"),INDIRECT("'"&amp;F10&amp;"'!$C$8")),"")</f>
        <v/>
      </c>
      <c r="J10" s="46" t="str" cm="1">
        <f t="array" aca="1" ref="J10" ca="1">IF(F10&lt;&gt;"",ABS(INDIRECT("'"&amp;F10&amp;"'!$I$2")),"")</f>
        <v/>
      </c>
      <c r="K10" s="48">
        <f t="shared" si="3"/>
        <v>16</v>
      </c>
      <c r="L10" s="114" t="str" cm="1">
        <f t="array" aca="1" ref="L10" ca="1">IF(F10&lt;&gt;"",INDIRECT("'"&amp;F10&amp;"'!$F$17"),"")</f>
        <v/>
      </c>
      <c r="M10" s="116" t="str">
        <f t="shared" ca="1" si="1"/>
        <v/>
      </c>
      <c r="O10" s="49" t="str">
        <f t="shared" ca="1" si="2"/>
        <v/>
      </c>
      <c r="P10" s="38" t="str">
        <f t="shared" ca="1" si="0"/>
        <v/>
      </c>
      <c r="Q10" s="74" t="s">
        <v>96</v>
      </c>
      <c r="R10" s="79"/>
      <c r="S10" s="68"/>
      <c r="T10" s="69"/>
      <c r="U10" s="41"/>
      <c r="V10" s="41"/>
      <c r="W10" s="70"/>
      <c r="X10" s="70"/>
      <c r="Y10" s="71"/>
      <c r="Z10" s="71"/>
      <c r="AA10" s="71"/>
      <c r="AB10" s="71"/>
      <c r="AC10" s="71"/>
    </row>
    <row r="11" spans="1:34" x14ac:dyDescent="0.25">
      <c r="A11" s="40" t="s">
        <v>65</v>
      </c>
      <c r="D11" s="36" t="str" cm="1">
        <f t="array" aca="1" ref="D11" ca="1">IFERROR(IF(INDIRECT("'"&amp;F11&amp;"'!$C$5")&gt;0,DATE(YEAR(Dashboard!$AL$2),Dashboard!$AU$4,INDIRECT("'"&amp;F11&amp;"'!$C$5")),""),"")</f>
        <v/>
      </c>
      <c r="E11" s="50" t="str" cm="1">
        <f t="array" aca="1" ref="E11" ca="1">IF(J11&gt;0,IF(G11="Credit Accounts",IFERROR(IF(INDIRECT("'"&amp;F11&amp;"'!$C$8")&gt;0,INDIRECT("'"&amp;F11&amp;"'!$F$2"),""),""),""),0)</f>
        <v/>
      </c>
      <c r="F11" s="37" t="str" cm="1">
        <f t="array" ref="F11">IFERROR(INDEX(Sheet_Names,K11),"")</f>
        <v/>
      </c>
      <c r="G11" s="38" t="str" cm="1">
        <f t="array" aca="1" ref="G11" ca="1">IF(F11="",
    "",
    IFERROR(
        IF(INDIRECT("'"&amp;F11&amp;"'!$B$2")="Credit Limit",
            "Credit Accounts",
            IF(INDIRECT("'"&amp;F11&amp;"'!$E$2")="Location",
                "Cash Accounts",
                IF(INDIRECT("'"&amp;F11&amp;"'!$B$2")="Amount",
                    "Investments",
                    "Bill Accounts"
                )
            )
        ),
    "")
)</f>
        <v/>
      </c>
      <c r="H11" s="46" t="str" cm="1">
        <f t="array" aca="1" ref="H11" ca="1">IF(F11&lt;&gt;"",INDIRECT("'"&amp;F11&amp;"'!$C$10"),"")</f>
        <v/>
      </c>
      <c r="I11" s="46" t="str" cm="1">
        <f t="array" aca="1" ref="I11" ca="1">IF(F11&lt;&gt;"",IF(OR(G11="Bill Accounts",G11="Investments", G11="Cash Accounts"),INDIRECT("'"&amp;F11&amp;"'!$C$10"),INDIRECT("'"&amp;F11&amp;"'!$C$8")),"")</f>
        <v/>
      </c>
      <c r="J11" s="46" t="str" cm="1">
        <f t="array" aca="1" ref="J11" ca="1">IF(F11&lt;&gt;"",ABS(INDIRECT("'"&amp;F11&amp;"'!$I$2")),"")</f>
        <v/>
      </c>
      <c r="K11" s="48">
        <f t="shared" si="3"/>
        <v>17</v>
      </c>
      <c r="L11" s="114" t="str" cm="1">
        <f t="array" aca="1" ref="L11" ca="1">IF(F11&lt;&gt;"",INDIRECT("'"&amp;F11&amp;"'!$F$17"),"")</f>
        <v/>
      </c>
      <c r="M11" s="116" t="str">
        <f t="shared" ca="1" si="1"/>
        <v/>
      </c>
      <c r="O11" s="49" t="str">
        <f t="shared" ca="1" si="2"/>
        <v/>
      </c>
      <c r="P11" s="38" t="str">
        <f t="shared" ca="1" si="0"/>
        <v/>
      </c>
      <c r="Q11" s="71" t="str" cm="1">
        <f t="array" aca="1" ref="Q11" ca="1">IFERROR(_xlfn.TAKE(_xlfn._xlws.SORT(_xlfn._xlws.FILTER(F3:P2298, (P3:P2298&gt;=SMALL(IF(G3:G2298="Credit Accounts", J3:J2298), 1)) * (G3:G2298="Credit Accounts") * (J3:J2298&gt;0)), 4, 1), 6, 1),"")</f>
        <v/>
      </c>
      <c r="R11" s="73"/>
      <c r="S11" s="68"/>
      <c r="T11" s="69"/>
      <c r="U11" s="41"/>
      <c r="V11" s="41"/>
      <c r="W11" s="70"/>
      <c r="X11" s="70"/>
      <c r="Y11" s="71"/>
      <c r="Z11" s="72"/>
      <c r="AA11" s="73"/>
      <c r="AB11" s="71"/>
      <c r="AC11" s="71"/>
    </row>
    <row r="12" spans="1:34" x14ac:dyDescent="0.25">
      <c r="A12" s="40" t="s">
        <v>66</v>
      </c>
      <c r="D12" s="36" t="str" cm="1">
        <f t="array" aca="1" ref="D12" ca="1">IFERROR(IF(INDIRECT("'"&amp;F12&amp;"'!$C$5")&gt;0,DATE(YEAR(Dashboard!$AL$2),Dashboard!$AU$4,INDIRECT("'"&amp;F12&amp;"'!$C$5")),""),"")</f>
        <v/>
      </c>
      <c r="E12" s="50" t="str" cm="1">
        <f t="array" aca="1" ref="E12" ca="1">IF(J12&gt;0,IF(G12="Credit Accounts",IFERROR(IF(INDIRECT("'"&amp;F12&amp;"'!$C$8")&gt;0,INDIRECT("'"&amp;F12&amp;"'!$F$2"),""),""),""),0)</f>
        <v/>
      </c>
      <c r="F12" s="37" t="str" cm="1">
        <f t="array" ref="F12">IFERROR(INDEX(Sheet_Names,K12),"")</f>
        <v/>
      </c>
      <c r="G12" s="38" t="str" cm="1">
        <f t="array" aca="1" ref="G12" ca="1">IF(F12="",
    "",
    IFERROR(
        IF(INDIRECT("'"&amp;F12&amp;"'!$B$2")="Credit Limit",
            "Credit Accounts",
            IF(INDIRECT("'"&amp;F12&amp;"'!$E$2")="Location",
                "Cash Accounts",
                IF(INDIRECT("'"&amp;F12&amp;"'!$B$2")="Amount",
                    "Investments",
                    "Bill Accounts"
                )
            )
        ),
    "")
)</f>
        <v/>
      </c>
      <c r="H12" s="46" t="str" cm="1">
        <f t="array" aca="1" ref="H12" ca="1">IF(F12&lt;&gt;"",INDIRECT("'"&amp;F12&amp;"'!$C$10"),"")</f>
        <v/>
      </c>
      <c r="I12" s="46" t="str" cm="1">
        <f t="array" aca="1" ref="I12" ca="1">IF(F12&lt;&gt;"",IF(OR(G12="Bill Accounts",G12="Investments", G12="Cash Accounts"),INDIRECT("'"&amp;F12&amp;"'!$C$10"),INDIRECT("'"&amp;F12&amp;"'!$C$8")),"")</f>
        <v/>
      </c>
      <c r="J12" s="46" t="str" cm="1">
        <f t="array" aca="1" ref="J12" ca="1">IF(F12&lt;&gt;"",ABS(INDIRECT("'"&amp;F12&amp;"'!$I$2")),"")</f>
        <v/>
      </c>
      <c r="K12" s="48">
        <f t="shared" si="3"/>
        <v>18</v>
      </c>
      <c r="L12" s="114" t="str" cm="1">
        <f t="array" aca="1" ref="L12" ca="1">IF(F12&lt;&gt;"",INDIRECT("'"&amp;F12&amp;"'!$F$17"),"")</f>
        <v/>
      </c>
      <c r="M12" s="116" t="str">
        <f t="shared" ca="1" si="1"/>
        <v/>
      </c>
      <c r="O12" s="49" t="str">
        <f t="shared" ca="1" si="2"/>
        <v/>
      </c>
      <c r="P12" s="38" t="str">
        <f t="shared" ca="1" si="0"/>
        <v/>
      </c>
      <c r="Q12" s="71"/>
      <c r="R12" s="73"/>
      <c r="S12" s="68"/>
      <c r="T12" s="69"/>
      <c r="U12" s="41"/>
      <c r="V12" s="41"/>
      <c r="W12" s="70"/>
      <c r="X12" s="70"/>
      <c r="Y12" s="71"/>
      <c r="Z12" s="72"/>
      <c r="AA12" s="73"/>
      <c r="AB12" s="71"/>
      <c r="AC12" s="71"/>
    </row>
    <row r="13" spans="1:34" x14ac:dyDescent="0.25">
      <c r="A13" s="40" t="s">
        <v>67</v>
      </c>
      <c r="D13" s="36" t="str" cm="1">
        <f t="array" aca="1" ref="D13" ca="1">IFERROR(IF(INDIRECT("'"&amp;F13&amp;"'!$C$5")&gt;0,DATE(YEAR(Dashboard!$AL$2),Dashboard!$AU$4,INDIRECT("'"&amp;F13&amp;"'!$C$5")),""),"")</f>
        <v/>
      </c>
      <c r="E13" s="50" t="str" cm="1">
        <f t="array" aca="1" ref="E13" ca="1">IF(J13&gt;0,IF(G13="Credit Accounts",IFERROR(IF(INDIRECT("'"&amp;F13&amp;"'!$C$8")&gt;0,INDIRECT("'"&amp;F13&amp;"'!$F$2"),""),""),""),0)</f>
        <v/>
      </c>
      <c r="F13" s="37" t="str" cm="1">
        <f t="array" ref="F13">IFERROR(INDEX(Sheet_Names,K13),"")</f>
        <v/>
      </c>
      <c r="G13" s="38" t="str" cm="1">
        <f t="array" aca="1" ref="G13" ca="1">IF(F13="",
    "",
    IFERROR(
        IF(INDIRECT("'"&amp;F13&amp;"'!$B$2")="Credit Limit",
            "Credit Accounts",
            IF(INDIRECT("'"&amp;F13&amp;"'!$E$2")="Location",
                "Cash Accounts",
                IF(INDIRECT("'"&amp;F13&amp;"'!$B$2")="Amount",
                    "Investments",
                    "Bill Accounts"
                )
            )
        ),
    "")
)</f>
        <v/>
      </c>
      <c r="H13" s="46" t="str" cm="1">
        <f t="array" aca="1" ref="H13" ca="1">IF(F13&lt;&gt;"",INDIRECT("'"&amp;F13&amp;"'!$C$10"),"")</f>
        <v/>
      </c>
      <c r="I13" s="46" t="str" cm="1">
        <f t="array" aca="1" ref="I13" ca="1">IF(F13&lt;&gt;"",IF(OR(G13="Bill Accounts",G13="Investments", G13="Cash Accounts"),INDIRECT("'"&amp;F13&amp;"'!$C$10"),INDIRECT("'"&amp;F13&amp;"'!$C$8")),"")</f>
        <v/>
      </c>
      <c r="J13" s="46" t="str" cm="1">
        <f t="array" aca="1" ref="J13" ca="1">IF(F13&lt;&gt;"",ABS(INDIRECT("'"&amp;F13&amp;"'!$I$2")),"")</f>
        <v/>
      </c>
      <c r="K13" s="48">
        <f t="shared" si="3"/>
        <v>19</v>
      </c>
      <c r="L13" s="114" t="str" cm="1">
        <f t="array" aca="1" ref="L13" ca="1">IF(F13&lt;&gt;"",INDIRECT("'"&amp;F13&amp;"'!$F$17"),"")</f>
        <v/>
      </c>
      <c r="M13" s="116" t="str">
        <f t="shared" ca="1" si="1"/>
        <v/>
      </c>
      <c r="O13" s="49" t="str">
        <f t="shared" ca="1" si="2"/>
        <v/>
      </c>
      <c r="P13" s="38" t="str">
        <f t="shared" ca="1" si="0"/>
        <v/>
      </c>
      <c r="Q13" s="71"/>
      <c r="R13" s="73"/>
      <c r="S13" s="68"/>
      <c r="T13" s="69"/>
      <c r="U13" s="41"/>
      <c r="V13" s="41"/>
      <c r="W13" s="70"/>
      <c r="X13" s="70"/>
      <c r="Y13" s="71"/>
      <c r="Z13" s="72"/>
      <c r="AA13" s="73"/>
      <c r="AB13" s="71"/>
      <c r="AC13" s="71"/>
    </row>
    <row r="14" spans="1:34" x14ac:dyDescent="0.25">
      <c r="D14" s="36" t="str" cm="1">
        <f t="array" aca="1" ref="D14" ca="1">IFERROR(IF(INDIRECT("'"&amp;F14&amp;"'!$C$5")&gt;0,DATE(YEAR(Dashboard!$AL$2),Dashboard!$AU$4,INDIRECT("'"&amp;F14&amp;"'!$C$5")),""),"")</f>
        <v/>
      </c>
      <c r="E14" s="50" t="str" cm="1">
        <f t="array" aca="1" ref="E14" ca="1">IF(J14&gt;0,IF(G14="Credit Accounts",IFERROR(IF(INDIRECT("'"&amp;F14&amp;"'!$C$8")&gt;0,INDIRECT("'"&amp;F14&amp;"'!$F$2"),""),""),""),0)</f>
        <v/>
      </c>
      <c r="F14" s="37" t="str" cm="1">
        <f t="array" ref="F14">IFERROR(INDEX(Sheet_Names,K14),"")</f>
        <v/>
      </c>
      <c r="G14" s="38" t="str" cm="1">
        <f t="array" aca="1" ref="G14" ca="1">IF(F14="",
    "",
    IFERROR(
        IF(INDIRECT("'"&amp;F14&amp;"'!$B$2")="Credit Limit",
            "Credit Accounts",
            IF(INDIRECT("'"&amp;F14&amp;"'!$E$2")="Location",
                "Cash Accounts",
                IF(INDIRECT("'"&amp;F14&amp;"'!$B$2")="Amount",
                    "Investments",
                    "Bill Accounts"
                )
            )
        ),
    "")
)</f>
        <v/>
      </c>
      <c r="H14" s="46" t="str" cm="1">
        <f t="array" aca="1" ref="H14" ca="1">IF(F14&lt;&gt;"",INDIRECT("'"&amp;F14&amp;"'!$C$10"),"")</f>
        <v/>
      </c>
      <c r="I14" s="46" t="str" cm="1">
        <f t="array" aca="1" ref="I14" ca="1">IF(F14&lt;&gt;"",IF(OR(G14="Bill Accounts",G14="Investments", G14="Cash Accounts"),INDIRECT("'"&amp;F14&amp;"'!$C$10"),INDIRECT("'"&amp;F14&amp;"'!$C$8")),"")</f>
        <v/>
      </c>
      <c r="J14" s="46" t="str" cm="1">
        <f t="array" aca="1" ref="J14" ca="1">IF(F14&lt;&gt;"",ABS(INDIRECT("'"&amp;F14&amp;"'!$I$2")),"")</f>
        <v/>
      </c>
      <c r="K14" s="48">
        <f t="shared" si="3"/>
        <v>20</v>
      </c>
      <c r="L14" s="114" t="str" cm="1">
        <f t="array" aca="1" ref="L14" ca="1">IF(F14&lt;&gt;"",INDIRECT("'"&amp;F14&amp;"'!$F$17"),"")</f>
        <v/>
      </c>
      <c r="M14" s="116" t="str">
        <f t="shared" ca="1" si="1"/>
        <v/>
      </c>
      <c r="O14" s="49" t="str">
        <f t="shared" ca="1" si="2"/>
        <v/>
      </c>
      <c r="P14" s="38" t="str">
        <f t="shared" ca="1" si="0"/>
        <v/>
      </c>
      <c r="Q14" s="71"/>
      <c r="R14" s="73"/>
      <c r="S14" s="68"/>
      <c r="T14" s="69"/>
      <c r="U14" s="41"/>
      <c r="V14" s="41"/>
      <c r="W14" s="70"/>
      <c r="X14" s="70"/>
      <c r="Y14" s="71"/>
      <c r="Z14" s="72"/>
      <c r="AA14" s="73"/>
      <c r="AB14" s="71"/>
      <c r="AC14" s="71"/>
    </row>
    <row r="15" spans="1:34" x14ac:dyDescent="0.25">
      <c r="A15" s="8"/>
      <c r="D15" s="36" t="str" cm="1">
        <f t="array" aca="1" ref="D15" ca="1">IFERROR(IF(INDIRECT("'"&amp;F15&amp;"'!$C$5")&gt;0,DATE(YEAR(Dashboard!$AL$2),Dashboard!$AU$4,INDIRECT("'"&amp;F15&amp;"'!$C$5")),""),"")</f>
        <v/>
      </c>
      <c r="E15" s="50" t="str" cm="1">
        <f t="array" aca="1" ref="E15" ca="1">IF(J15&gt;0,IF(G15="Credit Accounts",IFERROR(IF(INDIRECT("'"&amp;F15&amp;"'!$C$8")&gt;0,INDIRECT("'"&amp;F15&amp;"'!$F$2"),""),""),""),0)</f>
        <v/>
      </c>
      <c r="F15" s="37" t="str" cm="1">
        <f t="array" ref="F15">IFERROR(INDEX(Sheet_Names,K15),"")</f>
        <v/>
      </c>
      <c r="G15" s="38" t="str" cm="1">
        <f t="array" aca="1" ref="G15" ca="1">IF(F15="",
    "",
    IFERROR(
        IF(INDIRECT("'"&amp;F15&amp;"'!$B$2")="Credit Limit",
            "Credit Accounts",
            IF(INDIRECT("'"&amp;F15&amp;"'!$E$2")="Location",
                "Cash Accounts",
                IF(INDIRECT("'"&amp;F15&amp;"'!$B$2")="Amount",
                    "Investments",
                    "Bill Accounts"
                )
            )
        ),
    "")
)</f>
        <v/>
      </c>
      <c r="H15" s="46" t="str" cm="1">
        <f t="array" aca="1" ref="H15" ca="1">IF(F15&lt;&gt;"",INDIRECT("'"&amp;F15&amp;"'!$C$10"),"")</f>
        <v/>
      </c>
      <c r="I15" s="46" t="str" cm="1">
        <f t="array" aca="1" ref="I15" ca="1">IF(F15&lt;&gt;"",IF(OR(G15="Bill Accounts",G15="Investments", G15="Cash Accounts"),INDIRECT("'"&amp;F15&amp;"'!$C$10"),INDIRECT("'"&amp;F15&amp;"'!$C$8")),"")</f>
        <v/>
      </c>
      <c r="J15" s="46" t="str" cm="1">
        <f t="array" aca="1" ref="J15" ca="1">IF(F15&lt;&gt;"",ABS(INDIRECT("'"&amp;F15&amp;"'!$I$2")),"")</f>
        <v/>
      </c>
      <c r="K15" s="48">
        <f t="shared" si="3"/>
        <v>21</v>
      </c>
      <c r="L15" s="114" t="str" cm="1">
        <f t="array" aca="1" ref="L15" ca="1">IF(F15&lt;&gt;"",INDIRECT("'"&amp;F15&amp;"'!$F$17"),"")</f>
        <v/>
      </c>
      <c r="M15" s="116" t="str">
        <f t="shared" ca="1" si="1"/>
        <v/>
      </c>
      <c r="O15" s="49" t="str">
        <f t="shared" ca="1" si="2"/>
        <v/>
      </c>
      <c r="P15" s="38" t="str">
        <f t="shared" ca="1" si="0"/>
        <v/>
      </c>
      <c r="Q15" s="71"/>
      <c r="R15" s="73"/>
      <c r="S15" s="68"/>
      <c r="T15" s="69"/>
      <c r="U15" s="41"/>
      <c r="V15" s="41"/>
      <c r="W15" s="70"/>
      <c r="X15" s="70"/>
      <c r="Y15" s="71"/>
      <c r="Z15" s="72"/>
      <c r="AA15" s="73"/>
      <c r="AB15" s="71"/>
      <c r="AC15" s="71"/>
    </row>
    <row r="16" spans="1:34" x14ac:dyDescent="0.25">
      <c r="D16" s="36" t="str" cm="1">
        <f t="array" aca="1" ref="D16" ca="1">IFERROR(IF(INDIRECT("'"&amp;F16&amp;"'!$C$5")&gt;0,DATE(YEAR(Dashboard!$AL$2),Dashboard!$AU$4,INDIRECT("'"&amp;F16&amp;"'!$C$5")),""),"")</f>
        <v/>
      </c>
      <c r="E16" s="50" t="str" cm="1">
        <f t="array" aca="1" ref="E16" ca="1">IF(J16&gt;0,IF(G16="Credit Accounts",IFERROR(IF(INDIRECT("'"&amp;F16&amp;"'!$C$8")&gt;0,INDIRECT("'"&amp;F16&amp;"'!$F$2"),""),""),""),0)</f>
        <v/>
      </c>
      <c r="F16" s="37" t="str" cm="1">
        <f t="array" ref="F16">IFERROR(INDEX(Sheet_Names,K16),"")</f>
        <v/>
      </c>
      <c r="G16" s="38" t="str" cm="1">
        <f t="array" aca="1" ref="G16" ca="1">IF(F16="",
    "",
    IFERROR(
        IF(INDIRECT("'"&amp;F16&amp;"'!$B$2")="Credit Limit",
            "Credit Accounts",
            IF(INDIRECT("'"&amp;F16&amp;"'!$E$2")="Location",
                "Cash Accounts",
                IF(INDIRECT("'"&amp;F16&amp;"'!$B$2")="Amount",
                    "Investments",
                    "Bill Accounts"
                )
            )
        ),
    "")
)</f>
        <v/>
      </c>
      <c r="H16" s="46" t="str" cm="1">
        <f t="array" aca="1" ref="H16" ca="1">IF(F16&lt;&gt;"",INDIRECT("'"&amp;F16&amp;"'!$C$10"),"")</f>
        <v/>
      </c>
      <c r="I16" s="46" t="str" cm="1">
        <f t="array" aca="1" ref="I16" ca="1">IF(F16&lt;&gt;"",IF(OR(G16="Bill Accounts",G16="Investments", G16="Cash Accounts"),INDIRECT("'"&amp;F16&amp;"'!$C$10"),INDIRECT("'"&amp;F16&amp;"'!$C$8")),"")</f>
        <v/>
      </c>
      <c r="J16" s="46" t="str" cm="1">
        <f t="array" aca="1" ref="J16" ca="1">IF(F16&lt;&gt;"",ABS(INDIRECT("'"&amp;F16&amp;"'!$I$2")),"")</f>
        <v/>
      </c>
      <c r="K16" s="48">
        <f t="shared" si="3"/>
        <v>22</v>
      </c>
      <c r="L16" s="114" t="str" cm="1">
        <f t="array" aca="1" ref="L16" ca="1">IF(F16&lt;&gt;"",INDIRECT("'"&amp;F16&amp;"'!$F$17"),"")</f>
        <v/>
      </c>
      <c r="M16" s="116" t="str">
        <f t="shared" ca="1" si="1"/>
        <v/>
      </c>
      <c r="O16" s="49" t="str">
        <f t="shared" ca="1" si="2"/>
        <v/>
      </c>
      <c r="P16" s="38" t="str">
        <f t="shared" ca="1" si="0"/>
        <v/>
      </c>
      <c r="Q16" s="71"/>
      <c r="R16" s="73"/>
      <c r="S16" s="68"/>
      <c r="T16" s="69"/>
      <c r="U16" s="41"/>
      <c r="V16" s="41"/>
      <c r="W16" s="70"/>
      <c r="X16" s="70"/>
      <c r="Y16" s="71"/>
      <c r="Z16" s="72"/>
      <c r="AA16" s="73"/>
      <c r="AB16" s="71"/>
      <c r="AC16" s="71"/>
    </row>
    <row r="17" spans="1:29" x14ac:dyDescent="0.25">
      <c r="A17" s="41" t="s">
        <v>81</v>
      </c>
      <c r="B17" s="41" t="s">
        <v>6</v>
      </c>
      <c r="D17" s="36" t="str" cm="1">
        <f t="array" aca="1" ref="D17" ca="1">IFERROR(IF(INDIRECT("'"&amp;F17&amp;"'!$C$5")&gt;0,DATE(YEAR(Dashboard!$AL$2),Dashboard!$AU$4,INDIRECT("'"&amp;F17&amp;"'!$C$5")),""),"")</f>
        <v/>
      </c>
      <c r="E17" s="50" t="str" cm="1">
        <f t="array" aca="1" ref="E17" ca="1">IF(J17&gt;0,IF(G17="Credit Accounts",IFERROR(IF(INDIRECT("'"&amp;F17&amp;"'!$C$8")&gt;0,INDIRECT("'"&amp;F17&amp;"'!$F$2"),""),""),""),0)</f>
        <v/>
      </c>
      <c r="F17" s="37" t="str" cm="1">
        <f t="array" ref="F17">IFERROR(INDEX(Sheet_Names,K17),"")</f>
        <v/>
      </c>
      <c r="G17" s="38" t="str" cm="1">
        <f t="array" aca="1" ref="G17" ca="1">IF(F17="",
    "",
    IFERROR(
        IF(INDIRECT("'"&amp;F17&amp;"'!$B$2")="Credit Limit",
            "Credit Accounts",
            IF(INDIRECT("'"&amp;F17&amp;"'!$E$2")="Location",
                "Cash Accounts",
                IF(INDIRECT("'"&amp;F17&amp;"'!$B$2")="Amount",
                    "Investments",
                    "Bill Accounts"
                )
            )
        ),
    "")
)</f>
        <v/>
      </c>
      <c r="H17" s="46" t="str" cm="1">
        <f t="array" aca="1" ref="H17" ca="1">IF(F17&lt;&gt;"",INDIRECT("'"&amp;F17&amp;"'!$C$10"),"")</f>
        <v/>
      </c>
      <c r="I17" s="46" t="str" cm="1">
        <f t="array" aca="1" ref="I17" ca="1">IF(F17&lt;&gt;"",IF(OR(G17="Bill Accounts",G17="Investments", G17="Cash Accounts"),INDIRECT("'"&amp;F17&amp;"'!$C$10"),INDIRECT("'"&amp;F17&amp;"'!$C$8")),"")</f>
        <v/>
      </c>
      <c r="J17" s="46" t="str" cm="1">
        <f t="array" aca="1" ref="J17" ca="1">IF(F17&lt;&gt;"",ABS(INDIRECT("'"&amp;F17&amp;"'!$I$2")),"")</f>
        <v/>
      </c>
      <c r="K17" s="48">
        <f t="shared" si="3"/>
        <v>23</v>
      </c>
      <c r="L17" s="114" t="str" cm="1">
        <f t="array" aca="1" ref="L17" ca="1">IF(F17&lt;&gt;"",INDIRECT("'"&amp;F17&amp;"'!$F$17"),"")</f>
        <v/>
      </c>
      <c r="M17" s="116" t="str">
        <f t="shared" ca="1" si="1"/>
        <v/>
      </c>
      <c r="O17" s="49" t="str">
        <f t="shared" ca="1" si="2"/>
        <v/>
      </c>
      <c r="P17" s="38" t="str">
        <f t="shared" ca="1" si="0"/>
        <v/>
      </c>
      <c r="Q17" s="8"/>
      <c r="R17" s="64"/>
      <c r="S17" s="68"/>
      <c r="T17" s="69"/>
      <c r="U17" s="41"/>
      <c r="V17" s="41"/>
      <c r="W17" s="70"/>
      <c r="X17" s="70"/>
      <c r="Y17" s="71"/>
      <c r="Z17" s="72"/>
      <c r="AA17" s="73"/>
      <c r="AB17" s="71"/>
      <c r="AC17" s="71"/>
    </row>
    <row r="18" spans="1:29" x14ac:dyDescent="0.25">
      <c r="A18" s="41" t="s">
        <v>80</v>
      </c>
      <c r="B18" s="41" t="s">
        <v>77</v>
      </c>
      <c r="D18" s="36" t="str" cm="1">
        <f t="array" aca="1" ref="D18" ca="1">IFERROR(IF(INDIRECT("'"&amp;F18&amp;"'!$C$5")&gt;0,DATE(YEAR(Dashboard!$AL$2),Dashboard!$AU$4,INDIRECT("'"&amp;F18&amp;"'!$C$5")),""),"")</f>
        <v/>
      </c>
      <c r="E18" s="50" t="str" cm="1">
        <f t="array" aca="1" ref="E18" ca="1">IF(J18&gt;0,IF(G18="Credit Accounts",IFERROR(IF(INDIRECT("'"&amp;F18&amp;"'!$C$8")&gt;0,INDIRECT("'"&amp;F18&amp;"'!$F$2"),""),""),""),0)</f>
        <v/>
      </c>
      <c r="F18" s="37" t="str" cm="1">
        <f t="array" ref="F18">IFERROR(INDEX(Sheet_Names,K18),"")</f>
        <v/>
      </c>
      <c r="G18" s="38" t="str" cm="1">
        <f t="array" aca="1" ref="G18" ca="1">IF(F18="",
    "",
    IFERROR(
        IF(INDIRECT("'"&amp;F18&amp;"'!$B$2")="Credit Limit",
            "Credit Accounts",
            IF(INDIRECT("'"&amp;F18&amp;"'!$E$2")="Location",
                "Cash Accounts",
                IF(INDIRECT("'"&amp;F18&amp;"'!$B$2")="Amount",
                    "Investments",
                    "Bill Accounts"
                )
            )
        ),
    "")
)</f>
        <v/>
      </c>
      <c r="H18" s="46" t="str" cm="1">
        <f t="array" aca="1" ref="H18" ca="1">IF(F18&lt;&gt;"",INDIRECT("'"&amp;F18&amp;"'!$C$10"),"")</f>
        <v/>
      </c>
      <c r="I18" s="46" t="str" cm="1">
        <f t="array" aca="1" ref="I18" ca="1">IF(F18&lt;&gt;"",IF(OR(G18="Bill Accounts",G18="Investments", G18="Cash Accounts"),INDIRECT("'"&amp;F18&amp;"'!$C$10"),INDIRECT("'"&amp;F18&amp;"'!$C$8")),"")</f>
        <v/>
      </c>
      <c r="J18" s="46" t="str" cm="1">
        <f t="array" aca="1" ref="J18" ca="1">IF(F18&lt;&gt;"",ABS(INDIRECT("'"&amp;F18&amp;"'!$I$2")),"")</f>
        <v/>
      </c>
      <c r="K18" s="48">
        <f t="shared" si="3"/>
        <v>24</v>
      </c>
      <c r="L18" s="114" t="str" cm="1">
        <f t="array" aca="1" ref="L18" ca="1">IF(F18&lt;&gt;"",INDIRECT("'"&amp;F18&amp;"'!$F$17"),"")</f>
        <v/>
      </c>
      <c r="M18" s="116" t="str">
        <f t="shared" ca="1" si="1"/>
        <v/>
      </c>
      <c r="O18" s="49" t="str">
        <f t="shared" ca="1" si="2"/>
        <v/>
      </c>
      <c r="P18" s="38" t="str">
        <f t="shared" ca="1" si="0"/>
        <v/>
      </c>
      <c r="Q18" s="8"/>
      <c r="R18" s="64"/>
      <c r="S18" s="68"/>
      <c r="T18" s="69"/>
      <c r="U18" s="41"/>
      <c r="V18" s="41"/>
      <c r="W18" s="70"/>
      <c r="X18" s="70"/>
      <c r="Y18" s="71"/>
      <c r="Z18" s="72"/>
      <c r="AA18" s="73"/>
      <c r="AB18" s="71"/>
      <c r="AC18" s="71"/>
    </row>
    <row r="19" spans="1:29" x14ac:dyDescent="0.25">
      <c r="A19" s="41" t="s">
        <v>82</v>
      </c>
      <c r="D19" s="36" t="str" cm="1">
        <f t="array" aca="1" ref="D19" ca="1">IFERROR(IF(INDIRECT("'"&amp;F19&amp;"'!$C$5")&gt;0,DATE(YEAR(Dashboard!$AL$2),Dashboard!$AU$4,INDIRECT("'"&amp;F19&amp;"'!$C$5")),""),"")</f>
        <v/>
      </c>
      <c r="E19" s="50" t="str" cm="1">
        <f t="array" aca="1" ref="E19" ca="1">IF(J19&gt;0,IF(G19="Credit Accounts",IFERROR(IF(INDIRECT("'"&amp;F19&amp;"'!$C$8")&gt;0,INDIRECT("'"&amp;F19&amp;"'!$F$2"),""),""),""),0)</f>
        <v/>
      </c>
      <c r="F19" s="37" t="str" cm="1">
        <f t="array" ref="F19">IFERROR(INDEX(Sheet_Names,K19),"")</f>
        <v/>
      </c>
      <c r="G19" s="38" t="str" cm="1">
        <f t="array" aca="1" ref="G19" ca="1">IF(F19="",
    "",
    IFERROR(
        IF(INDIRECT("'"&amp;F19&amp;"'!$B$2")="Credit Limit",
            "Credit Accounts",
            IF(INDIRECT("'"&amp;F19&amp;"'!$E$2")="Location",
                "Cash Accounts",
                IF(INDIRECT("'"&amp;F19&amp;"'!$B$2")="Amount",
                    "Investments",
                    "Bill Accounts"
                )
            )
        ),
    "")
)</f>
        <v/>
      </c>
      <c r="H19" s="46" t="str" cm="1">
        <f t="array" aca="1" ref="H19" ca="1">IF(F19&lt;&gt;"",INDIRECT("'"&amp;F19&amp;"'!$C$10"),"")</f>
        <v/>
      </c>
      <c r="I19" s="46" t="str" cm="1">
        <f t="array" aca="1" ref="I19" ca="1">IF(F19&lt;&gt;"",IF(OR(G19="Bill Accounts",G19="Investments", G19="Cash Accounts"),INDIRECT("'"&amp;F19&amp;"'!$C$10"),INDIRECT("'"&amp;F19&amp;"'!$C$8")),"")</f>
        <v/>
      </c>
      <c r="J19" s="46" t="str" cm="1">
        <f t="array" aca="1" ref="J19" ca="1">IF(F19&lt;&gt;"",ABS(INDIRECT("'"&amp;F19&amp;"'!$I$2")),"")</f>
        <v/>
      </c>
      <c r="K19" s="48">
        <f t="shared" si="3"/>
        <v>25</v>
      </c>
      <c r="L19" s="114" t="str" cm="1">
        <f t="array" aca="1" ref="L19" ca="1">IF(F19&lt;&gt;"",INDIRECT("'"&amp;F19&amp;"'!$F$17"),"")</f>
        <v/>
      </c>
      <c r="M19" s="116" t="str">
        <f t="shared" ca="1" si="1"/>
        <v/>
      </c>
      <c r="O19" s="49" t="str">
        <f t="shared" ca="1" si="2"/>
        <v/>
      </c>
      <c r="P19" s="38" t="str">
        <f t="shared" ca="1" si="0"/>
        <v/>
      </c>
      <c r="Q19" s="8"/>
      <c r="R19" s="64"/>
      <c r="S19" s="41"/>
      <c r="T19" s="41"/>
      <c r="U19" s="41"/>
      <c r="V19" s="41"/>
      <c r="W19" s="41"/>
      <c r="X19" s="41"/>
      <c r="Y19" s="71"/>
      <c r="Z19" s="72"/>
      <c r="AA19" s="73"/>
      <c r="AB19" s="71"/>
      <c r="AC19" s="71"/>
    </row>
    <row r="20" spans="1:29" x14ac:dyDescent="0.25">
      <c r="A20" s="41" t="s">
        <v>101</v>
      </c>
      <c r="D20" s="36" t="str" cm="1">
        <f t="array" aca="1" ref="D20" ca="1">IFERROR(IF(INDIRECT("'"&amp;F20&amp;"'!$C$5")&gt;0,DATE(YEAR(Dashboard!$AL$2),Dashboard!$AU$4,INDIRECT("'"&amp;F20&amp;"'!$C$5")),""),"")</f>
        <v/>
      </c>
      <c r="E20" s="50" t="str" cm="1">
        <f t="array" aca="1" ref="E20" ca="1">IF(J20&gt;0,IF(G20="Credit Accounts",IFERROR(IF(INDIRECT("'"&amp;F20&amp;"'!$C$8")&gt;0,INDIRECT("'"&amp;F20&amp;"'!$F$2"),""),""),""),0)</f>
        <v/>
      </c>
      <c r="F20" s="37" t="str" cm="1">
        <f t="array" ref="F20">IFERROR(INDEX(Sheet_Names,K20),"")</f>
        <v/>
      </c>
      <c r="G20" s="38" t="str" cm="1">
        <f t="array" aca="1" ref="G20" ca="1">IF(F20="",
    "",
    IFERROR(
        IF(INDIRECT("'"&amp;F20&amp;"'!$B$2")="Credit Limit",
            "Credit Accounts",
            IF(INDIRECT("'"&amp;F20&amp;"'!$E$2")="Location",
                "Cash Accounts",
                IF(INDIRECT("'"&amp;F20&amp;"'!$B$2")="Amount",
                    "Investments",
                    "Bill Accounts"
                )
            )
        ),
    "")
)</f>
        <v/>
      </c>
      <c r="H20" s="46" t="str" cm="1">
        <f t="array" aca="1" ref="H20" ca="1">IF(F20&lt;&gt;"",INDIRECT("'"&amp;F20&amp;"'!$C$10"),"")</f>
        <v/>
      </c>
      <c r="I20" s="46" t="str" cm="1">
        <f t="array" aca="1" ref="I20" ca="1">IF(F20&lt;&gt;"",IF(OR(G20="Bill Accounts",G20="Investments", G20="Cash Accounts"),INDIRECT("'"&amp;F20&amp;"'!$C$10"),INDIRECT("'"&amp;F20&amp;"'!$C$8")),"")</f>
        <v/>
      </c>
      <c r="J20" s="46" t="str" cm="1">
        <f t="array" aca="1" ref="J20" ca="1">IF(F20&lt;&gt;"",ABS(INDIRECT("'"&amp;F20&amp;"'!$I$2")),"")</f>
        <v/>
      </c>
      <c r="K20" s="48">
        <f t="shared" si="3"/>
        <v>26</v>
      </c>
      <c r="L20" s="114" t="str" cm="1">
        <f t="array" aca="1" ref="L20" ca="1">IF(F20&lt;&gt;"",INDIRECT("'"&amp;F20&amp;"'!$F$17"),"")</f>
        <v/>
      </c>
      <c r="M20" s="116" t="str">
        <f t="shared" ca="1" si="1"/>
        <v/>
      </c>
      <c r="O20" s="49" t="str">
        <f t="shared" ca="1" si="2"/>
        <v/>
      </c>
      <c r="P20" s="38" t="str">
        <f t="shared" ca="1" si="0"/>
        <v/>
      </c>
      <c r="Q20" s="8"/>
      <c r="R20" s="64"/>
      <c r="S20" s="41"/>
      <c r="T20" s="41"/>
      <c r="U20" s="41"/>
      <c r="V20" s="41"/>
      <c r="W20" s="41"/>
      <c r="X20" s="41"/>
      <c r="Y20" s="71"/>
      <c r="Z20" s="72"/>
      <c r="AA20" s="73"/>
      <c r="AB20" s="71"/>
      <c r="AC20" s="71"/>
    </row>
    <row r="21" spans="1:29" x14ac:dyDescent="0.25">
      <c r="D21" s="36" t="str" cm="1">
        <f t="array" aca="1" ref="D21" ca="1">IFERROR(IF(INDIRECT("'"&amp;F21&amp;"'!$C$5")&gt;0,DATE(YEAR(Dashboard!$AL$2),Dashboard!$AU$4,INDIRECT("'"&amp;F21&amp;"'!$C$5")),""),"")</f>
        <v/>
      </c>
      <c r="E21" s="50" t="str" cm="1">
        <f t="array" aca="1" ref="E21" ca="1">IF(J21&gt;0,IF(G21="Credit Accounts",IFERROR(IF(INDIRECT("'"&amp;F21&amp;"'!$C$8")&gt;0,INDIRECT("'"&amp;F21&amp;"'!$F$2"),""),""),""),0)</f>
        <v/>
      </c>
      <c r="F21" s="37" t="str" cm="1">
        <f t="array" ref="F21">IFERROR(INDEX(Sheet_Names,K21),"")</f>
        <v/>
      </c>
      <c r="G21" s="38" t="str" cm="1">
        <f t="array" aca="1" ref="G21" ca="1">IF(F21="",
    "",
    IFERROR(
        IF(INDIRECT("'"&amp;F21&amp;"'!$B$2")="Credit Limit",
            "Credit Accounts",
            IF(INDIRECT("'"&amp;F21&amp;"'!$E$2")="Location",
                "Cash Accounts",
                IF(INDIRECT("'"&amp;F21&amp;"'!$B$2")="Amount",
                    "Investments",
                    "Bill Accounts"
                )
            )
        ),
    "")
)</f>
        <v/>
      </c>
      <c r="H21" s="46" t="str" cm="1">
        <f t="array" aca="1" ref="H21" ca="1">IF(F21&lt;&gt;"",INDIRECT("'"&amp;F21&amp;"'!$C$10"),"")</f>
        <v/>
      </c>
      <c r="I21" s="46" t="str" cm="1">
        <f t="array" aca="1" ref="I21" ca="1">IF(F21&lt;&gt;"",IF(OR(G21="Bill Accounts",G21="Investments", G21="Cash Accounts"),INDIRECT("'"&amp;F21&amp;"'!$C$10"),INDIRECT("'"&amp;F21&amp;"'!$C$8")),"")</f>
        <v/>
      </c>
      <c r="J21" s="46" t="str" cm="1">
        <f t="array" aca="1" ref="J21" ca="1">IF(F21&lt;&gt;"",ABS(INDIRECT("'"&amp;F21&amp;"'!$I$2")),"")</f>
        <v/>
      </c>
      <c r="K21" s="48">
        <f t="shared" si="3"/>
        <v>27</v>
      </c>
      <c r="L21" s="114" t="str" cm="1">
        <f t="array" aca="1" ref="L21" ca="1">IF(F21&lt;&gt;"",INDIRECT("'"&amp;F21&amp;"'!$F$17"),"")</f>
        <v/>
      </c>
      <c r="M21" s="116" t="str">
        <f t="shared" ca="1" si="1"/>
        <v/>
      </c>
      <c r="O21" s="49" t="str">
        <f t="shared" ca="1" si="2"/>
        <v/>
      </c>
      <c r="P21" s="38" t="str">
        <f t="shared" ca="1" si="0"/>
        <v/>
      </c>
      <c r="Q21" s="8"/>
      <c r="R21" s="64"/>
      <c r="S21" s="41"/>
      <c r="T21" s="41"/>
      <c r="U21" s="41"/>
      <c r="V21" s="41"/>
      <c r="W21" s="41"/>
      <c r="X21" s="41"/>
      <c r="Y21" s="71"/>
      <c r="Z21" s="72"/>
      <c r="AA21" s="73"/>
      <c r="AB21" s="71"/>
      <c r="AC21" s="71"/>
    </row>
    <row r="22" spans="1:29" x14ac:dyDescent="0.25">
      <c r="D22" s="36" t="str" cm="1">
        <f t="array" aca="1" ref="D22" ca="1">IFERROR(IF(INDIRECT("'"&amp;F22&amp;"'!$C$5")&gt;0,DATE(YEAR(Dashboard!$AL$2),Dashboard!$AU$4,INDIRECT("'"&amp;F22&amp;"'!$C$5")),""),"")</f>
        <v/>
      </c>
      <c r="E22" s="50" t="str" cm="1">
        <f t="array" aca="1" ref="E22" ca="1">IF(J22&gt;0,IF(G22="Credit Accounts",IFERROR(IF(INDIRECT("'"&amp;F22&amp;"'!$C$8")&gt;0,INDIRECT("'"&amp;F22&amp;"'!$F$2"),""),""),""),0)</f>
        <v/>
      </c>
      <c r="F22" s="37" t="str" cm="1">
        <f t="array" ref="F22">IFERROR(INDEX(Sheet_Names,K22),"")</f>
        <v/>
      </c>
      <c r="G22" s="38" t="str" cm="1">
        <f t="array" aca="1" ref="G22" ca="1">IF(F22="",
    "",
    IFERROR(
        IF(INDIRECT("'"&amp;F22&amp;"'!$B$2")="Credit Limit",
            "Credit Accounts",
            IF(INDIRECT("'"&amp;F22&amp;"'!$E$2")="Location",
                "Cash Accounts",
                IF(INDIRECT("'"&amp;F22&amp;"'!$B$2")="Amount",
                    "Investments",
                    "Bill Accounts"
                )
            )
        ),
    "")
)</f>
        <v/>
      </c>
      <c r="H22" s="46" t="str" cm="1">
        <f t="array" aca="1" ref="H22" ca="1">IF(F22&lt;&gt;"",INDIRECT("'"&amp;F22&amp;"'!$C$10"),"")</f>
        <v/>
      </c>
      <c r="I22" s="46" t="str" cm="1">
        <f t="array" aca="1" ref="I22" ca="1">IF(F22&lt;&gt;"",IF(OR(G22="Bill Accounts",G22="Investments", G22="Cash Accounts"),INDIRECT("'"&amp;F22&amp;"'!$C$10"),INDIRECT("'"&amp;F22&amp;"'!$C$8")),"")</f>
        <v/>
      </c>
      <c r="J22" s="46" t="str" cm="1">
        <f t="array" aca="1" ref="J22" ca="1">IF(F22&lt;&gt;"",ABS(INDIRECT("'"&amp;F22&amp;"'!$I$2")),"")</f>
        <v/>
      </c>
      <c r="K22" s="48">
        <f t="shared" si="3"/>
        <v>28</v>
      </c>
      <c r="L22" s="114" t="str" cm="1">
        <f t="array" aca="1" ref="L22" ca="1">IF(F22&lt;&gt;"",INDIRECT("'"&amp;F22&amp;"'!$F$17"),"")</f>
        <v/>
      </c>
      <c r="M22" s="116" t="str">
        <f t="shared" ca="1" si="1"/>
        <v/>
      </c>
      <c r="O22" s="49" t="str">
        <f t="shared" ca="1" si="2"/>
        <v/>
      </c>
      <c r="P22" s="38" t="str">
        <f t="shared" ca="1" si="0"/>
        <v/>
      </c>
      <c r="Q22" s="8"/>
      <c r="R22" s="64"/>
      <c r="S22" s="41"/>
      <c r="T22" s="41"/>
      <c r="U22" s="41"/>
      <c r="V22" s="41"/>
      <c r="W22" s="41"/>
      <c r="X22" s="41"/>
      <c r="Y22" s="71"/>
      <c r="Z22" s="72"/>
      <c r="AA22" s="73"/>
      <c r="AB22" s="71"/>
      <c r="AC22" s="71"/>
    </row>
    <row r="23" spans="1:29" x14ac:dyDescent="0.25">
      <c r="A23" s="42" t="s">
        <v>86</v>
      </c>
      <c r="B23" s="42" t="s">
        <v>46</v>
      </c>
      <c r="C23" s="42" t="s">
        <v>47</v>
      </c>
      <c r="D23" s="36" t="str" cm="1">
        <f t="array" aca="1" ref="D23" ca="1">IFERROR(IF(INDIRECT("'"&amp;F23&amp;"'!$C$5")&gt;0,DATE(YEAR(Dashboard!$AL$2),Dashboard!$AU$4,INDIRECT("'"&amp;F23&amp;"'!$C$5")),""),"")</f>
        <v/>
      </c>
      <c r="E23" s="50" t="str" cm="1">
        <f t="array" aca="1" ref="E23" ca="1">IF(J23&gt;0,IF(G23="Credit Accounts",IFERROR(IF(INDIRECT("'"&amp;F23&amp;"'!$C$8")&gt;0,INDIRECT("'"&amp;F23&amp;"'!$F$2"),""),""),""),0)</f>
        <v/>
      </c>
      <c r="F23" s="37" t="str" cm="1">
        <f t="array" ref="F23">IFERROR(INDEX(Sheet_Names,K23),"")</f>
        <v/>
      </c>
      <c r="G23" s="38" t="str" cm="1">
        <f t="array" aca="1" ref="G23" ca="1">IF(F23="",
    "",
    IFERROR(
        IF(INDIRECT("'"&amp;F23&amp;"'!$B$2")="Credit Limit",
            "Credit Accounts",
            IF(INDIRECT("'"&amp;F23&amp;"'!$E$2")="Location",
                "Cash Accounts",
                IF(INDIRECT("'"&amp;F23&amp;"'!$B$2")="Amount",
                    "Investments",
                    "Bill Accounts"
                )
            )
        ),
    "")
)</f>
        <v/>
      </c>
      <c r="H23" s="46" t="str" cm="1">
        <f t="array" aca="1" ref="H23" ca="1">IF(F23&lt;&gt;"",INDIRECT("'"&amp;F23&amp;"'!$C$10"),"")</f>
        <v/>
      </c>
      <c r="I23" s="46" t="str" cm="1">
        <f t="array" aca="1" ref="I23" ca="1">IF(F23&lt;&gt;"",IF(OR(G23="Bill Accounts",G23="Investments", G23="Cash Accounts"),INDIRECT("'"&amp;F23&amp;"'!$C$10"),INDIRECT("'"&amp;F23&amp;"'!$C$8")),"")</f>
        <v/>
      </c>
      <c r="J23" s="46" t="str" cm="1">
        <f t="array" aca="1" ref="J23" ca="1">IF(F23&lt;&gt;"",ABS(INDIRECT("'"&amp;F23&amp;"'!$I$2")),"")</f>
        <v/>
      </c>
      <c r="K23" s="48">
        <f t="shared" si="3"/>
        <v>29</v>
      </c>
      <c r="L23" s="114" t="str" cm="1">
        <f t="array" aca="1" ref="L23" ca="1">IF(F23&lt;&gt;"",INDIRECT("'"&amp;F23&amp;"'!$F$17"),"")</f>
        <v/>
      </c>
      <c r="M23" s="116" t="str">
        <f t="shared" ca="1" si="1"/>
        <v/>
      </c>
      <c r="O23" s="49" t="str">
        <f t="shared" ca="1" si="2"/>
        <v/>
      </c>
      <c r="P23" s="38" t="str">
        <f t="shared" ca="1" si="0"/>
        <v/>
      </c>
      <c r="Q23" s="8"/>
      <c r="R23" s="64"/>
      <c r="S23" s="41"/>
      <c r="T23" s="41"/>
      <c r="U23" s="41"/>
      <c r="V23" s="41"/>
      <c r="W23" s="41"/>
      <c r="X23" s="41"/>
      <c r="Y23" s="71"/>
      <c r="Z23" s="72"/>
      <c r="AA23" s="73"/>
      <c r="AB23" s="71"/>
      <c r="AC23" s="71"/>
    </row>
    <row r="24" spans="1:29" x14ac:dyDescent="0.25">
      <c r="A24" s="43">
        <v>1</v>
      </c>
      <c r="B24" s="87">
        <f ca="1">SUMIFS(Income!$Y$3:$Y$500, Income!$I$3:$I$500, "&gt;="&amp;DATE(YEAR(Dashboard!$AL$2), A24, 1), Income!$I$3:$I$500,"&lt;="&amp;EOMONTH(DATE(YEAR(Dashboard!$AL$2), A24, 1),0))</f>
        <v>0</v>
      </c>
      <c r="C24" s="87">
        <f ca="1">SUMIFS(H3:H501, D3:D501, "&gt;="&amp;EOMONTH(DATE(YEAR(Dashboard!$AL$2), A24, 1),-1),D3:D501,"&lt;="&amp;EOMONTH(DATE(YEAR(Dashboard!$AL$2), A24, 1),0))</f>
        <v>0</v>
      </c>
      <c r="D24" s="36" t="str" cm="1">
        <f t="array" aca="1" ref="D24" ca="1">IFERROR(IF(INDIRECT("'"&amp;F24&amp;"'!$C$5")&gt;0,DATE(YEAR(Dashboard!$AL$2),Dashboard!$AU$4,INDIRECT("'"&amp;F24&amp;"'!$C$5")),""),"")</f>
        <v/>
      </c>
      <c r="E24" s="50" t="str" cm="1">
        <f t="array" aca="1" ref="E24" ca="1">IF(G24="Credit Accounts",IFERROR(IF(INDIRECT("'"&amp;F24&amp;"'!$C$8")&gt;0,INDIRECT("'"&amp;F24&amp;"'!$F$2"),""),""),"")</f>
        <v/>
      </c>
      <c r="F24" s="37" t="str" cm="1">
        <f t="array" ref="F24">IFERROR(INDEX(Sheet_Names,K24),"")</f>
        <v/>
      </c>
      <c r="G24" s="38" t="str" cm="1">
        <f t="array" aca="1" ref="G24" ca="1">IF(F24="",
    "",
    IFERROR(
        IF(INDIRECT("'"&amp;F24&amp;"'!$B$2")="Credit Limit",
            "Credit Accounts",
            IF(INDIRECT("'"&amp;F24&amp;"'!$E$2")="Location",
                "Cash Accounts",
                IF(INDIRECT("'"&amp;F24&amp;"'!$B$2")="Amount",
                    "Investments",
                    "Bill Accounts"
                )
            )
        ),
    "")
)</f>
        <v/>
      </c>
      <c r="H24" s="46" t="str" cm="1">
        <f t="array" aca="1" ref="H24" ca="1">IF(F24&lt;&gt;"",INDIRECT("'"&amp;F24&amp;"'!$C$10"),"")</f>
        <v/>
      </c>
      <c r="I24" s="46" t="str" cm="1">
        <f t="array" aca="1" ref="I24" ca="1">IF(F24&lt;&gt;"",IF(OR(G24="Bill Accounts",G24="Investments", G24="Cash Accounts"),INDIRECT("'"&amp;F24&amp;"'!$C$10"),INDIRECT("'"&amp;F24&amp;"'!$C$8")),"")</f>
        <v/>
      </c>
      <c r="J24" s="46" t="str" cm="1">
        <f t="array" aca="1" ref="J24" ca="1">IF(F24&lt;&gt;"",ABS(INDIRECT("'"&amp;F24&amp;"'!$I$2")),"")</f>
        <v/>
      </c>
      <c r="K24" s="48">
        <f t="shared" si="3"/>
        <v>30</v>
      </c>
      <c r="L24" s="114" t="str" cm="1">
        <f t="array" aca="1" ref="L24" ca="1">IF(F24&lt;&gt;"",INDIRECT("'"&amp;F24&amp;"'!$F$17"),"")</f>
        <v/>
      </c>
      <c r="M24" s="116" t="str">
        <f t="shared" ca="1" si="1"/>
        <v/>
      </c>
      <c r="O24" s="49" t="str">
        <f t="shared" ca="1" si="2"/>
        <v/>
      </c>
      <c r="P24" s="38" t="str">
        <f t="shared" ca="1" si="0"/>
        <v/>
      </c>
      <c r="Q24" s="8"/>
      <c r="R24" s="64"/>
      <c r="S24" s="41"/>
      <c r="T24" s="41"/>
      <c r="U24" s="41"/>
      <c r="V24" s="41"/>
      <c r="W24" s="41"/>
      <c r="X24" s="41"/>
      <c r="Y24" s="71"/>
      <c r="Z24" s="72"/>
      <c r="AA24" s="73"/>
      <c r="AB24" s="71"/>
      <c r="AC24" s="71"/>
    </row>
    <row r="25" spans="1:29" x14ac:dyDescent="0.25">
      <c r="A25" s="43">
        <v>2</v>
      </c>
      <c r="B25" s="87">
        <f ca="1">SUMIFS(Income!$Y$3:$Y$500, Income!$I$3:$I$500, "&gt;="&amp;DATE(YEAR(Dashboard!$AL$2), A25, 1), Income!$I$3:$I$500,"&lt;="&amp;EOMONTH(DATE(YEAR(Dashboard!$AL$2), A25, 1),0))</f>
        <v>0</v>
      </c>
      <c r="C25" s="87">
        <f ca="1">SUMIFS(H4:H502, D4:D502, "&gt;="&amp;EOMONTH(DATE(YEAR(Dashboard!$AL$2), A25, 1),-1),D4:D502,"&lt;="&amp;EOMONTH(DATE(YEAR(Dashboard!$AL$2), A25, 1),0))</f>
        <v>0</v>
      </c>
      <c r="D25" s="36" t="str" cm="1">
        <f t="array" aca="1" ref="D25" ca="1">IFERROR(IF(INDIRECT("'"&amp;F25&amp;"'!$C$5")&gt;0,DATE(YEAR(Dashboard!$AL$2),Dashboard!$AU$4,INDIRECT("'"&amp;F25&amp;"'!$C$5")),""),"")</f>
        <v/>
      </c>
      <c r="E25" s="50" t="str" cm="1">
        <f t="array" aca="1" ref="E25" ca="1">IF(G25="Credit Accounts",IFERROR(IF(INDIRECT("'"&amp;F25&amp;"'!$C$8")&gt;0,INDIRECT("'"&amp;F25&amp;"'!$F$2"),""),""),"")</f>
        <v/>
      </c>
      <c r="F25" s="37" t="str" cm="1">
        <f t="array" ref="F25">IFERROR(INDEX(Sheet_Names,K25),"")</f>
        <v/>
      </c>
      <c r="G25" s="38" t="str" cm="1">
        <f t="array" aca="1" ref="G25" ca="1">IF(F25="",
    "",
    IFERROR(
        IF(INDIRECT("'"&amp;F25&amp;"'!$B$2")="Credit Limit",
            "Credit Accounts",
            IF(INDIRECT("'"&amp;F25&amp;"'!$E$2")="Location",
                "Cash Accounts",
                IF(INDIRECT("'"&amp;F25&amp;"'!$B$2")="Amount",
                    "Investments",
                    "Bill Accounts"
                )
            )
        ),
    "")
)</f>
        <v/>
      </c>
      <c r="H25" s="46" t="str" cm="1">
        <f t="array" aca="1" ref="H25" ca="1">IF(F25&lt;&gt;"",INDIRECT("'"&amp;F25&amp;"'!$C$10"),"")</f>
        <v/>
      </c>
      <c r="I25" s="46" t="str" cm="1">
        <f t="array" aca="1" ref="I25" ca="1">IF(F25&lt;&gt;"",IF(OR(G25="Bill Accounts",G25="Investments", G25="Cash Accounts"),INDIRECT("'"&amp;F25&amp;"'!$C$10"),INDIRECT("'"&amp;F25&amp;"'!$C$8")),"")</f>
        <v/>
      </c>
      <c r="J25" s="46" t="str" cm="1">
        <f t="array" aca="1" ref="J25" ca="1">IF(F25&lt;&gt;"",ABS(INDIRECT("'"&amp;F25&amp;"'!$I$2")),"")</f>
        <v/>
      </c>
      <c r="K25" s="48">
        <f t="shared" si="3"/>
        <v>31</v>
      </c>
      <c r="L25" s="114" t="str" cm="1">
        <f t="array" aca="1" ref="L25" ca="1">IF(F25&lt;&gt;"",INDIRECT("'"&amp;F25&amp;"'!$F$17"),"")</f>
        <v/>
      </c>
      <c r="M25" s="116" t="str">
        <f t="shared" ca="1" si="1"/>
        <v/>
      </c>
      <c r="O25" s="49" t="str">
        <f t="shared" ca="1" si="2"/>
        <v/>
      </c>
      <c r="P25" s="38" t="str">
        <f t="shared" ca="1" si="0"/>
        <v/>
      </c>
      <c r="Q25" s="8"/>
      <c r="R25" s="64"/>
      <c r="S25" s="41"/>
      <c r="T25" s="41"/>
      <c r="U25" s="41"/>
      <c r="V25" s="41"/>
      <c r="W25" s="41"/>
      <c r="X25" s="41"/>
      <c r="Y25" s="71"/>
      <c r="Z25" s="72"/>
      <c r="AA25" s="73"/>
      <c r="AB25" s="71"/>
      <c r="AC25" s="71"/>
    </row>
    <row r="26" spans="1:29" x14ac:dyDescent="0.25">
      <c r="A26" s="43">
        <v>3</v>
      </c>
      <c r="B26" s="87">
        <f ca="1">SUMIFS(Income!$Y$3:$Y$500, Income!$I$3:$I$500, "&gt;="&amp;DATE(YEAR(Dashboard!$AL$2), A26, 1), Income!$I$3:$I$500,"&lt;="&amp;EOMONTH(DATE(YEAR(Dashboard!$AL$2), A26, 1),0))</f>
        <v>0</v>
      </c>
      <c r="C26" s="87">
        <f ca="1">SUMIFS(H5:H503, D5:D503, "&gt;="&amp;EOMONTH(DATE(YEAR(Dashboard!$AL$2), A26, 1),-1),D5:D503,"&lt;="&amp;EOMONTH(DATE(YEAR(Dashboard!$AL$2), A26, 1),0))</f>
        <v>0</v>
      </c>
      <c r="D26" s="36" t="str" cm="1">
        <f t="array" aca="1" ref="D26" ca="1">IFERROR(IF(INDIRECT("'"&amp;F26&amp;"'!$C$5")&gt;0,DATE(YEAR(Dashboard!$AL$2),Dashboard!$AU$4,INDIRECT("'"&amp;F26&amp;"'!$C$5")),""),"")</f>
        <v/>
      </c>
      <c r="E26" s="50" t="str" cm="1">
        <f t="array" aca="1" ref="E26" ca="1">IF(G26="Credit Accounts",IFERROR(IF(INDIRECT("'"&amp;F26&amp;"'!$C$8")&gt;0,INDIRECT("'"&amp;F26&amp;"'!$F$2"),""),""),"")</f>
        <v/>
      </c>
      <c r="F26" s="37" t="str" cm="1">
        <f t="array" ref="F26">IFERROR(INDEX(Sheet_Names,K26),"")</f>
        <v/>
      </c>
      <c r="G26" s="38" t="str" cm="1">
        <f t="array" aca="1" ref="G26" ca="1">IF(F26="",
    "",
    IFERROR(
        IF(INDIRECT("'"&amp;F26&amp;"'!$B$2")="Credit Limit",
            "Credit Accounts",
            IF(INDIRECT("'"&amp;F26&amp;"'!$E$2")="Location",
                "Cash Accounts",
                IF(INDIRECT("'"&amp;F26&amp;"'!$B$2")="Amount",
                    "Investments",
                    "Bill Accounts"
                )
            )
        ),
    "")
)</f>
        <v/>
      </c>
      <c r="H26" s="46" t="str" cm="1">
        <f t="array" aca="1" ref="H26" ca="1">IF(F26&lt;&gt;"",INDIRECT("'"&amp;F26&amp;"'!$C$10"),"")</f>
        <v/>
      </c>
      <c r="I26" s="46" t="str" cm="1">
        <f t="array" aca="1" ref="I26" ca="1">IF(F26&lt;&gt;"",IF(OR(G26="Bill Accounts",G26="Investments", G26="Cash Accounts"),INDIRECT("'"&amp;F26&amp;"'!$C$10"),INDIRECT("'"&amp;F26&amp;"'!$C$8")),"")</f>
        <v/>
      </c>
      <c r="J26" s="46" t="str" cm="1">
        <f t="array" aca="1" ref="J26" ca="1">IF(F26&lt;&gt;"",ABS(INDIRECT("'"&amp;F26&amp;"'!$I$2")),"")</f>
        <v/>
      </c>
      <c r="K26" s="48">
        <f t="shared" si="3"/>
        <v>32</v>
      </c>
      <c r="L26" s="114" t="str" cm="1">
        <f t="array" aca="1" ref="L26" ca="1">IF(F26&lt;&gt;"",INDIRECT("'"&amp;F26&amp;"'!$F$17"),"")</f>
        <v/>
      </c>
      <c r="M26" s="116" t="str">
        <f t="shared" ca="1" si="1"/>
        <v/>
      </c>
      <c r="O26" s="49" t="str">
        <f t="shared" ca="1" si="2"/>
        <v/>
      </c>
      <c r="P26" s="38" t="str">
        <f t="shared" ca="1" si="0"/>
        <v/>
      </c>
      <c r="Q26" s="8"/>
      <c r="R26" s="64"/>
      <c r="S26" s="41"/>
      <c r="T26" s="41"/>
      <c r="U26" s="41"/>
      <c r="V26" s="41"/>
      <c r="W26" s="41"/>
      <c r="X26" s="41"/>
      <c r="Y26" s="71"/>
      <c r="Z26" s="72"/>
      <c r="AA26" s="73"/>
      <c r="AB26" s="71"/>
      <c r="AC26" s="71"/>
    </row>
    <row r="27" spans="1:29" x14ac:dyDescent="0.25">
      <c r="A27" s="43">
        <v>4</v>
      </c>
      <c r="B27" s="87">
        <f ca="1">SUMIFS(Income!$Y$3:$Y$500, Income!$I$3:$I$500, "&gt;="&amp;DATE(YEAR(Dashboard!$AL$2), A27, 1), Income!$I$3:$I$500,"&lt;="&amp;EOMONTH(DATE(YEAR(Dashboard!$AL$2), A27, 1),0))</f>
        <v>0</v>
      </c>
      <c r="C27" s="87">
        <f ca="1">SUMIFS(H6:H504, D6:D504, "&gt;="&amp;EOMONTH(DATE(YEAR(Dashboard!$AL$2), A27, 1),-1),D6:D504,"&lt;="&amp;EOMONTH(DATE(YEAR(Dashboard!$AL$2), A27, 1),0))</f>
        <v>0</v>
      </c>
      <c r="D27" s="36" t="str" cm="1">
        <f t="array" aca="1" ref="D27" ca="1">IFERROR(IF(INDIRECT("'"&amp;F27&amp;"'!$C$5")&gt;0,DATE(YEAR(Dashboard!$AL$2),Dashboard!$AU$4,INDIRECT("'"&amp;F27&amp;"'!$C$5")),""),"")</f>
        <v/>
      </c>
      <c r="E27" s="50" t="str" cm="1">
        <f t="array" aca="1" ref="E27" ca="1">IF(G27="Credit Accounts",IFERROR(IF(INDIRECT("'"&amp;F27&amp;"'!$C$8")&gt;0,INDIRECT("'"&amp;F27&amp;"'!$F$2"),""),""),"")</f>
        <v/>
      </c>
      <c r="F27" s="37" t="str" cm="1">
        <f t="array" ref="F27">IFERROR(INDEX(Sheet_Names,K27),"")</f>
        <v/>
      </c>
      <c r="G27" s="38" t="str" cm="1">
        <f t="array" aca="1" ref="G27" ca="1">IF(F27="",
    "",
    IFERROR(
        IF(INDIRECT("'"&amp;F27&amp;"'!$B$2")="Credit Limit",
            "Credit Accounts",
            IF(INDIRECT("'"&amp;F27&amp;"'!$E$2")="Location",
                "Cash Accounts",
                IF(INDIRECT("'"&amp;F27&amp;"'!$B$2")="Amount",
                    "Investments",
                    "Bill Accounts"
                )
            )
        ),
    "")
)</f>
        <v/>
      </c>
      <c r="H27" s="46" t="str" cm="1">
        <f t="array" aca="1" ref="H27" ca="1">IF(F27&lt;&gt;"",INDIRECT("'"&amp;F27&amp;"'!$C$10"),"")</f>
        <v/>
      </c>
      <c r="I27" s="46" t="str" cm="1">
        <f t="array" aca="1" ref="I27" ca="1">IF(F27&lt;&gt;"",IF(OR(G27="Bill Accounts",G27="Investments", G27="Cash Accounts"),INDIRECT("'"&amp;F27&amp;"'!$C$10"),INDIRECT("'"&amp;F27&amp;"'!$C$8")),"")</f>
        <v/>
      </c>
      <c r="J27" s="46" t="str" cm="1">
        <f t="array" aca="1" ref="J27" ca="1">IF(F27&lt;&gt;"",ABS(INDIRECT("'"&amp;F27&amp;"'!$I$2")),"")</f>
        <v/>
      </c>
      <c r="K27" s="48">
        <f t="shared" si="3"/>
        <v>33</v>
      </c>
      <c r="L27" s="114" t="str" cm="1">
        <f t="array" aca="1" ref="L27" ca="1">IF(F27&lt;&gt;"",INDIRECT("'"&amp;F27&amp;"'!$F$17"),"")</f>
        <v/>
      </c>
      <c r="M27" s="116" t="str">
        <f t="shared" ca="1" si="1"/>
        <v/>
      </c>
      <c r="O27" s="49" t="str">
        <f t="shared" ca="1" si="2"/>
        <v/>
      </c>
      <c r="P27" s="38" t="str">
        <f t="shared" ca="1" si="0"/>
        <v/>
      </c>
      <c r="Q27" s="8"/>
      <c r="R27" s="64"/>
      <c r="S27" s="41"/>
      <c r="T27" s="41"/>
      <c r="U27" s="41"/>
      <c r="V27" s="41"/>
      <c r="W27" s="41"/>
      <c r="X27" s="41"/>
      <c r="Y27" s="71"/>
      <c r="Z27" s="72"/>
      <c r="AA27" s="73"/>
      <c r="AB27" s="71"/>
      <c r="AC27" s="71"/>
    </row>
    <row r="28" spans="1:29" x14ac:dyDescent="0.25">
      <c r="A28" s="43">
        <v>5</v>
      </c>
      <c r="B28" s="87">
        <f ca="1">SUMIFS(Income!$Y$3:$Y$500, Income!$I$3:$I$500, "&gt;="&amp;DATE(YEAR(Dashboard!$AL$2), A28, 1), Income!$I$3:$I$500,"&lt;="&amp;EOMONTH(DATE(YEAR(Dashboard!$AL$2), A28, 1),0))</f>
        <v>0</v>
      </c>
      <c r="C28" s="87">
        <f ca="1">SUMIFS(H7:H505, D7:D505, "&gt;="&amp;EOMONTH(DATE(YEAR(Dashboard!$AL$2), A28, 1),-1),D7:D505,"&lt;="&amp;EOMONTH(DATE(YEAR(Dashboard!$AL$2), A28, 1),0))</f>
        <v>0</v>
      </c>
      <c r="D28" s="36" t="str" cm="1">
        <f t="array" aca="1" ref="D28" ca="1">IFERROR(IF(INDIRECT("'"&amp;F28&amp;"'!$C$5")&gt;0,DATE(YEAR(Dashboard!$AL$2),Dashboard!$AU$4,INDIRECT("'"&amp;F28&amp;"'!$C$5")),""),"")</f>
        <v/>
      </c>
      <c r="E28" s="50" t="str" cm="1">
        <f t="array" aca="1" ref="E28" ca="1">IF(G28="Credit Accounts",IFERROR(IF(INDIRECT("'"&amp;F28&amp;"'!$C$8")&gt;0,INDIRECT("'"&amp;F28&amp;"'!$F$2"),""),""),"")</f>
        <v/>
      </c>
      <c r="F28" s="37" t="str" cm="1">
        <f t="array" ref="F28">IFERROR(INDEX(Sheet_Names,K28),"")</f>
        <v/>
      </c>
      <c r="G28" s="38" t="str" cm="1">
        <f t="array" aca="1" ref="G28" ca="1">IF(F28="",
    "",
    IFERROR(
        IF(INDIRECT("'"&amp;F28&amp;"'!$B$2")="Credit Limit",
            "Credit Accounts",
            IF(INDIRECT("'"&amp;F28&amp;"'!$E$2")="Location",
                "Cash Accounts",
                IF(INDIRECT("'"&amp;F28&amp;"'!$B$2")="Amount",
                    "Investments",
                    "Bill Accounts"
                )
            )
        ),
    "")
)</f>
        <v/>
      </c>
      <c r="H28" s="46" t="str" cm="1">
        <f t="array" aca="1" ref="H28" ca="1">IF(F28&lt;&gt;"",INDIRECT("'"&amp;F28&amp;"'!$C$10"),"")</f>
        <v/>
      </c>
      <c r="I28" s="46" t="str" cm="1">
        <f t="array" aca="1" ref="I28" ca="1">IF(F28&lt;&gt;"",IF(OR(G28="Bill Accounts",G28="Investments", G28="Cash Accounts"),INDIRECT("'"&amp;F28&amp;"'!$C$10"),INDIRECT("'"&amp;F28&amp;"'!$C$8")),"")</f>
        <v/>
      </c>
      <c r="J28" s="46" t="str" cm="1">
        <f t="array" aca="1" ref="J28" ca="1">IF(F28&lt;&gt;"",ABS(INDIRECT("'"&amp;F28&amp;"'!$I$2")),"")</f>
        <v/>
      </c>
      <c r="K28" s="48">
        <f t="shared" si="3"/>
        <v>34</v>
      </c>
      <c r="L28" s="114" t="str" cm="1">
        <f t="array" aca="1" ref="L28" ca="1">IF(F28&lt;&gt;"",INDIRECT("'"&amp;F28&amp;"'!$F$17"),"")</f>
        <v/>
      </c>
      <c r="M28" s="116" t="str">
        <f t="shared" ca="1" si="1"/>
        <v/>
      </c>
      <c r="O28" s="49" t="str">
        <f t="shared" ca="1" si="2"/>
        <v/>
      </c>
      <c r="P28" s="38" t="str">
        <f t="shared" ca="1" si="0"/>
        <v/>
      </c>
      <c r="Q28" s="8"/>
      <c r="R28" s="64"/>
      <c r="S28" s="41"/>
      <c r="T28" s="41"/>
      <c r="U28" s="41"/>
      <c r="V28" s="41"/>
      <c r="W28" s="41"/>
      <c r="X28" s="41"/>
      <c r="Y28" s="71"/>
      <c r="Z28" s="72"/>
      <c r="AA28" s="73"/>
      <c r="AB28" s="71"/>
      <c r="AC28" s="71"/>
    </row>
    <row r="29" spans="1:29" x14ac:dyDescent="0.25">
      <c r="A29" s="43">
        <v>6</v>
      </c>
      <c r="B29" s="87">
        <f ca="1">SUMIFS(Income!$Y$3:$Y$500, Income!$I$3:$I$500, "&gt;="&amp;DATE(YEAR(Dashboard!$AL$2), A29, 1), Income!$I$3:$I$500,"&lt;="&amp;EOMONTH(DATE(YEAR(Dashboard!$AL$2), A29, 1),0))</f>
        <v>0</v>
      </c>
      <c r="C29" s="87">
        <f ca="1">SUMIFS(H8:H506, D8:D506, "&gt;="&amp;EOMONTH(DATE(YEAR(Dashboard!$AL$2), A29, 1),-1),D8:D506,"&lt;="&amp;EOMONTH(DATE(YEAR(Dashboard!$AL$2), A29, 1),0))</f>
        <v>0</v>
      </c>
      <c r="D29" s="36" t="str" cm="1">
        <f t="array" aca="1" ref="D29" ca="1">IFERROR(IF(INDIRECT("'"&amp;F29&amp;"'!$C$5")&gt;0,DATE(YEAR(Dashboard!$AL$2),Dashboard!$AU$4,INDIRECT("'"&amp;F29&amp;"'!$C$5")),""),"")</f>
        <v/>
      </c>
      <c r="E29" s="50" t="str" cm="1">
        <f t="array" aca="1" ref="E29" ca="1">IF(G29="Credit Accounts",IFERROR(IF(INDIRECT("'"&amp;F29&amp;"'!$C$8")&gt;0,INDIRECT("'"&amp;F29&amp;"'!$F$2"),""),""),"")</f>
        <v/>
      </c>
      <c r="F29" s="37" t="str" cm="1">
        <f t="array" ref="F29">IFERROR(INDEX(Sheet_Names,K29),"")</f>
        <v/>
      </c>
      <c r="G29" s="38" t="str" cm="1">
        <f t="array" aca="1" ref="G29" ca="1">IF(F29="",
    "",
    IFERROR(
        IF(INDIRECT("'"&amp;F29&amp;"'!$B$2")="Credit Limit",
            "Credit Accounts",
            IF(INDIRECT("'"&amp;F29&amp;"'!$E$2")="Location",
                "Cash Accounts",
                IF(INDIRECT("'"&amp;F29&amp;"'!$B$2")="Amount",
                    "Investments",
                    "Bill Accounts"
                )
            )
        ),
    "")
)</f>
        <v/>
      </c>
      <c r="H29" s="46" t="str" cm="1">
        <f t="array" aca="1" ref="H29" ca="1">IF(F29&lt;&gt;"",INDIRECT("'"&amp;F29&amp;"'!$C$10"),"")</f>
        <v/>
      </c>
      <c r="I29" s="46" t="str" cm="1">
        <f t="array" aca="1" ref="I29" ca="1">IF(F29&lt;&gt;"",IF(OR(G29="Bill Accounts",G29="Investments", G29="Cash Accounts"),INDIRECT("'"&amp;F29&amp;"'!$C$10"),INDIRECT("'"&amp;F29&amp;"'!$C$8")),"")</f>
        <v/>
      </c>
      <c r="J29" s="46" t="str" cm="1">
        <f t="array" aca="1" ref="J29" ca="1">IF(F29&lt;&gt;"",ABS(INDIRECT("'"&amp;F29&amp;"'!$I$2")),"")</f>
        <v/>
      </c>
      <c r="K29" s="48">
        <f t="shared" si="3"/>
        <v>35</v>
      </c>
      <c r="L29" s="114" t="str" cm="1">
        <f t="array" aca="1" ref="L29" ca="1">IF(F29&lt;&gt;"",INDIRECT("'"&amp;F29&amp;"'!$F$17"),"")</f>
        <v/>
      </c>
      <c r="M29" s="116" t="str">
        <f t="shared" ca="1" si="1"/>
        <v/>
      </c>
      <c r="O29" s="49" t="str">
        <f t="shared" ca="1" si="2"/>
        <v/>
      </c>
      <c r="P29" s="38" t="str">
        <f t="shared" ca="1" si="0"/>
        <v/>
      </c>
      <c r="Q29" s="8"/>
      <c r="R29" s="64"/>
      <c r="S29" s="41"/>
      <c r="T29" s="41"/>
      <c r="U29" s="41"/>
      <c r="V29" s="41"/>
      <c r="W29" s="41"/>
      <c r="X29" s="41"/>
      <c r="Y29" s="71"/>
      <c r="Z29" s="72"/>
      <c r="AA29" s="73"/>
      <c r="AB29" s="71"/>
      <c r="AC29" s="71"/>
    </row>
    <row r="30" spans="1:29" x14ac:dyDescent="0.25">
      <c r="A30" s="43">
        <v>7</v>
      </c>
      <c r="B30" s="87">
        <f ca="1">SUMIFS(Income!$Y$3:$Y$500, Income!$I$3:$I$500, "&gt;="&amp;DATE(YEAR(Dashboard!$AL$2), A30, 1), Income!$I$3:$I$500,"&lt;="&amp;EOMONTH(DATE(YEAR(Dashboard!$AL$2), A30, 1),0))</f>
        <v>0</v>
      </c>
      <c r="C30" s="87">
        <f ca="1">SUMIFS(H9:H507, D9:D507, "&gt;="&amp;EOMONTH(DATE(YEAR(Dashboard!$AL$2), A30, 1),-1),D9:D507,"&lt;="&amp;EOMONTH(DATE(YEAR(Dashboard!$AL$2), A30, 1),0))</f>
        <v>0</v>
      </c>
      <c r="D30" s="36" t="str" cm="1">
        <f t="array" aca="1" ref="D30" ca="1">IFERROR(IF(INDIRECT("'"&amp;F30&amp;"'!$C$5")&gt;0,DATE(YEAR(Dashboard!$AL$2),Dashboard!$AU$4,INDIRECT("'"&amp;F30&amp;"'!$C$5")),""),"")</f>
        <v/>
      </c>
      <c r="E30" s="50" t="str" cm="1">
        <f t="array" aca="1" ref="E30" ca="1">IF(G30="Credit Accounts",IFERROR(IF(INDIRECT("'"&amp;F30&amp;"'!$C$8")&gt;0,INDIRECT("'"&amp;F30&amp;"'!$F$2"),""),""),"")</f>
        <v/>
      </c>
      <c r="F30" s="37" t="str" cm="1">
        <f t="array" ref="F30">IFERROR(INDEX(Sheet_Names,K30),"")</f>
        <v/>
      </c>
      <c r="G30" s="38" t="str" cm="1">
        <f t="array" aca="1" ref="G30" ca="1">IF(F30="",
    "",
    IFERROR(
        IF(INDIRECT("'"&amp;F30&amp;"'!$B$2")="Credit Limit",
            "Credit Accounts",
            IF(INDIRECT("'"&amp;F30&amp;"'!$E$2")="Location",
                "Cash Accounts",
                IF(INDIRECT("'"&amp;F30&amp;"'!$B$2")="Amount",
                    "Investments",
                    "Bill Accounts"
                )
            )
        ),
    "")
)</f>
        <v/>
      </c>
      <c r="H30" s="46" t="str" cm="1">
        <f t="array" aca="1" ref="H30" ca="1">IF(F30&lt;&gt;"",INDIRECT("'"&amp;F30&amp;"'!$C$10"),"")</f>
        <v/>
      </c>
      <c r="I30" s="46" t="str" cm="1">
        <f t="array" aca="1" ref="I30" ca="1">IF(F30&lt;&gt;"",IF(OR(G30="Bill Accounts",G30="Investments", G30="Cash Accounts"),INDIRECT("'"&amp;F30&amp;"'!$C$10"),INDIRECT("'"&amp;F30&amp;"'!$C$8")),"")</f>
        <v/>
      </c>
      <c r="J30" s="46" t="str" cm="1">
        <f t="array" aca="1" ref="J30" ca="1">IF(F30&lt;&gt;"",ABS(INDIRECT("'"&amp;F30&amp;"'!$I$2")),"")</f>
        <v/>
      </c>
      <c r="K30" s="48">
        <f t="shared" si="3"/>
        <v>36</v>
      </c>
      <c r="L30" s="114" t="str" cm="1">
        <f t="array" aca="1" ref="L30" ca="1">IF(F30&lt;&gt;"",INDIRECT("'"&amp;F30&amp;"'!$F$17"),"")</f>
        <v/>
      </c>
      <c r="M30" s="116" t="str">
        <f t="shared" ca="1" si="1"/>
        <v/>
      </c>
      <c r="O30" s="49" t="str">
        <f t="shared" ca="1" si="2"/>
        <v/>
      </c>
      <c r="P30" s="38" t="str">
        <f t="shared" ca="1" si="0"/>
        <v/>
      </c>
      <c r="Q30" s="8"/>
      <c r="R30" s="64"/>
      <c r="S30" s="41"/>
      <c r="T30" s="41"/>
      <c r="U30" s="41"/>
      <c r="V30" s="41"/>
      <c r="W30" s="41"/>
      <c r="X30" s="41"/>
      <c r="Y30" s="71"/>
      <c r="Z30" s="72"/>
      <c r="AA30" s="73"/>
      <c r="AB30" s="71"/>
      <c r="AC30" s="71"/>
    </row>
    <row r="31" spans="1:29" x14ac:dyDescent="0.25">
      <c r="A31" s="43">
        <v>8</v>
      </c>
      <c r="B31" s="87">
        <f ca="1">SUMIFS(Income!$Y$3:$Y$500, Income!$I$3:$I$500, "&gt;="&amp;DATE(YEAR(Dashboard!$AL$2), A31, 1), Income!$I$3:$I$500,"&lt;="&amp;EOMONTH(DATE(YEAR(Dashboard!$AL$2), A31, 1),0))</f>
        <v>0</v>
      </c>
      <c r="C31" s="87">
        <f ca="1">SUMIFS(H10:H508, D10:D508, "&gt;="&amp;EOMONTH(DATE(YEAR(Dashboard!$AL$2), A31, 1),-1),D10:D508,"&lt;="&amp;EOMONTH(DATE(YEAR(Dashboard!$AL$2), A31, 1),0))</f>
        <v>0</v>
      </c>
      <c r="D31" s="36" t="str" cm="1">
        <f t="array" aca="1" ref="D31" ca="1">IFERROR(IF(INDIRECT("'"&amp;F31&amp;"'!$C$5")&gt;0,DATE(YEAR(Dashboard!$AL$2),Dashboard!$AU$4,INDIRECT("'"&amp;F31&amp;"'!$C$5")),""),"")</f>
        <v/>
      </c>
      <c r="E31" s="50" t="str" cm="1">
        <f t="array" aca="1" ref="E31" ca="1">IF(G31="Credit Accounts",IFERROR(IF(INDIRECT("'"&amp;F31&amp;"'!$C$8")&gt;0,INDIRECT("'"&amp;F31&amp;"'!$F$2"),""),""),"")</f>
        <v/>
      </c>
      <c r="F31" s="37" t="str" cm="1">
        <f t="array" ref="F31">IFERROR(INDEX(Sheet_Names,K31),"")</f>
        <v/>
      </c>
      <c r="G31" s="38" t="str" cm="1">
        <f t="array" aca="1" ref="G31" ca="1">IF(F31="",
    "",
    IFERROR(
        IF(INDIRECT("'"&amp;F31&amp;"'!$B$2")="Credit Limit",
            "Credit Accounts",
            IF(INDIRECT("'"&amp;F31&amp;"'!$E$2")="Location",
                "Cash Accounts",
                IF(INDIRECT("'"&amp;F31&amp;"'!$B$2")="Amount",
                    "Investments",
                    "Bill Accounts"
                )
            )
        ),
    "")
)</f>
        <v/>
      </c>
      <c r="H31" s="46" t="str" cm="1">
        <f t="array" aca="1" ref="H31" ca="1">IF(F31&lt;&gt;"",INDIRECT("'"&amp;F31&amp;"'!$C$10"),"")</f>
        <v/>
      </c>
      <c r="I31" s="46" t="str" cm="1">
        <f t="array" aca="1" ref="I31" ca="1">IF(F31&lt;&gt;"",IF(OR(G31="Bill Accounts",G31="Investments", G31="Cash Accounts"),INDIRECT("'"&amp;F31&amp;"'!$C$10"),INDIRECT("'"&amp;F31&amp;"'!$C$8")),"")</f>
        <v/>
      </c>
      <c r="J31" s="46" t="str" cm="1">
        <f t="array" aca="1" ref="J31" ca="1">IF(F31&lt;&gt;"",ABS(INDIRECT("'"&amp;F31&amp;"'!$I$2")),"")</f>
        <v/>
      </c>
      <c r="K31" s="48">
        <f t="shared" si="3"/>
        <v>37</v>
      </c>
      <c r="L31" s="114" t="str" cm="1">
        <f t="array" aca="1" ref="L31" ca="1">IF(F31&lt;&gt;"",INDIRECT("'"&amp;F31&amp;"'!$F$17"),"")</f>
        <v/>
      </c>
      <c r="M31" s="116" t="str">
        <f t="shared" ca="1" si="1"/>
        <v/>
      </c>
      <c r="O31" s="49" t="str">
        <f t="shared" ca="1" si="2"/>
        <v/>
      </c>
      <c r="P31" s="38" t="str">
        <f t="shared" ca="1" si="0"/>
        <v/>
      </c>
      <c r="Q31" s="8"/>
      <c r="R31" s="64"/>
      <c r="S31" s="41"/>
      <c r="T31" s="41"/>
      <c r="U31" s="41"/>
      <c r="V31" s="41"/>
      <c r="W31" s="41"/>
      <c r="X31" s="41"/>
      <c r="Y31" s="71"/>
      <c r="Z31" s="72"/>
      <c r="AA31" s="73"/>
      <c r="AB31" s="71"/>
      <c r="AC31" s="71"/>
    </row>
    <row r="32" spans="1:29" x14ac:dyDescent="0.25">
      <c r="A32" s="43">
        <v>9</v>
      </c>
      <c r="B32" s="87">
        <f ca="1">SUMIFS(Income!$Y$3:$Y$500, Income!$I$3:$I$500, "&gt;="&amp;DATE(YEAR(Dashboard!$AL$2), A32, 1), Income!$I$3:$I$500,"&lt;="&amp;EOMONTH(DATE(YEAR(Dashboard!$AL$2), A32, 1),0))</f>
        <v>0</v>
      </c>
      <c r="C32" s="87">
        <f ca="1">SUMIFS(H11:H509, D11:D509, "&gt;="&amp;EOMONTH(DATE(YEAR(Dashboard!$AL$2), A32, 1),-1),D11:D509,"&lt;="&amp;EOMONTH(DATE(YEAR(Dashboard!$AL$2), A32, 1),0))</f>
        <v>0</v>
      </c>
      <c r="D32" s="36" t="str" cm="1">
        <f t="array" aca="1" ref="D32" ca="1">IFERROR(IF(INDIRECT("'"&amp;F32&amp;"'!$C$5")&gt;0,DATE(YEAR(Dashboard!$AL$2),Dashboard!$AU$4,INDIRECT("'"&amp;F32&amp;"'!$C$5")),""),"")</f>
        <v/>
      </c>
      <c r="E32" s="50" t="str" cm="1">
        <f t="array" aca="1" ref="E32" ca="1">IF(G32="Credit Accounts",IFERROR(IF(INDIRECT("'"&amp;F32&amp;"'!$C$8")&gt;0,INDIRECT("'"&amp;F32&amp;"'!$F$2"),""),""),"")</f>
        <v/>
      </c>
      <c r="F32" s="37" t="str" cm="1">
        <f t="array" ref="F32">IFERROR(INDEX(Sheet_Names,K32),"")</f>
        <v/>
      </c>
      <c r="G32" s="38" t="str" cm="1">
        <f t="array" aca="1" ref="G32" ca="1">IF(F32="",
    "",
    IFERROR(
        IF(INDIRECT("'"&amp;F32&amp;"'!$B$2")="Credit Limit",
            "Credit Accounts",
            IF(INDIRECT("'"&amp;F32&amp;"'!$E$2")="Location",
                "Cash Accounts",
                IF(INDIRECT("'"&amp;F32&amp;"'!$B$2")="Amount",
                    "Investments",
                    "Bill Accounts"
                )
            )
        ),
    "")
)</f>
        <v/>
      </c>
      <c r="H32" s="46" t="str" cm="1">
        <f t="array" aca="1" ref="H32" ca="1">IF(F32&lt;&gt;"",INDIRECT("'"&amp;F32&amp;"'!$C$10"),"")</f>
        <v/>
      </c>
      <c r="I32" s="46" t="str" cm="1">
        <f t="array" aca="1" ref="I32" ca="1">IF(F32&lt;&gt;"",IF(OR(G32="Bill Accounts",G32="Investments", G32="Cash Accounts"),INDIRECT("'"&amp;F32&amp;"'!$C$10"),INDIRECT("'"&amp;F32&amp;"'!$C$8")),"")</f>
        <v/>
      </c>
      <c r="J32" s="46" t="str" cm="1">
        <f t="array" aca="1" ref="J32" ca="1">IF(F32&lt;&gt;"",ABS(INDIRECT("'"&amp;F32&amp;"'!$I$2")),"")</f>
        <v/>
      </c>
      <c r="K32" s="48">
        <f t="shared" si="3"/>
        <v>38</v>
      </c>
      <c r="L32" s="114" t="str" cm="1">
        <f t="array" aca="1" ref="L32" ca="1">IF(F32&lt;&gt;"",INDIRECT("'"&amp;F32&amp;"'!$F$17"),"")</f>
        <v/>
      </c>
      <c r="M32" s="116" t="str">
        <f t="shared" ca="1" si="1"/>
        <v/>
      </c>
      <c r="O32" s="49" t="str">
        <f t="shared" ca="1" si="2"/>
        <v/>
      </c>
      <c r="P32" s="38" t="str">
        <f t="shared" ca="1" si="0"/>
        <v/>
      </c>
      <c r="Q32" s="8"/>
      <c r="R32" s="64"/>
      <c r="S32" s="41"/>
      <c r="T32" s="41"/>
      <c r="U32" s="41"/>
      <c r="V32" s="41"/>
      <c r="W32" s="41"/>
      <c r="X32" s="41"/>
      <c r="Y32" s="71"/>
      <c r="Z32" s="72"/>
      <c r="AA32" s="73"/>
      <c r="AB32" s="71"/>
      <c r="AC32" s="71"/>
    </row>
    <row r="33" spans="1:29" x14ac:dyDescent="0.25">
      <c r="A33" s="43">
        <v>10</v>
      </c>
      <c r="B33" s="87">
        <f ca="1">SUMIFS(Income!$Y$3:$Y$500, Income!$I$3:$I$500, "&gt;="&amp;DATE(YEAR(Dashboard!$AL$2), A33, 1), Income!$I$3:$I$500,"&lt;="&amp;EOMONTH(DATE(YEAR(Dashboard!$AL$2), A33, 1),0))</f>
        <v>0</v>
      </c>
      <c r="C33" s="87">
        <f ca="1">SUMIFS(H12:H510, D12:D510, "&gt;="&amp;EOMONTH(DATE(YEAR(Dashboard!$AL$2), A33, 1),-1),D12:D510,"&lt;="&amp;EOMONTH(DATE(YEAR(Dashboard!$AL$2), A33, 1),0))</f>
        <v>0</v>
      </c>
      <c r="D33" s="36" t="str" cm="1">
        <f t="array" aca="1" ref="D33" ca="1">IFERROR(IF(INDIRECT("'"&amp;F33&amp;"'!$C$5")&gt;0,DATE(YEAR(Dashboard!$AL$2),Dashboard!$AU$4,INDIRECT("'"&amp;F33&amp;"'!$C$5")),""),"")</f>
        <v/>
      </c>
      <c r="E33" s="50" t="str" cm="1">
        <f t="array" aca="1" ref="E33" ca="1">IF(G33="Credit Accounts",IFERROR(IF(INDIRECT("'"&amp;F33&amp;"'!$C$8")&gt;0,INDIRECT("'"&amp;F33&amp;"'!$F$2"),""),""),"")</f>
        <v/>
      </c>
      <c r="F33" s="37" t="str" cm="1">
        <f t="array" ref="F33">IFERROR(INDEX(Sheet_Names,K33),"")</f>
        <v/>
      </c>
      <c r="G33" s="38" t="str" cm="1">
        <f t="array" aca="1" ref="G33" ca="1">IF(F33="",
    "",
    IFERROR(
        IF(INDIRECT("'"&amp;F33&amp;"'!$B$2")="Credit Limit",
            "Credit Accounts",
            IF(INDIRECT("'"&amp;F33&amp;"'!$E$2")="Location",
                "Cash Accounts",
                IF(INDIRECT("'"&amp;F33&amp;"'!$B$2")="Amount",
                    "Investments",
                    "Bill Accounts"
                )
            )
        ),
    "")
)</f>
        <v/>
      </c>
      <c r="H33" s="46" t="str" cm="1">
        <f t="array" aca="1" ref="H33" ca="1">IF(F33&lt;&gt;"",INDIRECT("'"&amp;F33&amp;"'!$C$10"),"")</f>
        <v/>
      </c>
      <c r="I33" s="46" t="str" cm="1">
        <f t="array" aca="1" ref="I33" ca="1">IF(F33&lt;&gt;"",IF(OR(G33="Bill Accounts",G33="Investments", G33="Cash Accounts"),INDIRECT("'"&amp;F33&amp;"'!$C$10"),INDIRECT("'"&amp;F33&amp;"'!$C$8")),"")</f>
        <v/>
      </c>
      <c r="J33" s="46" t="str" cm="1">
        <f t="array" aca="1" ref="J33" ca="1">IF(F33&lt;&gt;"",ABS(INDIRECT("'"&amp;F33&amp;"'!$I$2")),"")</f>
        <v/>
      </c>
      <c r="K33" s="48">
        <f t="shared" si="3"/>
        <v>39</v>
      </c>
      <c r="L33" s="114" t="str" cm="1">
        <f t="array" aca="1" ref="L33" ca="1">IF(F33&lt;&gt;"",INDIRECT("'"&amp;F33&amp;"'!$F$17"),"")</f>
        <v/>
      </c>
      <c r="M33" s="116" t="str">
        <f t="shared" ca="1" si="1"/>
        <v/>
      </c>
      <c r="O33" s="49" t="str">
        <f t="shared" ca="1" si="2"/>
        <v/>
      </c>
      <c r="P33" s="38" t="str">
        <f t="shared" ca="1" si="0"/>
        <v/>
      </c>
      <c r="Q33" s="8"/>
      <c r="R33" s="64"/>
      <c r="S33" s="41"/>
      <c r="T33" s="41"/>
      <c r="U33" s="41"/>
      <c r="V33" s="41"/>
      <c r="W33" s="41"/>
      <c r="X33" s="41"/>
      <c r="Y33" s="71"/>
      <c r="Z33" s="72"/>
      <c r="AA33" s="73"/>
      <c r="AB33" s="71"/>
      <c r="AC33" s="71"/>
    </row>
    <row r="34" spans="1:29" x14ac:dyDescent="0.25">
      <c r="A34" s="43">
        <v>11</v>
      </c>
      <c r="B34" s="87">
        <f ca="1">SUMIFS(Income!$Y$3:$Y$500, Income!$I$3:$I$500, "&gt;="&amp;DATE(YEAR(Dashboard!$AL$2), A34, 1), Income!$I$3:$I$500,"&lt;="&amp;EOMONTH(DATE(YEAR(Dashboard!$AL$2), A34, 1),0))</f>
        <v>0</v>
      </c>
      <c r="C34" s="87">
        <f ca="1">SUMIFS(H13:H511, D13:D511, "&gt;="&amp;EOMONTH(DATE(YEAR(Dashboard!$AL$2), A34, 1),-1),D13:D511,"&lt;="&amp;EOMONTH(DATE(YEAR(Dashboard!$AL$2), A34, 1),0))</f>
        <v>0</v>
      </c>
      <c r="D34" s="36" t="str" cm="1">
        <f t="array" aca="1" ref="D34" ca="1">IFERROR(IF(INDIRECT("'"&amp;F34&amp;"'!$C$5")&gt;0,DATE(YEAR(Dashboard!$AL$2),Dashboard!$AU$4,INDIRECT("'"&amp;F34&amp;"'!$C$5")),""),"")</f>
        <v/>
      </c>
      <c r="E34" s="50" t="str" cm="1">
        <f t="array" aca="1" ref="E34" ca="1">IF(G34="Credit Accounts",IFERROR(IF(INDIRECT("'"&amp;F34&amp;"'!$C$8")&gt;0,INDIRECT("'"&amp;F34&amp;"'!$F$2"),""),""),"")</f>
        <v/>
      </c>
      <c r="F34" s="37" t="str" cm="1">
        <f t="array" ref="F34">IFERROR(INDEX(Sheet_Names,K34),"")</f>
        <v/>
      </c>
      <c r="G34" s="38" t="str" cm="1">
        <f t="array" aca="1" ref="G34" ca="1">IF(F34="",
    "",
    IFERROR(
        IF(INDIRECT("'"&amp;F34&amp;"'!$B$2")="Credit Limit",
            "Credit Accounts",
            IF(INDIRECT("'"&amp;F34&amp;"'!$E$2")="Location",
                "Cash Accounts",
                IF(INDIRECT("'"&amp;F34&amp;"'!$B$2")="Amount",
                    "Investments",
                    "Bill Accounts"
                )
            )
        ),
    "")
)</f>
        <v/>
      </c>
      <c r="H34" s="46" t="str" cm="1">
        <f t="array" aca="1" ref="H34" ca="1">IF(F34&lt;&gt;"",INDIRECT("'"&amp;F34&amp;"'!$C$10"),"")</f>
        <v/>
      </c>
      <c r="I34" s="46" t="str" cm="1">
        <f t="array" aca="1" ref="I34" ca="1">IF(F34&lt;&gt;"",IF(OR(G34="Bill Accounts",G34="Investments", G34="Cash Accounts"),INDIRECT("'"&amp;F34&amp;"'!$C$10"),INDIRECT("'"&amp;F34&amp;"'!$C$8")),"")</f>
        <v/>
      </c>
      <c r="J34" s="46" t="str" cm="1">
        <f t="array" aca="1" ref="J34" ca="1">IF(F34&lt;&gt;"",ABS(INDIRECT("'"&amp;F34&amp;"'!$I$2")),"")</f>
        <v/>
      </c>
      <c r="K34" s="48">
        <f t="shared" si="3"/>
        <v>40</v>
      </c>
      <c r="L34" s="114" t="str" cm="1">
        <f t="array" aca="1" ref="L34" ca="1">IF(F34&lt;&gt;"",INDIRECT("'"&amp;F34&amp;"'!$F$17"),"")</f>
        <v/>
      </c>
      <c r="M34" s="116" t="str">
        <f t="shared" ca="1" si="1"/>
        <v/>
      </c>
      <c r="O34" s="49" t="str">
        <f t="shared" ca="1" si="2"/>
        <v/>
      </c>
      <c r="P34" s="38" t="str">
        <f t="shared" ca="1" si="0"/>
        <v/>
      </c>
      <c r="Q34" s="8"/>
      <c r="R34" s="64"/>
      <c r="S34" s="41"/>
      <c r="T34" s="41"/>
      <c r="U34" s="41"/>
      <c r="V34" s="41"/>
      <c r="W34" s="41"/>
      <c r="X34" s="41"/>
      <c r="Y34" s="71"/>
      <c r="Z34" s="72"/>
      <c r="AA34" s="73"/>
      <c r="AB34" s="71"/>
      <c r="AC34" s="71"/>
    </row>
    <row r="35" spans="1:29" x14ac:dyDescent="0.25">
      <c r="A35" s="43">
        <v>12</v>
      </c>
      <c r="B35" s="87">
        <f ca="1">SUMIFS(Income!$Y$3:$Y$500, Income!$I$3:$I$500, "&gt;="&amp;DATE(YEAR(Dashboard!$AL$2), A35, 1), Income!$I$3:$I$500,"&lt;="&amp;EOMONTH(DATE(YEAR(Dashboard!$AL$2), A35, 1),0))</f>
        <v>0</v>
      </c>
      <c r="C35" s="87">
        <f ca="1">SUMIFS(H14:H512, D14:D512, "&gt;="&amp;EOMONTH(DATE(YEAR(Dashboard!$AL$2), A35, 1),-1),D14:D512,"&lt;="&amp;EOMONTH(DATE(YEAR(Dashboard!$AL$2), A35, 1),0))</f>
        <v>0</v>
      </c>
      <c r="D35" s="36" t="str" cm="1">
        <f t="array" aca="1" ref="D35" ca="1">IFERROR(IF(INDIRECT("'"&amp;F35&amp;"'!$C$5")&gt;0,DATE(YEAR(Dashboard!$AL$2),Dashboard!$AU$4,INDIRECT("'"&amp;F35&amp;"'!$C$5")),""),"")</f>
        <v/>
      </c>
      <c r="E35" s="50" t="str" cm="1">
        <f t="array" aca="1" ref="E35" ca="1">IF(G35="Credit Accounts",IFERROR(IF(INDIRECT("'"&amp;F35&amp;"'!$C$8")&gt;0,INDIRECT("'"&amp;F35&amp;"'!$F$2"),""),""),"")</f>
        <v/>
      </c>
      <c r="F35" s="37" t="str" cm="1">
        <f t="array" ref="F35">IFERROR(INDEX(Sheet_Names,K35),"")</f>
        <v/>
      </c>
      <c r="G35" s="38" t="str" cm="1">
        <f t="array" aca="1" ref="G35" ca="1">IF(F35="",
    "",
    IFERROR(
        IF(INDIRECT("'"&amp;F35&amp;"'!$B$2")="Credit Limit",
            "Credit Accounts",
            IF(INDIRECT("'"&amp;F35&amp;"'!$E$2")="Location",
                "Cash Accounts",
                IF(INDIRECT("'"&amp;F35&amp;"'!$B$2")="Amount",
                    "Investments",
                    "Bill Accounts"
                )
            )
        ),
    "")
)</f>
        <v/>
      </c>
      <c r="H35" s="46" t="str" cm="1">
        <f t="array" aca="1" ref="H35" ca="1">IF(F35&lt;&gt;"",INDIRECT("'"&amp;F35&amp;"'!$C$10"),"")</f>
        <v/>
      </c>
      <c r="I35" s="46" t="str" cm="1">
        <f t="array" aca="1" ref="I35" ca="1">IF(F35&lt;&gt;"",IF(OR(G35="Bill Accounts",G35="Investments", G35="Cash Accounts"),INDIRECT("'"&amp;F35&amp;"'!$C$10"),INDIRECT("'"&amp;F35&amp;"'!$C$8")),"")</f>
        <v/>
      </c>
      <c r="J35" s="46" t="str" cm="1">
        <f t="array" aca="1" ref="J35" ca="1">IF(F35&lt;&gt;"",ABS(INDIRECT("'"&amp;F35&amp;"'!$I$2")),"")</f>
        <v/>
      </c>
      <c r="K35" s="48">
        <f t="shared" si="3"/>
        <v>41</v>
      </c>
      <c r="L35" s="114" t="str" cm="1">
        <f t="array" aca="1" ref="L35" ca="1">IF(F35&lt;&gt;"",INDIRECT("'"&amp;F35&amp;"'!$F$17"),"")</f>
        <v/>
      </c>
      <c r="M35" s="116" t="str">
        <f t="shared" ca="1" si="1"/>
        <v/>
      </c>
      <c r="O35" s="49" t="str">
        <f t="shared" ca="1" si="2"/>
        <v/>
      </c>
      <c r="P35" s="38" t="str">
        <f t="shared" ca="1" si="0"/>
        <v/>
      </c>
      <c r="Q35" s="8"/>
      <c r="R35" s="64"/>
      <c r="S35" s="41"/>
      <c r="T35" s="41"/>
      <c r="U35" s="41"/>
      <c r="V35" s="41"/>
      <c r="W35" s="41"/>
      <c r="X35" s="41"/>
      <c r="Y35" s="71"/>
      <c r="Z35" s="72"/>
      <c r="AA35" s="71"/>
      <c r="AB35" s="71"/>
      <c r="AC35" s="71"/>
    </row>
    <row r="36" spans="1:29" x14ac:dyDescent="0.25">
      <c r="D36" s="36" t="str" cm="1">
        <f t="array" aca="1" ref="D36" ca="1">IFERROR(IF(INDIRECT("'"&amp;F36&amp;"'!$C$5")&gt;0,DATE(YEAR(Dashboard!$AL$2),Dashboard!$AU$4,INDIRECT("'"&amp;F36&amp;"'!$C$5")),""),"")</f>
        <v/>
      </c>
      <c r="E36" s="50" t="str" cm="1">
        <f t="array" aca="1" ref="E36" ca="1">IF(G36="Credit Accounts",IFERROR(IF(INDIRECT("'"&amp;F36&amp;"'!$C$8")&gt;0,INDIRECT("'"&amp;F36&amp;"'!$F$2"),""),""),"")</f>
        <v/>
      </c>
      <c r="F36" s="37" t="str" cm="1">
        <f t="array" ref="F36">IFERROR(INDEX(Sheet_Names,K36),"")</f>
        <v/>
      </c>
      <c r="G36" s="38" t="str" cm="1">
        <f t="array" aca="1" ref="G36" ca="1">IF(F36="",
    "",
    IFERROR(
        IF(INDIRECT("'"&amp;F36&amp;"'!$B$2")="Credit Limit",
            "Credit Accounts",
            IF(INDIRECT("'"&amp;F36&amp;"'!$E$2")="Location",
                "Cash Accounts",
                IF(INDIRECT("'"&amp;F36&amp;"'!$B$2")="Amount",
                    "Investments",
                    "Bill Accounts"
                )
            )
        ),
    "")
)</f>
        <v/>
      </c>
      <c r="H36" s="46" t="str" cm="1">
        <f t="array" aca="1" ref="H36" ca="1">IF(F36&lt;&gt;"",INDIRECT("'"&amp;F36&amp;"'!$C$10"),"")</f>
        <v/>
      </c>
      <c r="I36" s="46" t="str" cm="1">
        <f t="array" aca="1" ref="I36" ca="1">IF(F36&lt;&gt;"",IF(OR(G36="Bill Accounts",G36="Investments", G36="Cash Accounts"),INDIRECT("'"&amp;F36&amp;"'!$C$10"),INDIRECT("'"&amp;F36&amp;"'!$C$8")),"")</f>
        <v/>
      </c>
      <c r="J36" s="46" t="str" cm="1">
        <f t="array" aca="1" ref="J36" ca="1">IF(F36&lt;&gt;"",ABS(INDIRECT("'"&amp;F36&amp;"'!$I$2")),"")</f>
        <v/>
      </c>
      <c r="K36" s="48">
        <f t="shared" si="3"/>
        <v>42</v>
      </c>
      <c r="L36" s="114" t="str" cm="1">
        <f t="array" aca="1" ref="L36" ca="1">IF(F36&lt;&gt;"",INDIRECT("'"&amp;F36&amp;"'!$F$17"),"")</f>
        <v/>
      </c>
      <c r="M36" s="116" t="str">
        <f t="shared" ca="1" si="1"/>
        <v/>
      </c>
      <c r="O36" s="49" t="str">
        <f t="shared" ca="1" si="2"/>
        <v/>
      </c>
      <c r="P36" s="38" t="str">
        <f t="shared" ca="1" si="0"/>
        <v/>
      </c>
      <c r="Q36" s="8"/>
      <c r="R36" s="64"/>
      <c r="Z36" s="8"/>
    </row>
    <row r="37" spans="1:29" x14ac:dyDescent="0.25">
      <c r="B37" s="8"/>
      <c r="D37" s="36" t="str" cm="1">
        <f t="array" aca="1" ref="D37" ca="1">IFERROR(IF(INDIRECT("'"&amp;F37&amp;"'!$C$5")&gt;0,DATE(YEAR(Dashboard!$AL$2),Dashboard!$AU$4,INDIRECT("'"&amp;F37&amp;"'!$C$5")),""),"")</f>
        <v/>
      </c>
      <c r="E37" s="50" t="str" cm="1">
        <f t="array" aca="1" ref="E37" ca="1">IF(G37="Credit Accounts",IFERROR(IF(INDIRECT("'"&amp;F37&amp;"'!$C$8")&gt;0,INDIRECT("'"&amp;F37&amp;"'!$F$2"),""),""),"")</f>
        <v/>
      </c>
      <c r="F37" s="37" t="str" cm="1">
        <f t="array" ref="F37">IFERROR(INDEX(Sheet_Names,K37),"")</f>
        <v/>
      </c>
      <c r="G37" s="38" t="str" cm="1">
        <f t="array" aca="1" ref="G37" ca="1">IF(F37="",
    "",
    IFERROR(
        IF(INDIRECT("'"&amp;F37&amp;"'!$B$2")="Credit Limit",
            "Credit Accounts",
            IF(INDIRECT("'"&amp;F37&amp;"'!$E$2")="Location",
                "Cash Accounts",
                IF(INDIRECT("'"&amp;F37&amp;"'!$B$2")="Amount",
                    "Investments",
                    "Bill Accounts"
                )
            )
        ),
    "")
)</f>
        <v/>
      </c>
      <c r="H37" s="46" t="str" cm="1">
        <f t="array" aca="1" ref="H37" ca="1">IF(F37&lt;&gt;"",INDIRECT("'"&amp;F37&amp;"'!$C$10"),"")</f>
        <v/>
      </c>
      <c r="I37" s="46" t="str" cm="1">
        <f t="array" aca="1" ref="I37" ca="1">IF(F37&lt;&gt;"",IF(OR(G37="Bill Accounts",G37="Investments", G37="Cash Accounts"),INDIRECT("'"&amp;F37&amp;"'!$C$10"),INDIRECT("'"&amp;F37&amp;"'!$C$8")),"")</f>
        <v/>
      </c>
      <c r="J37" s="46" t="str" cm="1">
        <f t="array" aca="1" ref="J37" ca="1">IF(F37&lt;&gt;"",ABS(INDIRECT("'"&amp;F37&amp;"'!$I$2")),"")</f>
        <v/>
      </c>
      <c r="K37" s="48">
        <f t="shared" si="3"/>
        <v>43</v>
      </c>
      <c r="L37" s="114" t="str" cm="1">
        <f t="array" aca="1" ref="L37" ca="1">IF(F37&lt;&gt;"",INDIRECT("'"&amp;F37&amp;"'!$F$17"),"")</f>
        <v/>
      </c>
      <c r="M37" s="116" t="str">
        <f t="shared" ca="1" si="1"/>
        <v/>
      </c>
      <c r="O37" s="49" t="str">
        <f t="shared" ca="1" si="2"/>
        <v/>
      </c>
      <c r="P37" s="38" t="str">
        <f t="shared" ca="1" si="0"/>
        <v/>
      </c>
      <c r="Q37" s="8"/>
      <c r="R37" s="64"/>
      <c r="Z37" s="8"/>
    </row>
    <row r="38" spans="1:29" x14ac:dyDescent="0.25">
      <c r="D38" s="36" t="str" cm="1">
        <f t="array" aca="1" ref="D38" ca="1">IFERROR(IF(INDIRECT("'"&amp;F38&amp;"'!$C$5")&gt;0,DATE(YEAR(Dashboard!$AL$2),Dashboard!$AU$4,INDIRECT("'"&amp;F38&amp;"'!$C$5")),""),"")</f>
        <v/>
      </c>
      <c r="E38" s="50" t="str" cm="1">
        <f t="array" aca="1" ref="E38" ca="1">IF(G38="Credit Accounts",IFERROR(IF(INDIRECT("'"&amp;F38&amp;"'!$C$8")&gt;0,INDIRECT("'"&amp;F38&amp;"'!$F$2"),""),""),"")</f>
        <v/>
      </c>
      <c r="F38" s="37" t="str" cm="1">
        <f t="array" ref="F38">IFERROR(INDEX(Sheet_Names,K38),"")</f>
        <v/>
      </c>
      <c r="G38" s="38" t="str" cm="1">
        <f t="array" aca="1" ref="G38" ca="1">IF(F38="",
    "",
    IFERROR(
        IF(INDIRECT("'"&amp;F38&amp;"'!$B$2")="Credit Limit",
            "Credit Accounts",
            IF(INDIRECT("'"&amp;F38&amp;"'!$E$2")="Location",
                "Cash Accounts",
                IF(INDIRECT("'"&amp;F38&amp;"'!$B$2")="Amount",
                    "Investments",
                    "Bill Accounts"
                )
            )
        ),
    "")
)</f>
        <v/>
      </c>
      <c r="H38" s="46" t="str" cm="1">
        <f t="array" aca="1" ref="H38" ca="1">IF(F38&lt;&gt;"",INDIRECT("'"&amp;F38&amp;"'!$C$10"),"")</f>
        <v/>
      </c>
      <c r="I38" s="46" t="str" cm="1">
        <f t="array" aca="1" ref="I38" ca="1">IF(F38&lt;&gt;"",IF(OR(G38="Bill Accounts",G38="Investments", G38="Cash Accounts"),INDIRECT("'"&amp;F38&amp;"'!$C$10"),INDIRECT("'"&amp;F38&amp;"'!$C$8")),"")</f>
        <v/>
      </c>
      <c r="J38" s="46" t="str" cm="1">
        <f t="array" aca="1" ref="J38" ca="1">IF(F38&lt;&gt;"",ABS(INDIRECT("'"&amp;F38&amp;"'!$I$2")),"")</f>
        <v/>
      </c>
      <c r="K38" s="48">
        <f t="shared" si="3"/>
        <v>44</v>
      </c>
      <c r="L38" s="114" t="str" cm="1">
        <f t="array" aca="1" ref="L38" ca="1">IF(F38&lt;&gt;"",INDIRECT("'"&amp;F38&amp;"'!$F$17"),"")</f>
        <v/>
      </c>
      <c r="M38" s="116" t="str">
        <f t="shared" ca="1" si="1"/>
        <v/>
      </c>
      <c r="O38" s="49" t="str">
        <f t="shared" ca="1" si="2"/>
        <v/>
      </c>
      <c r="P38" s="38" t="str">
        <f t="shared" ca="1" si="0"/>
        <v/>
      </c>
      <c r="Q38" s="8"/>
      <c r="R38" s="64"/>
      <c r="Z38" s="8"/>
    </row>
    <row r="39" spans="1:29" x14ac:dyDescent="0.25">
      <c r="D39" s="36" t="str" cm="1">
        <f t="array" aca="1" ref="D39" ca="1">IFERROR(IF(INDIRECT("'"&amp;F39&amp;"'!$C$5")&gt;0,DATE(YEAR(Dashboard!$AL$2),Dashboard!$AU$4,INDIRECT("'"&amp;F39&amp;"'!$C$5")),""),"")</f>
        <v/>
      </c>
      <c r="E39" s="50" t="str" cm="1">
        <f t="array" aca="1" ref="E39" ca="1">IF(G39="Credit Accounts",IFERROR(IF(INDIRECT("'"&amp;F39&amp;"'!$C$8")&gt;0,INDIRECT("'"&amp;F39&amp;"'!$F$2"),""),""),"")</f>
        <v/>
      </c>
      <c r="F39" s="37" t="str" cm="1">
        <f t="array" ref="F39">IFERROR(INDEX(Sheet_Names,K39),"")</f>
        <v/>
      </c>
      <c r="G39" s="38" t="str" cm="1">
        <f t="array" aca="1" ref="G39" ca="1">IF(F39="",
    "",
    IFERROR(
        IF(INDIRECT("'"&amp;F39&amp;"'!$B$2")="Credit Limit",
            "Credit Accounts",
            IF(INDIRECT("'"&amp;F39&amp;"'!$E$2")="Location",
                "Cash Accounts",
                IF(INDIRECT("'"&amp;F39&amp;"'!$B$2")="Amount",
                    "Investments",
                    "Bill Accounts"
                )
            )
        ),
    "")
)</f>
        <v/>
      </c>
      <c r="H39" s="46" t="str" cm="1">
        <f t="array" aca="1" ref="H39" ca="1">IF(F39&lt;&gt;"",INDIRECT("'"&amp;F39&amp;"'!$C$10"),"")</f>
        <v/>
      </c>
      <c r="I39" s="46" t="str" cm="1">
        <f t="array" aca="1" ref="I39" ca="1">IF(F39&lt;&gt;"",IF(OR(G39="Bill Accounts",G39="Investments", G39="Cash Accounts"),INDIRECT("'"&amp;F39&amp;"'!$C$10"),INDIRECT("'"&amp;F39&amp;"'!$C$8")),"")</f>
        <v/>
      </c>
      <c r="J39" s="46" t="str" cm="1">
        <f t="array" aca="1" ref="J39" ca="1">IF(F39&lt;&gt;"",ABS(INDIRECT("'"&amp;F39&amp;"'!$I$2")),"")</f>
        <v/>
      </c>
      <c r="K39" s="48">
        <f t="shared" si="3"/>
        <v>45</v>
      </c>
      <c r="L39" s="114" t="str" cm="1">
        <f t="array" aca="1" ref="L39" ca="1">IF(F39&lt;&gt;"",INDIRECT("'"&amp;F39&amp;"'!$F$17"),"")</f>
        <v/>
      </c>
      <c r="M39" s="116" t="str">
        <f t="shared" ca="1" si="1"/>
        <v/>
      </c>
      <c r="O39" s="49" t="str">
        <f t="shared" ca="1" si="2"/>
        <v/>
      </c>
      <c r="P39" s="38" t="str">
        <f t="shared" ca="1" si="0"/>
        <v/>
      </c>
      <c r="Q39" s="8"/>
      <c r="R39" s="64"/>
      <c r="Z39" s="8"/>
    </row>
    <row r="40" spans="1:29" x14ac:dyDescent="0.25">
      <c r="D40" s="36" t="str" cm="1">
        <f t="array" aca="1" ref="D40" ca="1">IFERROR(IF(INDIRECT("'"&amp;F40&amp;"'!$C$5")&gt;0,DATE(YEAR(Dashboard!$AL$2),Dashboard!$AU$4,INDIRECT("'"&amp;F40&amp;"'!$C$5")),""),"")</f>
        <v/>
      </c>
      <c r="E40" s="50" t="str" cm="1">
        <f t="array" aca="1" ref="E40" ca="1">IF(G40="Credit Accounts",IFERROR(IF(INDIRECT("'"&amp;F40&amp;"'!$C$8")&gt;0,INDIRECT("'"&amp;F40&amp;"'!$F$2"),""),""),"")</f>
        <v/>
      </c>
      <c r="F40" s="37" t="str" cm="1">
        <f t="array" ref="F40">IFERROR(INDEX(Sheet_Names,K40),"")</f>
        <v/>
      </c>
      <c r="G40" s="38" t="str" cm="1">
        <f t="array" aca="1" ref="G40" ca="1">IF(F40="",
    "",
    IFERROR(
        IF(INDIRECT("'"&amp;F40&amp;"'!$B$2")="Credit Limit",
            "Credit Accounts",
            IF(INDIRECT("'"&amp;F40&amp;"'!$E$2")="Location",
                "Cash Accounts",
                IF(INDIRECT("'"&amp;F40&amp;"'!$B$2")="Amount",
                    "Investments",
                    "Bill Accounts"
                )
            )
        ),
    "")
)</f>
        <v/>
      </c>
      <c r="H40" s="46" t="str" cm="1">
        <f t="array" aca="1" ref="H40" ca="1">IF(F40&lt;&gt;"",INDIRECT("'"&amp;F40&amp;"'!$C$10"),"")</f>
        <v/>
      </c>
      <c r="I40" s="46" t="str" cm="1">
        <f t="array" aca="1" ref="I40" ca="1">IF(F40&lt;&gt;"",IF(OR(G40="Bill Accounts",G40="Investments", G40="Cash Accounts"),INDIRECT("'"&amp;F40&amp;"'!$C$10"),INDIRECT("'"&amp;F40&amp;"'!$C$8")),"")</f>
        <v/>
      </c>
      <c r="J40" s="46" t="str" cm="1">
        <f t="array" aca="1" ref="J40" ca="1">IF(F40&lt;&gt;"",ABS(INDIRECT("'"&amp;F40&amp;"'!$I$2")),"")</f>
        <v/>
      </c>
      <c r="K40" s="48">
        <f t="shared" si="3"/>
        <v>46</v>
      </c>
      <c r="L40" s="114" t="str" cm="1">
        <f t="array" aca="1" ref="L40" ca="1">IF(F40&lt;&gt;"",INDIRECT("'"&amp;F40&amp;"'!$F$17"),"")</f>
        <v/>
      </c>
      <c r="M40" s="116" t="str">
        <f t="shared" ca="1" si="1"/>
        <v/>
      </c>
      <c r="O40" s="49" t="str">
        <f t="shared" ca="1" si="2"/>
        <v/>
      </c>
      <c r="P40" s="38" t="str">
        <f t="shared" ca="1" si="0"/>
        <v/>
      </c>
      <c r="Q40" s="8"/>
      <c r="R40" s="64"/>
      <c r="Z40" s="8"/>
    </row>
    <row r="41" spans="1:29" x14ac:dyDescent="0.25">
      <c r="D41" s="36" t="str" cm="1">
        <f t="array" aca="1" ref="D41" ca="1">IFERROR(IF(INDIRECT("'"&amp;F41&amp;"'!$C$5")&gt;0,DATE(YEAR(Dashboard!$AL$2),Dashboard!$AU$4,INDIRECT("'"&amp;F41&amp;"'!$C$5")),""),"")</f>
        <v/>
      </c>
      <c r="E41" s="50" t="str" cm="1">
        <f t="array" aca="1" ref="E41" ca="1">IF(G41="Credit Accounts",IFERROR(IF(INDIRECT("'"&amp;F41&amp;"'!$C$8")&gt;0,INDIRECT("'"&amp;F41&amp;"'!$F$2"),""),""),"")</f>
        <v/>
      </c>
      <c r="F41" s="37" t="str" cm="1">
        <f t="array" ref="F41">IFERROR(INDEX(Sheet_Names,K41),"")</f>
        <v/>
      </c>
      <c r="G41" s="38" t="str" cm="1">
        <f t="array" aca="1" ref="G41" ca="1">IF(F41="",
    "",
    IFERROR(
        IF(INDIRECT("'"&amp;F41&amp;"'!$B$2")="Credit Limit",
            "Credit Accounts",
            IF(INDIRECT("'"&amp;F41&amp;"'!$E$2")="Location",
                "Cash Accounts",
                IF(INDIRECT("'"&amp;F41&amp;"'!$B$2")="Amount",
                    "Investments",
                    "Bill Accounts"
                )
            )
        ),
    "")
)</f>
        <v/>
      </c>
      <c r="H41" s="46" t="str" cm="1">
        <f t="array" aca="1" ref="H41" ca="1">IF(F41&lt;&gt;"",INDIRECT("'"&amp;F41&amp;"'!$C$10"),"")</f>
        <v/>
      </c>
      <c r="I41" s="46" t="str" cm="1">
        <f t="array" aca="1" ref="I41" ca="1">IF(F41&lt;&gt;"",IF(OR(G41="Bill Accounts",G41="Investments", G41="Cash Accounts"),INDIRECT("'"&amp;F41&amp;"'!$C$10"),INDIRECT("'"&amp;F41&amp;"'!$C$8")),"")</f>
        <v/>
      </c>
      <c r="J41" s="46" t="str" cm="1">
        <f t="array" aca="1" ref="J41" ca="1">IF(F41&lt;&gt;"",ABS(INDIRECT("'"&amp;F41&amp;"'!$I$2")),"")</f>
        <v/>
      </c>
      <c r="K41" s="48">
        <f t="shared" si="3"/>
        <v>47</v>
      </c>
      <c r="L41" s="114" t="str" cm="1">
        <f t="array" aca="1" ref="L41" ca="1">IF(F41&lt;&gt;"",INDIRECT("'"&amp;F41&amp;"'!$F$17"),"")</f>
        <v/>
      </c>
      <c r="M41" s="116" t="str">
        <f t="shared" ca="1" si="1"/>
        <v/>
      </c>
      <c r="O41" s="49" t="str">
        <f t="shared" ca="1" si="2"/>
        <v/>
      </c>
      <c r="P41" s="38" t="str">
        <f t="shared" ca="1" si="0"/>
        <v/>
      </c>
      <c r="Q41" s="8"/>
      <c r="R41" s="64"/>
      <c r="Z41" s="8"/>
    </row>
    <row r="42" spans="1:29" x14ac:dyDescent="0.25">
      <c r="D42" s="36" t="str" cm="1">
        <f t="array" aca="1" ref="D42" ca="1">IFERROR(IF(INDIRECT("'"&amp;F42&amp;"'!$C$5")&gt;0,DATE(YEAR(Dashboard!$AL$2),Dashboard!$AU$4,INDIRECT("'"&amp;F42&amp;"'!$C$5")),""),"")</f>
        <v/>
      </c>
      <c r="E42" s="50" t="str" cm="1">
        <f t="array" aca="1" ref="E42" ca="1">IF(G42="Credit Accounts",IFERROR(IF(INDIRECT("'"&amp;F42&amp;"'!$C$8")&gt;0,INDIRECT("'"&amp;F42&amp;"'!$F$2"),""),""),"")</f>
        <v/>
      </c>
      <c r="F42" s="37" t="str" cm="1">
        <f t="array" ref="F42">IFERROR(INDEX(Sheet_Names,K42),"")</f>
        <v/>
      </c>
      <c r="G42" s="38" t="str" cm="1">
        <f t="array" aca="1" ref="G42" ca="1">IF(F42="",
    "",
    IFERROR(
        IF(INDIRECT("'"&amp;F42&amp;"'!$B$2")="Credit Limit",
            "Credit Accounts",
            IF(INDIRECT("'"&amp;F42&amp;"'!$E$2")="Location",
                "Cash Accounts",
                IF(INDIRECT("'"&amp;F42&amp;"'!$B$2")="Amount",
                    "Investments",
                    "Bill Accounts"
                )
            )
        ),
    "")
)</f>
        <v/>
      </c>
      <c r="H42" s="46" t="str" cm="1">
        <f t="array" aca="1" ref="H42" ca="1">IF(F42&lt;&gt;"",INDIRECT("'"&amp;F42&amp;"'!$C$10"),"")</f>
        <v/>
      </c>
      <c r="I42" s="46" t="str" cm="1">
        <f t="array" aca="1" ref="I42" ca="1">IF(F42&lt;&gt;"",IF(OR(G42="Bill Accounts",G42="Investments", G42="Cash Accounts"),INDIRECT("'"&amp;F42&amp;"'!$C$10"),INDIRECT("'"&amp;F42&amp;"'!$C$8")),"")</f>
        <v/>
      </c>
      <c r="J42" s="46" t="str" cm="1">
        <f t="array" aca="1" ref="J42" ca="1">IF(F42&lt;&gt;"",ABS(INDIRECT("'"&amp;F42&amp;"'!$I$2")),"")</f>
        <v/>
      </c>
      <c r="K42" s="48">
        <f t="shared" si="3"/>
        <v>48</v>
      </c>
      <c r="L42" s="114" t="str" cm="1">
        <f t="array" aca="1" ref="L42" ca="1">IF(F42&lt;&gt;"",INDIRECT("'"&amp;F42&amp;"'!$F$17"),"")</f>
        <v/>
      </c>
      <c r="M42" s="116" t="str">
        <f t="shared" ca="1" si="1"/>
        <v/>
      </c>
      <c r="O42" s="49" t="str">
        <f t="shared" ca="1" si="2"/>
        <v/>
      </c>
      <c r="P42" s="38" t="str">
        <f t="shared" ca="1" si="0"/>
        <v/>
      </c>
      <c r="Q42" s="8"/>
      <c r="R42" s="64"/>
      <c r="Z42" s="8"/>
    </row>
    <row r="43" spans="1:29" x14ac:dyDescent="0.25">
      <c r="D43" s="36" t="str" cm="1">
        <f t="array" aca="1" ref="D43" ca="1">IFERROR(IF(INDIRECT("'"&amp;F43&amp;"'!$C$5")&gt;0,DATE(YEAR(Dashboard!$AL$2),Dashboard!$AU$4,INDIRECT("'"&amp;F43&amp;"'!$C$5")),""),"")</f>
        <v/>
      </c>
      <c r="E43" s="50" t="str" cm="1">
        <f t="array" aca="1" ref="E43" ca="1">IF(G43="Credit Accounts",IFERROR(IF(INDIRECT("'"&amp;F43&amp;"'!$C$8")&gt;0,INDIRECT("'"&amp;F43&amp;"'!$F$2"),""),""),"")</f>
        <v/>
      </c>
      <c r="F43" s="37" t="str" cm="1">
        <f t="array" ref="F43">IFERROR(INDEX(Sheet_Names,K43),"")</f>
        <v/>
      </c>
      <c r="G43" s="38" t="str" cm="1">
        <f t="array" aca="1" ref="G43" ca="1">IF(F43="",
    "",
    IFERROR(
        IF(INDIRECT("'"&amp;F43&amp;"'!$B$2")="Credit Limit",
            "Credit Accounts",
            IF(INDIRECT("'"&amp;F43&amp;"'!$E$2")="Location",
                "Cash Accounts",
                IF(INDIRECT("'"&amp;F43&amp;"'!$B$2")="Amount",
                    "Investments",
                    "Bill Accounts"
                )
            )
        ),
    "")
)</f>
        <v/>
      </c>
      <c r="H43" s="46" t="str" cm="1">
        <f t="array" aca="1" ref="H43" ca="1">IF(F43&lt;&gt;"",INDIRECT("'"&amp;F43&amp;"'!$C$10"),"")</f>
        <v/>
      </c>
      <c r="I43" s="46" t="str" cm="1">
        <f t="array" aca="1" ref="I43" ca="1">IF(F43&lt;&gt;"",IF(OR(G43="Bill Accounts",G43="Investments", G43="Cash Accounts"),INDIRECT("'"&amp;F43&amp;"'!$C$10"),INDIRECT("'"&amp;F43&amp;"'!$C$8")),"")</f>
        <v/>
      </c>
      <c r="J43" s="46" t="str" cm="1">
        <f t="array" aca="1" ref="J43" ca="1">IF(F43&lt;&gt;"",ABS(INDIRECT("'"&amp;F43&amp;"'!$I$2")),"")</f>
        <v/>
      </c>
      <c r="K43" s="48">
        <f t="shared" si="3"/>
        <v>49</v>
      </c>
      <c r="L43" s="114" t="str" cm="1">
        <f t="array" aca="1" ref="L43" ca="1">IF(F43&lt;&gt;"",INDIRECT("'"&amp;F43&amp;"'!$F$17"),"")</f>
        <v/>
      </c>
      <c r="M43" s="116" t="str">
        <f t="shared" ca="1" si="1"/>
        <v/>
      </c>
      <c r="O43" s="49" t="str">
        <f t="shared" ca="1" si="2"/>
        <v/>
      </c>
      <c r="P43" s="38" t="str">
        <f t="shared" ca="1" si="0"/>
        <v/>
      </c>
      <c r="Q43" s="8"/>
      <c r="R43" s="64"/>
      <c r="Z43" s="8"/>
    </row>
    <row r="44" spans="1:29" x14ac:dyDescent="0.25">
      <c r="D44" s="36" t="str" cm="1">
        <f t="array" aca="1" ref="D44" ca="1">IFERROR(IF(INDIRECT("'"&amp;F44&amp;"'!$C$5")&gt;0,DATE(YEAR(Dashboard!$AL$2),Dashboard!$AU$4,INDIRECT("'"&amp;F44&amp;"'!$C$5")),""),"")</f>
        <v/>
      </c>
      <c r="E44" s="50" t="str" cm="1">
        <f t="array" aca="1" ref="E44" ca="1">IF(G44="Credit Accounts",IFERROR(IF(INDIRECT("'"&amp;F44&amp;"'!$C$8")&gt;0,INDIRECT("'"&amp;F44&amp;"'!$F$2"),""),""),"")</f>
        <v/>
      </c>
      <c r="F44" s="37" t="str" cm="1">
        <f t="array" ref="F44">IFERROR(INDEX(Sheet_Names,K44),"")</f>
        <v/>
      </c>
      <c r="G44" s="38" t="str" cm="1">
        <f t="array" aca="1" ref="G44" ca="1">IF(F44="",
    "",
    IFERROR(
        IF(INDIRECT("'"&amp;F44&amp;"'!$B$2")="Credit Limit",
            "Credit Accounts",
            IF(INDIRECT("'"&amp;F44&amp;"'!$E$2")="Location",
                "Cash Accounts",
                IF(INDIRECT("'"&amp;F44&amp;"'!$B$2")="Amount",
                    "Investments",
                    "Bill Accounts"
                )
            )
        ),
    "")
)</f>
        <v/>
      </c>
      <c r="H44" s="46" t="str" cm="1">
        <f t="array" aca="1" ref="H44" ca="1">IF(F44&lt;&gt;"",INDIRECT("'"&amp;F44&amp;"'!$C$10"),"")</f>
        <v/>
      </c>
      <c r="I44" s="46" t="str" cm="1">
        <f t="array" aca="1" ref="I44" ca="1">IF(F44&lt;&gt;"",IF(OR(G44="Bill Accounts",G44="Investments", G44="Cash Accounts"),INDIRECT("'"&amp;F44&amp;"'!$C$10"),INDIRECT("'"&amp;F44&amp;"'!$C$8")),"")</f>
        <v/>
      </c>
      <c r="J44" s="46" t="str" cm="1">
        <f t="array" aca="1" ref="J44" ca="1">IF(F44&lt;&gt;"",ABS(INDIRECT("'"&amp;F44&amp;"'!$I$2")),"")</f>
        <v/>
      </c>
      <c r="K44" s="48">
        <f t="shared" si="3"/>
        <v>50</v>
      </c>
      <c r="L44" s="114" t="str" cm="1">
        <f t="array" aca="1" ref="L44" ca="1">IF(F44&lt;&gt;"",INDIRECT("'"&amp;F44&amp;"'!$F$17"),"")</f>
        <v/>
      </c>
      <c r="M44" s="116" t="str">
        <f t="shared" ca="1" si="1"/>
        <v/>
      </c>
      <c r="O44" s="49" t="str">
        <f t="shared" ca="1" si="2"/>
        <v/>
      </c>
      <c r="P44" s="38" t="str">
        <f t="shared" ca="1" si="0"/>
        <v/>
      </c>
      <c r="Q44" s="8"/>
      <c r="R44" s="64"/>
      <c r="Z44" s="8"/>
    </row>
    <row r="45" spans="1:29" x14ac:dyDescent="0.25">
      <c r="D45" s="36" t="str" cm="1">
        <f t="array" aca="1" ref="D45" ca="1">IFERROR(IF(INDIRECT("'"&amp;F45&amp;"'!$C$5")&gt;0,DATE(YEAR(Dashboard!$AL$2),Dashboard!$AU$4,INDIRECT("'"&amp;F45&amp;"'!$C$5")),""),"")</f>
        <v/>
      </c>
      <c r="E45" s="50" t="str" cm="1">
        <f t="array" aca="1" ref="E45" ca="1">IF(G45="Credit Accounts",IFERROR(IF(INDIRECT("'"&amp;F45&amp;"'!$C$8")&gt;0,INDIRECT("'"&amp;F45&amp;"'!$F$2"),""),""),"")</f>
        <v/>
      </c>
      <c r="F45" s="37" t="str" cm="1">
        <f t="array" ref="F45">IFERROR(INDEX(Sheet_Names,K45),"")</f>
        <v/>
      </c>
      <c r="G45" s="38" t="str" cm="1">
        <f t="array" aca="1" ref="G45" ca="1">IF(F45="",
    "",
    IFERROR(
        IF(INDIRECT("'"&amp;F45&amp;"'!$B$2")="Credit Limit",
            "Credit Accounts",
            IF(INDIRECT("'"&amp;F45&amp;"'!$E$2")="Location",
                "Cash Accounts",
                IF(INDIRECT("'"&amp;F45&amp;"'!$B$2")="Amount",
                    "Investments",
                    "Bill Accounts"
                )
            )
        ),
    "")
)</f>
        <v/>
      </c>
      <c r="H45" s="46" t="str" cm="1">
        <f t="array" aca="1" ref="H45" ca="1">IF(F45&lt;&gt;"",INDIRECT("'"&amp;F45&amp;"'!$C$10"),"")</f>
        <v/>
      </c>
      <c r="I45" s="46" t="str" cm="1">
        <f t="array" aca="1" ref="I45" ca="1">IF(F45&lt;&gt;"",IF(OR(G45="Bill Accounts",G45="Investments", G45="Cash Accounts"),INDIRECT("'"&amp;F45&amp;"'!$C$10"),INDIRECT("'"&amp;F45&amp;"'!$C$8")),"")</f>
        <v/>
      </c>
      <c r="J45" s="46" t="str" cm="1">
        <f t="array" aca="1" ref="J45" ca="1">IF(F45&lt;&gt;"",ABS(INDIRECT("'"&amp;F45&amp;"'!$I$2")),"")</f>
        <v/>
      </c>
      <c r="K45" s="48">
        <f t="shared" si="3"/>
        <v>51</v>
      </c>
      <c r="L45" s="114" t="str" cm="1">
        <f t="array" aca="1" ref="L45" ca="1">IF(F45&lt;&gt;"",INDIRECT("'"&amp;F45&amp;"'!$F$17"),"")</f>
        <v/>
      </c>
      <c r="M45" s="116" t="str">
        <f t="shared" ca="1" si="1"/>
        <v/>
      </c>
      <c r="O45" s="49" t="str">
        <f t="shared" ca="1" si="2"/>
        <v/>
      </c>
      <c r="P45" s="38" t="str">
        <f t="shared" ca="1" si="0"/>
        <v/>
      </c>
      <c r="Q45" s="8"/>
      <c r="R45" s="64"/>
      <c r="Z45" s="8"/>
    </row>
    <row r="46" spans="1:29" x14ac:dyDescent="0.25">
      <c r="D46" s="36" t="str" cm="1">
        <f t="array" aca="1" ref="D46" ca="1">IFERROR(IF(INDIRECT("'"&amp;F46&amp;"'!$C$5")&gt;0,DATE(YEAR(Dashboard!$AL$2),Dashboard!$AU$4,INDIRECT("'"&amp;F46&amp;"'!$C$5")),""),"")</f>
        <v/>
      </c>
      <c r="E46" s="50" t="str" cm="1">
        <f t="array" aca="1" ref="E46" ca="1">IF(G46="Credit Accounts",IFERROR(IF(INDIRECT("'"&amp;F46&amp;"'!$C$8")&gt;0,INDIRECT("'"&amp;F46&amp;"'!$F$2"),""),""),"")</f>
        <v/>
      </c>
      <c r="F46" s="37" t="str" cm="1">
        <f t="array" ref="F46">IFERROR(INDEX(Sheet_Names,K46),"")</f>
        <v/>
      </c>
      <c r="G46" s="38" t="str" cm="1">
        <f t="array" aca="1" ref="G46" ca="1">IF(F46="",
    "",
    IFERROR(
        IF(INDIRECT("'"&amp;F46&amp;"'!$B$2")="Credit Limit",
            "Credit Accounts",
            IF(INDIRECT("'"&amp;F46&amp;"'!$E$2")="Location",
                "Cash Accounts",
                IF(INDIRECT("'"&amp;F46&amp;"'!$B$2")="Amount",
                    "Investments",
                    "Bill Accounts"
                )
            )
        ),
    "")
)</f>
        <v/>
      </c>
      <c r="H46" s="46" t="str" cm="1">
        <f t="array" aca="1" ref="H46" ca="1">IF(F46&lt;&gt;"",INDIRECT("'"&amp;F46&amp;"'!$C$10"),"")</f>
        <v/>
      </c>
      <c r="I46" s="46" t="str" cm="1">
        <f t="array" aca="1" ref="I46" ca="1">IF(F46&lt;&gt;"",IF(OR(G46="Bill Accounts",G46="Investments", G46="Cash Accounts"),INDIRECT("'"&amp;F46&amp;"'!$C$10"),INDIRECT("'"&amp;F46&amp;"'!$C$8")),"")</f>
        <v/>
      </c>
      <c r="J46" s="46" t="str" cm="1">
        <f t="array" aca="1" ref="J46" ca="1">IF(F46&lt;&gt;"",ABS(INDIRECT("'"&amp;F46&amp;"'!$I$2")),"")</f>
        <v/>
      </c>
      <c r="K46" s="48">
        <f t="shared" si="3"/>
        <v>52</v>
      </c>
      <c r="L46" s="114" t="str" cm="1">
        <f t="array" aca="1" ref="L46" ca="1">IF(F46&lt;&gt;"",INDIRECT("'"&amp;F46&amp;"'!$F$17"),"")</f>
        <v/>
      </c>
      <c r="M46" s="116" t="str">
        <f t="shared" ca="1" si="1"/>
        <v/>
      </c>
      <c r="O46" s="49" t="str">
        <f t="shared" ca="1" si="2"/>
        <v/>
      </c>
      <c r="P46" s="38" t="str">
        <f ca="1">IF(E46&lt;&gt;"",RANK(E46,$E$3:$E$2298)+COUNTIF($E$3:E46,E46)-1,"")</f>
        <v/>
      </c>
      <c r="Q46" s="8"/>
      <c r="R46" s="64"/>
      <c r="Z46" s="8"/>
    </row>
    <row r="47" spans="1:29" x14ac:dyDescent="0.25">
      <c r="D47" s="36" t="str" cm="1">
        <f t="array" aca="1" ref="D47" ca="1">IFERROR(IF(INDIRECT("'"&amp;F47&amp;"'!$C$5")&gt;0,DATE(YEAR(Dashboard!$AL$2),Dashboard!$AU$4,INDIRECT("'"&amp;F47&amp;"'!$C$5")),""),"")</f>
        <v/>
      </c>
      <c r="E47" s="50" t="str" cm="1">
        <f t="array" aca="1" ref="E47" ca="1">IF(G47="Credit Accounts",IFERROR(IF(INDIRECT("'"&amp;F47&amp;"'!$C$8")&gt;0,INDIRECT("'"&amp;F47&amp;"'!$F$2"),""),""),"")</f>
        <v/>
      </c>
      <c r="F47" s="37" t="str" cm="1">
        <f t="array" ref="F47">IFERROR(INDEX(Sheet_Names,K47),"")</f>
        <v/>
      </c>
      <c r="G47" s="38" t="str" cm="1">
        <f t="array" aca="1" ref="G47" ca="1">IF(F47="",
    "",
    IFERROR(
        IF(INDIRECT("'"&amp;F47&amp;"'!$B$2")="Credit Limit",
            "Credit Accounts",
            IF(INDIRECT("'"&amp;F47&amp;"'!$E$2")="Location",
                "Cash Accounts",
                IF(INDIRECT("'"&amp;F47&amp;"'!$B$2")="Amount",
                    "Investments",
                    "Bill Accounts"
                )
            )
        ),
    "")
)</f>
        <v/>
      </c>
      <c r="H47" s="46" t="str" cm="1">
        <f t="array" aca="1" ref="H47" ca="1">IF(F47&lt;&gt;"",INDIRECT("'"&amp;F47&amp;"'!$C$10"),"")</f>
        <v/>
      </c>
      <c r="I47" s="46" t="str" cm="1">
        <f t="array" aca="1" ref="I47" ca="1">IF(F47&lt;&gt;"",IF(OR(G47="Bill Accounts",G47="Investments", G47="Cash Accounts"),INDIRECT("'"&amp;F47&amp;"'!$C$10"),INDIRECT("'"&amp;F47&amp;"'!$C$8")),"")</f>
        <v/>
      </c>
      <c r="J47" s="46" t="str" cm="1">
        <f t="array" aca="1" ref="J47" ca="1">IF(F47&lt;&gt;"",ABS(INDIRECT("'"&amp;F47&amp;"'!$I$2")),"")</f>
        <v/>
      </c>
      <c r="K47" s="48">
        <f t="shared" si="3"/>
        <v>53</v>
      </c>
      <c r="L47" s="114" t="str" cm="1">
        <f t="array" aca="1" ref="L47" ca="1">IF(F47&lt;&gt;"",INDIRECT("'"&amp;F47&amp;"'!$F$17"),"")</f>
        <v/>
      </c>
      <c r="M47" s="116" t="str">
        <f t="shared" ca="1" si="1"/>
        <v/>
      </c>
      <c r="O47" s="49" t="str">
        <f t="shared" ca="1" si="2"/>
        <v/>
      </c>
      <c r="P47" s="38" t="str">
        <f ca="1">IF(E47&lt;&gt;"",RANK(E47,$E$3:$E$2298)+COUNTIF($E$3:E47,E47)-1,"")</f>
        <v/>
      </c>
      <c r="Q47" s="8"/>
      <c r="R47" s="64"/>
      <c r="Z47" s="8"/>
    </row>
    <row r="48" spans="1:29" x14ac:dyDescent="0.25">
      <c r="D48" s="36" t="str" cm="1">
        <f t="array" aca="1" ref="D48" ca="1">IFERROR(IF(INDIRECT("'"&amp;F48&amp;"'!$C$5")&gt;0,DATE(YEAR(Dashboard!$AL$2),Dashboard!$AU$4,INDIRECT("'"&amp;F48&amp;"'!$C$5")),""),"")</f>
        <v/>
      </c>
      <c r="E48" s="50" t="str" cm="1">
        <f t="array" aca="1" ref="E48" ca="1">IF(G48="Credit Accounts",IFERROR(IF(INDIRECT("'"&amp;F48&amp;"'!$C$8")&gt;0,INDIRECT("'"&amp;F48&amp;"'!$F$2"),""),""),"")</f>
        <v/>
      </c>
      <c r="F48" s="37" t="str" cm="1">
        <f t="array" ref="F48">IFERROR(INDEX(Sheet_Names,K48),"")</f>
        <v/>
      </c>
      <c r="G48" s="38" t="str" cm="1">
        <f t="array" aca="1" ref="G48" ca="1">IF(F48="",
    "",
    IFERROR(
        IF(INDIRECT("'"&amp;F48&amp;"'!$B$2")="Credit Limit",
            "Credit Accounts",
            IF(INDIRECT("'"&amp;F48&amp;"'!$E$2")="Location",
                "Cash Accounts",
                IF(INDIRECT("'"&amp;F48&amp;"'!$B$2")="Amount",
                    "Investments",
                    "Bill Accounts"
                )
            )
        ),
    "")
)</f>
        <v/>
      </c>
      <c r="H48" s="46" t="str" cm="1">
        <f t="array" aca="1" ref="H48" ca="1">IF(F48&lt;&gt;"",INDIRECT("'"&amp;F48&amp;"'!$C$10"),"")</f>
        <v/>
      </c>
      <c r="I48" s="46" t="str" cm="1">
        <f t="array" aca="1" ref="I48" ca="1">IF(F48&lt;&gt;"",IF(OR(G48="Bill Accounts",G48="Investments", G48="Cash Accounts"),INDIRECT("'"&amp;F48&amp;"'!$C$10"),INDIRECT("'"&amp;F48&amp;"'!$C$8")),"")</f>
        <v/>
      </c>
      <c r="J48" s="46" t="str" cm="1">
        <f t="array" aca="1" ref="J48" ca="1">IF(F48&lt;&gt;"",ABS(INDIRECT("'"&amp;F48&amp;"'!$I$2")),"")</f>
        <v/>
      </c>
      <c r="K48" s="48">
        <f t="shared" si="3"/>
        <v>54</v>
      </c>
      <c r="L48" s="114" t="str" cm="1">
        <f t="array" aca="1" ref="L48" ca="1">IF(F48&lt;&gt;"",INDIRECT("'"&amp;F48&amp;"'!$F$17"),"")</f>
        <v/>
      </c>
      <c r="M48" s="116" t="str">
        <f t="shared" ca="1" si="1"/>
        <v/>
      </c>
      <c r="O48" s="49" t="str">
        <f t="shared" ca="1" si="2"/>
        <v/>
      </c>
      <c r="P48" s="38" t="str">
        <f ca="1">IF(E48&lt;&gt;"",RANK(E48,$E$3:$E$2298)+COUNTIF($E$3:E48,E48)-1,"")</f>
        <v/>
      </c>
      <c r="Q48" s="8"/>
      <c r="R48" s="64"/>
      <c r="Z48" s="8"/>
    </row>
    <row r="49" spans="4:26" x14ac:dyDescent="0.25">
      <c r="D49" s="36" t="str" cm="1">
        <f t="array" aca="1" ref="D49" ca="1">IFERROR(IF(INDIRECT("'"&amp;F49&amp;"'!$C$5")&gt;0,DATE(YEAR(Dashboard!$AL$2),Dashboard!$AU$4,INDIRECT("'"&amp;F49&amp;"'!$C$5")),""),"")</f>
        <v/>
      </c>
      <c r="E49" s="50" t="str" cm="1">
        <f t="array" aca="1" ref="E49" ca="1">IF(G49="Credit Accounts",IFERROR(IF(INDIRECT("'"&amp;F49&amp;"'!$C$8")&gt;0,INDIRECT("'"&amp;F49&amp;"'!$F$2"),""),""),"")</f>
        <v/>
      </c>
      <c r="F49" s="37" t="str" cm="1">
        <f t="array" ref="F49">IFERROR(INDEX(Sheet_Names,K49),"")</f>
        <v/>
      </c>
      <c r="G49" s="38" t="str" cm="1">
        <f t="array" aca="1" ref="G49" ca="1">IF(F49="",
    "",
    IFERROR(
        IF(INDIRECT("'"&amp;F49&amp;"'!$B$2")="Credit Limit",
            "Credit Accounts",
            IF(INDIRECT("'"&amp;F49&amp;"'!$E$2")="Location",
                "Cash Accounts",
                IF(INDIRECT("'"&amp;F49&amp;"'!$B$2")="Amount",
                    "Investments",
                    "Bill Accounts"
                )
            )
        ),
    "")
)</f>
        <v/>
      </c>
      <c r="H49" s="46" t="str" cm="1">
        <f t="array" aca="1" ref="H49" ca="1">IF(F49&lt;&gt;"",INDIRECT("'"&amp;F49&amp;"'!$C$10"),"")</f>
        <v/>
      </c>
      <c r="I49" s="46" t="str" cm="1">
        <f t="array" aca="1" ref="I49" ca="1">IF(F49&lt;&gt;"",IF(OR(G49="Bill Accounts",G49="Investments", G49="Cash Accounts"),INDIRECT("'"&amp;F49&amp;"'!$C$10"),INDIRECT("'"&amp;F49&amp;"'!$C$8")),"")</f>
        <v/>
      </c>
      <c r="J49" s="46" t="str" cm="1">
        <f t="array" aca="1" ref="J49" ca="1">IF(F49&lt;&gt;"",ABS(INDIRECT("'"&amp;F49&amp;"'!$I$2")),"")</f>
        <v/>
      </c>
      <c r="K49" s="48">
        <f t="shared" si="3"/>
        <v>55</v>
      </c>
      <c r="L49" s="114" t="str" cm="1">
        <f t="array" aca="1" ref="L49" ca="1">IF(F49&lt;&gt;"",INDIRECT("'"&amp;F49&amp;"'!$F$17"),"")</f>
        <v/>
      </c>
      <c r="M49" s="116" t="str">
        <f t="shared" ca="1" si="1"/>
        <v/>
      </c>
      <c r="O49" s="49" t="str">
        <f t="shared" ca="1" si="2"/>
        <v/>
      </c>
      <c r="P49" s="38" t="str">
        <f ca="1">IF(E49&lt;&gt;"",RANK(E49,$E$3:$E$2298)+COUNTIF($E$3:E49,E49)-1,"")</f>
        <v/>
      </c>
      <c r="Q49" s="8"/>
      <c r="R49" s="64"/>
      <c r="Z49" s="8"/>
    </row>
    <row r="50" spans="4:26" x14ac:dyDescent="0.25">
      <c r="D50" s="36" t="str" cm="1">
        <f t="array" aca="1" ref="D50" ca="1">IFERROR(IF(INDIRECT("'"&amp;F50&amp;"'!$C$5")&gt;0,DATE(YEAR(Dashboard!$AL$2),Dashboard!$AU$4,INDIRECT("'"&amp;F50&amp;"'!$C$5")),""),"")</f>
        <v/>
      </c>
      <c r="E50" s="50" t="str" cm="1">
        <f t="array" aca="1" ref="E50" ca="1">IF(G50="Credit Accounts",IFERROR(IF(INDIRECT("'"&amp;F50&amp;"'!$C$8")&gt;0,INDIRECT("'"&amp;F50&amp;"'!$F$2"),""),""),"")</f>
        <v/>
      </c>
      <c r="F50" s="37" t="str" cm="1">
        <f t="array" ref="F50">IFERROR(INDEX(Sheet_Names,K50),"")</f>
        <v/>
      </c>
      <c r="G50" s="38" t="str" cm="1">
        <f t="array" aca="1" ref="G50" ca="1">IF(F50="",
    "",
    IFERROR(
        IF(INDIRECT("'"&amp;F50&amp;"'!$B$2")="Credit Limit",
            "Credit Accounts",
            IF(INDIRECT("'"&amp;F50&amp;"'!$E$2")="Location",
                "Cash Accounts",
                IF(INDIRECT("'"&amp;F50&amp;"'!$B$2")="Amount",
                    "Investments",
                    "Bill Accounts"
                )
            )
        ),
    "")
)</f>
        <v/>
      </c>
      <c r="H50" s="46" t="str" cm="1">
        <f t="array" aca="1" ref="H50" ca="1">IF(F50&lt;&gt;"",INDIRECT("'"&amp;F50&amp;"'!$C$10"),"")</f>
        <v/>
      </c>
      <c r="I50" s="46" t="str" cm="1">
        <f t="array" aca="1" ref="I50" ca="1">IF(F50&lt;&gt;"",IF(OR(G50="Bill Accounts",G50="Investments", G50="Cash Accounts"),INDIRECT("'"&amp;F50&amp;"'!$C$10"),INDIRECT("'"&amp;F50&amp;"'!$C$8")),"")</f>
        <v/>
      </c>
      <c r="J50" s="46" t="str" cm="1">
        <f t="array" aca="1" ref="J50" ca="1">IF(F50&lt;&gt;"",ABS(INDIRECT("'"&amp;F50&amp;"'!$I$2")),"")</f>
        <v/>
      </c>
      <c r="K50" s="48">
        <f t="shared" si="3"/>
        <v>56</v>
      </c>
      <c r="L50" s="114" t="str" cm="1">
        <f t="array" aca="1" ref="L50" ca="1">IF(F50&lt;&gt;"",INDIRECT("'"&amp;F50&amp;"'!$F$17"),"")</f>
        <v/>
      </c>
      <c r="M50" s="116" t="str">
        <f t="shared" ca="1" si="1"/>
        <v/>
      </c>
      <c r="O50" s="49" t="str">
        <f t="shared" ca="1" si="2"/>
        <v/>
      </c>
      <c r="P50" s="38" t="str">
        <f ca="1">IF(E50&lt;&gt;"",RANK(E50,$E$3:$E$2298)+COUNTIF($E$3:E50,E50)-1,"")</f>
        <v/>
      </c>
      <c r="Q50" s="8"/>
      <c r="R50" s="64"/>
      <c r="Z50" s="8"/>
    </row>
    <row r="51" spans="4:26" x14ac:dyDescent="0.25">
      <c r="D51" s="36" t="str" cm="1">
        <f t="array" aca="1" ref="D51" ca="1">IFERROR(IF(INDIRECT("'"&amp;F51&amp;"'!$C$5")&gt;0,DATE(YEAR(Dashboard!$AL$2),Dashboard!$AU$4,INDIRECT("'"&amp;F51&amp;"'!$C$5")),""),"")</f>
        <v/>
      </c>
      <c r="E51" s="50" t="str" cm="1">
        <f t="array" aca="1" ref="E51" ca="1">IF(G51="Credit Accounts",IFERROR(IF(INDIRECT("'"&amp;F51&amp;"'!$C$8")&gt;0,INDIRECT("'"&amp;F51&amp;"'!$F$2"),""),""),"")</f>
        <v/>
      </c>
      <c r="F51" s="37" t="str" cm="1">
        <f t="array" ref="F51">IFERROR(INDEX(Sheet_Names,K51),"")</f>
        <v/>
      </c>
      <c r="G51" s="38" t="str" cm="1">
        <f t="array" aca="1" ref="G51" ca="1">IF(F51="",
    "",
    IFERROR(
        IF(INDIRECT("'"&amp;F51&amp;"'!$B$2")="Credit Limit",
            "Credit Accounts",
            IF(INDIRECT("'"&amp;F51&amp;"'!$E$2")="Location",
                "Cash Accounts",
                IF(INDIRECT("'"&amp;F51&amp;"'!$B$2")="Amount",
                    "Investments",
                    "Bill Accounts"
                )
            )
        ),
    "")
)</f>
        <v/>
      </c>
      <c r="H51" s="46" t="str" cm="1">
        <f t="array" aca="1" ref="H51" ca="1">IF(F51&lt;&gt;"",INDIRECT("'"&amp;F51&amp;"'!$C$10"),"")</f>
        <v/>
      </c>
      <c r="I51" s="46" t="str" cm="1">
        <f t="array" aca="1" ref="I51" ca="1">IF(F51&lt;&gt;"",IF(OR(G51="Bill Accounts",G51="Investments", G51="Cash Accounts"),INDIRECT("'"&amp;F51&amp;"'!$C$10"),INDIRECT("'"&amp;F51&amp;"'!$C$8")),"")</f>
        <v/>
      </c>
      <c r="J51" s="46" t="str" cm="1">
        <f t="array" aca="1" ref="J51" ca="1">IF(F51&lt;&gt;"",ABS(INDIRECT("'"&amp;F51&amp;"'!$I$2")),"")</f>
        <v/>
      </c>
      <c r="K51" s="48">
        <f t="shared" si="3"/>
        <v>57</v>
      </c>
      <c r="L51" s="114" t="str" cm="1">
        <f t="array" aca="1" ref="L51" ca="1">IF(F51&lt;&gt;"",INDIRECT("'"&amp;F51&amp;"'!$F$17"),"")</f>
        <v/>
      </c>
      <c r="M51" s="116" t="str">
        <f t="shared" ca="1" si="1"/>
        <v/>
      </c>
      <c r="O51" s="49" t="str">
        <f t="shared" ca="1" si="2"/>
        <v/>
      </c>
      <c r="P51" s="38" t="str">
        <f ca="1">IF(E51&lt;&gt;"",RANK(E51,$E$3:$E$2298)+COUNTIF($E$3:E51,E51)-1,"")</f>
        <v/>
      </c>
      <c r="Q51" s="8"/>
      <c r="R51" s="64"/>
      <c r="Z51" s="8"/>
    </row>
    <row r="52" spans="4:26" x14ac:dyDescent="0.25">
      <c r="D52" s="36" t="str" cm="1">
        <f t="array" aca="1" ref="D52" ca="1">IFERROR(IF(INDIRECT("'"&amp;F52&amp;"'!$C$5")&gt;0,DATE(YEAR(Dashboard!$AL$2),Dashboard!$AU$4,INDIRECT("'"&amp;F52&amp;"'!$C$5")),""),"")</f>
        <v/>
      </c>
      <c r="E52" s="50" t="str" cm="1">
        <f t="array" aca="1" ref="E52" ca="1">IF(G52="Credit Accounts",IFERROR(IF(INDIRECT("'"&amp;F52&amp;"'!$C$8")&gt;0,INDIRECT("'"&amp;F52&amp;"'!$F$2"),""),""),"")</f>
        <v/>
      </c>
      <c r="F52" s="37" t="str" cm="1">
        <f t="array" ref="F52">IFERROR(INDEX(Sheet_Names,K52),"")</f>
        <v/>
      </c>
      <c r="G52" s="38" t="str" cm="1">
        <f t="array" aca="1" ref="G52" ca="1">IF(F52="",
    "",
    IFERROR(
        IF(INDIRECT("'"&amp;F52&amp;"'!$B$2")="Credit Limit",
            "Credit Accounts",
            IF(INDIRECT("'"&amp;F52&amp;"'!$E$2")="Location",
                "Cash Accounts",
                IF(INDIRECT("'"&amp;F52&amp;"'!$B$2")="Amount",
                    "Investments",
                    "Bill Accounts"
                )
            )
        ),
    "")
)</f>
        <v/>
      </c>
      <c r="H52" s="46" t="str" cm="1">
        <f t="array" aca="1" ref="H52" ca="1">IF(F52&lt;&gt;"",INDIRECT("'"&amp;F52&amp;"'!$C$10"),"")</f>
        <v/>
      </c>
      <c r="I52" s="46" t="str" cm="1">
        <f t="array" aca="1" ref="I52" ca="1">IF(F52&lt;&gt;"",IF(OR(G52="Bill Accounts",G52="Investments", G52="Cash Accounts"),INDIRECT("'"&amp;F52&amp;"'!$C$10"),INDIRECT("'"&amp;F52&amp;"'!$C$8")),"")</f>
        <v/>
      </c>
      <c r="J52" s="46" t="str" cm="1">
        <f t="array" aca="1" ref="J52" ca="1">IF(F52&lt;&gt;"",ABS(INDIRECT("'"&amp;F52&amp;"'!$I$2")),"")</f>
        <v/>
      </c>
      <c r="K52" s="48">
        <f t="shared" si="3"/>
        <v>58</v>
      </c>
      <c r="L52" s="114" t="str" cm="1">
        <f t="array" aca="1" ref="L52" ca="1">IF(F52&lt;&gt;"",INDIRECT("'"&amp;F52&amp;"'!$F$17"),"")</f>
        <v/>
      </c>
      <c r="M52" s="116" t="str">
        <f t="shared" ca="1" si="1"/>
        <v/>
      </c>
      <c r="O52" s="49" t="str">
        <f t="shared" ca="1" si="2"/>
        <v/>
      </c>
      <c r="P52" s="38" t="str">
        <f ca="1">IF(E52&lt;&gt;"",RANK(E52,$E$3:$E$2298)+COUNTIF($E$3:E52,E52)-1,"")</f>
        <v/>
      </c>
      <c r="Q52" s="8"/>
      <c r="R52" s="64"/>
      <c r="Z52" s="8"/>
    </row>
    <row r="53" spans="4:26" x14ac:dyDescent="0.25">
      <c r="D53" s="36" t="str" cm="1">
        <f t="array" aca="1" ref="D53" ca="1">IFERROR(IF(INDIRECT("'"&amp;F53&amp;"'!$C$5")&gt;0,DATE(YEAR(Dashboard!$AL$2),Dashboard!$AU$4,INDIRECT("'"&amp;F53&amp;"'!$C$5")),""),"")</f>
        <v/>
      </c>
      <c r="E53" s="50" t="str" cm="1">
        <f t="array" aca="1" ref="E53" ca="1">IF(G53="Credit Accounts",IFERROR(IF(INDIRECT("'"&amp;F53&amp;"'!$C$8")&gt;0,INDIRECT("'"&amp;F53&amp;"'!$F$2"),""),""),"")</f>
        <v/>
      </c>
      <c r="F53" s="37" t="str" cm="1">
        <f t="array" ref="F53">IFERROR(INDEX(Sheet_Names,K53),"")</f>
        <v/>
      </c>
      <c r="G53" s="38" t="str" cm="1">
        <f t="array" aca="1" ref="G53" ca="1">IF(F53="",
    "",
    IFERROR(
        IF(INDIRECT("'"&amp;F53&amp;"'!$B$2")="Credit Limit",
            "Credit Accounts",
            IF(INDIRECT("'"&amp;F53&amp;"'!$E$2")="Location",
                "Cash Accounts",
                IF(INDIRECT("'"&amp;F53&amp;"'!$B$2")="Amount",
                    "Investments",
                    "Bill Accounts"
                )
            )
        ),
    "")
)</f>
        <v/>
      </c>
      <c r="H53" s="46" t="str" cm="1">
        <f t="array" aca="1" ref="H53" ca="1">IF(F53&lt;&gt;"",INDIRECT("'"&amp;F53&amp;"'!$C$10"),"")</f>
        <v/>
      </c>
      <c r="I53" s="46" t="str" cm="1">
        <f t="array" aca="1" ref="I53" ca="1">IF(F53&lt;&gt;"",IF(OR(G53="Bill Accounts",G53="Investments", G53="Cash Accounts"),INDIRECT("'"&amp;F53&amp;"'!$C$10"),INDIRECT("'"&amp;F53&amp;"'!$C$8")),"")</f>
        <v/>
      </c>
      <c r="J53" s="46" t="str" cm="1">
        <f t="array" aca="1" ref="J53" ca="1">IF(F53&lt;&gt;"",ABS(INDIRECT("'"&amp;F53&amp;"'!$I$2")),"")</f>
        <v/>
      </c>
      <c r="K53" s="48">
        <f t="shared" si="3"/>
        <v>59</v>
      </c>
      <c r="L53" s="114" t="str" cm="1">
        <f t="array" aca="1" ref="L53" ca="1">IF(F53&lt;&gt;"",INDIRECT("'"&amp;F53&amp;"'!$F$17"),"")</f>
        <v/>
      </c>
      <c r="M53" s="116" t="str">
        <f t="shared" ca="1" si="1"/>
        <v/>
      </c>
      <c r="O53" s="49" t="str">
        <f t="shared" ca="1" si="2"/>
        <v/>
      </c>
      <c r="P53" s="38" t="str">
        <f ca="1">IF(E53&lt;&gt;"",RANK(E53,$E$3:$E$2298)+COUNTIF($E$3:E53,E53)-1,"")</f>
        <v/>
      </c>
      <c r="Q53" s="8"/>
      <c r="R53" s="64"/>
      <c r="Z53" s="8"/>
    </row>
    <row r="54" spans="4:26" x14ac:dyDescent="0.25">
      <c r="D54" s="36" t="str" cm="1">
        <f t="array" aca="1" ref="D54" ca="1">IFERROR(IF(INDIRECT("'"&amp;F54&amp;"'!$C$5")&gt;0,DATE(YEAR(Dashboard!$AL$2),Dashboard!$AU$4,INDIRECT("'"&amp;F54&amp;"'!$C$5")),""),"")</f>
        <v/>
      </c>
      <c r="E54" s="50" t="str" cm="1">
        <f t="array" aca="1" ref="E54" ca="1">IF(G54="Credit Accounts",IFERROR(IF(INDIRECT("'"&amp;F54&amp;"'!$C$8")&gt;0,INDIRECT("'"&amp;F54&amp;"'!$F$2"),""),""),"")</f>
        <v/>
      </c>
      <c r="F54" s="37" t="str" cm="1">
        <f t="array" ref="F54">IFERROR(INDEX(Sheet_Names,K54),"")</f>
        <v/>
      </c>
      <c r="G54" s="38" t="str" cm="1">
        <f t="array" aca="1" ref="G54" ca="1">IF(F54="",
    "",
    IFERROR(
        IF(INDIRECT("'"&amp;F54&amp;"'!$B$2")="Credit Limit",
            "Credit Accounts",
            IF(INDIRECT("'"&amp;F54&amp;"'!$E$2")="Location",
                "Cash Accounts",
                IF(INDIRECT("'"&amp;F54&amp;"'!$B$2")="Amount",
                    "Investments",
                    "Bill Accounts"
                )
            )
        ),
    "")
)</f>
        <v/>
      </c>
      <c r="H54" s="46" t="str" cm="1">
        <f t="array" aca="1" ref="H54" ca="1">IF(F54&lt;&gt;"",INDIRECT("'"&amp;F54&amp;"'!$C$10"),"")</f>
        <v/>
      </c>
      <c r="I54" s="46" t="str" cm="1">
        <f t="array" aca="1" ref="I54" ca="1">IF(F54&lt;&gt;"",IF(OR(G54="Bill Accounts",G54="Investments", G54="Cash Accounts"),INDIRECT("'"&amp;F54&amp;"'!$C$10"),INDIRECT("'"&amp;F54&amp;"'!$C$8")),"")</f>
        <v/>
      </c>
      <c r="J54" s="46" t="str" cm="1">
        <f t="array" aca="1" ref="J54" ca="1">IF(F54&lt;&gt;"",ABS(INDIRECT("'"&amp;F54&amp;"'!$I$2")),"")</f>
        <v/>
      </c>
      <c r="K54" s="48">
        <f t="shared" si="3"/>
        <v>60</v>
      </c>
      <c r="L54" s="114" t="str" cm="1">
        <f t="array" aca="1" ref="L54" ca="1">IF(F54&lt;&gt;"",INDIRECT("'"&amp;F54&amp;"'!$F$17"),"")</f>
        <v/>
      </c>
      <c r="M54" s="116" t="str">
        <f t="shared" ca="1" si="1"/>
        <v/>
      </c>
      <c r="O54" s="49" t="str">
        <f t="shared" ca="1" si="2"/>
        <v/>
      </c>
      <c r="P54" s="38" t="str">
        <f ca="1">IF(E54&lt;&gt;"",RANK(E54,$E$3:$E$2298)+COUNTIF($E$3:E54,E54)-1,"")</f>
        <v/>
      </c>
      <c r="Q54" s="8"/>
      <c r="R54" s="64"/>
      <c r="Z54" s="8"/>
    </row>
    <row r="55" spans="4:26" x14ac:dyDescent="0.25">
      <c r="D55" s="36" t="str" cm="1">
        <f t="array" aca="1" ref="D55" ca="1">IFERROR(IF(INDIRECT("'"&amp;F55&amp;"'!$C$5")&gt;0,DATE(YEAR(Dashboard!$AL$2),Dashboard!$AU$4,INDIRECT("'"&amp;F55&amp;"'!$C$5")),""),"")</f>
        <v/>
      </c>
      <c r="E55" s="50" t="str" cm="1">
        <f t="array" aca="1" ref="E55" ca="1">IF(G55="Credit Accounts",IFERROR(IF(INDIRECT("'"&amp;F55&amp;"'!$C$8")&gt;0,INDIRECT("'"&amp;F55&amp;"'!$F$2"),""),""),"")</f>
        <v/>
      </c>
      <c r="F55" s="37" t="str" cm="1">
        <f t="array" ref="F55">IFERROR(INDEX(Sheet_Names,K55),"")</f>
        <v/>
      </c>
      <c r="G55" s="38" t="str" cm="1">
        <f t="array" aca="1" ref="G55" ca="1">IF(F55="",
    "",
    IFERROR(
        IF(INDIRECT("'"&amp;F55&amp;"'!$B$2")="Credit Limit",
            "Credit Accounts",
            IF(INDIRECT("'"&amp;F55&amp;"'!$E$2")="Location",
                "Cash Accounts",
                IF(INDIRECT("'"&amp;F55&amp;"'!$B$2")="Amount",
                    "Investments",
                    "Bill Accounts"
                )
            )
        ),
    "")
)</f>
        <v/>
      </c>
      <c r="H55" s="46" t="str" cm="1">
        <f t="array" aca="1" ref="H55" ca="1">IF(F55&lt;&gt;"",INDIRECT("'"&amp;F55&amp;"'!$C$10"),"")</f>
        <v/>
      </c>
      <c r="I55" s="46" t="str" cm="1">
        <f t="array" aca="1" ref="I55" ca="1">IF(F55&lt;&gt;"",IF(OR(G55="Bill Accounts",G55="Investments", G55="Cash Accounts"),INDIRECT("'"&amp;F55&amp;"'!$C$10"),INDIRECT("'"&amp;F55&amp;"'!$C$8")),"")</f>
        <v/>
      </c>
      <c r="J55" s="46" t="str" cm="1">
        <f t="array" aca="1" ref="J55" ca="1">IF(F55&lt;&gt;"",ABS(INDIRECT("'"&amp;F55&amp;"'!$I$2")),"")</f>
        <v/>
      </c>
      <c r="K55" s="48">
        <f t="shared" si="3"/>
        <v>61</v>
      </c>
      <c r="L55" s="114" t="str" cm="1">
        <f t="array" aca="1" ref="L55" ca="1">IF(F55&lt;&gt;"",INDIRECT("'"&amp;F55&amp;"'!$F$17"),"")</f>
        <v/>
      </c>
      <c r="M55" s="116" t="str">
        <f t="shared" ca="1" si="1"/>
        <v/>
      </c>
      <c r="O55" s="49" t="str">
        <f t="shared" ca="1" si="2"/>
        <v/>
      </c>
      <c r="P55" s="38" t="str">
        <f ca="1">IF(E55&lt;&gt;"",RANK(E55,$E$3:$E$2298)+COUNTIF($E$3:E55,E55)-1,"")</f>
        <v/>
      </c>
      <c r="Q55" s="8"/>
      <c r="R55" s="64"/>
      <c r="Z55" s="8"/>
    </row>
    <row r="56" spans="4:26" x14ac:dyDescent="0.25">
      <c r="D56" s="36" t="str" cm="1">
        <f t="array" aca="1" ref="D56" ca="1">IFERROR(IF(INDIRECT("'"&amp;F56&amp;"'!$C$5")&gt;0,DATE(YEAR(Dashboard!$AL$2),Dashboard!$AU$4,INDIRECT("'"&amp;F56&amp;"'!$C$5")),""),"")</f>
        <v/>
      </c>
      <c r="E56" s="50" t="str" cm="1">
        <f t="array" aca="1" ref="E56" ca="1">IF(G56="Credit Accounts",IFERROR(IF(INDIRECT("'"&amp;F56&amp;"'!$C$8")&gt;0,INDIRECT("'"&amp;F56&amp;"'!$F$2"),""),""),"")</f>
        <v/>
      </c>
      <c r="F56" s="37" t="str" cm="1">
        <f t="array" ref="F56">IFERROR(INDEX(Sheet_Names,K56),"")</f>
        <v/>
      </c>
      <c r="G56" s="38" t="str" cm="1">
        <f t="array" aca="1" ref="G56" ca="1">IF(F56="",
    "",
    IFERROR(
        IF(INDIRECT("'"&amp;F56&amp;"'!$B$2")="Credit Limit",
            "Credit Accounts",
            IF(INDIRECT("'"&amp;F56&amp;"'!$E$2")="Location",
                "Cash Accounts",
                IF(INDIRECT("'"&amp;F56&amp;"'!$B$2")="Amount",
                    "Investments",
                    "Bill Accounts"
                )
            )
        ),
    "")
)</f>
        <v/>
      </c>
      <c r="H56" s="46" t="str" cm="1">
        <f t="array" aca="1" ref="H56" ca="1">IF(F56&lt;&gt;"",INDIRECT("'"&amp;F56&amp;"'!$C$10"),"")</f>
        <v/>
      </c>
      <c r="I56" s="46" t="str" cm="1">
        <f t="array" aca="1" ref="I56" ca="1">IF(F56&lt;&gt;"",IF(OR(G56="Bill Accounts",G56="Investments", G56="Cash Accounts"),INDIRECT("'"&amp;F56&amp;"'!$C$10"),INDIRECT("'"&amp;F56&amp;"'!$C$8")),"")</f>
        <v/>
      </c>
      <c r="J56" s="46" t="str" cm="1">
        <f t="array" aca="1" ref="J56" ca="1">IF(F56&lt;&gt;"",ABS(INDIRECT("'"&amp;F56&amp;"'!$I$2")),"")</f>
        <v/>
      </c>
      <c r="K56" s="48">
        <f t="shared" si="3"/>
        <v>62</v>
      </c>
      <c r="L56" s="114" t="str" cm="1">
        <f t="array" aca="1" ref="L56" ca="1">IF(F56&lt;&gt;"",INDIRECT("'"&amp;F56&amp;"'!$F$17"),"")</f>
        <v/>
      </c>
      <c r="M56" s="116" t="str">
        <f t="shared" ca="1" si="1"/>
        <v/>
      </c>
      <c r="O56" s="49" t="str">
        <f t="shared" ca="1" si="2"/>
        <v/>
      </c>
      <c r="P56" s="38" t="str">
        <f ca="1">IF(E56&lt;&gt;"",RANK(E56,$E$3:$E$2298)+COUNTIF($E$3:E56,E56)-1,"")</f>
        <v/>
      </c>
      <c r="Q56" s="8"/>
      <c r="R56" s="64"/>
      <c r="Z56" s="8"/>
    </row>
    <row r="57" spans="4:26" x14ac:dyDescent="0.25">
      <c r="D57" s="36" t="str" cm="1">
        <f t="array" aca="1" ref="D57" ca="1">IFERROR(IF(INDIRECT("'"&amp;F57&amp;"'!$C$5")&gt;0,DATE(YEAR(Dashboard!$AL$2),Dashboard!$AU$4,INDIRECT("'"&amp;F57&amp;"'!$C$5")),""),"")</f>
        <v/>
      </c>
      <c r="E57" s="50" t="str" cm="1">
        <f t="array" aca="1" ref="E57" ca="1">IF(G57="Credit Accounts",IFERROR(IF(INDIRECT("'"&amp;F57&amp;"'!$C$8")&gt;0,INDIRECT("'"&amp;F57&amp;"'!$F$2"),""),""),"")</f>
        <v/>
      </c>
      <c r="F57" s="37" t="str" cm="1">
        <f t="array" ref="F57">IFERROR(INDEX(Sheet_Names,K57),"")</f>
        <v/>
      </c>
      <c r="G57" s="38" t="str" cm="1">
        <f t="array" aca="1" ref="G57" ca="1">IF(F57="",
    "",
    IFERROR(
        IF(INDIRECT("'"&amp;F57&amp;"'!$B$2")="Credit Limit",
            "Credit Accounts",
            IF(INDIRECT("'"&amp;F57&amp;"'!$E$2")="Location",
                "Cash Accounts",
                IF(INDIRECT("'"&amp;F57&amp;"'!$B$2")="Amount",
                    "Investments",
                    "Bill Accounts"
                )
            )
        ),
    "")
)</f>
        <v/>
      </c>
      <c r="H57" s="46" t="str" cm="1">
        <f t="array" aca="1" ref="H57" ca="1">IF(F57&lt;&gt;"",INDIRECT("'"&amp;F57&amp;"'!$C$10"),"")</f>
        <v/>
      </c>
      <c r="I57" s="46" t="str" cm="1">
        <f t="array" aca="1" ref="I57" ca="1">IF(F57&lt;&gt;"",IF(OR(G57="Bill Accounts",G57="Investments", G57="Cash Accounts"),INDIRECT("'"&amp;F57&amp;"'!$C$10"),INDIRECT("'"&amp;F57&amp;"'!$C$8")),"")</f>
        <v/>
      </c>
      <c r="J57" s="46" t="str" cm="1">
        <f t="array" aca="1" ref="J57" ca="1">IF(F57&lt;&gt;"",ABS(INDIRECT("'"&amp;F57&amp;"'!$I$2")),"")</f>
        <v/>
      </c>
      <c r="K57" s="48">
        <f t="shared" si="3"/>
        <v>63</v>
      </c>
      <c r="L57" s="114" t="str" cm="1">
        <f t="array" aca="1" ref="L57" ca="1">IF(F57&lt;&gt;"",INDIRECT("'"&amp;F57&amp;"'!$F$17"),"")</f>
        <v/>
      </c>
      <c r="M57" s="116" t="str">
        <f t="shared" ca="1" si="1"/>
        <v/>
      </c>
      <c r="O57" s="49" t="str">
        <f t="shared" ca="1" si="2"/>
        <v/>
      </c>
      <c r="P57" s="38" t="str">
        <f ca="1">IF(E57&lt;&gt;"",RANK(E57,$E$3:$E$2298)+COUNTIF($E$3:E57,E57)-1,"")</f>
        <v/>
      </c>
      <c r="Q57" s="8"/>
      <c r="R57" s="64"/>
      <c r="Z57" s="8"/>
    </row>
    <row r="58" spans="4:26" x14ac:dyDescent="0.25">
      <c r="D58" s="36" t="str" cm="1">
        <f t="array" aca="1" ref="D58" ca="1">IFERROR(IF(INDIRECT("'"&amp;F58&amp;"'!$C$5")&gt;0,DATE(YEAR(Dashboard!$AL$2),Dashboard!$AU$4,INDIRECT("'"&amp;F58&amp;"'!$C$5")),""),"")</f>
        <v/>
      </c>
      <c r="E58" s="50" t="str" cm="1">
        <f t="array" aca="1" ref="E58" ca="1">IF(G58="Credit Accounts",IFERROR(IF(INDIRECT("'"&amp;F58&amp;"'!$C$8")&gt;0,INDIRECT("'"&amp;F58&amp;"'!$F$2"),""),""),"")</f>
        <v/>
      </c>
      <c r="F58" s="37" t="str" cm="1">
        <f t="array" ref="F58">IFERROR(INDEX(Sheet_Names,K58),"")</f>
        <v/>
      </c>
      <c r="G58" s="38" t="str" cm="1">
        <f t="array" aca="1" ref="G58" ca="1">IF(F58="",
    "",
    IFERROR(
        IF(INDIRECT("'"&amp;F58&amp;"'!$B$2")="Credit Limit",
            "Credit Accounts",
            IF(INDIRECT("'"&amp;F58&amp;"'!$E$2")="Location",
                "Cash Accounts",
                IF(INDIRECT("'"&amp;F58&amp;"'!$B$2")="Amount",
                    "Investments",
                    "Bill Accounts"
                )
            )
        ),
    "")
)</f>
        <v/>
      </c>
      <c r="H58" s="46" t="str" cm="1">
        <f t="array" aca="1" ref="H58" ca="1">IF(F58&lt;&gt;"",INDIRECT("'"&amp;F58&amp;"'!$C$10"),"")</f>
        <v/>
      </c>
      <c r="I58" s="46" t="str" cm="1">
        <f t="array" aca="1" ref="I58" ca="1">IF(F58&lt;&gt;"",IF(OR(G58="Bill Accounts",G58="Investments", G58="Cash Accounts"),INDIRECT("'"&amp;F58&amp;"'!$C$10"),INDIRECT("'"&amp;F58&amp;"'!$C$8")),"")</f>
        <v/>
      </c>
      <c r="J58" s="46" t="str" cm="1">
        <f t="array" aca="1" ref="J58" ca="1">IF(F58&lt;&gt;"",ABS(INDIRECT("'"&amp;F58&amp;"'!$I$2")),"")</f>
        <v/>
      </c>
      <c r="K58" s="48">
        <f t="shared" si="3"/>
        <v>64</v>
      </c>
      <c r="L58" s="114" t="str" cm="1">
        <f t="array" aca="1" ref="L58" ca="1">IF(F58&lt;&gt;"",INDIRECT("'"&amp;F58&amp;"'!$F$17"),"")</f>
        <v/>
      </c>
      <c r="M58" s="116" t="str">
        <f t="shared" ca="1" si="1"/>
        <v/>
      </c>
      <c r="O58" s="49" t="str">
        <f t="shared" ca="1" si="2"/>
        <v/>
      </c>
      <c r="P58" s="38" t="str">
        <f ca="1">IF(E58&lt;&gt;"",RANK(E58,$E$3:$E$2298)+COUNTIF($E$3:E58,E58)-1,"")</f>
        <v/>
      </c>
      <c r="Q58" s="8"/>
      <c r="R58" s="64"/>
      <c r="Z58" s="8"/>
    </row>
    <row r="59" spans="4:26" x14ac:dyDescent="0.25">
      <c r="D59" s="36" t="str" cm="1">
        <f t="array" aca="1" ref="D59" ca="1">IFERROR(IF(INDIRECT("'"&amp;F59&amp;"'!$C$5")&gt;0,DATE(YEAR(Dashboard!$AL$2),Dashboard!$AU$4,INDIRECT("'"&amp;F59&amp;"'!$C$5")),""),"")</f>
        <v/>
      </c>
      <c r="E59" s="50" t="str" cm="1">
        <f t="array" aca="1" ref="E59" ca="1">IF(G59="Credit Accounts",IFERROR(IF(INDIRECT("'"&amp;F59&amp;"'!$C$8")&gt;0,INDIRECT("'"&amp;F59&amp;"'!$F$2"),""),""),"")</f>
        <v/>
      </c>
      <c r="F59" s="37" t="str" cm="1">
        <f t="array" ref="F59">IFERROR(INDEX(Sheet_Names,K59),"")</f>
        <v/>
      </c>
      <c r="G59" s="38" t="str" cm="1">
        <f t="array" aca="1" ref="G59" ca="1">IF(F59="",
    "",
    IFERROR(
        IF(INDIRECT("'"&amp;F59&amp;"'!$B$2")="Credit Limit",
            "Credit Accounts",
            IF(INDIRECT("'"&amp;F59&amp;"'!$E$2")="Location",
                "Cash Accounts",
                IF(INDIRECT("'"&amp;F59&amp;"'!$B$2")="Amount",
                    "Investments",
                    "Bill Accounts"
                )
            )
        ),
    "")
)</f>
        <v/>
      </c>
      <c r="H59" s="46" t="str" cm="1">
        <f t="array" aca="1" ref="H59" ca="1">IF(F59&lt;&gt;"",INDIRECT("'"&amp;F59&amp;"'!$C$10"),"")</f>
        <v/>
      </c>
      <c r="I59" s="46" t="str" cm="1">
        <f t="array" aca="1" ref="I59" ca="1">IF(F59&lt;&gt;"",IF(OR(G59="Bill Accounts",G59="Investments", G59="Cash Accounts"),INDIRECT("'"&amp;F59&amp;"'!$C$10"),INDIRECT("'"&amp;F59&amp;"'!$C$8")),"")</f>
        <v/>
      </c>
      <c r="J59" s="46" t="str" cm="1">
        <f t="array" aca="1" ref="J59" ca="1">IF(F59&lt;&gt;"",ABS(INDIRECT("'"&amp;F59&amp;"'!$I$2")),"")</f>
        <v/>
      </c>
      <c r="K59" s="48">
        <f t="shared" si="3"/>
        <v>65</v>
      </c>
      <c r="L59" s="114" t="str" cm="1">
        <f t="array" aca="1" ref="L59" ca="1">IF(F59&lt;&gt;"",INDIRECT("'"&amp;F59&amp;"'!$F$17"),"")</f>
        <v/>
      </c>
      <c r="M59" s="116" t="str">
        <f t="shared" ca="1" si="1"/>
        <v/>
      </c>
      <c r="O59" s="49" t="str">
        <f t="shared" ca="1" si="2"/>
        <v/>
      </c>
      <c r="P59" s="38" t="str">
        <f ca="1">IF(E59&lt;&gt;"",RANK(E59,$E$3:$E$2298)+COUNTIF($E$3:E59,E59)-1,"")</f>
        <v/>
      </c>
      <c r="Q59" s="8"/>
      <c r="R59" s="64"/>
      <c r="Z59" s="8"/>
    </row>
    <row r="60" spans="4:26" x14ac:dyDescent="0.25">
      <c r="D60" s="36" t="str" cm="1">
        <f t="array" aca="1" ref="D60" ca="1">IFERROR(IF(INDIRECT("'"&amp;F60&amp;"'!$C$5")&gt;0,DATE(YEAR(Dashboard!$AL$2),Dashboard!$AU$4,INDIRECT("'"&amp;F60&amp;"'!$C$5")),""),"")</f>
        <v/>
      </c>
      <c r="E60" s="50" t="str" cm="1">
        <f t="array" aca="1" ref="E60" ca="1">IF(G60="Credit Accounts",IFERROR(IF(INDIRECT("'"&amp;F60&amp;"'!$C$8")&gt;0,INDIRECT("'"&amp;F60&amp;"'!$F$2"),""),""),"")</f>
        <v/>
      </c>
      <c r="F60" s="37" t="str" cm="1">
        <f t="array" ref="F60">IFERROR(INDEX(Sheet_Names,K60),"")</f>
        <v/>
      </c>
      <c r="G60" s="38" t="str" cm="1">
        <f t="array" aca="1" ref="G60" ca="1">IF(F60="",
    "",
    IFERROR(
        IF(INDIRECT("'"&amp;F60&amp;"'!$B$2")="Credit Limit",
            "Credit Accounts",
            IF(INDIRECT("'"&amp;F60&amp;"'!$E$2")="Location",
                "Cash Accounts",
                IF(INDIRECT("'"&amp;F60&amp;"'!$B$2")="Amount",
                    "Investments",
                    "Bill Accounts"
                )
            )
        ),
    "")
)</f>
        <v/>
      </c>
      <c r="H60" s="46" t="str" cm="1">
        <f t="array" aca="1" ref="H60" ca="1">IF(F60&lt;&gt;"",INDIRECT("'"&amp;F60&amp;"'!$C$10"),"")</f>
        <v/>
      </c>
      <c r="I60" s="46" t="str" cm="1">
        <f t="array" aca="1" ref="I60" ca="1">IF(F60&lt;&gt;"",IF(OR(G60="Bill Accounts",G60="Investments", G60="Cash Accounts"),INDIRECT("'"&amp;F60&amp;"'!$C$10"),INDIRECT("'"&amp;F60&amp;"'!$C$8")),"")</f>
        <v/>
      </c>
      <c r="J60" s="46" t="str" cm="1">
        <f t="array" aca="1" ref="J60" ca="1">IF(F60&lt;&gt;"",ABS(INDIRECT("'"&amp;F60&amp;"'!$I$2")),"")</f>
        <v/>
      </c>
      <c r="K60" s="48">
        <f t="shared" si="3"/>
        <v>66</v>
      </c>
      <c r="L60" s="114" t="str" cm="1">
        <f t="array" aca="1" ref="L60" ca="1">IF(F60&lt;&gt;"",INDIRECT("'"&amp;F60&amp;"'!$F$17"),"")</f>
        <v/>
      </c>
      <c r="M60" s="116" t="str">
        <f t="shared" ca="1" si="1"/>
        <v/>
      </c>
      <c r="O60" s="49" t="str">
        <f t="shared" ca="1" si="2"/>
        <v/>
      </c>
      <c r="P60" s="38" t="str">
        <f ca="1">IF(E60&lt;&gt;"",RANK(E60,$E$3:$E$2298)+COUNTIF($E$3:E60,E60)-1,"")</f>
        <v/>
      </c>
      <c r="Q60" s="8"/>
      <c r="R60" s="64"/>
      <c r="Z60" s="8"/>
    </row>
    <row r="61" spans="4:26" x14ac:dyDescent="0.25">
      <c r="D61" s="36" t="str" cm="1">
        <f t="array" aca="1" ref="D61" ca="1">IFERROR(IF(INDIRECT("'"&amp;F61&amp;"'!$C$5")&gt;0,DATE(YEAR(Dashboard!$AL$2),Dashboard!$AU$4,INDIRECT("'"&amp;F61&amp;"'!$C$5")),""),"")</f>
        <v/>
      </c>
      <c r="E61" s="50" t="str" cm="1">
        <f t="array" aca="1" ref="E61" ca="1">IF(G61="Credit Accounts",IFERROR(IF(INDIRECT("'"&amp;F61&amp;"'!$C$8")&gt;0,INDIRECT("'"&amp;F61&amp;"'!$F$2"),""),""),"")</f>
        <v/>
      </c>
      <c r="F61" s="37" t="str" cm="1">
        <f t="array" ref="F61">IFERROR(INDEX(Sheet_Names,K61),"")</f>
        <v/>
      </c>
      <c r="G61" s="38" t="str" cm="1">
        <f t="array" aca="1" ref="G61" ca="1">IF(F61="",
    "",
    IFERROR(
        IF(INDIRECT("'"&amp;F61&amp;"'!$B$2")="Credit Limit",
            "Credit Accounts",
            IF(INDIRECT("'"&amp;F61&amp;"'!$E$2")="Location",
                "Cash Accounts",
                IF(INDIRECT("'"&amp;F61&amp;"'!$B$2")="Amount",
                    "Investments",
                    "Bill Accounts"
                )
            )
        ),
    "")
)</f>
        <v/>
      </c>
      <c r="H61" s="46" t="str" cm="1">
        <f t="array" aca="1" ref="H61" ca="1">IF(F61&lt;&gt;"",INDIRECT("'"&amp;F61&amp;"'!$C$10"),"")</f>
        <v/>
      </c>
      <c r="I61" s="46" t="str" cm="1">
        <f t="array" aca="1" ref="I61" ca="1">IF(F61&lt;&gt;"",IF(OR(G61="Bill Accounts",G61="Investments", G61="Cash Accounts"),INDIRECT("'"&amp;F61&amp;"'!$C$10"),INDIRECT("'"&amp;F61&amp;"'!$C$8")),"")</f>
        <v/>
      </c>
      <c r="J61" s="46" t="str" cm="1">
        <f t="array" aca="1" ref="J61" ca="1">IF(F61&lt;&gt;"",ABS(INDIRECT("'"&amp;F61&amp;"'!$I$2")),"")</f>
        <v/>
      </c>
      <c r="K61" s="48">
        <f t="shared" si="3"/>
        <v>67</v>
      </c>
      <c r="L61" s="114" t="str" cm="1">
        <f t="array" aca="1" ref="L61" ca="1">IF(F61&lt;&gt;"",INDIRECT("'"&amp;F61&amp;"'!$F$17"),"")</f>
        <v/>
      </c>
      <c r="M61" s="116" t="str">
        <f t="shared" ca="1" si="1"/>
        <v/>
      </c>
      <c r="O61" s="49" t="str">
        <f t="shared" ca="1" si="2"/>
        <v/>
      </c>
      <c r="P61" s="38" t="str">
        <f ca="1">IF(E61&lt;&gt;"",RANK(E61,$E$3:$E$2298)+COUNTIF($E$3:E61,E61)-1,"")</f>
        <v/>
      </c>
      <c r="Q61" s="8"/>
      <c r="R61" s="64"/>
      <c r="Z61" s="8"/>
    </row>
    <row r="62" spans="4:26" x14ac:dyDescent="0.25">
      <c r="D62" s="36" t="str" cm="1">
        <f t="array" aca="1" ref="D62" ca="1">IFERROR(IF(INDIRECT("'"&amp;F62&amp;"'!$C$5")&gt;0,DATE(YEAR(Dashboard!$AL$2),Dashboard!$AU$4,INDIRECT("'"&amp;F62&amp;"'!$C$5")),""),"")</f>
        <v/>
      </c>
      <c r="E62" s="50" t="str" cm="1">
        <f t="array" aca="1" ref="E62" ca="1">IF(G62="Credit Accounts",IFERROR(IF(INDIRECT("'"&amp;F62&amp;"'!$C$8")&gt;0,INDIRECT("'"&amp;F62&amp;"'!$F$2"),""),""),"")</f>
        <v/>
      </c>
      <c r="F62" s="37" t="str" cm="1">
        <f t="array" ref="F62">IFERROR(INDEX(Sheet_Names,K62),"")</f>
        <v/>
      </c>
      <c r="G62" s="38" t="str" cm="1">
        <f t="array" aca="1" ref="G62" ca="1">IF(F62="",
    "",
    IFERROR(
        IF(INDIRECT("'"&amp;F62&amp;"'!$B$2")="Credit Limit",
            "Credit Accounts",
            IF(INDIRECT("'"&amp;F62&amp;"'!$E$2")="Location",
                "Cash Accounts",
                IF(INDIRECT("'"&amp;F62&amp;"'!$B$2")="Amount",
                    "Investments",
                    "Bill Accounts"
                )
            )
        ),
    "")
)</f>
        <v/>
      </c>
      <c r="H62" s="46" t="str" cm="1">
        <f t="array" aca="1" ref="H62" ca="1">IF(F62&lt;&gt;"",INDIRECT("'"&amp;F62&amp;"'!$C$10"),"")</f>
        <v/>
      </c>
      <c r="I62" s="46" t="str" cm="1">
        <f t="array" aca="1" ref="I62" ca="1">IF(F62&lt;&gt;"",IF(OR(G62="Bill Accounts",G62="Investments", G62="Cash Accounts"),INDIRECT("'"&amp;F62&amp;"'!$C$10"),INDIRECT("'"&amp;F62&amp;"'!$C$8")),"")</f>
        <v/>
      </c>
      <c r="J62" s="46" t="str" cm="1">
        <f t="array" aca="1" ref="J62" ca="1">IF(F62&lt;&gt;"",ABS(INDIRECT("'"&amp;F62&amp;"'!$I$2")),"")</f>
        <v/>
      </c>
      <c r="K62" s="48">
        <f t="shared" si="3"/>
        <v>68</v>
      </c>
      <c r="L62" s="114" t="str" cm="1">
        <f t="array" aca="1" ref="L62" ca="1">IF(F62&lt;&gt;"",INDIRECT("'"&amp;F62&amp;"'!$F$17"),"")</f>
        <v/>
      </c>
      <c r="M62" s="116" t="str">
        <f t="shared" ca="1" si="1"/>
        <v/>
      </c>
      <c r="O62" s="49" t="str">
        <f t="shared" ca="1" si="2"/>
        <v/>
      </c>
      <c r="P62" s="38" t="str">
        <f ca="1">IF(E62&lt;&gt;"",RANK(E62,$E$3:$E$2298)+COUNTIF($E$3:E62,E62)-1,"")</f>
        <v/>
      </c>
      <c r="Q62" s="8"/>
      <c r="R62" s="64"/>
      <c r="Z62" s="8"/>
    </row>
    <row r="63" spans="4:26" x14ac:dyDescent="0.25">
      <c r="D63" s="36" t="str" cm="1">
        <f t="array" aca="1" ref="D63" ca="1">IFERROR(IF(INDIRECT("'"&amp;F63&amp;"'!$C$5")&gt;0,DATE(YEAR(Dashboard!$AL$2),Dashboard!$AU$4,INDIRECT("'"&amp;F63&amp;"'!$C$5")),""),"")</f>
        <v/>
      </c>
      <c r="E63" s="50" t="str" cm="1">
        <f t="array" aca="1" ref="E63" ca="1">IF(G63="Credit Accounts",IFERROR(IF(INDIRECT("'"&amp;F63&amp;"'!$C$8")&gt;0,INDIRECT("'"&amp;F63&amp;"'!$F$2"),""),""),"")</f>
        <v/>
      </c>
      <c r="F63" s="37" t="str" cm="1">
        <f t="array" ref="F63">IFERROR(INDEX(Sheet_Names,K63),"")</f>
        <v/>
      </c>
      <c r="G63" s="38" t="str" cm="1">
        <f t="array" aca="1" ref="G63" ca="1">IF(F63="",
    "",
    IFERROR(
        IF(INDIRECT("'"&amp;F63&amp;"'!$B$2")="Credit Limit",
            "Credit Accounts",
            IF(INDIRECT("'"&amp;F63&amp;"'!$E$2")="Location",
                "Cash Accounts",
                IF(INDIRECT("'"&amp;F63&amp;"'!$B$2")="Amount",
                    "Investments",
                    "Bill Accounts"
                )
            )
        ),
    "")
)</f>
        <v/>
      </c>
      <c r="H63" s="46" t="str" cm="1">
        <f t="array" aca="1" ref="H63" ca="1">IF(F63&lt;&gt;"",INDIRECT("'"&amp;F63&amp;"'!$C$10"),"")</f>
        <v/>
      </c>
      <c r="I63" s="46" t="str" cm="1">
        <f t="array" aca="1" ref="I63" ca="1">IF(F63&lt;&gt;"",IF(OR(G63="Bill Accounts",G63="Investments", G63="Cash Accounts"),INDIRECT("'"&amp;F63&amp;"'!$C$10"),INDIRECT("'"&amp;F63&amp;"'!$C$8")),"")</f>
        <v/>
      </c>
      <c r="J63" s="46" t="str" cm="1">
        <f t="array" aca="1" ref="J63" ca="1">IF(F63&lt;&gt;"",ABS(INDIRECT("'"&amp;F63&amp;"'!$I$2")),"")</f>
        <v/>
      </c>
      <c r="K63" s="48">
        <f t="shared" si="3"/>
        <v>69</v>
      </c>
      <c r="L63" s="114" t="str" cm="1">
        <f t="array" aca="1" ref="L63" ca="1">IF(F63&lt;&gt;"",INDIRECT("'"&amp;F63&amp;"'!$F$17"),"")</f>
        <v/>
      </c>
      <c r="M63" s="116" t="str">
        <f t="shared" ca="1" si="1"/>
        <v/>
      </c>
      <c r="O63" s="49" t="str">
        <f t="shared" ca="1" si="2"/>
        <v/>
      </c>
      <c r="P63" s="38" t="str">
        <f ca="1">IF(E63&lt;&gt;"",RANK(E63,$E$3:$E$2298)+COUNTIF($E$3:E63,E63)-1,"")</f>
        <v/>
      </c>
      <c r="Q63" s="8"/>
      <c r="R63" s="64"/>
      <c r="Z63" s="8"/>
    </row>
    <row r="64" spans="4:26" x14ac:dyDescent="0.25">
      <c r="D64" s="36" t="str" cm="1">
        <f t="array" aca="1" ref="D64" ca="1">IFERROR(IF(INDIRECT("'"&amp;F64&amp;"'!$C$5")&gt;0,DATE(YEAR(Dashboard!$AL$2),Dashboard!$AU$4,INDIRECT("'"&amp;F64&amp;"'!$C$5")),""),"")</f>
        <v/>
      </c>
      <c r="E64" s="50" t="str" cm="1">
        <f t="array" aca="1" ref="E64" ca="1">IF(G64="Credit Accounts",IFERROR(IF(INDIRECT("'"&amp;F64&amp;"'!$C$8")&gt;0,INDIRECT("'"&amp;F64&amp;"'!$F$2"),""),""),"")</f>
        <v/>
      </c>
      <c r="F64" s="37" t="str" cm="1">
        <f t="array" ref="F64">IFERROR(INDEX(Sheet_Names,K64),"")</f>
        <v/>
      </c>
      <c r="G64" s="38" t="str" cm="1">
        <f t="array" aca="1" ref="G64" ca="1">IF(F64="",
    "",
    IFERROR(
        IF(INDIRECT("'"&amp;F64&amp;"'!$B$2")="Credit Limit",
            "Credit Accounts",
            IF(INDIRECT("'"&amp;F64&amp;"'!$E$2")="Location",
                "Cash Accounts",
                IF(INDIRECT("'"&amp;F64&amp;"'!$B$2")="Amount",
                    "Investments",
                    "Bill Accounts"
                )
            )
        ),
    "")
)</f>
        <v/>
      </c>
      <c r="H64" s="46" t="str" cm="1">
        <f t="array" aca="1" ref="H64" ca="1">IF(F64&lt;&gt;"",INDIRECT("'"&amp;F64&amp;"'!$C$10"),"")</f>
        <v/>
      </c>
      <c r="I64" s="46" t="str" cm="1">
        <f t="array" aca="1" ref="I64" ca="1">IF(F64&lt;&gt;"",IF(OR(G64="Bill Accounts",G64="Investments", G64="Cash Accounts"),INDIRECT("'"&amp;F64&amp;"'!$C$10"),INDIRECT("'"&amp;F64&amp;"'!$C$8")),"")</f>
        <v/>
      </c>
      <c r="J64" s="46" t="str" cm="1">
        <f t="array" aca="1" ref="J64" ca="1">IF(F64&lt;&gt;"",ABS(INDIRECT("'"&amp;F64&amp;"'!$I$2")),"")</f>
        <v/>
      </c>
      <c r="K64" s="48">
        <f t="shared" si="3"/>
        <v>70</v>
      </c>
      <c r="L64" s="114" t="str" cm="1">
        <f t="array" aca="1" ref="L64" ca="1">IF(F64&lt;&gt;"",INDIRECT("'"&amp;F64&amp;"'!$F$17"),"")</f>
        <v/>
      </c>
      <c r="M64" s="116" t="str">
        <f t="shared" ca="1" si="1"/>
        <v/>
      </c>
      <c r="O64" s="49" t="str">
        <f t="shared" ca="1" si="2"/>
        <v/>
      </c>
      <c r="P64" s="38" t="str">
        <f ca="1">IF(E64&lt;&gt;"",RANK(E64,$E$3:$E$2298)+COUNTIF($E$3:E64,E64)-1,"")</f>
        <v/>
      </c>
      <c r="Q64" s="8"/>
      <c r="R64" s="64"/>
      <c r="Z64" s="8"/>
    </row>
    <row r="65" spans="4:26" x14ac:dyDescent="0.25">
      <c r="D65" s="36" t="str" cm="1">
        <f t="array" aca="1" ref="D65" ca="1">IFERROR(IF(INDIRECT("'"&amp;F65&amp;"'!$C$5")&gt;0,DATE(YEAR(Dashboard!$AL$2),Dashboard!$AU$4,INDIRECT("'"&amp;F65&amp;"'!$C$5")),""),"")</f>
        <v/>
      </c>
      <c r="E65" s="50" t="str" cm="1">
        <f t="array" aca="1" ref="E65" ca="1">IF(G65="Credit Accounts",IFERROR(IF(INDIRECT("'"&amp;F65&amp;"'!$C$8")&gt;0,INDIRECT("'"&amp;F65&amp;"'!$F$2"),""),""),"")</f>
        <v/>
      </c>
      <c r="F65" s="37" t="str" cm="1">
        <f t="array" ref="F65">IFERROR(INDEX(Sheet_Names,K65),"")</f>
        <v/>
      </c>
      <c r="G65" s="38" t="str" cm="1">
        <f t="array" aca="1" ref="G65" ca="1">IF(F65="",
    "",
    IFERROR(
        IF(INDIRECT("'"&amp;F65&amp;"'!$B$2")="Credit Limit",
            "Credit Accounts",
            IF(INDIRECT("'"&amp;F65&amp;"'!$E$2")="Location",
                "Cash Accounts",
                IF(INDIRECT("'"&amp;F65&amp;"'!$B$2")="Amount",
                    "Investments",
                    "Bill Accounts"
                )
            )
        ),
    "")
)</f>
        <v/>
      </c>
      <c r="H65" s="46" t="str" cm="1">
        <f t="array" aca="1" ref="H65" ca="1">IF(F65&lt;&gt;"",INDIRECT("'"&amp;F65&amp;"'!$C$10"),"")</f>
        <v/>
      </c>
      <c r="I65" s="46" t="str" cm="1">
        <f t="array" aca="1" ref="I65" ca="1">IF(F65&lt;&gt;"",IF(OR(G65="Bill Accounts",G65="Investments", G65="Cash Accounts"),INDIRECT("'"&amp;F65&amp;"'!$C$10"),INDIRECT("'"&amp;F65&amp;"'!$C$8")),"")</f>
        <v/>
      </c>
      <c r="J65" s="46" t="str" cm="1">
        <f t="array" aca="1" ref="J65" ca="1">IF(F65&lt;&gt;"",ABS(INDIRECT("'"&amp;F65&amp;"'!$I$2")),"")</f>
        <v/>
      </c>
      <c r="K65" s="48">
        <f t="shared" si="3"/>
        <v>71</v>
      </c>
      <c r="L65" s="114" t="str" cm="1">
        <f t="array" aca="1" ref="L65" ca="1">IF(F65&lt;&gt;"",INDIRECT("'"&amp;F65&amp;"'!$F$17"),"")</f>
        <v/>
      </c>
      <c r="M65" s="116" t="str">
        <f t="shared" ca="1" si="1"/>
        <v/>
      </c>
      <c r="O65" s="49" t="str">
        <f t="shared" ca="1" si="2"/>
        <v/>
      </c>
      <c r="P65" s="38" t="str">
        <f ca="1">IF(E65&lt;&gt;"",RANK(E65,$E$3:$E$2298)+COUNTIF($E$3:E65,E65)-1,"")</f>
        <v/>
      </c>
      <c r="Q65" s="8"/>
      <c r="R65" s="64"/>
      <c r="Z65" s="8"/>
    </row>
    <row r="66" spans="4:26" x14ac:dyDescent="0.25">
      <c r="D66" s="36" t="str" cm="1">
        <f t="array" aca="1" ref="D66" ca="1">IFERROR(IF(INDIRECT("'"&amp;F66&amp;"'!$C$5")&gt;0,DATE(YEAR(Dashboard!$AL$2),Dashboard!$AU$4,INDIRECT("'"&amp;F66&amp;"'!$C$5")),""),"")</f>
        <v/>
      </c>
      <c r="E66" s="50" t="str" cm="1">
        <f t="array" aca="1" ref="E66" ca="1">IF(G66="Credit Accounts",IFERROR(IF(INDIRECT("'"&amp;F66&amp;"'!$C$8")&gt;0,INDIRECT("'"&amp;F66&amp;"'!$F$2"),""),""),"")</f>
        <v/>
      </c>
      <c r="F66" s="37" t="str" cm="1">
        <f t="array" ref="F66">IFERROR(INDEX(Sheet_Names,K66),"")</f>
        <v/>
      </c>
      <c r="G66" s="38" t="str" cm="1">
        <f t="array" aca="1" ref="G66" ca="1">IF(F66="",
    "",
    IFERROR(
        IF(INDIRECT("'"&amp;F66&amp;"'!$B$2")="Credit Limit",
            "Credit Accounts",
            IF(INDIRECT("'"&amp;F66&amp;"'!$E$2")="Location",
                "Cash Accounts",
                IF(INDIRECT("'"&amp;F66&amp;"'!$B$2")="Amount",
                    "Investments",
                    "Bill Accounts"
                )
            )
        ),
    "")
)</f>
        <v/>
      </c>
      <c r="H66" s="46" t="str" cm="1">
        <f t="array" aca="1" ref="H66" ca="1">IF(F66&lt;&gt;"",INDIRECT("'"&amp;F66&amp;"'!$C$10"),"")</f>
        <v/>
      </c>
      <c r="I66" s="46" t="str" cm="1">
        <f t="array" aca="1" ref="I66" ca="1">IF(F66&lt;&gt;"",IF(OR(G66="Bill Accounts",G66="Investments", G66="Cash Accounts"),INDIRECT("'"&amp;F66&amp;"'!$C$10"),INDIRECT("'"&amp;F66&amp;"'!$C$8")),"")</f>
        <v/>
      </c>
      <c r="J66" s="46" t="str" cm="1">
        <f t="array" aca="1" ref="J66" ca="1">IF(F66&lt;&gt;"",ABS(INDIRECT("'"&amp;F66&amp;"'!$I$2")),"")</f>
        <v/>
      </c>
      <c r="K66" s="48">
        <f t="shared" si="3"/>
        <v>72</v>
      </c>
      <c r="L66" s="114" t="str" cm="1">
        <f t="array" aca="1" ref="L66" ca="1">IF(F66&lt;&gt;"",INDIRECT("'"&amp;F66&amp;"'!$F$17"),"")</f>
        <v/>
      </c>
      <c r="M66" s="116" t="str">
        <f t="shared" ca="1" si="1"/>
        <v/>
      </c>
      <c r="O66" s="49" t="str">
        <f t="shared" ca="1" si="2"/>
        <v/>
      </c>
      <c r="P66" s="38" t="str">
        <f ca="1">IF(E66&lt;&gt;"",RANK(E66,$E$3:$E$2298)+COUNTIF($E$3:E66,E66)-1,"")</f>
        <v/>
      </c>
      <c r="Q66" s="8"/>
      <c r="R66" s="64"/>
      <c r="Z66" s="8"/>
    </row>
    <row r="67" spans="4:26" x14ac:dyDescent="0.25">
      <c r="D67" s="36" t="str" cm="1">
        <f t="array" aca="1" ref="D67" ca="1">IFERROR(IF(INDIRECT("'"&amp;F67&amp;"'!$C$5")&gt;0,DATE(YEAR(Dashboard!$AL$2),Dashboard!$AU$4,INDIRECT("'"&amp;F67&amp;"'!$C$5")),""),"")</f>
        <v/>
      </c>
      <c r="E67" s="50" t="str" cm="1">
        <f t="array" aca="1" ref="E67" ca="1">IF(G67="Credit Accounts",IFERROR(IF(INDIRECT("'"&amp;F67&amp;"'!$C$8")&gt;0,INDIRECT("'"&amp;F67&amp;"'!$F$2"),""),""),"")</f>
        <v/>
      </c>
      <c r="F67" s="37" t="str" cm="1">
        <f t="array" ref="F67">IFERROR(INDEX(Sheet_Names,K67),"")</f>
        <v/>
      </c>
      <c r="G67" s="38" t="str" cm="1">
        <f t="array" aca="1" ref="G67" ca="1">IF(F67="",
    "",
    IFERROR(
        IF(INDIRECT("'"&amp;F67&amp;"'!$B$2")="Credit Limit",
            "Credit Accounts",
            IF(INDIRECT("'"&amp;F67&amp;"'!$E$2")="Location",
                "Cash Accounts",
                IF(INDIRECT("'"&amp;F67&amp;"'!$B$2")="Amount",
                    "Investments",
                    "Bill Accounts"
                )
            )
        ),
    "")
)</f>
        <v/>
      </c>
      <c r="H67" s="46" t="str" cm="1">
        <f t="array" aca="1" ref="H67" ca="1">IF(F67&lt;&gt;"",INDIRECT("'"&amp;F67&amp;"'!$C$10"),"")</f>
        <v/>
      </c>
      <c r="I67" s="46" t="str" cm="1">
        <f t="array" aca="1" ref="I67" ca="1">IF(F67&lt;&gt;"",IF(OR(G67="Bill Accounts",G67="Investments", G67="Cash Accounts"),INDIRECT("'"&amp;F67&amp;"'!$C$10"),INDIRECT("'"&amp;F67&amp;"'!$C$8")),"")</f>
        <v/>
      </c>
      <c r="J67" s="46" t="str" cm="1">
        <f t="array" aca="1" ref="J67" ca="1">IF(F67&lt;&gt;"",ABS(INDIRECT("'"&amp;F67&amp;"'!$I$2")),"")</f>
        <v/>
      </c>
      <c r="K67" s="48">
        <f t="shared" si="3"/>
        <v>73</v>
      </c>
      <c r="L67" s="114" t="str" cm="1">
        <f t="array" aca="1" ref="L67" ca="1">IF(F67&lt;&gt;"",INDIRECT("'"&amp;F67&amp;"'!$F$17"),"")</f>
        <v/>
      </c>
      <c r="M67" s="116" t="str">
        <f t="shared" ca="1" si="1"/>
        <v/>
      </c>
      <c r="O67" s="49" t="str">
        <f t="shared" ca="1" si="2"/>
        <v/>
      </c>
      <c r="P67" s="38" t="str">
        <f ca="1">IF(E67&lt;&gt;"",RANK(E67,$E$3:$E$2298)+COUNTIF($E$3:E67,E67)-1,"")</f>
        <v/>
      </c>
      <c r="Q67" s="8"/>
      <c r="R67" s="64"/>
      <c r="Z67" s="8"/>
    </row>
    <row r="68" spans="4:26" x14ac:dyDescent="0.25">
      <c r="D68" s="36" t="str" cm="1">
        <f t="array" aca="1" ref="D68" ca="1">IFERROR(IF(INDIRECT("'"&amp;F68&amp;"'!$C$5")&gt;0,DATE(YEAR(Dashboard!$AL$2),Dashboard!$AU$4,INDIRECT("'"&amp;F68&amp;"'!$C$5")),""),"")</f>
        <v/>
      </c>
      <c r="E68" s="50" t="str" cm="1">
        <f t="array" aca="1" ref="E68" ca="1">IF(G68="Credit Accounts",IFERROR(IF(INDIRECT("'"&amp;F68&amp;"'!$C$8")&gt;0,INDIRECT("'"&amp;F68&amp;"'!$F$2"),""),""),"")</f>
        <v/>
      </c>
      <c r="F68" s="37" t="str" cm="1">
        <f t="array" ref="F68">IFERROR(INDEX(Sheet_Names,K68),"")</f>
        <v/>
      </c>
      <c r="G68" s="38" t="str" cm="1">
        <f t="array" aca="1" ref="G68" ca="1">IF(F68="",
    "",
    IFERROR(
        IF(INDIRECT("'"&amp;F68&amp;"'!$B$2")="Credit Limit",
            "Credit Accounts",
            IF(INDIRECT("'"&amp;F68&amp;"'!$E$2")="Location",
                "Cash Accounts",
                IF(INDIRECT("'"&amp;F68&amp;"'!$B$2")="Amount",
                    "Investments",
                    "Bill Accounts"
                )
            )
        ),
    "")
)</f>
        <v/>
      </c>
      <c r="H68" s="46" t="str" cm="1">
        <f t="array" aca="1" ref="H68" ca="1">IF(F68&lt;&gt;"",INDIRECT("'"&amp;F68&amp;"'!$C$10"),"")</f>
        <v/>
      </c>
      <c r="I68" s="46" t="str" cm="1">
        <f t="array" aca="1" ref="I68" ca="1">IF(F68&lt;&gt;"",IF(OR(G68="Bill Accounts",G68="Investments", G68="Cash Accounts"),INDIRECT("'"&amp;F68&amp;"'!$C$10"),INDIRECT("'"&amp;F68&amp;"'!$C$8")),"")</f>
        <v/>
      </c>
      <c r="J68" s="46" t="str" cm="1">
        <f t="array" aca="1" ref="J68" ca="1">IF(F68&lt;&gt;"",ABS(INDIRECT("'"&amp;F68&amp;"'!$I$2")),"")</f>
        <v/>
      </c>
      <c r="K68" s="48">
        <f t="shared" si="3"/>
        <v>74</v>
      </c>
      <c r="L68" s="114" t="str" cm="1">
        <f t="array" aca="1" ref="L68" ca="1">IF(F68&lt;&gt;"",INDIRECT("'"&amp;F68&amp;"'!$F$17"),"")</f>
        <v/>
      </c>
      <c r="M68" s="116" t="str">
        <f t="shared" ref="M68:M131" ca="1" si="4">IF(G68="Credit Accounts",EDATE(TODAY(),INDIRECT("'"&amp;F68&amp;"'!$C$14")),"")</f>
        <v/>
      </c>
      <c r="O68" s="49" t="str">
        <f t="shared" ref="O68:O131" ca="1" si="5">IF(D68&lt;&gt;"",DAY(D68),"")</f>
        <v/>
      </c>
      <c r="P68" s="38" t="str">
        <f ca="1">IF(E68&lt;&gt;"",RANK(E68,$E$3:$E$2298)+COUNTIF($E$3:E68,E68)-1,"")</f>
        <v/>
      </c>
      <c r="Q68" s="8"/>
      <c r="R68" s="64"/>
      <c r="Z68" s="8"/>
    </row>
    <row r="69" spans="4:26" x14ac:dyDescent="0.25">
      <c r="D69" s="36" t="str" cm="1">
        <f t="array" aca="1" ref="D69" ca="1">IFERROR(IF(INDIRECT("'"&amp;F69&amp;"'!$C$5")&gt;0,DATE(YEAR(Dashboard!$AL$2),Dashboard!$AU$4,INDIRECT("'"&amp;F69&amp;"'!$C$5")),""),"")</f>
        <v/>
      </c>
      <c r="E69" s="50" t="str" cm="1">
        <f t="array" aca="1" ref="E69" ca="1">IF(G69="Credit Accounts",IFERROR(IF(INDIRECT("'"&amp;F69&amp;"'!$C$8")&gt;0,INDIRECT("'"&amp;F69&amp;"'!$F$2"),""),""),"")</f>
        <v/>
      </c>
      <c r="F69" s="37" t="str" cm="1">
        <f t="array" ref="F69">IFERROR(INDEX(Sheet_Names,K69),"")</f>
        <v/>
      </c>
      <c r="G69" s="38" t="str" cm="1">
        <f t="array" aca="1" ref="G69" ca="1">IF(F69="",
    "",
    IFERROR(
        IF(INDIRECT("'"&amp;F69&amp;"'!$B$2")="Credit Limit",
            "Credit Accounts",
            IF(INDIRECT("'"&amp;F69&amp;"'!$E$2")="Location",
                "Cash Accounts",
                IF(INDIRECT("'"&amp;F69&amp;"'!$B$2")="Amount",
                    "Investments",
                    "Bill Accounts"
                )
            )
        ),
    "")
)</f>
        <v/>
      </c>
      <c r="H69" s="46" t="str" cm="1">
        <f t="array" aca="1" ref="H69" ca="1">IF(F69&lt;&gt;"",INDIRECT("'"&amp;F69&amp;"'!$C$10"),"")</f>
        <v/>
      </c>
      <c r="I69" s="46" t="str" cm="1">
        <f t="array" aca="1" ref="I69" ca="1">IF(F69&lt;&gt;"",IF(OR(G69="Bill Accounts",G69="Investments", G69="Cash Accounts"),INDIRECT("'"&amp;F69&amp;"'!$C$10"),INDIRECT("'"&amp;F69&amp;"'!$C$8")),"")</f>
        <v/>
      </c>
      <c r="J69" s="46" t="str" cm="1">
        <f t="array" aca="1" ref="J69" ca="1">IF(F69&lt;&gt;"",ABS(INDIRECT("'"&amp;F69&amp;"'!$I$2")),"")</f>
        <v/>
      </c>
      <c r="K69" s="48">
        <f t="shared" si="3"/>
        <v>75</v>
      </c>
      <c r="L69" s="114" t="str" cm="1">
        <f t="array" aca="1" ref="L69" ca="1">IF(F69&lt;&gt;"",INDIRECT("'"&amp;F69&amp;"'!$F$17"),"")</f>
        <v/>
      </c>
      <c r="M69" s="116" t="str">
        <f t="shared" ca="1" si="4"/>
        <v/>
      </c>
      <c r="O69" s="49" t="str">
        <f t="shared" ca="1" si="5"/>
        <v/>
      </c>
      <c r="P69" s="38" t="str">
        <f ca="1">IF(E69&lt;&gt;"",RANK(E69,$E$3:$E$2298)+COUNTIF($E$3:E69,E69)-1,"")</f>
        <v/>
      </c>
      <c r="Q69" s="8"/>
      <c r="R69" s="64"/>
      <c r="Z69" s="8"/>
    </row>
    <row r="70" spans="4:26" x14ac:dyDescent="0.25">
      <c r="D70" s="36" t="str" cm="1">
        <f t="array" aca="1" ref="D70" ca="1">IFERROR(IF(INDIRECT("'"&amp;F70&amp;"'!$C$5")&gt;0,DATE(YEAR(Dashboard!$AL$2),Dashboard!$AU$4,INDIRECT("'"&amp;F70&amp;"'!$C$5")),""),"")</f>
        <v/>
      </c>
      <c r="E70" s="50" t="str" cm="1">
        <f t="array" aca="1" ref="E70" ca="1">IF(G70="Credit Accounts",IFERROR(IF(INDIRECT("'"&amp;F70&amp;"'!$C$8")&gt;0,INDIRECT("'"&amp;F70&amp;"'!$F$2"),""),""),"")</f>
        <v/>
      </c>
      <c r="F70" s="37" t="str" cm="1">
        <f t="array" ref="F70">IFERROR(INDEX(Sheet_Names,K70),"")</f>
        <v/>
      </c>
      <c r="G70" s="38" t="str" cm="1">
        <f t="array" aca="1" ref="G70" ca="1">IF(F70="",
    "",
    IFERROR(
        IF(INDIRECT("'"&amp;F70&amp;"'!$B$2")="Credit Limit",
            "Credit Accounts",
            IF(INDIRECT("'"&amp;F70&amp;"'!$E$2")="Location",
                "Cash Accounts",
                IF(INDIRECT("'"&amp;F70&amp;"'!$B$2")="Amount",
                    "Investments",
                    "Bill Accounts"
                )
            )
        ),
    "")
)</f>
        <v/>
      </c>
      <c r="H70" s="46" t="str" cm="1">
        <f t="array" aca="1" ref="H70" ca="1">IF(F70&lt;&gt;"",INDIRECT("'"&amp;F70&amp;"'!$C$10"),"")</f>
        <v/>
      </c>
      <c r="I70" s="46" t="str" cm="1">
        <f t="array" aca="1" ref="I70" ca="1">IF(F70&lt;&gt;"",IF(OR(G70="Bill Accounts",G70="Investments", G70="Cash Accounts"),INDIRECT("'"&amp;F70&amp;"'!$C$10"),INDIRECT("'"&amp;F70&amp;"'!$C$8")),"")</f>
        <v/>
      </c>
      <c r="J70" s="46" t="str" cm="1">
        <f t="array" aca="1" ref="J70" ca="1">IF(F70&lt;&gt;"",ABS(INDIRECT("'"&amp;F70&amp;"'!$I$2")),"")</f>
        <v/>
      </c>
      <c r="K70" s="48">
        <f t="shared" si="3"/>
        <v>76</v>
      </c>
      <c r="L70" s="114" t="str" cm="1">
        <f t="array" aca="1" ref="L70" ca="1">IF(F70&lt;&gt;"",INDIRECT("'"&amp;F70&amp;"'!$F$17"),"")</f>
        <v/>
      </c>
      <c r="M70" s="116" t="str">
        <f t="shared" ca="1" si="4"/>
        <v/>
      </c>
      <c r="O70" s="49" t="str">
        <f t="shared" ca="1" si="5"/>
        <v/>
      </c>
      <c r="P70" s="38" t="str">
        <f ca="1">IF(E70&lt;&gt;"",RANK(E70,$E$3:$E$2298)+COUNTIF($E$3:E70,E70)-1,"")</f>
        <v/>
      </c>
      <c r="Q70" s="8"/>
      <c r="R70" s="64"/>
      <c r="Z70" s="8"/>
    </row>
    <row r="71" spans="4:26" x14ac:dyDescent="0.25">
      <c r="D71" s="36" t="str" cm="1">
        <f t="array" aca="1" ref="D71" ca="1">IFERROR(IF(INDIRECT("'"&amp;F71&amp;"'!$C$5")&gt;0,DATE(YEAR(Dashboard!$AL$2),Dashboard!$AU$4,INDIRECT("'"&amp;F71&amp;"'!$C$5")),""),"")</f>
        <v/>
      </c>
      <c r="E71" s="50" t="str" cm="1">
        <f t="array" aca="1" ref="E71" ca="1">IF(G71="Credit Accounts",IFERROR(IF(INDIRECT("'"&amp;F71&amp;"'!$C$8")&gt;0,INDIRECT("'"&amp;F71&amp;"'!$F$2"),""),""),"")</f>
        <v/>
      </c>
      <c r="F71" s="37" t="str" cm="1">
        <f t="array" ref="F71">IFERROR(INDEX(Sheet_Names,K71),"")</f>
        <v/>
      </c>
      <c r="G71" s="38" t="str" cm="1">
        <f t="array" aca="1" ref="G71" ca="1">IF(F71="",
    "",
    IFERROR(
        IF(INDIRECT("'"&amp;F71&amp;"'!$B$2")="Credit Limit",
            "Credit Accounts",
            IF(INDIRECT("'"&amp;F71&amp;"'!$E$2")="Location",
                "Cash Accounts",
                IF(INDIRECT("'"&amp;F71&amp;"'!$B$2")="Amount",
                    "Investments",
                    "Bill Accounts"
                )
            )
        ),
    "")
)</f>
        <v/>
      </c>
      <c r="H71" s="46" t="str" cm="1">
        <f t="array" aca="1" ref="H71" ca="1">IF(F71&lt;&gt;"",INDIRECT("'"&amp;F71&amp;"'!$C$10"),"")</f>
        <v/>
      </c>
      <c r="I71" s="46" t="str" cm="1">
        <f t="array" aca="1" ref="I71" ca="1">IF(F71&lt;&gt;"",IF(OR(G71="Bill Accounts",G71="Investments", G71="Cash Accounts"),INDIRECT("'"&amp;F71&amp;"'!$C$10"),INDIRECT("'"&amp;F71&amp;"'!$C$8")),"")</f>
        <v/>
      </c>
      <c r="J71" s="46" t="str" cm="1">
        <f t="array" aca="1" ref="J71" ca="1">IF(F71&lt;&gt;"",ABS(INDIRECT("'"&amp;F71&amp;"'!$I$2")),"")</f>
        <v/>
      </c>
      <c r="K71" s="48">
        <f t="shared" si="3"/>
        <v>77</v>
      </c>
      <c r="L71" s="114" t="str" cm="1">
        <f t="array" aca="1" ref="L71" ca="1">IF(F71&lt;&gt;"",INDIRECT("'"&amp;F71&amp;"'!$F$17"),"")</f>
        <v/>
      </c>
      <c r="M71" s="116" t="str">
        <f t="shared" ca="1" si="4"/>
        <v/>
      </c>
      <c r="O71" s="49" t="str">
        <f t="shared" ca="1" si="5"/>
        <v/>
      </c>
      <c r="P71" s="38" t="str">
        <f ca="1">IF(E71&lt;&gt;"",RANK(E71,$E$3:$E$2298)+COUNTIF($E$3:E71,E71)-1,"")</f>
        <v/>
      </c>
      <c r="Q71" s="8"/>
      <c r="R71" s="64"/>
      <c r="Z71" s="8"/>
    </row>
    <row r="72" spans="4:26" x14ac:dyDescent="0.25">
      <c r="D72" s="36" t="str" cm="1">
        <f t="array" aca="1" ref="D72" ca="1">IFERROR(IF(INDIRECT("'"&amp;F72&amp;"'!$C$5")&gt;0,DATE(YEAR(Dashboard!$AL$2),Dashboard!$AU$4,INDIRECT("'"&amp;F72&amp;"'!$C$5")),""),"")</f>
        <v/>
      </c>
      <c r="E72" s="50" t="str" cm="1">
        <f t="array" aca="1" ref="E72" ca="1">IF(G72="Credit Accounts",IFERROR(IF(INDIRECT("'"&amp;F72&amp;"'!$C$8")&gt;0,INDIRECT("'"&amp;F72&amp;"'!$F$2"),""),""),"")</f>
        <v/>
      </c>
      <c r="F72" s="37" t="str" cm="1">
        <f t="array" ref="F72">IFERROR(INDEX(Sheet_Names,K72),"")</f>
        <v/>
      </c>
      <c r="G72" s="38" t="str" cm="1">
        <f t="array" aca="1" ref="G72" ca="1">IF(F72="",
    "",
    IFERROR(
        IF(INDIRECT("'"&amp;F72&amp;"'!$B$2")="Credit Limit",
            "Credit Accounts",
            IF(INDIRECT("'"&amp;F72&amp;"'!$E$2")="Location",
                "Cash Accounts",
                IF(INDIRECT("'"&amp;F72&amp;"'!$B$2")="Amount",
                    "Investments",
                    "Bill Accounts"
                )
            )
        ),
    "")
)</f>
        <v/>
      </c>
      <c r="H72" s="46" t="str" cm="1">
        <f t="array" aca="1" ref="H72" ca="1">IF(F72&lt;&gt;"",INDIRECT("'"&amp;F72&amp;"'!$C$10"),"")</f>
        <v/>
      </c>
      <c r="I72" s="46" t="str" cm="1">
        <f t="array" aca="1" ref="I72" ca="1">IF(F72&lt;&gt;"",IF(OR(G72="Bill Accounts",G72="Investments", G72="Cash Accounts"),INDIRECT("'"&amp;F72&amp;"'!$C$10"),INDIRECT("'"&amp;F72&amp;"'!$C$8")),"")</f>
        <v/>
      </c>
      <c r="J72" s="46" t="str" cm="1">
        <f t="array" aca="1" ref="J72" ca="1">IF(F72&lt;&gt;"",ABS(INDIRECT("'"&amp;F72&amp;"'!$I$2")),"")</f>
        <v/>
      </c>
      <c r="K72" s="48">
        <f t="shared" ref="K72:K135" si="6">SUM(K71+1)</f>
        <v>78</v>
      </c>
      <c r="L72" s="114" t="str" cm="1">
        <f t="array" aca="1" ref="L72" ca="1">IF(F72&lt;&gt;"",INDIRECT("'"&amp;F72&amp;"'!$F$17"),"")</f>
        <v/>
      </c>
      <c r="M72" s="116" t="str">
        <f t="shared" ca="1" si="4"/>
        <v/>
      </c>
      <c r="O72" s="49" t="str">
        <f t="shared" ca="1" si="5"/>
        <v/>
      </c>
      <c r="P72" s="38" t="str">
        <f ca="1">IF(E72&lt;&gt;"",RANK(E72,$E$3:$E$2298)+COUNTIF($E$3:E72,E72)-1,"")</f>
        <v/>
      </c>
      <c r="Q72" s="8"/>
      <c r="R72" s="64"/>
      <c r="Z72" s="8"/>
    </row>
    <row r="73" spans="4:26" x14ac:dyDescent="0.25">
      <c r="D73" s="36" t="str" cm="1">
        <f t="array" aca="1" ref="D73" ca="1">IFERROR(IF(INDIRECT("'"&amp;F73&amp;"'!$C$5")&gt;0,DATE(YEAR(Dashboard!$AL$2),Dashboard!$AU$4,INDIRECT("'"&amp;F73&amp;"'!$C$5")),""),"")</f>
        <v/>
      </c>
      <c r="E73" s="50" t="str" cm="1">
        <f t="array" aca="1" ref="E73" ca="1">IF(G73="Credit Accounts",IFERROR(IF(INDIRECT("'"&amp;F73&amp;"'!$C$8")&gt;0,INDIRECT("'"&amp;F73&amp;"'!$F$2"),""),""),"")</f>
        <v/>
      </c>
      <c r="F73" s="37" t="str" cm="1">
        <f t="array" ref="F73">IFERROR(INDEX(Sheet_Names,K73),"")</f>
        <v/>
      </c>
      <c r="G73" s="38" t="str" cm="1">
        <f t="array" aca="1" ref="G73" ca="1">IF(F73="",
    "",
    IFERROR(
        IF(INDIRECT("'"&amp;F73&amp;"'!$B$2")="Credit Limit",
            "Credit Accounts",
            IF(INDIRECT("'"&amp;F73&amp;"'!$E$2")="Location",
                "Cash Accounts",
                IF(INDIRECT("'"&amp;F73&amp;"'!$B$2")="Amount",
                    "Investments",
                    "Bill Accounts"
                )
            )
        ),
    "")
)</f>
        <v/>
      </c>
      <c r="H73" s="46" t="str" cm="1">
        <f t="array" aca="1" ref="H73" ca="1">IF(F73&lt;&gt;"",INDIRECT("'"&amp;F73&amp;"'!$C$10"),"")</f>
        <v/>
      </c>
      <c r="I73" s="46" t="str" cm="1">
        <f t="array" aca="1" ref="I73" ca="1">IF(F73&lt;&gt;"",IF(OR(G73="Bill Accounts",G73="Investments", G73="Cash Accounts"),INDIRECT("'"&amp;F73&amp;"'!$C$10"),INDIRECT("'"&amp;F73&amp;"'!$C$8")),"")</f>
        <v/>
      </c>
      <c r="J73" s="46" t="str" cm="1">
        <f t="array" aca="1" ref="J73" ca="1">IF(F73&lt;&gt;"",ABS(INDIRECT("'"&amp;F73&amp;"'!$I$2")),"")</f>
        <v/>
      </c>
      <c r="K73" s="48">
        <f t="shared" si="6"/>
        <v>79</v>
      </c>
      <c r="L73" s="114" t="str" cm="1">
        <f t="array" aca="1" ref="L73" ca="1">IF(F73&lt;&gt;"",INDIRECT("'"&amp;F73&amp;"'!$F$17"),"")</f>
        <v/>
      </c>
      <c r="M73" s="116" t="str">
        <f t="shared" ca="1" si="4"/>
        <v/>
      </c>
      <c r="O73" s="49" t="str">
        <f t="shared" ca="1" si="5"/>
        <v/>
      </c>
      <c r="P73" s="38" t="str">
        <f ca="1">IF(E73&lt;&gt;"",RANK(E73,$E$3:$E$2298)+COUNTIF($E$3:E73,E73)-1,"")</f>
        <v/>
      </c>
      <c r="Q73" s="8"/>
      <c r="R73" s="64"/>
      <c r="Z73" s="8"/>
    </row>
    <row r="74" spans="4:26" x14ac:dyDescent="0.25">
      <c r="D74" s="36" t="str" cm="1">
        <f t="array" aca="1" ref="D74" ca="1">IFERROR(IF(INDIRECT("'"&amp;F74&amp;"'!$C$5")&gt;0,DATE(YEAR(Dashboard!$AL$2),Dashboard!$AU$4,INDIRECT("'"&amp;F74&amp;"'!$C$5")),""),"")</f>
        <v/>
      </c>
      <c r="E74" s="50" t="str" cm="1">
        <f t="array" aca="1" ref="E74" ca="1">IF(G74="Credit Accounts",IFERROR(IF(INDIRECT("'"&amp;F74&amp;"'!$C$8")&gt;0,INDIRECT("'"&amp;F74&amp;"'!$F$2"),""),""),"")</f>
        <v/>
      </c>
      <c r="F74" s="37" t="str" cm="1">
        <f t="array" ref="F74">IFERROR(INDEX(Sheet_Names,K74),"")</f>
        <v/>
      </c>
      <c r="G74" s="38" t="str" cm="1">
        <f t="array" aca="1" ref="G74" ca="1">IF(F74="",
    "",
    IFERROR(
        IF(INDIRECT("'"&amp;F74&amp;"'!$B$2")="Credit Limit",
            "Credit Accounts",
            IF(INDIRECT("'"&amp;F74&amp;"'!$E$2")="Location",
                "Cash Accounts",
                IF(INDIRECT("'"&amp;F74&amp;"'!$B$2")="Amount",
                    "Investments",
                    "Bill Accounts"
                )
            )
        ),
    "")
)</f>
        <v/>
      </c>
      <c r="H74" s="46" t="str" cm="1">
        <f t="array" aca="1" ref="H74" ca="1">IF(F74&lt;&gt;"",INDIRECT("'"&amp;F74&amp;"'!$C$10"),"")</f>
        <v/>
      </c>
      <c r="I74" s="46" t="str" cm="1">
        <f t="array" aca="1" ref="I74" ca="1">IF(F74&lt;&gt;"",IF(OR(G74="Bill Accounts",G74="Investments", G74="Cash Accounts"),INDIRECT("'"&amp;F74&amp;"'!$C$10"),INDIRECT("'"&amp;F74&amp;"'!$C$8")),"")</f>
        <v/>
      </c>
      <c r="J74" s="46" t="str" cm="1">
        <f t="array" aca="1" ref="J74" ca="1">IF(F74&lt;&gt;"",ABS(INDIRECT("'"&amp;F74&amp;"'!$I$2")),"")</f>
        <v/>
      </c>
      <c r="K74" s="48">
        <f t="shared" si="6"/>
        <v>80</v>
      </c>
      <c r="L74" s="114" t="str" cm="1">
        <f t="array" aca="1" ref="L74" ca="1">IF(F74&lt;&gt;"",INDIRECT("'"&amp;F74&amp;"'!$F$17"),"")</f>
        <v/>
      </c>
      <c r="M74" s="116" t="str">
        <f t="shared" ca="1" si="4"/>
        <v/>
      </c>
      <c r="O74" s="49" t="str">
        <f t="shared" ca="1" si="5"/>
        <v/>
      </c>
      <c r="P74" s="38" t="str">
        <f ca="1">IF(E74&lt;&gt;"",RANK(E74,$E$3:$E$2298)+COUNTIF($E$3:E74,E74)-1,"")</f>
        <v/>
      </c>
      <c r="Q74" s="8"/>
      <c r="R74" s="64"/>
      <c r="Z74" s="8"/>
    </row>
    <row r="75" spans="4:26" x14ac:dyDescent="0.25">
      <c r="D75" s="36" t="str" cm="1">
        <f t="array" aca="1" ref="D75" ca="1">IFERROR(IF(INDIRECT("'"&amp;F75&amp;"'!$C$5")&gt;0,DATE(YEAR(Dashboard!$AL$2),Dashboard!$AU$4,INDIRECT("'"&amp;F75&amp;"'!$C$5")),""),"")</f>
        <v/>
      </c>
      <c r="E75" s="50" t="str" cm="1">
        <f t="array" aca="1" ref="E75" ca="1">IF(G75="Credit Accounts",IFERROR(IF(INDIRECT("'"&amp;F75&amp;"'!$C$8")&gt;0,INDIRECT("'"&amp;F75&amp;"'!$F$2"),""),""),"")</f>
        <v/>
      </c>
      <c r="F75" s="37" t="str" cm="1">
        <f t="array" ref="F75">IFERROR(INDEX(Sheet_Names,K75),"")</f>
        <v/>
      </c>
      <c r="G75" s="38" t="str" cm="1">
        <f t="array" aca="1" ref="G75" ca="1">IF(F75="",
    "",
    IFERROR(
        IF(INDIRECT("'"&amp;F75&amp;"'!$B$2")="Credit Limit",
            "Credit Accounts",
            IF(INDIRECT("'"&amp;F75&amp;"'!$E$2")="Location",
                "Cash Accounts",
                IF(INDIRECT("'"&amp;F75&amp;"'!$B$2")="Amount",
                    "Investments",
                    "Bill Accounts"
                )
            )
        ),
    "")
)</f>
        <v/>
      </c>
      <c r="H75" s="46" t="str" cm="1">
        <f t="array" aca="1" ref="H75" ca="1">IF(F75&lt;&gt;"",INDIRECT("'"&amp;F75&amp;"'!$C$10"),"")</f>
        <v/>
      </c>
      <c r="I75" s="46" t="str" cm="1">
        <f t="array" aca="1" ref="I75" ca="1">IF(F75&lt;&gt;"",IF(OR(G75="Bill Accounts",G75="Investments", G75="Cash Accounts"),INDIRECT("'"&amp;F75&amp;"'!$C$10"),INDIRECT("'"&amp;F75&amp;"'!$C$8")),"")</f>
        <v/>
      </c>
      <c r="J75" s="46" t="str" cm="1">
        <f t="array" aca="1" ref="J75" ca="1">IF(F75&lt;&gt;"",ABS(INDIRECT("'"&amp;F75&amp;"'!$I$2")),"")</f>
        <v/>
      </c>
      <c r="K75" s="48">
        <f t="shared" si="6"/>
        <v>81</v>
      </c>
      <c r="L75" s="114" t="str" cm="1">
        <f t="array" aca="1" ref="L75" ca="1">IF(F75&lt;&gt;"",INDIRECT("'"&amp;F75&amp;"'!$F$17"),"")</f>
        <v/>
      </c>
      <c r="M75" s="116" t="str">
        <f t="shared" ca="1" si="4"/>
        <v/>
      </c>
      <c r="O75" s="49" t="str">
        <f t="shared" ca="1" si="5"/>
        <v/>
      </c>
      <c r="P75" s="38" t="str">
        <f ca="1">IF(E75&lt;&gt;"",RANK(E75,$E$3:$E$2298)+COUNTIF($E$3:E75,E75)-1,"")</f>
        <v/>
      </c>
      <c r="Q75" s="8"/>
      <c r="R75" s="64"/>
      <c r="Z75" s="8"/>
    </row>
    <row r="76" spans="4:26" x14ac:dyDescent="0.25">
      <c r="D76" s="36" t="str" cm="1">
        <f t="array" aca="1" ref="D76" ca="1">IFERROR(IF(INDIRECT("'"&amp;F76&amp;"'!$C$5")&gt;0,DATE(YEAR(Dashboard!$AL$2),Dashboard!$AU$4,INDIRECT("'"&amp;F76&amp;"'!$C$5")),""),"")</f>
        <v/>
      </c>
      <c r="E76" s="50" t="str" cm="1">
        <f t="array" aca="1" ref="E76" ca="1">IF(G76="Credit Accounts",IFERROR(IF(INDIRECT("'"&amp;F76&amp;"'!$C$8")&gt;0,INDIRECT("'"&amp;F76&amp;"'!$F$2"),""),""),"")</f>
        <v/>
      </c>
      <c r="F76" s="37" t="str" cm="1">
        <f t="array" ref="F76">IFERROR(INDEX(Sheet_Names,K76),"")</f>
        <v/>
      </c>
      <c r="G76" s="38" t="str" cm="1">
        <f t="array" aca="1" ref="G76" ca="1">IF(F76="",
    "",
    IFERROR(
        IF(INDIRECT("'"&amp;F76&amp;"'!$B$2")="Credit Limit",
            "Credit Accounts",
            IF(INDIRECT("'"&amp;F76&amp;"'!$E$2")="Location",
                "Cash Accounts",
                IF(INDIRECT("'"&amp;F76&amp;"'!$B$2")="Amount",
                    "Investments",
                    "Bill Accounts"
                )
            )
        ),
    "")
)</f>
        <v/>
      </c>
      <c r="H76" s="46" t="str" cm="1">
        <f t="array" aca="1" ref="H76" ca="1">IF(F76&lt;&gt;"",INDIRECT("'"&amp;F76&amp;"'!$C$10"),"")</f>
        <v/>
      </c>
      <c r="I76" s="46" t="str" cm="1">
        <f t="array" aca="1" ref="I76" ca="1">IF(F76&lt;&gt;"",IF(OR(G76="Bill Accounts",G76="Investments", G76="Cash Accounts"),INDIRECT("'"&amp;F76&amp;"'!$C$10"),INDIRECT("'"&amp;F76&amp;"'!$C$8")),"")</f>
        <v/>
      </c>
      <c r="J76" s="46" t="str" cm="1">
        <f t="array" aca="1" ref="J76" ca="1">IF(F76&lt;&gt;"",ABS(INDIRECT("'"&amp;F76&amp;"'!$I$2")),"")</f>
        <v/>
      </c>
      <c r="K76" s="48">
        <f t="shared" si="6"/>
        <v>82</v>
      </c>
      <c r="L76" s="114" t="str" cm="1">
        <f t="array" aca="1" ref="L76" ca="1">IF(F76&lt;&gt;"",INDIRECT("'"&amp;F76&amp;"'!$F$17"),"")</f>
        <v/>
      </c>
      <c r="M76" s="116" t="str">
        <f t="shared" ca="1" si="4"/>
        <v/>
      </c>
      <c r="O76" s="49" t="str">
        <f t="shared" ca="1" si="5"/>
        <v/>
      </c>
      <c r="P76" s="38" t="str">
        <f ca="1">IF(E76&lt;&gt;"",RANK(E76,$E$3:$E$2298)+COUNTIF($E$3:E76,E76)-1,"")</f>
        <v/>
      </c>
      <c r="Q76" s="8"/>
      <c r="R76" s="64"/>
      <c r="Z76" s="8"/>
    </row>
    <row r="77" spans="4:26" x14ac:dyDescent="0.25">
      <c r="D77" s="36" t="str" cm="1">
        <f t="array" aca="1" ref="D77" ca="1">IFERROR(IF(INDIRECT("'"&amp;F77&amp;"'!$C$5")&gt;0,DATE(YEAR(Dashboard!$AL$2),Dashboard!$AU$4,INDIRECT("'"&amp;F77&amp;"'!$C$5")),""),"")</f>
        <v/>
      </c>
      <c r="E77" s="50" t="str" cm="1">
        <f t="array" aca="1" ref="E77" ca="1">IF(G77="Credit Accounts",IFERROR(IF(INDIRECT("'"&amp;F77&amp;"'!$C$8")&gt;0,INDIRECT("'"&amp;F77&amp;"'!$F$2"),""),""),"")</f>
        <v/>
      </c>
      <c r="F77" s="37" t="str" cm="1">
        <f t="array" ref="F77">IFERROR(INDEX(Sheet_Names,K77),"")</f>
        <v/>
      </c>
      <c r="G77" s="38" t="str" cm="1">
        <f t="array" aca="1" ref="G77" ca="1">IF(F77="",
    "",
    IFERROR(
        IF(INDIRECT("'"&amp;F77&amp;"'!$B$2")="Credit Limit",
            "Credit Accounts",
            IF(INDIRECT("'"&amp;F77&amp;"'!$E$2")="Location",
                "Cash Accounts",
                IF(INDIRECT("'"&amp;F77&amp;"'!$B$2")="Amount",
                    "Investments",
                    "Bill Accounts"
                )
            )
        ),
    "")
)</f>
        <v/>
      </c>
      <c r="H77" s="46" t="str" cm="1">
        <f t="array" aca="1" ref="H77" ca="1">IF(F77&lt;&gt;"",INDIRECT("'"&amp;F77&amp;"'!$C$10"),"")</f>
        <v/>
      </c>
      <c r="I77" s="46" t="str" cm="1">
        <f t="array" aca="1" ref="I77" ca="1">IF(F77&lt;&gt;"",IF(OR(G77="Bill Accounts",G77="Investments", G77="Cash Accounts"),INDIRECT("'"&amp;F77&amp;"'!$C$10"),INDIRECT("'"&amp;F77&amp;"'!$C$8")),"")</f>
        <v/>
      </c>
      <c r="J77" s="46" t="str" cm="1">
        <f t="array" aca="1" ref="J77" ca="1">IF(F77&lt;&gt;"",ABS(INDIRECT("'"&amp;F77&amp;"'!$I$2")),"")</f>
        <v/>
      </c>
      <c r="K77" s="48">
        <f t="shared" si="6"/>
        <v>83</v>
      </c>
      <c r="L77" s="114" t="str" cm="1">
        <f t="array" aca="1" ref="L77" ca="1">IF(F77&lt;&gt;"",INDIRECT("'"&amp;F77&amp;"'!$F$17"),"")</f>
        <v/>
      </c>
      <c r="M77" s="116" t="str">
        <f t="shared" ca="1" si="4"/>
        <v/>
      </c>
      <c r="O77" s="49" t="str">
        <f t="shared" ca="1" si="5"/>
        <v/>
      </c>
      <c r="P77" s="38" t="str">
        <f ca="1">IF(E77&lt;&gt;"",RANK(E77,$E$3:$E$2298)+COUNTIF($E$3:E77,E77)-1,"")</f>
        <v/>
      </c>
      <c r="Q77" s="8"/>
      <c r="R77" s="64"/>
      <c r="Z77" s="8"/>
    </row>
    <row r="78" spans="4:26" x14ac:dyDescent="0.25">
      <c r="D78" s="36" t="str" cm="1">
        <f t="array" aca="1" ref="D78" ca="1">IFERROR(IF(INDIRECT("'"&amp;F78&amp;"'!$C$5")&gt;0,DATE(YEAR(Dashboard!$AL$2),Dashboard!$AU$4,INDIRECT("'"&amp;F78&amp;"'!$C$5")),""),"")</f>
        <v/>
      </c>
      <c r="E78" s="50" t="str" cm="1">
        <f t="array" aca="1" ref="E78" ca="1">IF(G78="Credit Accounts",IFERROR(IF(INDIRECT("'"&amp;F78&amp;"'!$C$8")&gt;0,INDIRECT("'"&amp;F78&amp;"'!$F$2"),""),""),"")</f>
        <v/>
      </c>
      <c r="F78" s="37" t="str" cm="1">
        <f t="array" ref="F78">IFERROR(INDEX(Sheet_Names,K78),"")</f>
        <v/>
      </c>
      <c r="G78" s="38" t="str" cm="1">
        <f t="array" aca="1" ref="G78" ca="1">IF(F78="",
    "",
    IFERROR(
        IF(INDIRECT("'"&amp;F78&amp;"'!$B$2")="Credit Limit",
            "Credit Accounts",
            IF(INDIRECT("'"&amp;F78&amp;"'!$E$2")="Location",
                "Cash Accounts",
                IF(INDIRECT("'"&amp;F78&amp;"'!$B$2")="Amount",
                    "Investments",
                    "Bill Accounts"
                )
            )
        ),
    "")
)</f>
        <v/>
      </c>
      <c r="H78" s="46" t="str" cm="1">
        <f t="array" aca="1" ref="H78" ca="1">IF(F78&lt;&gt;"",INDIRECT("'"&amp;F78&amp;"'!$C$10"),"")</f>
        <v/>
      </c>
      <c r="I78" s="46" t="str" cm="1">
        <f t="array" aca="1" ref="I78" ca="1">IF(F78&lt;&gt;"",IF(OR(G78="Bill Accounts",G78="Investments", G78="Cash Accounts"),INDIRECT("'"&amp;F78&amp;"'!$C$10"),INDIRECT("'"&amp;F78&amp;"'!$C$8")),"")</f>
        <v/>
      </c>
      <c r="J78" s="46" t="str" cm="1">
        <f t="array" aca="1" ref="J78" ca="1">IF(F78&lt;&gt;"",ABS(INDIRECT("'"&amp;F78&amp;"'!$I$2")),"")</f>
        <v/>
      </c>
      <c r="K78" s="48">
        <f t="shared" si="6"/>
        <v>84</v>
      </c>
      <c r="L78" s="114" t="str" cm="1">
        <f t="array" aca="1" ref="L78" ca="1">IF(F78&lt;&gt;"",INDIRECT("'"&amp;F78&amp;"'!$F$17"),"")</f>
        <v/>
      </c>
      <c r="M78" s="116" t="str">
        <f t="shared" ca="1" si="4"/>
        <v/>
      </c>
      <c r="O78" s="49" t="str">
        <f t="shared" ca="1" si="5"/>
        <v/>
      </c>
      <c r="P78" s="38" t="str">
        <f ca="1">IF(E78&lt;&gt;"",RANK(E78,$E$3:$E$2298)+COUNTIF($E$3:E78,E78)-1,"")</f>
        <v/>
      </c>
      <c r="Q78" s="8"/>
      <c r="R78" s="64"/>
      <c r="Z78" s="8"/>
    </row>
    <row r="79" spans="4:26" x14ac:dyDescent="0.25">
      <c r="D79" s="36" t="str" cm="1">
        <f t="array" aca="1" ref="D79" ca="1">IFERROR(IF(INDIRECT("'"&amp;F79&amp;"'!$C$5")&gt;0,DATE(YEAR(Dashboard!$AL$2),Dashboard!$AU$4,INDIRECT("'"&amp;F79&amp;"'!$C$5")),""),"")</f>
        <v/>
      </c>
      <c r="E79" s="50" t="str" cm="1">
        <f t="array" aca="1" ref="E79" ca="1">IF(G79="Credit Accounts",IFERROR(IF(INDIRECT("'"&amp;F79&amp;"'!$C$8")&gt;0,INDIRECT("'"&amp;F79&amp;"'!$F$2"),""),""),"")</f>
        <v/>
      </c>
      <c r="F79" s="37" t="str" cm="1">
        <f t="array" ref="F79">IFERROR(INDEX(Sheet_Names,K79),"")</f>
        <v/>
      </c>
      <c r="G79" s="38" t="str" cm="1">
        <f t="array" aca="1" ref="G79" ca="1">IF(F79="",
    "",
    IFERROR(
        IF(INDIRECT("'"&amp;F79&amp;"'!$B$2")="Credit Limit",
            "Credit Accounts",
            IF(INDIRECT("'"&amp;F79&amp;"'!$E$2")="Location",
                "Cash Accounts",
                IF(INDIRECT("'"&amp;F79&amp;"'!$B$2")="Amount",
                    "Investments",
                    "Bill Accounts"
                )
            )
        ),
    "")
)</f>
        <v/>
      </c>
      <c r="H79" s="46" t="str" cm="1">
        <f t="array" aca="1" ref="H79" ca="1">IF(F79&lt;&gt;"",INDIRECT("'"&amp;F79&amp;"'!$C$10"),"")</f>
        <v/>
      </c>
      <c r="I79" s="46" t="str" cm="1">
        <f t="array" aca="1" ref="I79" ca="1">IF(F79&lt;&gt;"",IF(OR(G79="Bill Accounts",G79="Investments", G79="Cash Accounts"),INDIRECT("'"&amp;F79&amp;"'!$C$10"),INDIRECT("'"&amp;F79&amp;"'!$C$8")),"")</f>
        <v/>
      </c>
      <c r="J79" s="46" t="str" cm="1">
        <f t="array" aca="1" ref="J79" ca="1">IF(F79&lt;&gt;"",ABS(INDIRECT("'"&amp;F79&amp;"'!$I$2")),"")</f>
        <v/>
      </c>
      <c r="K79" s="48">
        <f t="shared" si="6"/>
        <v>85</v>
      </c>
      <c r="L79" s="114" t="str" cm="1">
        <f t="array" aca="1" ref="L79" ca="1">IF(F79&lt;&gt;"",INDIRECT("'"&amp;F79&amp;"'!$F$17"),"")</f>
        <v/>
      </c>
      <c r="M79" s="116" t="str">
        <f t="shared" ca="1" si="4"/>
        <v/>
      </c>
      <c r="O79" s="49" t="str">
        <f t="shared" ca="1" si="5"/>
        <v/>
      </c>
      <c r="P79" s="38" t="str">
        <f ca="1">IF(E79&lt;&gt;"",RANK(E79,$E$3:$E$2298)+COUNTIF($E$3:E79,E79)-1,"")</f>
        <v/>
      </c>
      <c r="Q79" s="8"/>
      <c r="R79" s="64"/>
      <c r="Z79" s="8"/>
    </row>
    <row r="80" spans="4:26" x14ac:dyDescent="0.25">
      <c r="D80" s="36" t="str" cm="1">
        <f t="array" aca="1" ref="D80" ca="1">IFERROR(IF(INDIRECT("'"&amp;F80&amp;"'!$C$5")&gt;0,DATE(YEAR(Dashboard!$AL$2),Dashboard!$AU$4,INDIRECT("'"&amp;F80&amp;"'!$C$5")),""),"")</f>
        <v/>
      </c>
      <c r="E80" s="50" t="str" cm="1">
        <f t="array" aca="1" ref="E80" ca="1">IF(G80="Credit Accounts",IFERROR(IF(INDIRECT("'"&amp;F80&amp;"'!$C$8")&gt;0,INDIRECT("'"&amp;F80&amp;"'!$F$2"),""),""),"")</f>
        <v/>
      </c>
      <c r="F80" s="37" t="str" cm="1">
        <f t="array" ref="F80">IFERROR(INDEX(Sheet_Names,K80),"")</f>
        <v/>
      </c>
      <c r="G80" s="38" t="str" cm="1">
        <f t="array" aca="1" ref="G80" ca="1">IF(F80="",
    "",
    IFERROR(
        IF(INDIRECT("'"&amp;F80&amp;"'!$B$2")="Credit Limit",
            "Credit Accounts",
            IF(INDIRECT("'"&amp;F80&amp;"'!$E$2")="Location",
                "Cash Accounts",
                IF(INDIRECT("'"&amp;F80&amp;"'!$B$2")="Amount",
                    "Investments",
                    "Bill Accounts"
                )
            )
        ),
    "")
)</f>
        <v/>
      </c>
      <c r="H80" s="46" t="str" cm="1">
        <f t="array" aca="1" ref="H80" ca="1">IF(F80&lt;&gt;"",INDIRECT("'"&amp;F80&amp;"'!$C$10"),"")</f>
        <v/>
      </c>
      <c r="I80" s="46" t="str" cm="1">
        <f t="array" aca="1" ref="I80" ca="1">IF(F80&lt;&gt;"",IF(OR(G80="Bill Accounts",G80="Investments", G80="Cash Accounts"),INDIRECT("'"&amp;F80&amp;"'!$C$10"),INDIRECT("'"&amp;F80&amp;"'!$C$8")),"")</f>
        <v/>
      </c>
      <c r="J80" s="46" t="str" cm="1">
        <f t="array" aca="1" ref="J80" ca="1">IF(F80&lt;&gt;"",ABS(INDIRECT("'"&amp;F80&amp;"'!$I$2")),"")</f>
        <v/>
      </c>
      <c r="K80" s="48">
        <f t="shared" si="6"/>
        <v>86</v>
      </c>
      <c r="L80" s="114" t="str" cm="1">
        <f t="array" aca="1" ref="L80" ca="1">IF(F80&lt;&gt;"",INDIRECT("'"&amp;F80&amp;"'!$F$17"),"")</f>
        <v/>
      </c>
      <c r="M80" s="116" t="str">
        <f t="shared" ca="1" si="4"/>
        <v/>
      </c>
      <c r="O80" s="49" t="str">
        <f t="shared" ca="1" si="5"/>
        <v/>
      </c>
      <c r="P80" s="38" t="str">
        <f ca="1">IF(E80&lt;&gt;"",RANK(E80,$E$3:$E$2298)+COUNTIF($E$3:E80,E80)-1,"")</f>
        <v/>
      </c>
      <c r="Q80" s="8"/>
      <c r="R80" s="64"/>
      <c r="Z80" s="8"/>
    </row>
    <row r="81" spans="4:26" x14ac:dyDescent="0.25">
      <c r="D81" s="36" t="str" cm="1">
        <f t="array" aca="1" ref="D81" ca="1">IFERROR(IF(INDIRECT("'"&amp;F81&amp;"'!$C$5")&gt;0,DATE(YEAR(Dashboard!$AL$2),Dashboard!$AU$4,INDIRECT("'"&amp;F81&amp;"'!$C$5")),""),"")</f>
        <v/>
      </c>
      <c r="E81" s="50" t="str" cm="1">
        <f t="array" aca="1" ref="E81" ca="1">IF(G81="Credit Accounts",IFERROR(IF(INDIRECT("'"&amp;F81&amp;"'!$C$8")&gt;0,INDIRECT("'"&amp;F81&amp;"'!$F$2"),""),""),"")</f>
        <v/>
      </c>
      <c r="F81" s="37" t="str" cm="1">
        <f t="array" ref="F81">IFERROR(INDEX(Sheet_Names,K81),"")</f>
        <v/>
      </c>
      <c r="G81" s="38" t="str" cm="1">
        <f t="array" aca="1" ref="G81" ca="1">IF(F81="",
    "",
    IFERROR(
        IF(INDIRECT("'"&amp;F81&amp;"'!$B$2")="Credit Limit",
            "Credit Accounts",
            IF(INDIRECT("'"&amp;F81&amp;"'!$E$2")="Location",
                "Cash Accounts",
                IF(INDIRECT("'"&amp;F81&amp;"'!$B$2")="Amount",
                    "Investments",
                    "Bill Accounts"
                )
            )
        ),
    "")
)</f>
        <v/>
      </c>
      <c r="H81" s="46" t="str" cm="1">
        <f t="array" aca="1" ref="H81" ca="1">IF(F81&lt;&gt;"",INDIRECT("'"&amp;F81&amp;"'!$C$10"),"")</f>
        <v/>
      </c>
      <c r="I81" s="46" t="str" cm="1">
        <f t="array" aca="1" ref="I81" ca="1">IF(F81&lt;&gt;"",IF(OR(G81="Bill Accounts",G81="Investments", G81="Cash Accounts"),INDIRECT("'"&amp;F81&amp;"'!$C$10"),INDIRECT("'"&amp;F81&amp;"'!$C$8")),"")</f>
        <v/>
      </c>
      <c r="J81" s="46" t="str" cm="1">
        <f t="array" aca="1" ref="J81" ca="1">IF(F81&lt;&gt;"",ABS(INDIRECT("'"&amp;F81&amp;"'!$I$2")),"")</f>
        <v/>
      </c>
      <c r="K81" s="48">
        <f t="shared" si="6"/>
        <v>87</v>
      </c>
      <c r="L81" s="114" t="str" cm="1">
        <f t="array" aca="1" ref="L81" ca="1">IF(F81&lt;&gt;"",INDIRECT("'"&amp;F81&amp;"'!$F$17"),"")</f>
        <v/>
      </c>
      <c r="M81" s="116" t="str">
        <f t="shared" ca="1" si="4"/>
        <v/>
      </c>
      <c r="O81" s="49" t="str">
        <f t="shared" ca="1" si="5"/>
        <v/>
      </c>
      <c r="P81" s="38" t="str">
        <f ca="1">IF(E81&lt;&gt;"",RANK(E81,$E$3:$E$2298)+COUNTIF($E$3:E81,E81)-1,"")</f>
        <v/>
      </c>
      <c r="Q81" s="8"/>
      <c r="R81" s="64"/>
      <c r="Z81" s="8"/>
    </row>
    <row r="82" spans="4:26" x14ac:dyDescent="0.25">
      <c r="D82" s="36" t="str" cm="1">
        <f t="array" aca="1" ref="D82" ca="1">IFERROR(IF(INDIRECT("'"&amp;F82&amp;"'!$C$5")&gt;0,DATE(YEAR(Dashboard!$AL$2),Dashboard!$AU$4,INDIRECT("'"&amp;F82&amp;"'!$C$5")),""),"")</f>
        <v/>
      </c>
      <c r="E82" s="50" t="str" cm="1">
        <f t="array" aca="1" ref="E82" ca="1">IF(G82="Credit Accounts",IFERROR(IF(INDIRECT("'"&amp;F82&amp;"'!$C$8")&gt;0,INDIRECT("'"&amp;F82&amp;"'!$F$2"),""),""),"")</f>
        <v/>
      </c>
      <c r="F82" s="37" t="str" cm="1">
        <f t="array" ref="F82">IFERROR(INDEX(Sheet_Names,K82),"")</f>
        <v/>
      </c>
      <c r="G82" s="38" t="str" cm="1">
        <f t="array" aca="1" ref="G82" ca="1">IF(F82="",
    "",
    IFERROR(
        IF(INDIRECT("'"&amp;F82&amp;"'!$B$2")="Credit Limit",
            "Credit Accounts",
            IF(INDIRECT("'"&amp;F82&amp;"'!$E$2")="Location",
                "Cash Accounts",
                IF(INDIRECT("'"&amp;F82&amp;"'!$B$2")="Amount",
                    "Investments",
                    "Bill Accounts"
                )
            )
        ),
    "")
)</f>
        <v/>
      </c>
      <c r="H82" s="46" t="str" cm="1">
        <f t="array" aca="1" ref="H82" ca="1">IF(F82&lt;&gt;"",INDIRECT("'"&amp;F82&amp;"'!$C$10"),"")</f>
        <v/>
      </c>
      <c r="I82" s="46" t="str" cm="1">
        <f t="array" aca="1" ref="I82" ca="1">IF(F82&lt;&gt;"",IF(OR(G82="Bill Accounts",G82="Investments", G82="Cash Accounts"),INDIRECT("'"&amp;F82&amp;"'!$C$10"),INDIRECT("'"&amp;F82&amp;"'!$C$8")),"")</f>
        <v/>
      </c>
      <c r="J82" s="46" t="str" cm="1">
        <f t="array" aca="1" ref="J82" ca="1">IF(F82&lt;&gt;"",ABS(INDIRECT("'"&amp;F82&amp;"'!$I$2")),"")</f>
        <v/>
      </c>
      <c r="K82" s="48">
        <f t="shared" si="6"/>
        <v>88</v>
      </c>
      <c r="L82" s="114" t="str" cm="1">
        <f t="array" aca="1" ref="L82" ca="1">IF(F82&lt;&gt;"",INDIRECT("'"&amp;F82&amp;"'!$F$17"),"")</f>
        <v/>
      </c>
      <c r="M82" s="116" t="str">
        <f t="shared" ca="1" si="4"/>
        <v/>
      </c>
      <c r="O82" s="49" t="str">
        <f t="shared" ca="1" si="5"/>
        <v/>
      </c>
      <c r="P82" s="38" t="str">
        <f ca="1">IF(E82&lt;&gt;"",RANK(E82,$E$3:$E$2298)+COUNTIF($E$3:E82,E82)-1,"")</f>
        <v/>
      </c>
      <c r="Q82" s="8"/>
      <c r="R82" s="64"/>
      <c r="Z82" s="8"/>
    </row>
    <row r="83" spans="4:26" x14ac:dyDescent="0.25">
      <c r="D83" s="36" t="str" cm="1">
        <f t="array" aca="1" ref="D83" ca="1">IFERROR(IF(INDIRECT("'"&amp;F83&amp;"'!$C$5")&gt;0,DATE(YEAR(Dashboard!$AL$2),Dashboard!$AU$4,INDIRECT("'"&amp;F83&amp;"'!$C$5")),""),"")</f>
        <v/>
      </c>
      <c r="E83" s="50" t="str" cm="1">
        <f t="array" aca="1" ref="E83" ca="1">IF(G83="Credit Accounts",IFERROR(IF(INDIRECT("'"&amp;F83&amp;"'!$C$8")&gt;0,INDIRECT("'"&amp;F83&amp;"'!$F$2"),""),""),"")</f>
        <v/>
      </c>
      <c r="F83" s="37" t="str" cm="1">
        <f t="array" ref="F83">IFERROR(INDEX(Sheet_Names,K83),"")</f>
        <v/>
      </c>
      <c r="G83" s="38" t="str" cm="1">
        <f t="array" aca="1" ref="G83" ca="1">IF(F83="",
    "",
    IFERROR(
        IF(INDIRECT("'"&amp;F83&amp;"'!$B$2")="Credit Limit",
            "Credit Accounts",
            IF(INDIRECT("'"&amp;F83&amp;"'!$E$2")="Location",
                "Cash Accounts",
                IF(INDIRECT("'"&amp;F83&amp;"'!$B$2")="Amount",
                    "Investments",
                    "Bill Accounts"
                )
            )
        ),
    "")
)</f>
        <v/>
      </c>
      <c r="H83" s="46" t="str" cm="1">
        <f t="array" aca="1" ref="H83" ca="1">IF(F83&lt;&gt;"",INDIRECT("'"&amp;F83&amp;"'!$C$10"),"")</f>
        <v/>
      </c>
      <c r="I83" s="46" t="str" cm="1">
        <f t="array" aca="1" ref="I83" ca="1">IF(F83&lt;&gt;"",IF(OR(G83="Bill Accounts",G83="Investments", G83="Cash Accounts"),INDIRECT("'"&amp;F83&amp;"'!$C$10"),INDIRECT("'"&amp;F83&amp;"'!$C$8")),"")</f>
        <v/>
      </c>
      <c r="J83" s="46" t="str" cm="1">
        <f t="array" aca="1" ref="J83" ca="1">IF(F83&lt;&gt;"",ABS(INDIRECT("'"&amp;F83&amp;"'!$I$2")),"")</f>
        <v/>
      </c>
      <c r="K83" s="48">
        <f t="shared" si="6"/>
        <v>89</v>
      </c>
      <c r="L83" s="114" t="str" cm="1">
        <f t="array" aca="1" ref="L83" ca="1">IF(F83&lt;&gt;"",INDIRECT("'"&amp;F83&amp;"'!$F$17"),"")</f>
        <v/>
      </c>
      <c r="M83" s="116" t="str">
        <f t="shared" ca="1" si="4"/>
        <v/>
      </c>
      <c r="O83" s="49" t="str">
        <f t="shared" ca="1" si="5"/>
        <v/>
      </c>
      <c r="P83" s="38" t="str">
        <f ca="1">IF(E83&lt;&gt;"",RANK(E83,$E$3:$E$2298)+COUNTIF($E$3:E83,E83)-1,"")</f>
        <v/>
      </c>
      <c r="Q83" s="8"/>
      <c r="R83" s="64"/>
      <c r="Z83" s="8"/>
    </row>
    <row r="84" spans="4:26" x14ac:dyDescent="0.25">
      <c r="D84" s="36" t="str" cm="1">
        <f t="array" aca="1" ref="D84" ca="1">IFERROR(IF(INDIRECT("'"&amp;F84&amp;"'!$C$5")&gt;0,DATE(YEAR(Dashboard!$AL$2),Dashboard!$AU$4,INDIRECT("'"&amp;F84&amp;"'!$C$5")),""),"")</f>
        <v/>
      </c>
      <c r="E84" s="50" t="str" cm="1">
        <f t="array" aca="1" ref="E84" ca="1">IF(G84="Credit Accounts",IFERROR(IF(INDIRECT("'"&amp;F84&amp;"'!$C$8")&gt;0,INDIRECT("'"&amp;F84&amp;"'!$F$2"),""),""),"")</f>
        <v/>
      </c>
      <c r="F84" s="37" t="str" cm="1">
        <f t="array" ref="F84">IFERROR(INDEX(Sheet_Names,K84),"")</f>
        <v/>
      </c>
      <c r="G84" s="38" t="str" cm="1">
        <f t="array" aca="1" ref="G84" ca="1">IF(F84="",
    "",
    IFERROR(
        IF(INDIRECT("'"&amp;F84&amp;"'!$B$2")="Credit Limit",
            "Credit Accounts",
            IF(INDIRECT("'"&amp;F84&amp;"'!$E$2")="Location",
                "Cash Accounts",
                IF(INDIRECT("'"&amp;F84&amp;"'!$B$2")="Amount",
                    "Investments",
                    "Bill Accounts"
                )
            )
        ),
    "")
)</f>
        <v/>
      </c>
      <c r="H84" s="46" t="str" cm="1">
        <f t="array" aca="1" ref="H84" ca="1">IF(F84&lt;&gt;"",INDIRECT("'"&amp;F84&amp;"'!$C$10"),"")</f>
        <v/>
      </c>
      <c r="I84" s="46" t="str" cm="1">
        <f t="array" aca="1" ref="I84" ca="1">IF(F84&lt;&gt;"",IF(OR(G84="Bill Accounts",G84="Investments", G84="Cash Accounts"),INDIRECT("'"&amp;F84&amp;"'!$C$10"),INDIRECT("'"&amp;F84&amp;"'!$C$8")),"")</f>
        <v/>
      </c>
      <c r="J84" s="46" t="str" cm="1">
        <f t="array" aca="1" ref="J84" ca="1">IF(F84&lt;&gt;"",ABS(INDIRECT("'"&amp;F84&amp;"'!$I$2")),"")</f>
        <v/>
      </c>
      <c r="K84" s="48">
        <f t="shared" si="6"/>
        <v>90</v>
      </c>
      <c r="L84" s="114" t="str" cm="1">
        <f t="array" aca="1" ref="L84" ca="1">IF(F84&lt;&gt;"",INDIRECT("'"&amp;F84&amp;"'!$F$17"),"")</f>
        <v/>
      </c>
      <c r="M84" s="116" t="str">
        <f t="shared" ca="1" si="4"/>
        <v/>
      </c>
      <c r="O84" s="49" t="str">
        <f t="shared" ca="1" si="5"/>
        <v/>
      </c>
      <c r="P84" s="38" t="str">
        <f ca="1">IF(E84&lt;&gt;"",RANK(E84,$E$3:$E$2298)+COUNTIF($E$3:E84,E84)-1,"")</f>
        <v/>
      </c>
      <c r="Q84" s="8"/>
      <c r="R84" s="64"/>
      <c r="Z84" s="8"/>
    </row>
    <row r="85" spans="4:26" x14ac:dyDescent="0.25">
      <c r="D85" s="36" t="str" cm="1">
        <f t="array" aca="1" ref="D85" ca="1">IFERROR(IF(INDIRECT("'"&amp;F85&amp;"'!$C$5")&gt;0,DATE(YEAR(Dashboard!$AL$2),Dashboard!$AU$4,INDIRECT("'"&amp;F85&amp;"'!$C$5")),""),"")</f>
        <v/>
      </c>
      <c r="E85" s="50" t="str" cm="1">
        <f t="array" aca="1" ref="E85" ca="1">IF(G85="Credit Accounts",IFERROR(IF(INDIRECT("'"&amp;F85&amp;"'!$C$8")&gt;0,INDIRECT("'"&amp;F85&amp;"'!$F$2"),""),""),"")</f>
        <v/>
      </c>
      <c r="F85" s="37" t="str" cm="1">
        <f t="array" ref="F85">IFERROR(INDEX(Sheet_Names,K85),"")</f>
        <v/>
      </c>
      <c r="G85" s="38" t="str" cm="1">
        <f t="array" aca="1" ref="G85" ca="1">IF(F85="",
    "",
    IFERROR(
        IF(INDIRECT("'"&amp;F85&amp;"'!$B$2")="Credit Limit",
            "Credit Accounts",
            IF(INDIRECT("'"&amp;F85&amp;"'!$E$2")="Location",
                "Cash Accounts",
                IF(INDIRECT("'"&amp;F85&amp;"'!$B$2")="Amount",
                    "Investments",
                    "Bill Accounts"
                )
            )
        ),
    "")
)</f>
        <v/>
      </c>
      <c r="H85" s="46" t="str" cm="1">
        <f t="array" aca="1" ref="H85" ca="1">IF(F85&lt;&gt;"",INDIRECT("'"&amp;F85&amp;"'!$C$10"),"")</f>
        <v/>
      </c>
      <c r="I85" s="46" t="str" cm="1">
        <f t="array" aca="1" ref="I85" ca="1">IF(F85&lt;&gt;"",IF(OR(G85="Bill Accounts",G85="Investments", G85="Cash Accounts"),INDIRECT("'"&amp;F85&amp;"'!$C$10"),INDIRECT("'"&amp;F85&amp;"'!$C$8")),"")</f>
        <v/>
      </c>
      <c r="J85" s="46" t="str" cm="1">
        <f t="array" aca="1" ref="J85" ca="1">IF(F85&lt;&gt;"",ABS(INDIRECT("'"&amp;F85&amp;"'!$I$2")),"")</f>
        <v/>
      </c>
      <c r="K85" s="48">
        <f t="shared" si="6"/>
        <v>91</v>
      </c>
      <c r="L85" s="114" t="str" cm="1">
        <f t="array" aca="1" ref="L85" ca="1">IF(F85&lt;&gt;"",INDIRECT("'"&amp;F85&amp;"'!$F$17"),"")</f>
        <v/>
      </c>
      <c r="M85" s="116" t="str">
        <f t="shared" ca="1" si="4"/>
        <v/>
      </c>
      <c r="O85" s="49" t="str">
        <f t="shared" ca="1" si="5"/>
        <v/>
      </c>
      <c r="P85" s="38" t="str">
        <f ca="1">IF(E85&lt;&gt;"",RANK(E85,$E$3:$E$2298)+COUNTIF($E$3:E85,E85)-1,"")</f>
        <v/>
      </c>
      <c r="Q85" s="8"/>
      <c r="R85" s="64"/>
      <c r="Z85" s="8"/>
    </row>
    <row r="86" spans="4:26" x14ac:dyDescent="0.25">
      <c r="D86" s="36" t="str" cm="1">
        <f t="array" aca="1" ref="D86" ca="1">IFERROR(IF(INDIRECT("'"&amp;F86&amp;"'!$C$5")&gt;0,DATE(YEAR(Dashboard!$AL$2),Dashboard!$AU$4,INDIRECT("'"&amp;F86&amp;"'!$C$5")),""),"")</f>
        <v/>
      </c>
      <c r="E86" s="50" t="str" cm="1">
        <f t="array" aca="1" ref="E86" ca="1">IF(G86="Credit Accounts",IFERROR(IF(INDIRECT("'"&amp;F86&amp;"'!$C$8")&gt;0,INDIRECT("'"&amp;F86&amp;"'!$F$2"),""),""),"")</f>
        <v/>
      </c>
      <c r="F86" s="37" t="str" cm="1">
        <f t="array" ref="F86">IFERROR(INDEX(Sheet_Names,K86),"")</f>
        <v/>
      </c>
      <c r="G86" s="38" t="str" cm="1">
        <f t="array" aca="1" ref="G86" ca="1">IF(F86="",
    "",
    IFERROR(
        IF(INDIRECT("'"&amp;F86&amp;"'!$B$2")="Credit Limit",
            "Credit Accounts",
            IF(INDIRECT("'"&amp;F86&amp;"'!$E$2")="Location",
                "Cash Accounts",
                IF(INDIRECT("'"&amp;F86&amp;"'!$B$2")="Amount",
                    "Investments",
                    "Bill Accounts"
                )
            )
        ),
    "")
)</f>
        <v/>
      </c>
      <c r="H86" s="46" t="str" cm="1">
        <f t="array" aca="1" ref="H86" ca="1">IF(F86&lt;&gt;"",INDIRECT("'"&amp;F86&amp;"'!$C$10"),"")</f>
        <v/>
      </c>
      <c r="I86" s="46" t="str" cm="1">
        <f t="array" aca="1" ref="I86" ca="1">IF(F86&lt;&gt;"",IF(OR(G86="Bill Accounts",G86="Investments", G86="Cash Accounts"),INDIRECT("'"&amp;F86&amp;"'!$C$10"),INDIRECT("'"&amp;F86&amp;"'!$C$8")),"")</f>
        <v/>
      </c>
      <c r="J86" s="46" t="str" cm="1">
        <f t="array" aca="1" ref="J86" ca="1">IF(F86&lt;&gt;"",ABS(INDIRECT("'"&amp;F86&amp;"'!$I$2")),"")</f>
        <v/>
      </c>
      <c r="K86" s="48">
        <f t="shared" si="6"/>
        <v>92</v>
      </c>
      <c r="L86" s="114" t="str" cm="1">
        <f t="array" aca="1" ref="L86" ca="1">IF(F86&lt;&gt;"",INDIRECT("'"&amp;F86&amp;"'!$F$17"),"")</f>
        <v/>
      </c>
      <c r="M86" s="116" t="str">
        <f t="shared" ca="1" si="4"/>
        <v/>
      </c>
      <c r="O86" s="49" t="str">
        <f t="shared" ca="1" si="5"/>
        <v/>
      </c>
      <c r="P86" s="38" t="str">
        <f ca="1">IF(E86&lt;&gt;"",RANK(E86,$E$3:$E$2298)+COUNTIF($E$3:E86,E86)-1,"")</f>
        <v/>
      </c>
      <c r="Q86" s="8"/>
      <c r="R86" s="64"/>
      <c r="Z86" s="8"/>
    </row>
    <row r="87" spans="4:26" x14ac:dyDescent="0.25">
      <c r="D87" s="36" t="str" cm="1">
        <f t="array" aca="1" ref="D87" ca="1">IFERROR(IF(INDIRECT("'"&amp;F87&amp;"'!$C$5")&gt;0,DATE(YEAR(Dashboard!$AL$2),Dashboard!$AU$4,INDIRECT("'"&amp;F87&amp;"'!$C$5")),""),"")</f>
        <v/>
      </c>
      <c r="E87" s="50" t="str" cm="1">
        <f t="array" aca="1" ref="E87" ca="1">IF(G87="Credit Accounts",IFERROR(IF(INDIRECT("'"&amp;F87&amp;"'!$C$8")&gt;0,INDIRECT("'"&amp;F87&amp;"'!$F$2"),""),""),"")</f>
        <v/>
      </c>
      <c r="F87" s="37" t="str" cm="1">
        <f t="array" ref="F87">IFERROR(INDEX(Sheet_Names,K87),"")</f>
        <v/>
      </c>
      <c r="G87" s="38" t="str" cm="1">
        <f t="array" aca="1" ref="G87" ca="1">IF(F87="",
    "",
    IFERROR(
        IF(INDIRECT("'"&amp;F87&amp;"'!$B$2")="Credit Limit",
            "Credit Accounts",
            IF(INDIRECT("'"&amp;F87&amp;"'!$E$2")="Location",
                "Cash Accounts",
                IF(INDIRECT("'"&amp;F87&amp;"'!$B$2")="Amount",
                    "Investments",
                    "Bill Accounts"
                )
            )
        ),
    "")
)</f>
        <v/>
      </c>
      <c r="H87" s="46" t="str" cm="1">
        <f t="array" aca="1" ref="H87" ca="1">IF(F87&lt;&gt;"",INDIRECT("'"&amp;F87&amp;"'!$C$10"),"")</f>
        <v/>
      </c>
      <c r="I87" s="46" t="str" cm="1">
        <f t="array" aca="1" ref="I87" ca="1">IF(F87&lt;&gt;"",IF(OR(G87="Bill Accounts",G87="Investments", G87="Cash Accounts"),INDIRECT("'"&amp;F87&amp;"'!$C$10"),INDIRECT("'"&amp;F87&amp;"'!$C$8")),"")</f>
        <v/>
      </c>
      <c r="J87" s="46" t="str" cm="1">
        <f t="array" aca="1" ref="J87" ca="1">IF(F87&lt;&gt;"",ABS(INDIRECT("'"&amp;F87&amp;"'!$I$2")),"")</f>
        <v/>
      </c>
      <c r="K87" s="48">
        <f t="shared" si="6"/>
        <v>93</v>
      </c>
      <c r="L87" s="114" t="str" cm="1">
        <f t="array" aca="1" ref="L87" ca="1">IF(F87&lt;&gt;"",INDIRECT("'"&amp;F87&amp;"'!$F$17"),"")</f>
        <v/>
      </c>
      <c r="M87" s="116" t="str">
        <f t="shared" ca="1" si="4"/>
        <v/>
      </c>
      <c r="O87" s="49" t="str">
        <f t="shared" ca="1" si="5"/>
        <v/>
      </c>
      <c r="P87" s="38" t="str">
        <f ca="1">IF(E87&lt;&gt;"",RANK(E87,$E$3:$E$2298)+COUNTIF($E$3:E87,E87)-1,"")</f>
        <v/>
      </c>
      <c r="Q87" s="8"/>
      <c r="R87" s="64"/>
      <c r="Z87" s="8"/>
    </row>
    <row r="88" spans="4:26" x14ac:dyDescent="0.25">
      <c r="D88" s="36" t="str" cm="1">
        <f t="array" aca="1" ref="D88" ca="1">IFERROR(IF(INDIRECT("'"&amp;F88&amp;"'!$C$5")&gt;0,DATE(YEAR(Dashboard!$AL$2),Dashboard!$AU$4,INDIRECT("'"&amp;F88&amp;"'!$C$5")),""),"")</f>
        <v/>
      </c>
      <c r="E88" s="50" t="str" cm="1">
        <f t="array" aca="1" ref="E88" ca="1">IF(G88="Credit Accounts",IFERROR(IF(INDIRECT("'"&amp;F88&amp;"'!$C$8")&gt;0,INDIRECT("'"&amp;F88&amp;"'!$F$2"),""),""),"")</f>
        <v/>
      </c>
      <c r="F88" s="37" t="str" cm="1">
        <f t="array" ref="F88">IFERROR(INDEX(Sheet_Names,K88),"")</f>
        <v/>
      </c>
      <c r="G88" s="38" t="str" cm="1">
        <f t="array" aca="1" ref="G88" ca="1">IF(F88="",
    "",
    IFERROR(
        IF(INDIRECT("'"&amp;F88&amp;"'!$B$2")="Credit Limit",
            "Credit Accounts",
            IF(INDIRECT("'"&amp;F88&amp;"'!$E$2")="Location",
                "Cash Accounts",
                IF(INDIRECT("'"&amp;F88&amp;"'!$B$2")="Amount",
                    "Investments",
                    "Bill Accounts"
                )
            )
        ),
    "")
)</f>
        <v/>
      </c>
      <c r="H88" s="46" t="str" cm="1">
        <f t="array" aca="1" ref="H88" ca="1">IF(F88&lt;&gt;"",INDIRECT("'"&amp;F88&amp;"'!$C$10"),"")</f>
        <v/>
      </c>
      <c r="I88" s="46" t="str" cm="1">
        <f t="array" aca="1" ref="I88" ca="1">IF(F88&lt;&gt;"",IF(OR(G88="Bill Accounts",G88="Investments", G88="Cash Accounts"),INDIRECT("'"&amp;F88&amp;"'!$C$10"),INDIRECT("'"&amp;F88&amp;"'!$C$8")),"")</f>
        <v/>
      </c>
      <c r="J88" s="46" t="str" cm="1">
        <f t="array" aca="1" ref="J88" ca="1">IF(F88&lt;&gt;"",ABS(INDIRECT("'"&amp;F88&amp;"'!$I$2")),"")</f>
        <v/>
      </c>
      <c r="K88" s="48">
        <f t="shared" si="6"/>
        <v>94</v>
      </c>
      <c r="L88" s="114" t="str" cm="1">
        <f t="array" aca="1" ref="L88" ca="1">IF(F88&lt;&gt;"",INDIRECT("'"&amp;F88&amp;"'!$F$17"),"")</f>
        <v/>
      </c>
      <c r="M88" s="116" t="str">
        <f t="shared" ca="1" si="4"/>
        <v/>
      </c>
      <c r="O88" s="49" t="str">
        <f t="shared" ca="1" si="5"/>
        <v/>
      </c>
      <c r="P88" s="38" t="str">
        <f ca="1">IF(E88&lt;&gt;"",RANK(E88,$E$3:$E$2298)+COUNTIF($E$3:E88,E88)-1,"")</f>
        <v/>
      </c>
      <c r="Q88" s="8"/>
      <c r="R88" s="64"/>
      <c r="Z88" s="8"/>
    </row>
    <row r="89" spans="4:26" x14ac:dyDescent="0.25">
      <c r="D89" s="36" t="str" cm="1">
        <f t="array" aca="1" ref="D89" ca="1">IFERROR(IF(INDIRECT("'"&amp;F89&amp;"'!$C$5")&gt;0,DATE(YEAR(Dashboard!$AL$2),Dashboard!$AU$4,INDIRECT("'"&amp;F89&amp;"'!$C$5")),""),"")</f>
        <v/>
      </c>
      <c r="E89" s="50" t="str" cm="1">
        <f t="array" aca="1" ref="E89" ca="1">IF(G89="Credit Accounts",IFERROR(IF(INDIRECT("'"&amp;F89&amp;"'!$C$8")&gt;0,INDIRECT("'"&amp;F89&amp;"'!$F$2"),""),""),"")</f>
        <v/>
      </c>
      <c r="F89" s="37" t="str" cm="1">
        <f t="array" ref="F89">IFERROR(INDEX(Sheet_Names,K89),"")</f>
        <v/>
      </c>
      <c r="G89" s="38" t="str" cm="1">
        <f t="array" aca="1" ref="G89" ca="1">IF(F89="",
    "",
    IFERROR(
        IF(INDIRECT("'"&amp;F89&amp;"'!$B$2")="Credit Limit",
            "Credit Accounts",
            IF(INDIRECT("'"&amp;F89&amp;"'!$E$2")="Location",
                "Cash Accounts",
                IF(INDIRECT("'"&amp;F89&amp;"'!$B$2")="Amount",
                    "Investments",
                    "Bill Accounts"
                )
            )
        ),
    "")
)</f>
        <v/>
      </c>
      <c r="H89" s="46" t="str" cm="1">
        <f t="array" aca="1" ref="H89" ca="1">IF(F89&lt;&gt;"",INDIRECT("'"&amp;F89&amp;"'!$C$10"),"")</f>
        <v/>
      </c>
      <c r="I89" s="46" t="str" cm="1">
        <f t="array" aca="1" ref="I89" ca="1">IF(F89&lt;&gt;"",IF(OR(G89="Bill Accounts",G89="Investments", G89="Cash Accounts"),INDIRECT("'"&amp;F89&amp;"'!$C$10"),INDIRECT("'"&amp;F89&amp;"'!$C$8")),"")</f>
        <v/>
      </c>
      <c r="J89" s="46" t="str" cm="1">
        <f t="array" aca="1" ref="J89" ca="1">IF(F89&lt;&gt;"",ABS(INDIRECT("'"&amp;F89&amp;"'!$I$2")),"")</f>
        <v/>
      </c>
      <c r="K89" s="48">
        <f t="shared" si="6"/>
        <v>95</v>
      </c>
      <c r="L89" s="114" t="str" cm="1">
        <f t="array" aca="1" ref="L89" ca="1">IF(F89&lt;&gt;"",INDIRECT("'"&amp;F89&amp;"'!$F$17"),"")</f>
        <v/>
      </c>
      <c r="M89" s="116" t="str">
        <f t="shared" ca="1" si="4"/>
        <v/>
      </c>
      <c r="O89" s="49" t="str">
        <f t="shared" ca="1" si="5"/>
        <v/>
      </c>
      <c r="P89" s="38" t="str">
        <f ca="1">IF(E89&lt;&gt;"",RANK(E89,$E$3:$E$2298)+COUNTIF($E$3:E89,E89)-1,"")</f>
        <v/>
      </c>
      <c r="Q89" s="8"/>
      <c r="R89" s="64"/>
      <c r="Z89" s="8"/>
    </row>
    <row r="90" spans="4:26" x14ac:dyDescent="0.25">
      <c r="D90" s="36" t="str" cm="1">
        <f t="array" aca="1" ref="D90" ca="1">IFERROR(IF(INDIRECT("'"&amp;F90&amp;"'!$C$5")&gt;0,DATE(YEAR(Dashboard!$AL$2),Dashboard!$AU$4,INDIRECT("'"&amp;F90&amp;"'!$C$5")),""),"")</f>
        <v/>
      </c>
      <c r="E90" s="50" t="str" cm="1">
        <f t="array" aca="1" ref="E90" ca="1">IF(G90="Credit Accounts",IFERROR(IF(INDIRECT("'"&amp;F90&amp;"'!$C$8")&gt;0,INDIRECT("'"&amp;F90&amp;"'!$F$2"),""),""),"")</f>
        <v/>
      </c>
      <c r="F90" s="37" t="str" cm="1">
        <f t="array" ref="F90">IFERROR(INDEX(Sheet_Names,K90),"")</f>
        <v/>
      </c>
      <c r="G90" s="38" t="str" cm="1">
        <f t="array" aca="1" ref="G90" ca="1">IF(F90="",
    "",
    IFERROR(
        IF(INDIRECT("'"&amp;F90&amp;"'!$B$2")="Credit Limit",
            "Credit Accounts",
            IF(INDIRECT("'"&amp;F90&amp;"'!$E$2")="Location",
                "Cash Accounts",
                IF(INDIRECT("'"&amp;F90&amp;"'!$B$2")="Amount",
                    "Investments",
                    "Bill Accounts"
                )
            )
        ),
    "")
)</f>
        <v/>
      </c>
      <c r="H90" s="46" t="str" cm="1">
        <f t="array" aca="1" ref="H90" ca="1">IF(F90&lt;&gt;"",INDIRECT("'"&amp;F90&amp;"'!$C$10"),"")</f>
        <v/>
      </c>
      <c r="I90" s="46" t="str" cm="1">
        <f t="array" aca="1" ref="I90" ca="1">IF(F90&lt;&gt;"",IF(OR(G90="Bill Accounts",G90="Investments", G90="Cash Accounts"),INDIRECT("'"&amp;F90&amp;"'!$C$10"),INDIRECT("'"&amp;F90&amp;"'!$C$8")),"")</f>
        <v/>
      </c>
      <c r="J90" s="46" t="str" cm="1">
        <f t="array" aca="1" ref="J90" ca="1">IF(F90&lt;&gt;"",ABS(INDIRECT("'"&amp;F90&amp;"'!$I$2")),"")</f>
        <v/>
      </c>
      <c r="K90" s="48">
        <f t="shared" si="6"/>
        <v>96</v>
      </c>
      <c r="L90" s="114" t="str" cm="1">
        <f t="array" aca="1" ref="L90" ca="1">IF(F90&lt;&gt;"",INDIRECT("'"&amp;F90&amp;"'!$F$17"),"")</f>
        <v/>
      </c>
      <c r="M90" s="116" t="str">
        <f t="shared" ca="1" si="4"/>
        <v/>
      </c>
      <c r="O90" s="49" t="str">
        <f t="shared" ca="1" si="5"/>
        <v/>
      </c>
      <c r="P90" s="38" t="str">
        <f ca="1">IF(E90&lt;&gt;"",RANK(E90,$E$3:$E$2298)+COUNTIF($E$3:E90,E90)-1,"")</f>
        <v/>
      </c>
      <c r="Q90" s="8"/>
      <c r="R90" s="64"/>
      <c r="Z90" s="8"/>
    </row>
    <row r="91" spans="4:26" x14ac:dyDescent="0.25">
      <c r="D91" s="36" t="str" cm="1">
        <f t="array" aca="1" ref="D91" ca="1">IFERROR(IF(INDIRECT("'"&amp;F91&amp;"'!$C$5")&gt;0,DATE(YEAR(Dashboard!$AL$2),Dashboard!$AU$4,INDIRECT("'"&amp;F91&amp;"'!$C$5")),""),"")</f>
        <v/>
      </c>
      <c r="E91" s="50" t="str" cm="1">
        <f t="array" aca="1" ref="E91" ca="1">IF(G91="Credit Accounts",IFERROR(IF(INDIRECT("'"&amp;F91&amp;"'!$C$8")&gt;0,INDIRECT("'"&amp;F91&amp;"'!$F$2"),""),""),"")</f>
        <v/>
      </c>
      <c r="F91" s="37" t="str" cm="1">
        <f t="array" ref="F91">IFERROR(INDEX(Sheet_Names,K91),"")</f>
        <v/>
      </c>
      <c r="G91" s="38" t="str" cm="1">
        <f t="array" aca="1" ref="G91" ca="1">IF(F91="",
    "",
    IFERROR(
        IF(INDIRECT("'"&amp;F91&amp;"'!$B$2")="Credit Limit",
            "Credit Accounts",
            IF(INDIRECT("'"&amp;F91&amp;"'!$E$2")="Location",
                "Cash Accounts",
                IF(INDIRECT("'"&amp;F91&amp;"'!$B$2")="Amount",
                    "Investments",
                    "Bill Accounts"
                )
            )
        ),
    "")
)</f>
        <v/>
      </c>
      <c r="H91" s="46" t="str" cm="1">
        <f t="array" aca="1" ref="H91" ca="1">IF(F91&lt;&gt;"",INDIRECT("'"&amp;F91&amp;"'!$C$10"),"")</f>
        <v/>
      </c>
      <c r="I91" s="46" t="str" cm="1">
        <f t="array" aca="1" ref="I91" ca="1">IF(F91&lt;&gt;"",IF(OR(G91="Bill Accounts",G91="Investments", G91="Cash Accounts"),INDIRECT("'"&amp;F91&amp;"'!$C$10"),INDIRECT("'"&amp;F91&amp;"'!$C$8")),"")</f>
        <v/>
      </c>
      <c r="J91" s="46" t="str" cm="1">
        <f t="array" aca="1" ref="J91" ca="1">IF(F91&lt;&gt;"",ABS(INDIRECT("'"&amp;F91&amp;"'!$I$2")),"")</f>
        <v/>
      </c>
      <c r="K91" s="48">
        <f t="shared" si="6"/>
        <v>97</v>
      </c>
      <c r="L91" s="114" t="str" cm="1">
        <f t="array" aca="1" ref="L91" ca="1">IF(F91&lt;&gt;"",INDIRECT("'"&amp;F91&amp;"'!$F$17"),"")</f>
        <v/>
      </c>
      <c r="M91" s="116" t="str">
        <f t="shared" ca="1" si="4"/>
        <v/>
      </c>
      <c r="O91" s="49" t="str">
        <f t="shared" ca="1" si="5"/>
        <v/>
      </c>
      <c r="P91" s="38" t="str">
        <f ca="1">IF(E91&lt;&gt;"",RANK(E91,$E$3:$E$2298)+COUNTIF($E$3:E91,E91)-1,"")</f>
        <v/>
      </c>
      <c r="Q91" s="8"/>
      <c r="R91" s="64"/>
      <c r="Z91" s="8"/>
    </row>
    <row r="92" spans="4:26" x14ac:dyDescent="0.25">
      <c r="D92" s="36" t="str" cm="1">
        <f t="array" aca="1" ref="D92" ca="1">IFERROR(IF(INDIRECT("'"&amp;F92&amp;"'!$C$5")&gt;0,DATE(YEAR(Dashboard!$AL$2),Dashboard!$AU$4,INDIRECT("'"&amp;F92&amp;"'!$C$5")),""),"")</f>
        <v/>
      </c>
      <c r="E92" s="50" t="str" cm="1">
        <f t="array" aca="1" ref="E92" ca="1">IF(G92="Credit Accounts",IFERROR(IF(INDIRECT("'"&amp;F92&amp;"'!$C$8")&gt;0,INDIRECT("'"&amp;F92&amp;"'!$F$2"),""),""),"")</f>
        <v/>
      </c>
      <c r="F92" s="37" t="str" cm="1">
        <f t="array" ref="F92">IFERROR(INDEX(Sheet_Names,K92),"")</f>
        <v/>
      </c>
      <c r="G92" s="38" t="str" cm="1">
        <f t="array" aca="1" ref="G92" ca="1">IF(F92="",
    "",
    IFERROR(
        IF(INDIRECT("'"&amp;F92&amp;"'!$B$2")="Credit Limit",
            "Credit Accounts",
            IF(INDIRECT("'"&amp;F92&amp;"'!$E$2")="Location",
                "Cash Accounts",
                IF(INDIRECT("'"&amp;F92&amp;"'!$B$2")="Amount",
                    "Investments",
                    "Bill Accounts"
                )
            )
        ),
    "")
)</f>
        <v/>
      </c>
      <c r="H92" s="46" t="str" cm="1">
        <f t="array" aca="1" ref="H92" ca="1">IF(F92&lt;&gt;"",INDIRECT("'"&amp;F92&amp;"'!$C$10"),"")</f>
        <v/>
      </c>
      <c r="I92" s="46" t="str" cm="1">
        <f t="array" aca="1" ref="I92" ca="1">IF(F92&lt;&gt;"",IF(OR(G92="Bill Accounts",G92="Investments", G92="Cash Accounts"),INDIRECT("'"&amp;F92&amp;"'!$C$10"),INDIRECT("'"&amp;F92&amp;"'!$C$8")),"")</f>
        <v/>
      </c>
      <c r="J92" s="46" t="str" cm="1">
        <f t="array" aca="1" ref="J92" ca="1">IF(F92&lt;&gt;"",ABS(INDIRECT("'"&amp;F92&amp;"'!$I$2")),"")</f>
        <v/>
      </c>
      <c r="K92" s="48">
        <f t="shared" si="6"/>
        <v>98</v>
      </c>
      <c r="L92" s="114" t="str" cm="1">
        <f t="array" aca="1" ref="L92" ca="1">IF(F92&lt;&gt;"",INDIRECT("'"&amp;F92&amp;"'!$F$17"),"")</f>
        <v/>
      </c>
      <c r="M92" s="116" t="str">
        <f t="shared" ca="1" si="4"/>
        <v/>
      </c>
      <c r="O92" s="49" t="str">
        <f t="shared" ca="1" si="5"/>
        <v/>
      </c>
      <c r="P92" s="38" t="str">
        <f ca="1">IF(E92&lt;&gt;"",RANK(E92,$E$3:$E$2298)+COUNTIF($E$3:E92,E92)-1,"")</f>
        <v/>
      </c>
      <c r="Q92" s="8"/>
      <c r="R92" s="64"/>
      <c r="Z92" s="8"/>
    </row>
    <row r="93" spans="4:26" x14ac:dyDescent="0.25">
      <c r="D93" s="36" t="str" cm="1">
        <f t="array" aca="1" ref="D93" ca="1">IFERROR(IF(INDIRECT("'"&amp;F93&amp;"'!$C$5")&gt;0,DATE(YEAR(Dashboard!$AL$2),Dashboard!$AU$4,INDIRECT("'"&amp;F93&amp;"'!$C$5")),""),"")</f>
        <v/>
      </c>
      <c r="E93" s="50" t="str" cm="1">
        <f t="array" aca="1" ref="E93" ca="1">IF(G93="Credit Accounts",IFERROR(IF(INDIRECT("'"&amp;F93&amp;"'!$C$8")&gt;0,INDIRECT("'"&amp;F93&amp;"'!$F$2"),""),""),"")</f>
        <v/>
      </c>
      <c r="F93" s="37" t="str" cm="1">
        <f t="array" ref="F93">IFERROR(INDEX(Sheet_Names,K93),"")</f>
        <v/>
      </c>
      <c r="G93" s="38" t="str" cm="1">
        <f t="array" aca="1" ref="G93" ca="1">IF(F93="",
    "",
    IFERROR(
        IF(INDIRECT("'"&amp;F93&amp;"'!$B$2")="Credit Limit",
            "Credit Accounts",
            IF(INDIRECT("'"&amp;F93&amp;"'!$E$2")="Location",
                "Cash Accounts",
                IF(INDIRECT("'"&amp;F93&amp;"'!$B$2")="Amount",
                    "Investments",
                    "Bill Accounts"
                )
            )
        ),
    "")
)</f>
        <v/>
      </c>
      <c r="H93" s="46" t="str" cm="1">
        <f t="array" aca="1" ref="H93" ca="1">IF(F93&lt;&gt;"",INDIRECT("'"&amp;F93&amp;"'!$C$10"),"")</f>
        <v/>
      </c>
      <c r="I93" s="46" t="str" cm="1">
        <f t="array" aca="1" ref="I93" ca="1">IF(F93&lt;&gt;"",IF(OR(G93="Bill Accounts",G93="Investments", G93="Cash Accounts"),INDIRECT("'"&amp;F93&amp;"'!$C$10"),INDIRECT("'"&amp;F93&amp;"'!$C$8")),"")</f>
        <v/>
      </c>
      <c r="J93" s="46" t="str" cm="1">
        <f t="array" aca="1" ref="J93" ca="1">IF(F93&lt;&gt;"",ABS(INDIRECT("'"&amp;F93&amp;"'!$I$2")),"")</f>
        <v/>
      </c>
      <c r="K93" s="48">
        <f t="shared" si="6"/>
        <v>99</v>
      </c>
      <c r="L93" s="114" t="str" cm="1">
        <f t="array" aca="1" ref="L93" ca="1">IF(F93&lt;&gt;"",INDIRECT("'"&amp;F93&amp;"'!$F$17"),"")</f>
        <v/>
      </c>
      <c r="M93" s="116" t="str">
        <f t="shared" ca="1" si="4"/>
        <v/>
      </c>
      <c r="O93" s="49" t="str">
        <f t="shared" ca="1" si="5"/>
        <v/>
      </c>
      <c r="P93" s="38" t="str">
        <f ca="1">IF(E93&lt;&gt;"",RANK(E93,$E$3:$E$2298)+COUNTIF($E$3:E93,E93)-1,"")</f>
        <v/>
      </c>
      <c r="Q93" s="8"/>
      <c r="R93" s="64"/>
      <c r="Z93" s="8"/>
    </row>
    <row r="94" spans="4:26" x14ac:dyDescent="0.25">
      <c r="D94" s="36" t="str" cm="1">
        <f t="array" aca="1" ref="D94" ca="1">IFERROR(IF(INDIRECT("'"&amp;F94&amp;"'!$C$5")&gt;0,DATE(YEAR(Dashboard!$AL$2),Dashboard!$AU$4,INDIRECT("'"&amp;F94&amp;"'!$C$5")),""),"")</f>
        <v/>
      </c>
      <c r="E94" s="50" t="str" cm="1">
        <f t="array" aca="1" ref="E94" ca="1">IF(G94="Credit Accounts",IFERROR(IF(INDIRECT("'"&amp;F94&amp;"'!$C$8")&gt;0,INDIRECT("'"&amp;F94&amp;"'!$F$2"),""),""),"")</f>
        <v/>
      </c>
      <c r="F94" s="37" t="str" cm="1">
        <f t="array" ref="F94">IFERROR(INDEX(Sheet_Names,K94),"")</f>
        <v/>
      </c>
      <c r="G94" s="38" t="str" cm="1">
        <f t="array" aca="1" ref="G94" ca="1">IF(F94="",
    "",
    IFERROR(
        IF(INDIRECT("'"&amp;F94&amp;"'!$B$2")="Credit Limit",
            "Credit Accounts",
            IF(INDIRECT("'"&amp;F94&amp;"'!$E$2")="Location",
                "Cash Accounts",
                IF(INDIRECT("'"&amp;F94&amp;"'!$B$2")="Amount",
                    "Investments",
                    "Bill Accounts"
                )
            )
        ),
    "")
)</f>
        <v/>
      </c>
      <c r="H94" s="46" t="str" cm="1">
        <f t="array" aca="1" ref="H94" ca="1">IF(F94&lt;&gt;"",INDIRECT("'"&amp;F94&amp;"'!$C$10"),"")</f>
        <v/>
      </c>
      <c r="I94" s="46" t="str" cm="1">
        <f t="array" aca="1" ref="I94" ca="1">IF(F94&lt;&gt;"",IF(OR(G94="Bill Accounts",G94="Investments", G94="Cash Accounts"),INDIRECT("'"&amp;F94&amp;"'!$C$10"),INDIRECT("'"&amp;F94&amp;"'!$C$8")),"")</f>
        <v/>
      </c>
      <c r="J94" s="46" t="str" cm="1">
        <f t="array" aca="1" ref="J94" ca="1">IF(F94&lt;&gt;"",ABS(INDIRECT("'"&amp;F94&amp;"'!$I$2")),"")</f>
        <v/>
      </c>
      <c r="K94" s="48">
        <f t="shared" si="6"/>
        <v>100</v>
      </c>
      <c r="L94" s="114" t="str" cm="1">
        <f t="array" aca="1" ref="L94" ca="1">IF(F94&lt;&gt;"",INDIRECT("'"&amp;F94&amp;"'!$F$17"),"")</f>
        <v/>
      </c>
      <c r="M94" s="116" t="str">
        <f t="shared" ca="1" si="4"/>
        <v/>
      </c>
      <c r="O94" s="49" t="str">
        <f t="shared" ca="1" si="5"/>
        <v/>
      </c>
      <c r="P94" s="38" t="str">
        <f ca="1">IF(E94&lt;&gt;"",RANK(E94,$E$3:$E$2298)+COUNTIF($E$3:E94,E94)-1,"")</f>
        <v/>
      </c>
      <c r="Q94" s="8"/>
      <c r="R94" s="64"/>
      <c r="Z94" s="8"/>
    </row>
    <row r="95" spans="4:26" x14ac:dyDescent="0.25">
      <c r="D95" s="36" t="str" cm="1">
        <f t="array" aca="1" ref="D95" ca="1">IFERROR(IF(INDIRECT("'"&amp;F95&amp;"'!$C$5")&gt;0,DATE(YEAR(Dashboard!$AL$2),Dashboard!$AU$4,INDIRECT("'"&amp;F95&amp;"'!$C$5")),""),"")</f>
        <v/>
      </c>
      <c r="E95" s="50" t="str" cm="1">
        <f t="array" aca="1" ref="E95" ca="1">IF(G95="Credit Accounts",IFERROR(IF(INDIRECT("'"&amp;F95&amp;"'!$C$8")&gt;0,INDIRECT("'"&amp;F95&amp;"'!$F$2"),""),""),"")</f>
        <v/>
      </c>
      <c r="F95" s="37" t="str" cm="1">
        <f t="array" ref="F95">IFERROR(INDEX(Sheet_Names,K95),"")</f>
        <v/>
      </c>
      <c r="G95" s="38" t="str" cm="1">
        <f t="array" aca="1" ref="G95" ca="1">IF(F95="",
    "",
    IFERROR(
        IF(INDIRECT("'"&amp;F95&amp;"'!$B$2")="Credit Limit",
            "Credit Accounts",
            IF(INDIRECT("'"&amp;F95&amp;"'!$E$2")="Location",
                "Cash Accounts",
                IF(INDIRECT("'"&amp;F95&amp;"'!$B$2")="Amount",
                    "Investments",
                    "Bill Accounts"
                )
            )
        ),
    "")
)</f>
        <v/>
      </c>
      <c r="H95" s="46" t="str" cm="1">
        <f t="array" aca="1" ref="H95" ca="1">IF(F95&lt;&gt;"",INDIRECT("'"&amp;F95&amp;"'!$C$10"),"")</f>
        <v/>
      </c>
      <c r="I95" s="46" t="str" cm="1">
        <f t="array" aca="1" ref="I95" ca="1">IF(F95&lt;&gt;"",IF(OR(G95="Bill Accounts",G95="Investments", G95="Cash Accounts"),INDIRECT("'"&amp;F95&amp;"'!$C$10"),INDIRECT("'"&amp;F95&amp;"'!$C$8")),"")</f>
        <v/>
      </c>
      <c r="J95" s="46" t="str" cm="1">
        <f t="array" aca="1" ref="J95" ca="1">IF(F95&lt;&gt;"",ABS(INDIRECT("'"&amp;F95&amp;"'!$I$2")),"")</f>
        <v/>
      </c>
      <c r="K95" s="48">
        <f t="shared" si="6"/>
        <v>101</v>
      </c>
      <c r="L95" s="114" t="str" cm="1">
        <f t="array" aca="1" ref="L95" ca="1">IF(F95&lt;&gt;"",INDIRECT("'"&amp;F95&amp;"'!$F$17"),"")</f>
        <v/>
      </c>
      <c r="M95" s="116" t="str">
        <f t="shared" ca="1" si="4"/>
        <v/>
      </c>
      <c r="O95" s="49" t="str">
        <f t="shared" ca="1" si="5"/>
        <v/>
      </c>
      <c r="P95" s="38" t="str">
        <f ca="1">IF(E95&lt;&gt;"",RANK(E95,$E$3:$E$2298)+COUNTIF($E$3:E95,E95)-1,"")</f>
        <v/>
      </c>
      <c r="Q95" s="8"/>
      <c r="R95" s="64"/>
      <c r="Z95" s="8"/>
    </row>
    <row r="96" spans="4:26" x14ac:dyDescent="0.25">
      <c r="D96" s="36" t="str" cm="1">
        <f t="array" aca="1" ref="D96" ca="1">IFERROR(IF(INDIRECT("'"&amp;F96&amp;"'!$C$5")&gt;0,DATE(YEAR(Dashboard!$AL$2),Dashboard!$AU$4,INDIRECT("'"&amp;F96&amp;"'!$C$5")),""),"")</f>
        <v/>
      </c>
      <c r="E96" s="50" t="str" cm="1">
        <f t="array" aca="1" ref="E96" ca="1">IF(G96="Credit Accounts",IFERROR(IF(INDIRECT("'"&amp;F96&amp;"'!$C$8")&gt;0,INDIRECT("'"&amp;F96&amp;"'!$F$2"),""),""),"")</f>
        <v/>
      </c>
      <c r="F96" s="37" t="str" cm="1">
        <f t="array" ref="F96">IFERROR(INDEX(Sheet_Names,K96),"")</f>
        <v/>
      </c>
      <c r="G96" s="38" t="str" cm="1">
        <f t="array" aca="1" ref="G96" ca="1">IF(F96="",
    "",
    IFERROR(
        IF(INDIRECT("'"&amp;F96&amp;"'!$B$2")="Credit Limit",
            "Credit Accounts",
            IF(INDIRECT("'"&amp;F96&amp;"'!$E$2")="Location",
                "Cash Accounts",
                IF(INDIRECT("'"&amp;F96&amp;"'!$B$2")="Amount",
                    "Investments",
                    "Bill Accounts"
                )
            )
        ),
    "")
)</f>
        <v/>
      </c>
      <c r="H96" s="46" t="str" cm="1">
        <f t="array" aca="1" ref="H96" ca="1">IF(F96&lt;&gt;"",INDIRECT("'"&amp;F96&amp;"'!$C$10"),"")</f>
        <v/>
      </c>
      <c r="I96" s="46" t="str" cm="1">
        <f t="array" aca="1" ref="I96" ca="1">IF(F96&lt;&gt;"",IF(OR(G96="Bill Accounts",G96="Investments", G96="Cash Accounts"),INDIRECT("'"&amp;F96&amp;"'!$C$10"),INDIRECT("'"&amp;F96&amp;"'!$C$8")),"")</f>
        <v/>
      </c>
      <c r="J96" s="46" t="str" cm="1">
        <f t="array" aca="1" ref="J96" ca="1">IF(F96&lt;&gt;"",ABS(INDIRECT("'"&amp;F96&amp;"'!$I$2")),"")</f>
        <v/>
      </c>
      <c r="K96" s="48">
        <f t="shared" si="6"/>
        <v>102</v>
      </c>
      <c r="L96" s="114" t="str" cm="1">
        <f t="array" aca="1" ref="L96" ca="1">IF(F96&lt;&gt;"",INDIRECT("'"&amp;F96&amp;"'!$F$17"),"")</f>
        <v/>
      </c>
      <c r="M96" s="116" t="str">
        <f t="shared" ca="1" si="4"/>
        <v/>
      </c>
      <c r="O96" s="49" t="str">
        <f t="shared" ca="1" si="5"/>
        <v/>
      </c>
      <c r="P96" s="38" t="str">
        <f ca="1">IF(E96&lt;&gt;"",RANK(E96,$E$3:$E$2298)+COUNTIF($E$3:E96,E96)-1,"")</f>
        <v/>
      </c>
      <c r="Q96" s="8"/>
      <c r="R96" s="64"/>
      <c r="Z96" s="8"/>
    </row>
    <row r="97" spans="4:26" x14ac:dyDescent="0.25">
      <c r="D97" s="36" t="str" cm="1">
        <f t="array" aca="1" ref="D97" ca="1">IFERROR(IF(INDIRECT("'"&amp;F97&amp;"'!$C$5")&gt;0,DATE(YEAR(Dashboard!$AL$2),Dashboard!$AU$4,INDIRECT("'"&amp;F97&amp;"'!$C$5")),""),"")</f>
        <v/>
      </c>
      <c r="E97" s="50" t="str" cm="1">
        <f t="array" aca="1" ref="E97" ca="1">IF(G97="Credit Accounts",IFERROR(IF(INDIRECT("'"&amp;F97&amp;"'!$C$8")&gt;0,INDIRECT("'"&amp;F97&amp;"'!$F$2"),""),""),"")</f>
        <v/>
      </c>
      <c r="F97" s="37" t="str" cm="1">
        <f t="array" ref="F97">IFERROR(INDEX(Sheet_Names,K97),"")</f>
        <v/>
      </c>
      <c r="G97" s="38" t="str" cm="1">
        <f t="array" aca="1" ref="G97" ca="1">IF(F97="",
    "",
    IFERROR(
        IF(INDIRECT("'"&amp;F97&amp;"'!$B$2")="Credit Limit",
            "Credit Accounts",
            IF(INDIRECT("'"&amp;F97&amp;"'!$E$2")="Location",
                "Cash Accounts",
                IF(INDIRECT("'"&amp;F97&amp;"'!$B$2")="Amount",
                    "Investments",
                    "Bill Accounts"
                )
            )
        ),
    "")
)</f>
        <v/>
      </c>
      <c r="H97" s="46" t="str" cm="1">
        <f t="array" aca="1" ref="H97" ca="1">IF(F97&lt;&gt;"",INDIRECT("'"&amp;F97&amp;"'!$C$10"),"")</f>
        <v/>
      </c>
      <c r="I97" s="46" t="str" cm="1">
        <f t="array" aca="1" ref="I97" ca="1">IF(F97&lt;&gt;"",IF(OR(G97="Bill Accounts",G97="Investments", G97="Cash Accounts"),INDIRECT("'"&amp;F97&amp;"'!$C$10"),INDIRECT("'"&amp;F97&amp;"'!$C$8")),"")</f>
        <v/>
      </c>
      <c r="J97" s="46" t="str" cm="1">
        <f t="array" aca="1" ref="J97" ca="1">IF(F97&lt;&gt;"",ABS(INDIRECT("'"&amp;F97&amp;"'!$I$2")),"")</f>
        <v/>
      </c>
      <c r="K97" s="48">
        <f t="shared" si="6"/>
        <v>103</v>
      </c>
      <c r="L97" s="114" t="str" cm="1">
        <f t="array" aca="1" ref="L97" ca="1">IF(F97&lt;&gt;"",INDIRECT("'"&amp;F97&amp;"'!$F$17"),"")</f>
        <v/>
      </c>
      <c r="M97" s="116" t="str">
        <f t="shared" ca="1" si="4"/>
        <v/>
      </c>
      <c r="O97" s="49" t="str">
        <f t="shared" ca="1" si="5"/>
        <v/>
      </c>
      <c r="P97" s="38" t="str">
        <f ca="1">IF(E97&lt;&gt;"",RANK(E97,$E$3:$E$2298)+COUNTIF($E$3:E97,E97)-1,"")</f>
        <v/>
      </c>
      <c r="Q97" s="8"/>
      <c r="R97" s="64"/>
      <c r="Z97" s="8"/>
    </row>
    <row r="98" spans="4:26" x14ac:dyDescent="0.25">
      <c r="D98" s="36" t="str" cm="1">
        <f t="array" aca="1" ref="D98" ca="1">IFERROR(IF(INDIRECT("'"&amp;F98&amp;"'!$C$5")&gt;0,DATE(YEAR(Dashboard!$AL$2),Dashboard!$AU$4,INDIRECT("'"&amp;F98&amp;"'!$C$5")),""),"")</f>
        <v/>
      </c>
      <c r="E98" s="50" t="str" cm="1">
        <f t="array" aca="1" ref="E98" ca="1">IF(G98="Credit Accounts",IFERROR(IF(INDIRECT("'"&amp;F98&amp;"'!$C$8")&gt;0,INDIRECT("'"&amp;F98&amp;"'!$F$2"),""),""),"")</f>
        <v/>
      </c>
      <c r="F98" s="37" t="str" cm="1">
        <f t="array" ref="F98">IFERROR(INDEX(Sheet_Names,K98),"")</f>
        <v/>
      </c>
      <c r="G98" s="38" t="str" cm="1">
        <f t="array" aca="1" ref="G98" ca="1">IF(F98="",
    "",
    IFERROR(
        IF(INDIRECT("'"&amp;F98&amp;"'!$B$2")="Credit Limit",
            "Credit Accounts",
            IF(INDIRECT("'"&amp;F98&amp;"'!$E$2")="Location",
                "Cash Accounts",
                IF(INDIRECT("'"&amp;F98&amp;"'!$B$2")="Amount",
                    "Investments",
                    "Bill Accounts"
                )
            )
        ),
    "")
)</f>
        <v/>
      </c>
      <c r="H98" s="46" t="str" cm="1">
        <f t="array" aca="1" ref="H98" ca="1">IF(F98&lt;&gt;"",INDIRECT("'"&amp;F98&amp;"'!$C$10"),"")</f>
        <v/>
      </c>
      <c r="I98" s="46" t="str" cm="1">
        <f t="array" aca="1" ref="I98" ca="1">IF(F98&lt;&gt;"",IF(OR(G98="Bill Accounts",G98="Investments", G98="Cash Accounts"),INDIRECT("'"&amp;F98&amp;"'!$C$10"),INDIRECT("'"&amp;F98&amp;"'!$C$8")),"")</f>
        <v/>
      </c>
      <c r="J98" s="46" t="str" cm="1">
        <f t="array" aca="1" ref="J98" ca="1">IF(F98&lt;&gt;"",ABS(INDIRECT("'"&amp;F98&amp;"'!$I$2")),"")</f>
        <v/>
      </c>
      <c r="K98" s="48">
        <f t="shared" si="6"/>
        <v>104</v>
      </c>
      <c r="L98" s="114" t="str" cm="1">
        <f t="array" aca="1" ref="L98" ca="1">IF(F98&lt;&gt;"",INDIRECT("'"&amp;F98&amp;"'!$F$17"),"")</f>
        <v/>
      </c>
      <c r="M98" s="116" t="str">
        <f t="shared" ca="1" si="4"/>
        <v/>
      </c>
      <c r="O98" s="49" t="str">
        <f t="shared" ca="1" si="5"/>
        <v/>
      </c>
      <c r="P98" s="38" t="str">
        <f ca="1">IF(E98&lt;&gt;"",RANK(E98,$E$3:$E$2298)+COUNTIF($E$3:E98,E98)-1,"")</f>
        <v/>
      </c>
      <c r="Q98" s="8"/>
      <c r="R98" s="64"/>
      <c r="Z98" s="8"/>
    </row>
    <row r="99" spans="4:26" x14ac:dyDescent="0.25">
      <c r="D99" s="36" t="str" cm="1">
        <f t="array" aca="1" ref="D99" ca="1">IFERROR(IF(INDIRECT("'"&amp;F99&amp;"'!$C$5")&gt;0,DATE(YEAR(Dashboard!$AL$2),Dashboard!$AU$4,INDIRECT("'"&amp;F99&amp;"'!$C$5")),""),"")</f>
        <v/>
      </c>
      <c r="E99" s="50" t="str" cm="1">
        <f t="array" aca="1" ref="E99" ca="1">IF(G99="Credit Accounts",IFERROR(IF(INDIRECT("'"&amp;F99&amp;"'!$C$8")&gt;0,INDIRECT("'"&amp;F99&amp;"'!$F$2"),""),""),"")</f>
        <v/>
      </c>
      <c r="F99" s="37" t="str" cm="1">
        <f t="array" ref="F99">IFERROR(INDEX(Sheet_Names,K99),"")</f>
        <v/>
      </c>
      <c r="G99" s="38" t="str" cm="1">
        <f t="array" aca="1" ref="G99" ca="1">IF(F99="",
    "",
    IFERROR(
        IF(INDIRECT("'"&amp;F99&amp;"'!$B$2")="Credit Limit",
            "Credit Accounts",
            IF(INDIRECT("'"&amp;F99&amp;"'!$E$2")="Location",
                "Cash Accounts",
                IF(INDIRECT("'"&amp;F99&amp;"'!$B$2")="Amount",
                    "Investments",
                    "Bill Accounts"
                )
            )
        ),
    "")
)</f>
        <v/>
      </c>
      <c r="H99" s="46" t="str" cm="1">
        <f t="array" aca="1" ref="H99" ca="1">IF(F99&lt;&gt;"",INDIRECT("'"&amp;F99&amp;"'!$C$10"),"")</f>
        <v/>
      </c>
      <c r="I99" s="46" t="str" cm="1">
        <f t="array" aca="1" ref="I99" ca="1">IF(F99&lt;&gt;"",IF(OR(G99="Bill Accounts",G99="Investments", G99="Cash Accounts"),INDIRECT("'"&amp;F99&amp;"'!$C$10"),INDIRECT("'"&amp;F99&amp;"'!$C$8")),"")</f>
        <v/>
      </c>
      <c r="J99" s="46" t="str" cm="1">
        <f t="array" aca="1" ref="J99" ca="1">IF(F99&lt;&gt;"",ABS(INDIRECT("'"&amp;F99&amp;"'!$I$2")),"")</f>
        <v/>
      </c>
      <c r="K99" s="48">
        <f t="shared" si="6"/>
        <v>105</v>
      </c>
      <c r="L99" s="114" t="str" cm="1">
        <f t="array" aca="1" ref="L99" ca="1">IF(F99&lt;&gt;"",INDIRECT("'"&amp;F99&amp;"'!$F$17"),"")</f>
        <v/>
      </c>
      <c r="M99" s="116" t="str">
        <f t="shared" ca="1" si="4"/>
        <v/>
      </c>
      <c r="O99" s="49" t="str">
        <f t="shared" ca="1" si="5"/>
        <v/>
      </c>
      <c r="P99" s="38" t="str">
        <f ca="1">IF(E99&lt;&gt;"",RANK(E99,$E$3:$E$2298)+COUNTIF($E$3:E99,E99)-1,"")</f>
        <v/>
      </c>
      <c r="Q99" s="8"/>
      <c r="R99" s="64"/>
      <c r="Z99" s="8"/>
    </row>
    <row r="100" spans="4:26" x14ac:dyDescent="0.25">
      <c r="D100" s="36" t="str" cm="1">
        <f t="array" aca="1" ref="D100" ca="1">IFERROR(IF(INDIRECT("'"&amp;F100&amp;"'!$C$5")&gt;0,DATE(YEAR(Dashboard!$AL$2),Dashboard!$AU$4,INDIRECT("'"&amp;F100&amp;"'!$C$5")),""),"")</f>
        <v/>
      </c>
      <c r="E100" s="50" t="str" cm="1">
        <f t="array" aca="1" ref="E100" ca="1">IF(G100="Credit Accounts",IFERROR(IF(INDIRECT("'"&amp;F100&amp;"'!$C$8")&gt;0,INDIRECT("'"&amp;F100&amp;"'!$F$2"),""),""),"")</f>
        <v/>
      </c>
      <c r="F100" s="37" t="str" cm="1">
        <f t="array" ref="F100">IFERROR(INDEX(Sheet_Names,K100),"")</f>
        <v/>
      </c>
      <c r="G100" s="38" t="str" cm="1">
        <f t="array" aca="1" ref="G100" ca="1">IF(F100="",
    "",
    IFERROR(
        IF(INDIRECT("'"&amp;F100&amp;"'!$B$2")="Credit Limit",
            "Credit Accounts",
            IF(INDIRECT("'"&amp;F100&amp;"'!$E$2")="Location",
                "Cash Accounts",
                IF(INDIRECT("'"&amp;F100&amp;"'!$B$2")="Amount",
                    "Investments",
                    "Bill Accounts"
                )
            )
        ),
    "")
)</f>
        <v/>
      </c>
      <c r="H100" s="46" t="str" cm="1">
        <f t="array" aca="1" ref="H100" ca="1">IF(F100&lt;&gt;"",INDIRECT("'"&amp;F100&amp;"'!$C$10"),"")</f>
        <v/>
      </c>
      <c r="I100" s="46" t="str" cm="1">
        <f t="array" aca="1" ref="I100" ca="1">IF(F100&lt;&gt;"",IF(OR(G100="Bill Accounts",G100="Investments", G100="Cash Accounts"),INDIRECT("'"&amp;F100&amp;"'!$C$10"),INDIRECT("'"&amp;F100&amp;"'!$C$8")),"")</f>
        <v/>
      </c>
      <c r="J100" s="46" t="str" cm="1">
        <f t="array" aca="1" ref="J100" ca="1">IF(F100&lt;&gt;"",ABS(INDIRECT("'"&amp;F100&amp;"'!$I$2")),"")</f>
        <v/>
      </c>
      <c r="K100" s="48">
        <f t="shared" si="6"/>
        <v>106</v>
      </c>
      <c r="L100" s="114" t="str" cm="1">
        <f t="array" aca="1" ref="L100" ca="1">IF(F100&lt;&gt;"",INDIRECT("'"&amp;F100&amp;"'!$F$17"),"")</f>
        <v/>
      </c>
      <c r="M100" s="116" t="str">
        <f t="shared" ca="1" si="4"/>
        <v/>
      </c>
      <c r="O100" s="49" t="str">
        <f t="shared" ca="1" si="5"/>
        <v/>
      </c>
      <c r="P100" s="38" t="str">
        <f ca="1">IF(E100&lt;&gt;"",RANK(E100,$E$3:$E$2298)+COUNTIF($E$3:E100,E100)-1,"")</f>
        <v/>
      </c>
      <c r="Q100" s="8"/>
      <c r="R100" s="64"/>
      <c r="Z100" s="8"/>
    </row>
    <row r="101" spans="4:26" x14ac:dyDescent="0.25">
      <c r="D101" s="36" t="str" cm="1">
        <f t="array" aca="1" ref="D101" ca="1">IFERROR(IF(INDIRECT("'"&amp;F101&amp;"'!$C$5")&gt;0,DATE(YEAR(Dashboard!$AL$2),Dashboard!$AU$4,INDIRECT("'"&amp;F101&amp;"'!$C$5")),""),"")</f>
        <v/>
      </c>
      <c r="E101" s="50" t="str" cm="1">
        <f t="array" aca="1" ref="E101" ca="1">IF(G101="Credit Accounts",IFERROR(IF(INDIRECT("'"&amp;F101&amp;"'!$C$8")&gt;0,INDIRECT("'"&amp;F101&amp;"'!$F$2"),""),""),"")</f>
        <v/>
      </c>
      <c r="F101" s="37" t="str" cm="1">
        <f t="array" ref="F101">IFERROR(INDEX(Sheet_Names,K101),"")</f>
        <v/>
      </c>
      <c r="G101" s="38" t="str" cm="1">
        <f t="array" aca="1" ref="G101" ca="1">IF(F101="",
    "",
    IFERROR(
        IF(INDIRECT("'"&amp;F101&amp;"'!$B$2")="Credit Limit",
            "Credit Accounts",
            IF(INDIRECT("'"&amp;F101&amp;"'!$E$2")="Location",
                "Cash Accounts",
                IF(INDIRECT("'"&amp;F101&amp;"'!$B$2")="Amount",
                    "Investments",
                    "Bill Accounts"
                )
            )
        ),
    "")
)</f>
        <v/>
      </c>
      <c r="H101" s="46" t="str" cm="1">
        <f t="array" aca="1" ref="H101" ca="1">IF(F101&lt;&gt;"",INDIRECT("'"&amp;F101&amp;"'!$C$10"),"")</f>
        <v/>
      </c>
      <c r="I101" s="46" t="str" cm="1">
        <f t="array" aca="1" ref="I101" ca="1">IF(F101&lt;&gt;"",IF(OR(G101="Bill Accounts",G101="Investments", G101="Cash Accounts"),INDIRECT("'"&amp;F101&amp;"'!$C$10"),INDIRECT("'"&amp;F101&amp;"'!$C$8")),"")</f>
        <v/>
      </c>
      <c r="J101" s="46" t="str" cm="1">
        <f t="array" aca="1" ref="J101" ca="1">IF(F101&lt;&gt;"",ABS(INDIRECT("'"&amp;F101&amp;"'!$I$2")),"")</f>
        <v/>
      </c>
      <c r="K101" s="48">
        <f t="shared" si="6"/>
        <v>107</v>
      </c>
      <c r="L101" s="114" t="str" cm="1">
        <f t="array" aca="1" ref="L101" ca="1">IF(F101&lt;&gt;"",INDIRECT("'"&amp;F101&amp;"'!$F$17"),"")</f>
        <v/>
      </c>
      <c r="M101" s="116" t="str">
        <f t="shared" ca="1" si="4"/>
        <v/>
      </c>
      <c r="O101" s="49" t="str">
        <f t="shared" ca="1" si="5"/>
        <v/>
      </c>
      <c r="P101" s="38" t="str">
        <f ca="1">IF(E101&lt;&gt;"",RANK(E101,$E$3:$E$2298)+COUNTIF($E$3:E101,E101)-1,"")</f>
        <v/>
      </c>
      <c r="Q101" s="8"/>
      <c r="R101" s="64"/>
      <c r="Z101" s="8"/>
    </row>
    <row r="102" spans="4:26" x14ac:dyDescent="0.25">
      <c r="D102" s="36" t="str" cm="1">
        <f t="array" aca="1" ref="D102" ca="1">IFERROR(IF(INDIRECT("'"&amp;F102&amp;"'!$C$5")&gt;0,DATE(YEAR(Dashboard!$AL$2),Dashboard!$AU$4,INDIRECT("'"&amp;F102&amp;"'!$C$5")),""),"")</f>
        <v/>
      </c>
      <c r="E102" s="50" t="str" cm="1">
        <f t="array" aca="1" ref="E102" ca="1">IF(G102="Credit Accounts",IFERROR(IF(INDIRECT("'"&amp;F102&amp;"'!$C$8")&gt;0,INDIRECT("'"&amp;F102&amp;"'!$F$2"),""),""),"")</f>
        <v/>
      </c>
      <c r="F102" s="37" t="str" cm="1">
        <f t="array" ref="F102">IFERROR(INDEX(Sheet_Names,K102),"")</f>
        <v/>
      </c>
      <c r="G102" s="38" t="str" cm="1">
        <f t="array" aca="1" ref="G102" ca="1">IF(F102="",
    "",
    IFERROR(
        IF(INDIRECT("'"&amp;F102&amp;"'!$B$2")="Credit Limit",
            "Credit Accounts",
            IF(INDIRECT("'"&amp;F102&amp;"'!$E$2")="Location",
                "Cash Accounts",
                IF(INDIRECT("'"&amp;F102&amp;"'!$B$2")="Amount",
                    "Investments",
                    "Bill Accounts"
                )
            )
        ),
    "")
)</f>
        <v/>
      </c>
      <c r="H102" s="46" t="str" cm="1">
        <f t="array" aca="1" ref="H102" ca="1">IF(F102&lt;&gt;"",INDIRECT("'"&amp;F102&amp;"'!$C$10"),"")</f>
        <v/>
      </c>
      <c r="I102" s="46" t="str" cm="1">
        <f t="array" aca="1" ref="I102" ca="1">IF(F102&lt;&gt;"",IF(OR(G102="Bill Accounts",G102="Investments", G102="Cash Accounts"),INDIRECT("'"&amp;F102&amp;"'!$C$10"),INDIRECT("'"&amp;F102&amp;"'!$C$8")),"")</f>
        <v/>
      </c>
      <c r="J102" s="46" t="str" cm="1">
        <f t="array" aca="1" ref="J102" ca="1">IF(F102&lt;&gt;"",ABS(INDIRECT("'"&amp;F102&amp;"'!$I$2")),"")</f>
        <v/>
      </c>
      <c r="K102" s="48">
        <f t="shared" si="6"/>
        <v>108</v>
      </c>
      <c r="L102" s="114" t="str" cm="1">
        <f t="array" aca="1" ref="L102" ca="1">IF(F102&lt;&gt;"",INDIRECT("'"&amp;F102&amp;"'!$F$17"),"")</f>
        <v/>
      </c>
      <c r="M102" s="116" t="str">
        <f t="shared" ca="1" si="4"/>
        <v/>
      </c>
      <c r="O102" s="49" t="str">
        <f t="shared" ca="1" si="5"/>
        <v/>
      </c>
      <c r="P102" s="38" t="str">
        <f ca="1">IF(E102&lt;&gt;"",RANK(E102,$E$3:$E$2298)+COUNTIF($E$3:E102,E102)-1,"")</f>
        <v/>
      </c>
      <c r="Q102" s="8"/>
      <c r="R102" s="64"/>
      <c r="Z102" s="8"/>
    </row>
    <row r="103" spans="4:26" x14ac:dyDescent="0.25">
      <c r="D103" s="36" t="str" cm="1">
        <f t="array" aca="1" ref="D103" ca="1">IFERROR(IF(INDIRECT("'"&amp;F103&amp;"'!$C$5")&gt;0,DATE(YEAR(Dashboard!$AL$2),Dashboard!$AU$4,INDIRECT("'"&amp;F103&amp;"'!$C$5")),""),"")</f>
        <v/>
      </c>
      <c r="E103" s="50" t="str" cm="1">
        <f t="array" aca="1" ref="E103" ca="1">IF(G103="Credit Accounts",IFERROR(IF(INDIRECT("'"&amp;F103&amp;"'!$C$8")&gt;0,INDIRECT("'"&amp;F103&amp;"'!$F$2"),""),""),"")</f>
        <v/>
      </c>
      <c r="F103" s="37" t="str" cm="1">
        <f t="array" ref="F103">IFERROR(INDEX(Sheet_Names,K103),"")</f>
        <v/>
      </c>
      <c r="G103" s="38" t="str" cm="1">
        <f t="array" aca="1" ref="G103" ca="1">IF(F103="",
    "",
    IFERROR(
        IF(INDIRECT("'"&amp;F103&amp;"'!$B$2")="Credit Limit",
            "Credit Accounts",
            IF(INDIRECT("'"&amp;F103&amp;"'!$E$2")="Location",
                "Cash Accounts",
                IF(INDIRECT("'"&amp;F103&amp;"'!$B$2")="Amount",
                    "Investments",
                    "Bill Accounts"
                )
            )
        ),
    "")
)</f>
        <v/>
      </c>
      <c r="H103" s="46" t="str" cm="1">
        <f t="array" aca="1" ref="H103" ca="1">IF(F103&lt;&gt;"",INDIRECT("'"&amp;F103&amp;"'!$C$10"),"")</f>
        <v/>
      </c>
      <c r="I103" s="46" t="str" cm="1">
        <f t="array" aca="1" ref="I103" ca="1">IF(F103&lt;&gt;"",IF(OR(G103="Bill Accounts",G103="Investments", G103="Cash Accounts"),INDIRECT("'"&amp;F103&amp;"'!$C$10"),INDIRECT("'"&amp;F103&amp;"'!$C$8")),"")</f>
        <v/>
      </c>
      <c r="J103" s="46" t="str" cm="1">
        <f t="array" aca="1" ref="J103" ca="1">IF(F103&lt;&gt;"",ABS(INDIRECT("'"&amp;F103&amp;"'!$I$2")),"")</f>
        <v/>
      </c>
      <c r="K103" s="48">
        <f t="shared" si="6"/>
        <v>109</v>
      </c>
      <c r="L103" s="114" t="str" cm="1">
        <f t="array" aca="1" ref="L103" ca="1">IF(F103&lt;&gt;"",INDIRECT("'"&amp;F103&amp;"'!$F$17"),"")</f>
        <v/>
      </c>
      <c r="M103" s="116" t="str">
        <f t="shared" ca="1" si="4"/>
        <v/>
      </c>
      <c r="O103" s="49" t="str">
        <f t="shared" ca="1" si="5"/>
        <v/>
      </c>
      <c r="P103" s="38" t="str">
        <f ca="1">IF(E103&lt;&gt;"",RANK(E103,$E$3:$E$2298)+COUNTIF($E$3:E103,E103)-1,"")</f>
        <v/>
      </c>
      <c r="Q103" s="8"/>
      <c r="R103" s="64"/>
      <c r="Z103" s="8"/>
    </row>
    <row r="104" spans="4:26" x14ac:dyDescent="0.25">
      <c r="D104" s="36" t="str" cm="1">
        <f t="array" aca="1" ref="D104" ca="1">IFERROR(IF(INDIRECT("'"&amp;F104&amp;"'!$C$5")&gt;0,DATE(YEAR(Dashboard!$AL$2),Dashboard!$AU$4,INDIRECT("'"&amp;F104&amp;"'!$C$5")),""),"")</f>
        <v/>
      </c>
      <c r="E104" s="50" t="str" cm="1">
        <f t="array" aca="1" ref="E104" ca="1">IF(G104="Credit Accounts",IFERROR(IF(INDIRECT("'"&amp;F104&amp;"'!$C$8")&gt;0,INDIRECT("'"&amp;F104&amp;"'!$F$2"),""),""),"")</f>
        <v/>
      </c>
      <c r="F104" s="37" t="str" cm="1">
        <f t="array" ref="F104">IFERROR(INDEX(Sheet_Names,K104),"")</f>
        <v/>
      </c>
      <c r="G104" s="38" t="str" cm="1">
        <f t="array" aca="1" ref="G104" ca="1">IF(F104="",
    "",
    IFERROR(
        IF(INDIRECT("'"&amp;F104&amp;"'!$B$2")="Credit Limit",
            "Credit Accounts",
            IF(INDIRECT("'"&amp;F104&amp;"'!$E$2")="Location",
                "Cash Accounts",
                IF(INDIRECT("'"&amp;F104&amp;"'!$B$2")="Amount",
                    "Investments",
                    "Bill Accounts"
                )
            )
        ),
    "")
)</f>
        <v/>
      </c>
      <c r="H104" s="46" t="str" cm="1">
        <f t="array" aca="1" ref="H104" ca="1">IF(F104&lt;&gt;"",INDIRECT("'"&amp;F104&amp;"'!$C$10"),"")</f>
        <v/>
      </c>
      <c r="I104" s="46" t="str" cm="1">
        <f t="array" aca="1" ref="I104" ca="1">IF(F104&lt;&gt;"",IF(OR(G104="Bill Accounts",G104="Investments", G104="Cash Accounts"),INDIRECT("'"&amp;F104&amp;"'!$C$10"),INDIRECT("'"&amp;F104&amp;"'!$C$8")),"")</f>
        <v/>
      </c>
      <c r="J104" s="46" t="str" cm="1">
        <f t="array" aca="1" ref="J104" ca="1">IF(F104&lt;&gt;"",ABS(INDIRECT("'"&amp;F104&amp;"'!$I$2")),"")</f>
        <v/>
      </c>
      <c r="K104" s="48">
        <f t="shared" si="6"/>
        <v>110</v>
      </c>
      <c r="L104" s="114" t="str" cm="1">
        <f t="array" aca="1" ref="L104" ca="1">IF(F104&lt;&gt;"",INDIRECT("'"&amp;F104&amp;"'!$F$17"),"")</f>
        <v/>
      </c>
      <c r="M104" s="116" t="str">
        <f t="shared" ca="1" si="4"/>
        <v/>
      </c>
      <c r="O104" s="49" t="str">
        <f t="shared" ca="1" si="5"/>
        <v/>
      </c>
      <c r="P104" s="38" t="str">
        <f ca="1">IF(E104&lt;&gt;"",RANK(E104,$E$3:$E$2298)+COUNTIF($E$3:E104,E104)-1,"")</f>
        <v/>
      </c>
      <c r="Q104" s="8"/>
      <c r="R104" s="64"/>
      <c r="Z104" s="8"/>
    </row>
    <row r="105" spans="4:26" x14ac:dyDescent="0.25">
      <c r="D105" s="36" t="str" cm="1">
        <f t="array" aca="1" ref="D105" ca="1">IFERROR(IF(INDIRECT("'"&amp;F105&amp;"'!$C$5")&gt;0,DATE(YEAR(Dashboard!$AL$2),Dashboard!$AU$4,INDIRECT("'"&amp;F105&amp;"'!$C$5")),""),"")</f>
        <v/>
      </c>
      <c r="E105" s="50" t="str" cm="1">
        <f t="array" aca="1" ref="E105" ca="1">IF(G105="Credit Accounts",IFERROR(IF(INDIRECT("'"&amp;F105&amp;"'!$C$8")&gt;0,INDIRECT("'"&amp;F105&amp;"'!$F$2"),""),""),"")</f>
        <v/>
      </c>
      <c r="F105" s="37" t="str" cm="1">
        <f t="array" ref="F105">IFERROR(INDEX(Sheet_Names,K105),"")</f>
        <v/>
      </c>
      <c r="G105" s="38" t="str" cm="1">
        <f t="array" aca="1" ref="G105" ca="1">IF(F105="",
    "",
    IFERROR(
        IF(INDIRECT("'"&amp;F105&amp;"'!$B$2")="Credit Limit",
            "Credit Accounts",
            IF(INDIRECT("'"&amp;F105&amp;"'!$E$2")="Location",
                "Cash Accounts",
                IF(INDIRECT("'"&amp;F105&amp;"'!$B$2")="Amount",
                    "Investments",
                    "Bill Accounts"
                )
            )
        ),
    "")
)</f>
        <v/>
      </c>
      <c r="H105" s="46" t="str" cm="1">
        <f t="array" aca="1" ref="H105" ca="1">IF(F105&lt;&gt;"",INDIRECT("'"&amp;F105&amp;"'!$C$10"),"")</f>
        <v/>
      </c>
      <c r="I105" s="46" t="str" cm="1">
        <f t="array" aca="1" ref="I105" ca="1">IF(F105&lt;&gt;"",IF(OR(G105="Bill Accounts",G105="Investments", G105="Cash Accounts"),INDIRECT("'"&amp;F105&amp;"'!$C$10"),INDIRECT("'"&amp;F105&amp;"'!$C$8")),"")</f>
        <v/>
      </c>
      <c r="J105" s="46" t="str" cm="1">
        <f t="array" aca="1" ref="J105" ca="1">IF(F105&lt;&gt;"",ABS(INDIRECT("'"&amp;F105&amp;"'!$I$2")),"")</f>
        <v/>
      </c>
      <c r="K105" s="48">
        <f t="shared" si="6"/>
        <v>111</v>
      </c>
      <c r="L105" s="114" t="str" cm="1">
        <f t="array" aca="1" ref="L105" ca="1">IF(F105&lt;&gt;"",INDIRECT("'"&amp;F105&amp;"'!$F$17"),"")</f>
        <v/>
      </c>
      <c r="M105" s="116" t="str">
        <f t="shared" ca="1" si="4"/>
        <v/>
      </c>
      <c r="O105" s="49" t="str">
        <f t="shared" ca="1" si="5"/>
        <v/>
      </c>
      <c r="P105" s="38" t="str">
        <f ca="1">IF(E105&lt;&gt;"",RANK(E105,$E$3:$E$2298)+COUNTIF($E$3:E105,E105)-1,"")</f>
        <v/>
      </c>
      <c r="Q105" s="8"/>
      <c r="R105" s="64"/>
      <c r="Z105" s="8"/>
    </row>
    <row r="106" spans="4:26" x14ac:dyDescent="0.25">
      <c r="D106" s="36" t="str" cm="1">
        <f t="array" aca="1" ref="D106" ca="1">IFERROR(IF(INDIRECT("'"&amp;F106&amp;"'!$C$5")&gt;0,DATE(YEAR(Dashboard!$AL$2),Dashboard!$AU$4,INDIRECT("'"&amp;F106&amp;"'!$C$5")),""),"")</f>
        <v/>
      </c>
      <c r="E106" s="50" t="str" cm="1">
        <f t="array" aca="1" ref="E106" ca="1">IF(G106="Credit Accounts",IFERROR(IF(INDIRECT("'"&amp;F106&amp;"'!$C$8")&gt;0,INDIRECT("'"&amp;F106&amp;"'!$F$2"),""),""),"")</f>
        <v/>
      </c>
      <c r="F106" s="37" t="str" cm="1">
        <f t="array" ref="F106">IFERROR(INDEX(Sheet_Names,K106),"")</f>
        <v/>
      </c>
      <c r="G106" s="38" t="str" cm="1">
        <f t="array" aca="1" ref="G106" ca="1">IF(F106="",
    "",
    IFERROR(
        IF(INDIRECT("'"&amp;F106&amp;"'!$B$2")="Credit Limit",
            "Credit Accounts",
            IF(INDIRECT("'"&amp;F106&amp;"'!$E$2")="Location",
                "Cash Accounts",
                IF(INDIRECT("'"&amp;F106&amp;"'!$B$2")="Amount",
                    "Investments",
                    "Bill Accounts"
                )
            )
        ),
    "")
)</f>
        <v/>
      </c>
      <c r="H106" s="46" t="str" cm="1">
        <f t="array" aca="1" ref="H106" ca="1">IF(F106&lt;&gt;"",INDIRECT("'"&amp;F106&amp;"'!$C$10"),"")</f>
        <v/>
      </c>
      <c r="I106" s="46" t="str" cm="1">
        <f t="array" aca="1" ref="I106" ca="1">IF(F106&lt;&gt;"",IF(OR(G106="Bill Accounts",G106="Investments", G106="Cash Accounts"),INDIRECT("'"&amp;F106&amp;"'!$C$10"),INDIRECT("'"&amp;F106&amp;"'!$C$8")),"")</f>
        <v/>
      </c>
      <c r="J106" s="46" t="str" cm="1">
        <f t="array" aca="1" ref="J106" ca="1">IF(F106&lt;&gt;"",ABS(INDIRECT("'"&amp;F106&amp;"'!$I$2")),"")</f>
        <v/>
      </c>
      <c r="K106" s="48">
        <f t="shared" si="6"/>
        <v>112</v>
      </c>
      <c r="L106" s="114" t="str" cm="1">
        <f t="array" aca="1" ref="L106" ca="1">IF(F106&lt;&gt;"",INDIRECT("'"&amp;F106&amp;"'!$F$17"),"")</f>
        <v/>
      </c>
      <c r="M106" s="116" t="str">
        <f t="shared" ca="1" si="4"/>
        <v/>
      </c>
      <c r="O106" s="49" t="str">
        <f t="shared" ca="1" si="5"/>
        <v/>
      </c>
      <c r="P106" s="38" t="str">
        <f ca="1">IF(E106&lt;&gt;"",RANK(E106,$E$3:$E$2298)+COUNTIF($E$3:E106,E106)-1,"")</f>
        <v/>
      </c>
      <c r="Q106" s="8"/>
      <c r="R106" s="64"/>
      <c r="Z106" s="8"/>
    </row>
    <row r="107" spans="4:26" x14ac:dyDescent="0.25">
      <c r="D107" s="36" t="str" cm="1">
        <f t="array" aca="1" ref="D107" ca="1">IFERROR(IF(INDIRECT("'"&amp;F107&amp;"'!$C$5")&gt;0,DATE(YEAR(Dashboard!$AL$2),Dashboard!$AU$4,INDIRECT("'"&amp;F107&amp;"'!$C$5")),""),"")</f>
        <v/>
      </c>
      <c r="E107" s="50" t="str" cm="1">
        <f t="array" aca="1" ref="E107" ca="1">IF(G107="Credit Accounts",IFERROR(IF(INDIRECT("'"&amp;F107&amp;"'!$C$8")&gt;0,INDIRECT("'"&amp;F107&amp;"'!$F$2"),""),""),"")</f>
        <v/>
      </c>
      <c r="F107" s="37" t="str" cm="1">
        <f t="array" ref="F107">IFERROR(INDEX(Sheet_Names,K107),"")</f>
        <v/>
      </c>
      <c r="G107" s="38" t="str" cm="1">
        <f t="array" aca="1" ref="G107" ca="1">IF(F107="",
    "",
    IFERROR(
        IF(INDIRECT("'"&amp;F107&amp;"'!$B$2")="Credit Limit",
            "Credit Accounts",
            IF(INDIRECT("'"&amp;F107&amp;"'!$E$2")="Location",
                "Cash Accounts",
                IF(INDIRECT("'"&amp;F107&amp;"'!$B$2")="Amount",
                    "Investments",
                    "Bill Accounts"
                )
            )
        ),
    "")
)</f>
        <v/>
      </c>
      <c r="H107" s="46" t="str" cm="1">
        <f t="array" aca="1" ref="H107" ca="1">IF(F107&lt;&gt;"",INDIRECT("'"&amp;F107&amp;"'!$C$10"),"")</f>
        <v/>
      </c>
      <c r="I107" s="46" t="str" cm="1">
        <f t="array" aca="1" ref="I107" ca="1">IF(F107&lt;&gt;"",IF(OR(G107="Bill Accounts",G107="Investments", G107="Cash Accounts"),INDIRECT("'"&amp;F107&amp;"'!$C$10"),INDIRECT("'"&amp;F107&amp;"'!$C$8")),"")</f>
        <v/>
      </c>
      <c r="J107" s="46" t="str" cm="1">
        <f t="array" aca="1" ref="J107" ca="1">IF(F107&lt;&gt;"",ABS(INDIRECT("'"&amp;F107&amp;"'!$I$2")),"")</f>
        <v/>
      </c>
      <c r="K107" s="48">
        <f t="shared" si="6"/>
        <v>113</v>
      </c>
      <c r="L107" s="114" t="str" cm="1">
        <f t="array" aca="1" ref="L107" ca="1">IF(F107&lt;&gt;"",INDIRECT("'"&amp;F107&amp;"'!$F$17"),"")</f>
        <v/>
      </c>
      <c r="M107" s="116" t="str">
        <f t="shared" ca="1" si="4"/>
        <v/>
      </c>
      <c r="O107" s="49" t="str">
        <f t="shared" ca="1" si="5"/>
        <v/>
      </c>
      <c r="P107" s="38" t="str">
        <f ca="1">IF(E107&lt;&gt;"",RANK(E107,$E$3:$E$2298)+COUNTIF($E$3:E107,E107)-1,"")</f>
        <v/>
      </c>
      <c r="Q107" s="8"/>
      <c r="R107" s="64"/>
      <c r="Z107" s="8"/>
    </row>
    <row r="108" spans="4:26" x14ac:dyDescent="0.25">
      <c r="D108" s="36" t="str" cm="1">
        <f t="array" aca="1" ref="D108" ca="1">IFERROR(IF(INDIRECT("'"&amp;F108&amp;"'!$C$5")&gt;0,DATE(YEAR(Dashboard!$AL$2),Dashboard!$AU$4,INDIRECT("'"&amp;F108&amp;"'!$C$5")),""),"")</f>
        <v/>
      </c>
      <c r="E108" s="50" t="str" cm="1">
        <f t="array" aca="1" ref="E108" ca="1">IF(G108="Credit Accounts",IFERROR(IF(INDIRECT("'"&amp;F108&amp;"'!$C$8")&gt;0,INDIRECT("'"&amp;F108&amp;"'!$F$2"),""),""),"")</f>
        <v/>
      </c>
      <c r="F108" s="37" t="str" cm="1">
        <f t="array" ref="F108">IFERROR(INDEX(Sheet_Names,K108),"")</f>
        <v/>
      </c>
      <c r="G108" s="38" t="str" cm="1">
        <f t="array" aca="1" ref="G108" ca="1">IF(F108="",
    "",
    IFERROR(
        IF(INDIRECT("'"&amp;F108&amp;"'!$B$2")="Credit Limit",
            "Credit Accounts",
            IF(INDIRECT("'"&amp;F108&amp;"'!$E$2")="Location",
                "Cash Accounts",
                IF(INDIRECT("'"&amp;F108&amp;"'!$B$2")="Amount",
                    "Investments",
                    "Bill Accounts"
                )
            )
        ),
    "")
)</f>
        <v/>
      </c>
      <c r="H108" s="46" t="str" cm="1">
        <f t="array" aca="1" ref="H108" ca="1">IF(F108&lt;&gt;"",INDIRECT("'"&amp;F108&amp;"'!$C$10"),"")</f>
        <v/>
      </c>
      <c r="I108" s="46" t="str" cm="1">
        <f t="array" aca="1" ref="I108" ca="1">IF(F108&lt;&gt;"",IF(OR(G108="Bill Accounts",G108="Investments", G108="Cash Accounts"),INDIRECT("'"&amp;F108&amp;"'!$C$10"),INDIRECT("'"&amp;F108&amp;"'!$C$8")),"")</f>
        <v/>
      </c>
      <c r="J108" s="46" t="str" cm="1">
        <f t="array" aca="1" ref="J108" ca="1">IF(F108&lt;&gt;"",ABS(INDIRECT("'"&amp;F108&amp;"'!$I$2")),"")</f>
        <v/>
      </c>
      <c r="K108" s="48">
        <f t="shared" si="6"/>
        <v>114</v>
      </c>
      <c r="L108" s="114" t="str" cm="1">
        <f t="array" aca="1" ref="L108" ca="1">IF(F108&lt;&gt;"",INDIRECT("'"&amp;F108&amp;"'!$F$17"),"")</f>
        <v/>
      </c>
      <c r="M108" s="116" t="str">
        <f t="shared" ca="1" si="4"/>
        <v/>
      </c>
      <c r="O108" s="49" t="str">
        <f t="shared" ca="1" si="5"/>
        <v/>
      </c>
      <c r="P108" s="38" t="str">
        <f ca="1">IF(E108&lt;&gt;"",RANK(E108,$E$3:$E$2298)+COUNTIF($E$3:E108,E108)-1,"")</f>
        <v/>
      </c>
      <c r="Q108" s="8"/>
      <c r="R108" s="64"/>
      <c r="Z108" s="8"/>
    </row>
    <row r="109" spans="4:26" x14ac:dyDescent="0.25">
      <c r="D109" s="36" t="str" cm="1">
        <f t="array" aca="1" ref="D109" ca="1">IFERROR(IF(INDIRECT("'"&amp;F109&amp;"'!$C$5")&gt;0,DATE(YEAR(Dashboard!$AL$2),Dashboard!$AU$4,INDIRECT("'"&amp;F109&amp;"'!$C$5")),""),"")</f>
        <v/>
      </c>
      <c r="E109" s="50" t="str" cm="1">
        <f t="array" aca="1" ref="E109" ca="1">IF(G109="Credit Accounts",IFERROR(IF(INDIRECT("'"&amp;F109&amp;"'!$C$8")&gt;0,INDIRECT("'"&amp;F109&amp;"'!$F$2"),""),""),"")</f>
        <v/>
      </c>
      <c r="F109" s="37" t="str" cm="1">
        <f t="array" ref="F109">IFERROR(INDEX(Sheet_Names,K109),"")</f>
        <v/>
      </c>
      <c r="G109" s="38" t="str" cm="1">
        <f t="array" aca="1" ref="G109" ca="1">IF(F109="",
    "",
    IFERROR(
        IF(INDIRECT("'"&amp;F109&amp;"'!$B$2")="Credit Limit",
            "Credit Accounts",
            IF(INDIRECT("'"&amp;F109&amp;"'!$E$2")="Location",
                "Cash Accounts",
                IF(INDIRECT("'"&amp;F109&amp;"'!$B$2")="Amount",
                    "Investments",
                    "Bill Accounts"
                )
            )
        ),
    "")
)</f>
        <v/>
      </c>
      <c r="H109" s="46" t="str" cm="1">
        <f t="array" aca="1" ref="H109" ca="1">IF(F109&lt;&gt;"",INDIRECT("'"&amp;F109&amp;"'!$C$10"),"")</f>
        <v/>
      </c>
      <c r="I109" s="46" t="str" cm="1">
        <f t="array" aca="1" ref="I109" ca="1">IF(F109&lt;&gt;"",IF(OR(G109="Bill Accounts",G109="Investments", G109="Cash Accounts"),INDIRECT("'"&amp;F109&amp;"'!$C$10"),INDIRECT("'"&amp;F109&amp;"'!$C$8")),"")</f>
        <v/>
      </c>
      <c r="J109" s="46" t="str" cm="1">
        <f t="array" aca="1" ref="J109" ca="1">IF(F109&lt;&gt;"",ABS(INDIRECT("'"&amp;F109&amp;"'!$I$2")),"")</f>
        <v/>
      </c>
      <c r="K109" s="48">
        <f t="shared" si="6"/>
        <v>115</v>
      </c>
      <c r="L109" s="114" t="str" cm="1">
        <f t="array" aca="1" ref="L109" ca="1">IF(F109&lt;&gt;"",INDIRECT("'"&amp;F109&amp;"'!$F$17"),"")</f>
        <v/>
      </c>
      <c r="M109" s="116" t="str">
        <f t="shared" ca="1" si="4"/>
        <v/>
      </c>
      <c r="O109" s="49" t="str">
        <f t="shared" ca="1" si="5"/>
        <v/>
      </c>
      <c r="P109" s="38" t="str">
        <f ca="1">IF(E109&lt;&gt;"",RANK(E109,$E$3:$E$2298)+COUNTIF($E$3:E109,E109)-1,"")</f>
        <v/>
      </c>
      <c r="Q109" s="8"/>
      <c r="R109" s="64"/>
      <c r="Z109" s="8"/>
    </row>
    <row r="110" spans="4:26" x14ac:dyDescent="0.25">
      <c r="D110" s="36" t="str" cm="1">
        <f t="array" aca="1" ref="D110" ca="1">IFERROR(IF(INDIRECT("'"&amp;F110&amp;"'!$C$5")&gt;0,DATE(YEAR(Dashboard!$AL$2),Dashboard!$AU$4,INDIRECT("'"&amp;F110&amp;"'!$C$5")),""),"")</f>
        <v/>
      </c>
      <c r="E110" s="50" t="str" cm="1">
        <f t="array" aca="1" ref="E110" ca="1">IF(G110="Credit Accounts",IFERROR(IF(INDIRECT("'"&amp;F110&amp;"'!$C$8")&gt;0,INDIRECT("'"&amp;F110&amp;"'!$F$2"),""),""),"")</f>
        <v/>
      </c>
      <c r="F110" s="37" t="str" cm="1">
        <f t="array" ref="F110">IFERROR(INDEX(Sheet_Names,K110),"")</f>
        <v/>
      </c>
      <c r="G110" s="38" t="str" cm="1">
        <f t="array" aca="1" ref="G110" ca="1">IF(F110="",
    "",
    IFERROR(
        IF(INDIRECT("'"&amp;F110&amp;"'!$B$2")="Credit Limit",
            "Credit Accounts",
            IF(INDIRECT("'"&amp;F110&amp;"'!$E$2")="Location",
                "Cash Accounts",
                IF(INDIRECT("'"&amp;F110&amp;"'!$B$2")="Amount",
                    "Investments",
                    "Bill Accounts"
                )
            )
        ),
    "")
)</f>
        <v/>
      </c>
      <c r="H110" s="46" t="str" cm="1">
        <f t="array" aca="1" ref="H110" ca="1">IF(F110&lt;&gt;"",INDIRECT("'"&amp;F110&amp;"'!$C$10"),"")</f>
        <v/>
      </c>
      <c r="I110" s="46" t="str" cm="1">
        <f t="array" aca="1" ref="I110" ca="1">IF(F110&lt;&gt;"",IF(OR(G110="Bill Accounts",G110="Investments", G110="Cash Accounts"),INDIRECT("'"&amp;F110&amp;"'!$C$10"),INDIRECT("'"&amp;F110&amp;"'!$C$8")),"")</f>
        <v/>
      </c>
      <c r="J110" s="46" t="str" cm="1">
        <f t="array" aca="1" ref="J110" ca="1">IF(F110&lt;&gt;"",ABS(INDIRECT("'"&amp;F110&amp;"'!$I$2")),"")</f>
        <v/>
      </c>
      <c r="K110" s="48">
        <f t="shared" si="6"/>
        <v>116</v>
      </c>
      <c r="L110" s="114" t="str" cm="1">
        <f t="array" aca="1" ref="L110" ca="1">IF(F110&lt;&gt;"",INDIRECT("'"&amp;F110&amp;"'!$F$17"),"")</f>
        <v/>
      </c>
      <c r="M110" s="116" t="str">
        <f t="shared" ca="1" si="4"/>
        <v/>
      </c>
      <c r="O110" s="49" t="str">
        <f t="shared" ca="1" si="5"/>
        <v/>
      </c>
      <c r="P110" s="38" t="str">
        <f ca="1">IF(E110&lt;&gt;"",RANK(E110,$E$3:$E$2298)+COUNTIF($E$3:E110,E110)-1,"")</f>
        <v/>
      </c>
      <c r="Q110" s="8"/>
      <c r="R110" s="64"/>
      <c r="Z110" s="8"/>
    </row>
    <row r="111" spans="4:26" x14ac:dyDescent="0.25">
      <c r="D111" s="36" t="str" cm="1">
        <f t="array" aca="1" ref="D111" ca="1">IFERROR(IF(INDIRECT("'"&amp;F111&amp;"'!$C$5")&gt;0,DATE(YEAR(Dashboard!$AL$2),Dashboard!$AU$4,INDIRECT("'"&amp;F111&amp;"'!$C$5")),""),"")</f>
        <v/>
      </c>
      <c r="E111" s="50" t="str" cm="1">
        <f t="array" aca="1" ref="E111" ca="1">IF(G111="Credit Accounts",IFERROR(IF(INDIRECT("'"&amp;F111&amp;"'!$C$8")&gt;0,INDIRECT("'"&amp;F111&amp;"'!$F$2"),""),""),"")</f>
        <v/>
      </c>
      <c r="F111" s="37" t="str" cm="1">
        <f t="array" ref="F111">IFERROR(INDEX(Sheet_Names,K111),"")</f>
        <v/>
      </c>
      <c r="G111" s="38" t="str" cm="1">
        <f t="array" aca="1" ref="G111" ca="1">IF(F111="",
    "",
    IFERROR(
        IF(INDIRECT("'"&amp;F111&amp;"'!$B$2")="Credit Limit",
            "Credit Accounts",
            IF(INDIRECT("'"&amp;F111&amp;"'!$E$2")="Location",
                "Cash Accounts",
                IF(INDIRECT("'"&amp;F111&amp;"'!$B$2")="Amount",
                    "Investments",
                    "Bill Accounts"
                )
            )
        ),
    "")
)</f>
        <v/>
      </c>
      <c r="H111" s="46" t="str" cm="1">
        <f t="array" aca="1" ref="H111" ca="1">IF(F111&lt;&gt;"",INDIRECT("'"&amp;F111&amp;"'!$C$10"),"")</f>
        <v/>
      </c>
      <c r="I111" s="46" t="str" cm="1">
        <f t="array" aca="1" ref="I111" ca="1">IF(F111&lt;&gt;"",IF(OR(G111="Bill Accounts",G111="Investments", G111="Cash Accounts"),INDIRECT("'"&amp;F111&amp;"'!$C$10"),INDIRECT("'"&amp;F111&amp;"'!$C$8")),"")</f>
        <v/>
      </c>
      <c r="J111" s="46" t="str" cm="1">
        <f t="array" aca="1" ref="J111" ca="1">IF(F111&lt;&gt;"",ABS(INDIRECT("'"&amp;F111&amp;"'!$I$2")),"")</f>
        <v/>
      </c>
      <c r="K111" s="48">
        <f t="shared" si="6"/>
        <v>117</v>
      </c>
      <c r="L111" s="114" t="str" cm="1">
        <f t="array" aca="1" ref="L111" ca="1">IF(F111&lt;&gt;"",INDIRECT("'"&amp;F111&amp;"'!$F$17"),"")</f>
        <v/>
      </c>
      <c r="M111" s="116" t="str">
        <f t="shared" ca="1" si="4"/>
        <v/>
      </c>
      <c r="O111" s="49" t="str">
        <f t="shared" ca="1" si="5"/>
        <v/>
      </c>
      <c r="P111" s="38" t="str">
        <f ca="1">IF(E111&lt;&gt;"",RANK(E111,$E$3:$E$2298)+COUNTIF($E$3:E111,E111)-1,"")</f>
        <v/>
      </c>
      <c r="Q111" s="8"/>
      <c r="R111" s="64"/>
      <c r="Z111" s="8"/>
    </row>
    <row r="112" spans="4:26" x14ac:dyDescent="0.25">
      <c r="D112" s="36" t="str" cm="1">
        <f t="array" aca="1" ref="D112" ca="1">IFERROR(IF(INDIRECT("'"&amp;F112&amp;"'!$C$5")&gt;0,DATE(YEAR(Dashboard!$AL$2),Dashboard!$AU$4,INDIRECT("'"&amp;F112&amp;"'!$C$5")),""),"")</f>
        <v/>
      </c>
      <c r="E112" s="50" t="str" cm="1">
        <f t="array" aca="1" ref="E112" ca="1">IF(G112="Credit Accounts",IFERROR(IF(INDIRECT("'"&amp;F112&amp;"'!$C$8")&gt;0,INDIRECT("'"&amp;F112&amp;"'!$F$2"),""),""),"")</f>
        <v/>
      </c>
      <c r="F112" s="37" t="str" cm="1">
        <f t="array" ref="F112">IFERROR(INDEX(Sheet_Names,K112),"")</f>
        <v/>
      </c>
      <c r="G112" s="38" t="str" cm="1">
        <f t="array" aca="1" ref="G112" ca="1">IF(F112="",
    "",
    IFERROR(
        IF(INDIRECT("'"&amp;F112&amp;"'!$B$2")="Credit Limit",
            "Credit Accounts",
            IF(INDIRECT("'"&amp;F112&amp;"'!$E$2")="Location",
                "Cash Accounts",
                IF(INDIRECT("'"&amp;F112&amp;"'!$B$2")="Amount",
                    "Investments",
                    "Bill Accounts"
                )
            )
        ),
    "")
)</f>
        <v/>
      </c>
      <c r="H112" s="46" t="str" cm="1">
        <f t="array" aca="1" ref="H112" ca="1">IF(F112&lt;&gt;"",INDIRECT("'"&amp;F112&amp;"'!$C$10"),"")</f>
        <v/>
      </c>
      <c r="I112" s="46" t="str" cm="1">
        <f t="array" aca="1" ref="I112" ca="1">IF(F112&lt;&gt;"",IF(OR(G112="Bill Accounts",G112="Investments", G112="Cash Accounts"),INDIRECT("'"&amp;F112&amp;"'!$C$10"),INDIRECT("'"&amp;F112&amp;"'!$C$8")),"")</f>
        <v/>
      </c>
      <c r="J112" s="46" t="str" cm="1">
        <f t="array" aca="1" ref="J112" ca="1">IF(F112&lt;&gt;"",ABS(INDIRECT("'"&amp;F112&amp;"'!$I$2")),"")</f>
        <v/>
      </c>
      <c r="K112" s="48">
        <f t="shared" si="6"/>
        <v>118</v>
      </c>
      <c r="L112" s="114" t="str" cm="1">
        <f t="array" aca="1" ref="L112" ca="1">IF(F112&lt;&gt;"",INDIRECT("'"&amp;F112&amp;"'!$F$17"),"")</f>
        <v/>
      </c>
      <c r="M112" s="116" t="str">
        <f t="shared" ca="1" si="4"/>
        <v/>
      </c>
      <c r="O112" s="49" t="str">
        <f t="shared" ca="1" si="5"/>
        <v/>
      </c>
      <c r="P112" s="38" t="str">
        <f ca="1">IF(E112&lt;&gt;"",RANK(E112,$E$3:$E$2298)+COUNTIF($E$3:E112,E112)-1,"")</f>
        <v/>
      </c>
      <c r="Q112" s="8"/>
      <c r="R112" s="64"/>
      <c r="Z112" s="8"/>
    </row>
    <row r="113" spans="4:26" x14ac:dyDescent="0.25">
      <c r="D113" s="36" t="str" cm="1">
        <f t="array" aca="1" ref="D113" ca="1">IFERROR(IF(INDIRECT("'"&amp;F113&amp;"'!$C$5")&gt;0,DATE(YEAR(Dashboard!$AL$2),Dashboard!$AU$4,INDIRECT("'"&amp;F113&amp;"'!$C$5")),""),"")</f>
        <v/>
      </c>
      <c r="E113" s="50" t="str" cm="1">
        <f t="array" aca="1" ref="E113" ca="1">IF(G113="Credit Accounts",IFERROR(IF(INDIRECT("'"&amp;F113&amp;"'!$C$8")&gt;0,INDIRECT("'"&amp;F113&amp;"'!$F$2"),""),""),"")</f>
        <v/>
      </c>
      <c r="F113" s="37" t="str" cm="1">
        <f t="array" ref="F113">IFERROR(INDEX(Sheet_Names,K113),"")</f>
        <v/>
      </c>
      <c r="G113" s="38" t="str" cm="1">
        <f t="array" aca="1" ref="G113" ca="1">IF(F113="",
    "",
    IFERROR(
        IF(INDIRECT("'"&amp;F113&amp;"'!$B$2")="Credit Limit",
            "Credit Accounts",
            IF(INDIRECT("'"&amp;F113&amp;"'!$E$2")="Location",
                "Cash Accounts",
                IF(INDIRECT("'"&amp;F113&amp;"'!$B$2")="Amount",
                    "Investments",
                    "Bill Accounts"
                )
            )
        ),
    "")
)</f>
        <v/>
      </c>
      <c r="H113" s="46" t="str" cm="1">
        <f t="array" aca="1" ref="H113" ca="1">IF(F113&lt;&gt;"",INDIRECT("'"&amp;F113&amp;"'!$C$10"),"")</f>
        <v/>
      </c>
      <c r="I113" s="46" t="str" cm="1">
        <f t="array" aca="1" ref="I113" ca="1">IF(F113&lt;&gt;"",IF(OR(G113="Bill Accounts",G113="Investments", G113="Cash Accounts"),INDIRECT("'"&amp;F113&amp;"'!$C$10"),INDIRECT("'"&amp;F113&amp;"'!$C$8")),"")</f>
        <v/>
      </c>
      <c r="J113" s="46" t="str" cm="1">
        <f t="array" aca="1" ref="J113" ca="1">IF(F113&lt;&gt;"",ABS(INDIRECT("'"&amp;F113&amp;"'!$I$2")),"")</f>
        <v/>
      </c>
      <c r="K113" s="48">
        <f t="shared" si="6"/>
        <v>119</v>
      </c>
      <c r="L113" s="114" t="str" cm="1">
        <f t="array" aca="1" ref="L113" ca="1">IF(F113&lt;&gt;"",INDIRECT("'"&amp;F113&amp;"'!$F$17"),"")</f>
        <v/>
      </c>
      <c r="M113" s="116" t="str">
        <f t="shared" ca="1" si="4"/>
        <v/>
      </c>
      <c r="O113" s="49" t="str">
        <f t="shared" ca="1" si="5"/>
        <v/>
      </c>
      <c r="P113" s="38" t="str">
        <f ca="1">IF(E113&lt;&gt;"",RANK(E113,$E$3:$E$2298)+COUNTIF($E$3:E113,E113)-1,"")</f>
        <v/>
      </c>
      <c r="Q113" s="8"/>
      <c r="R113" s="64"/>
      <c r="Z113" s="8"/>
    </row>
    <row r="114" spans="4:26" x14ac:dyDescent="0.25">
      <c r="D114" s="36" t="str" cm="1">
        <f t="array" aca="1" ref="D114" ca="1">IFERROR(IF(INDIRECT("'"&amp;F114&amp;"'!$C$5")&gt;0,DATE(YEAR(Dashboard!$AL$2),Dashboard!$AU$4,INDIRECT("'"&amp;F114&amp;"'!$C$5")),""),"")</f>
        <v/>
      </c>
      <c r="E114" s="50" t="str" cm="1">
        <f t="array" aca="1" ref="E114" ca="1">IF(G114="Credit Accounts",IFERROR(IF(INDIRECT("'"&amp;F114&amp;"'!$C$8")&gt;0,INDIRECT("'"&amp;F114&amp;"'!$F$2"),""),""),"")</f>
        <v/>
      </c>
      <c r="F114" s="37" t="str" cm="1">
        <f t="array" ref="F114">IFERROR(INDEX(Sheet_Names,K114),"")</f>
        <v/>
      </c>
      <c r="G114" s="38" t="str" cm="1">
        <f t="array" aca="1" ref="G114" ca="1">IF(F114="",
    "",
    IFERROR(
        IF(INDIRECT("'"&amp;F114&amp;"'!$B$2")="Credit Limit",
            "Credit Accounts",
            IF(INDIRECT("'"&amp;F114&amp;"'!$E$2")="Location",
                "Cash Accounts",
                IF(INDIRECT("'"&amp;F114&amp;"'!$B$2")="Amount",
                    "Investments",
                    "Bill Accounts"
                )
            )
        ),
    "")
)</f>
        <v/>
      </c>
      <c r="H114" s="46" t="str" cm="1">
        <f t="array" aca="1" ref="H114" ca="1">IF(F114&lt;&gt;"",INDIRECT("'"&amp;F114&amp;"'!$C$10"),"")</f>
        <v/>
      </c>
      <c r="I114" s="46" t="str" cm="1">
        <f t="array" aca="1" ref="I114" ca="1">IF(F114&lt;&gt;"",IF(OR(G114="Bill Accounts",G114="Investments", G114="Cash Accounts"),INDIRECT("'"&amp;F114&amp;"'!$C$10"),INDIRECT("'"&amp;F114&amp;"'!$C$8")),"")</f>
        <v/>
      </c>
      <c r="J114" s="46" t="str" cm="1">
        <f t="array" aca="1" ref="J114" ca="1">IF(F114&lt;&gt;"",ABS(INDIRECT("'"&amp;F114&amp;"'!$I$2")),"")</f>
        <v/>
      </c>
      <c r="K114" s="48">
        <f t="shared" si="6"/>
        <v>120</v>
      </c>
      <c r="L114" s="114" t="str" cm="1">
        <f t="array" aca="1" ref="L114" ca="1">IF(F114&lt;&gt;"",INDIRECT("'"&amp;F114&amp;"'!$F$17"),"")</f>
        <v/>
      </c>
      <c r="M114" s="116" t="str">
        <f t="shared" ca="1" si="4"/>
        <v/>
      </c>
      <c r="O114" s="49" t="str">
        <f t="shared" ca="1" si="5"/>
        <v/>
      </c>
      <c r="P114" s="38" t="str">
        <f ca="1">IF(E114&lt;&gt;"",RANK(E114,$E$3:$E$2298)+COUNTIF($E$3:E114,E114)-1,"")</f>
        <v/>
      </c>
      <c r="Q114" s="8"/>
      <c r="R114" s="64"/>
      <c r="Z114" s="8"/>
    </row>
    <row r="115" spans="4:26" x14ac:dyDescent="0.25">
      <c r="D115" s="36" t="str" cm="1">
        <f t="array" aca="1" ref="D115" ca="1">IFERROR(IF(INDIRECT("'"&amp;F115&amp;"'!$C$5")&gt;0,DATE(YEAR(Dashboard!$AL$2),Dashboard!$AU$4,INDIRECT("'"&amp;F115&amp;"'!$C$5")),""),"")</f>
        <v/>
      </c>
      <c r="E115" s="50" t="str" cm="1">
        <f t="array" aca="1" ref="E115" ca="1">IF(G115="Credit Accounts",IFERROR(IF(INDIRECT("'"&amp;F115&amp;"'!$C$8")&gt;0,INDIRECT("'"&amp;F115&amp;"'!$F$2"),""),""),"")</f>
        <v/>
      </c>
      <c r="F115" s="37" t="str" cm="1">
        <f t="array" ref="F115">IFERROR(INDEX(Sheet_Names,K115),"")</f>
        <v/>
      </c>
      <c r="G115" s="38" t="str" cm="1">
        <f t="array" aca="1" ref="G115" ca="1">IF(F115="",
    "",
    IFERROR(
        IF(INDIRECT("'"&amp;F115&amp;"'!$B$2")="Credit Limit",
            "Credit Accounts",
            IF(INDIRECT("'"&amp;F115&amp;"'!$E$2")="Location",
                "Cash Accounts",
                IF(INDIRECT("'"&amp;F115&amp;"'!$B$2")="Amount",
                    "Investments",
                    "Bill Accounts"
                )
            )
        ),
    "")
)</f>
        <v/>
      </c>
      <c r="H115" s="46" t="str" cm="1">
        <f t="array" aca="1" ref="H115" ca="1">IF(F115&lt;&gt;"",INDIRECT("'"&amp;F115&amp;"'!$C$10"),"")</f>
        <v/>
      </c>
      <c r="I115" s="46" t="str" cm="1">
        <f t="array" aca="1" ref="I115" ca="1">IF(F115&lt;&gt;"",IF(OR(G115="Bill Accounts",G115="Investments", G115="Cash Accounts"),INDIRECT("'"&amp;F115&amp;"'!$C$10"),INDIRECT("'"&amp;F115&amp;"'!$C$8")),"")</f>
        <v/>
      </c>
      <c r="J115" s="46" t="str" cm="1">
        <f t="array" aca="1" ref="J115" ca="1">IF(F115&lt;&gt;"",ABS(INDIRECT("'"&amp;F115&amp;"'!$I$2")),"")</f>
        <v/>
      </c>
      <c r="K115" s="48">
        <f t="shared" si="6"/>
        <v>121</v>
      </c>
      <c r="L115" s="114" t="str" cm="1">
        <f t="array" aca="1" ref="L115" ca="1">IF(F115&lt;&gt;"",INDIRECT("'"&amp;F115&amp;"'!$F$17"),"")</f>
        <v/>
      </c>
      <c r="M115" s="116" t="str">
        <f t="shared" ca="1" si="4"/>
        <v/>
      </c>
      <c r="O115" s="49" t="str">
        <f t="shared" ca="1" si="5"/>
        <v/>
      </c>
      <c r="P115" s="38" t="str">
        <f ca="1">IF(E115&lt;&gt;"",RANK(E115,$E$3:$E$2298)+COUNTIF($E$3:E115,E115)-1,"")</f>
        <v/>
      </c>
      <c r="Q115" s="8"/>
      <c r="R115" s="64"/>
      <c r="Z115" s="8"/>
    </row>
    <row r="116" spans="4:26" x14ac:dyDescent="0.25">
      <c r="D116" s="36" t="str" cm="1">
        <f t="array" aca="1" ref="D116" ca="1">IFERROR(IF(INDIRECT("'"&amp;F116&amp;"'!$C$5")&gt;0,DATE(YEAR(Dashboard!$AL$2),Dashboard!$AU$4,INDIRECT("'"&amp;F116&amp;"'!$C$5")),""),"")</f>
        <v/>
      </c>
      <c r="E116" s="50" t="str" cm="1">
        <f t="array" aca="1" ref="E116" ca="1">IF(G116="Credit Accounts",IFERROR(IF(INDIRECT("'"&amp;F116&amp;"'!$C$8")&gt;0,INDIRECT("'"&amp;F116&amp;"'!$F$2"),""),""),"")</f>
        <v/>
      </c>
      <c r="F116" s="37" t="str" cm="1">
        <f t="array" ref="F116">IFERROR(INDEX(Sheet_Names,K116),"")</f>
        <v/>
      </c>
      <c r="G116" s="38" t="str" cm="1">
        <f t="array" aca="1" ref="G116" ca="1">IF(F116="",
    "",
    IFERROR(
        IF(INDIRECT("'"&amp;F116&amp;"'!$B$2")="Credit Limit",
            "Credit Accounts",
            IF(INDIRECT("'"&amp;F116&amp;"'!$E$2")="Location",
                "Cash Accounts",
                IF(INDIRECT("'"&amp;F116&amp;"'!$B$2")="Amount",
                    "Investments",
                    "Bill Accounts"
                )
            )
        ),
    "")
)</f>
        <v/>
      </c>
      <c r="H116" s="46" t="str" cm="1">
        <f t="array" aca="1" ref="H116" ca="1">IF(F116&lt;&gt;"",INDIRECT("'"&amp;F116&amp;"'!$C$10"),"")</f>
        <v/>
      </c>
      <c r="I116" s="46" t="str" cm="1">
        <f t="array" aca="1" ref="I116" ca="1">IF(F116&lt;&gt;"",IF(OR(G116="Bill Accounts",G116="Investments", G116="Cash Accounts"),INDIRECT("'"&amp;F116&amp;"'!$C$10"),INDIRECT("'"&amp;F116&amp;"'!$C$8")),"")</f>
        <v/>
      </c>
      <c r="J116" s="46" t="str" cm="1">
        <f t="array" aca="1" ref="J116" ca="1">IF(F116&lt;&gt;"",ABS(INDIRECT("'"&amp;F116&amp;"'!$I$2")),"")</f>
        <v/>
      </c>
      <c r="K116" s="48">
        <f t="shared" si="6"/>
        <v>122</v>
      </c>
      <c r="L116" s="114" t="str" cm="1">
        <f t="array" aca="1" ref="L116" ca="1">IF(F116&lt;&gt;"",INDIRECT("'"&amp;F116&amp;"'!$F$17"),"")</f>
        <v/>
      </c>
      <c r="M116" s="116" t="str">
        <f t="shared" ca="1" si="4"/>
        <v/>
      </c>
      <c r="O116" s="49" t="str">
        <f t="shared" ca="1" si="5"/>
        <v/>
      </c>
      <c r="P116" s="38" t="str">
        <f ca="1">IF(E116&lt;&gt;"",RANK(E116,$E$3:$E$2298)+COUNTIF($E$3:E116,E116)-1,"")</f>
        <v/>
      </c>
      <c r="Q116" s="8"/>
      <c r="R116" s="64"/>
      <c r="Z116" s="8"/>
    </row>
    <row r="117" spans="4:26" x14ac:dyDescent="0.25">
      <c r="D117" s="36" t="str" cm="1">
        <f t="array" aca="1" ref="D117" ca="1">IFERROR(IF(INDIRECT("'"&amp;F117&amp;"'!$C$5")&gt;0,DATE(YEAR(Dashboard!$AL$2),Dashboard!$AU$4,INDIRECT("'"&amp;F117&amp;"'!$C$5")),""),"")</f>
        <v/>
      </c>
      <c r="E117" s="50" t="str" cm="1">
        <f t="array" aca="1" ref="E117" ca="1">IF(G117="Credit Accounts",IFERROR(IF(INDIRECT("'"&amp;F117&amp;"'!$C$8")&gt;0,INDIRECT("'"&amp;F117&amp;"'!$F$2"),""),""),"")</f>
        <v/>
      </c>
      <c r="F117" s="37" t="str" cm="1">
        <f t="array" ref="F117">IFERROR(INDEX(Sheet_Names,K117),"")</f>
        <v/>
      </c>
      <c r="G117" s="38" t="str" cm="1">
        <f t="array" aca="1" ref="G117" ca="1">IF(F117="",
    "",
    IFERROR(
        IF(INDIRECT("'"&amp;F117&amp;"'!$B$2")="Credit Limit",
            "Credit Accounts",
            IF(INDIRECT("'"&amp;F117&amp;"'!$E$2")="Location",
                "Cash Accounts",
                IF(INDIRECT("'"&amp;F117&amp;"'!$B$2")="Amount",
                    "Investments",
                    "Bill Accounts"
                )
            )
        ),
    "")
)</f>
        <v/>
      </c>
      <c r="H117" s="46" t="str" cm="1">
        <f t="array" aca="1" ref="H117" ca="1">IF(F117&lt;&gt;"",INDIRECT("'"&amp;F117&amp;"'!$C$10"),"")</f>
        <v/>
      </c>
      <c r="I117" s="46" t="str" cm="1">
        <f t="array" aca="1" ref="I117" ca="1">IF(F117&lt;&gt;"",IF(OR(G117="Bill Accounts",G117="Investments", G117="Cash Accounts"),INDIRECT("'"&amp;F117&amp;"'!$C$10"),INDIRECT("'"&amp;F117&amp;"'!$C$8")),"")</f>
        <v/>
      </c>
      <c r="J117" s="46" t="str" cm="1">
        <f t="array" aca="1" ref="J117" ca="1">IF(F117&lt;&gt;"",ABS(INDIRECT("'"&amp;F117&amp;"'!$I$2")),"")</f>
        <v/>
      </c>
      <c r="K117" s="48">
        <f t="shared" si="6"/>
        <v>123</v>
      </c>
      <c r="L117" s="114" t="str" cm="1">
        <f t="array" aca="1" ref="L117" ca="1">IF(F117&lt;&gt;"",INDIRECT("'"&amp;F117&amp;"'!$F$17"),"")</f>
        <v/>
      </c>
      <c r="M117" s="116" t="str">
        <f t="shared" ca="1" si="4"/>
        <v/>
      </c>
      <c r="O117" s="49" t="str">
        <f t="shared" ca="1" si="5"/>
        <v/>
      </c>
      <c r="P117" s="38" t="str">
        <f ca="1">IF(E117&lt;&gt;"",RANK(E117,$E$3:$E$2298)+COUNTIF($E$3:E117,E117)-1,"")</f>
        <v/>
      </c>
      <c r="Q117" s="8"/>
      <c r="R117" s="64"/>
      <c r="Z117" s="8"/>
    </row>
    <row r="118" spans="4:26" x14ac:dyDescent="0.25">
      <c r="D118" s="36" t="str" cm="1">
        <f t="array" aca="1" ref="D118" ca="1">IFERROR(IF(INDIRECT("'"&amp;F118&amp;"'!$C$5")&gt;0,DATE(YEAR(Dashboard!$AL$2),Dashboard!$AU$4,INDIRECT("'"&amp;F118&amp;"'!$C$5")),""),"")</f>
        <v/>
      </c>
      <c r="E118" s="50" t="str" cm="1">
        <f t="array" aca="1" ref="E118" ca="1">IF(G118="Credit Accounts",IFERROR(IF(INDIRECT("'"&amp;F118&amp;"'!$C$8")&gt;0,INDIRECT("'"&amp;F118&amp;"'!$F$2"),""),""),"")</f>
        <v/>
      </c>
      <c r="F118" s="37" t="str" cm="1">
        <f t="array" ref="F118">IFERROR(INDEX(Sheet_Names,K118),"")</f>
        <v/>
      </c>
      <c r="G118" s="38" t="str" cm="1">
        <f t="array" aca="1" ref="G118" ca="1">IF(F118="",
    "",
    IFERROR(
        IF(INDIRECT("'"&amp;F118&amp;"'!$B$2")="Credit Limit",
            "Credit Accounts",
            IF(INDIRECT("'"&amp;F118&amp;"'!$E$2")="Location",
                "Cash Accounts",
                IF(INDIRECT("'"&amp;F118&amp;"'!$B$2")="Amount",
                    "Investments",
                    "Bill Accounts"
                )
            )
        ),
    "")
)</f>
        <v/>
      </c>
      <c r="H118" s="46" t="str" cm="1">
        <f t="array" aca="1" ref="H118" ca="1">IF(F118&lt;&gt;"",INDIRECT("'"&amp;F118&amp;"'!$C$10"),"")</f>
        <v/>
      </c>
      <c r="I118" s="46" t="str" cm="1">
        <f t="array" aca="1" ref="I118" ca="1">IF(F118&lt;&gt;"",IF(OR(G118="Bill Accounts",G118="Investments", G118="Cash Accounts"),INDIRECT("'"&amp;F118&amp;"'!$C$10"),INDIRECT("'"&amp;F118&amp;"'!$C$8")),"")</f>
        <v/>
      </c>
      <c r="J118" s="46" t="str" cm="1">
        <f t="array" aca="1" ref="J118" ca="1">IF(F118&lt;&gt;"",ABS(INDIRECT("'"&amp;F118&amp;"'!$I$2")),"")</f>
        <v/>
      </c>
      <c r="K118" s="48">
        <f t="shared" si="6"/>
        <v>124</v>
      </c>
      <c r="L118" s="114" t="str" cm="1">
        <f t="array" aca="1" ref="L118" ca="1">IF(F118&lt;&gt;"",INDIRECT("'"&amp;F118&amp;"'!$F$17"),"")</f>
        <v/>
      </c>
      <c r="M118" s="116" t="str">
        <f t="shared" ca="1" si="4"/>
        <v/>
      </c>
      <c r="O118" s="49" t="str">
        <f t="shared" ca="1" si="5"/>
        <v/>
      </c>
      <c r="P118" s="38" t="str">
        <f ca="1">IF(E118&lt;&gt;"",RANK(E118,$E$3:$E$2298)+COUNTIF($E$3:E118,E118)-1,"")</f>
        <v/>
      </c>
      <c r="Q118" s="8"/>
      <c r="R118" s="64"/>
      <c r="Z118" s="8"/>
    </row>
    <row r="119" spans="4:26" x14ac:dyDescent="0.25">
      <c r="D119" s="36" t="str" cm="1">
        <f t="array" aca="1" ref="D119" ca="1">IFERROR(IF(INDIRECT("'"&amp;F119&amp;"'!$C$5")&gt;0,DATE(YEAR(Dashboard!$AL$2),Dashboard!$AU$4,INDIRECT("'"&amp;F119&amp;"'!$C$5")),""),"")</f>
        <v/>
      </c>
      <c r="E119" s="50" t="str" cm="1">
        <f t="array" aca="1" ref="E119" ca="1">IF(G119="Credit Accounts",IFERROR(IF(INDIRECT("'"&amp;F119&amp;"'!$C$8")&gt;0,INDIRECT("'"&amp;F119&amp;"'!$F$2"),""),""),"")</f>
        <v/>
      </c>
      <c r="F119" s="37" t="str" cm="1">
        <f t="array" ref="F119">IFERROR(INDEX(Sheet_Names,K119),"")</f>
        <v/>
      </c>
      <c r="G119" s="38" t="str" cm="1">
        <f t="array" aca="1" ref="G119" ca="1">IF(F119="",
    "",
    IFERROR(
        IF(INDIRECT("'"&amp;F119&amp;"'!$B$2")="Credit Limit",
            "Credit Accounts",
            IF(INDIRECT("'"&amp;F119&amp;"'!$E$2")="Location",
                "Cash Accounts",
                IF(INDIRECT("'"&amp;F119&amp;"'!$B$2")="Amount",
                    "Investments",
                    "Bill Accounts"
                )
            )
        ),
    "")
)</f>
        <v/>
      </c>
      <c r="H119" s="46" t="str" cm="1">
        <f t="array" aca="1" ref="H119" ca="1">IF(F119&lt;&gt;"",INDIRECT("'"&amp;F119&amp;"'!$C$10"),"")</f>
        <v/>
      </c>
      <c r="I119" s="46" t="str" cm="1">
        <f t="array" aca="1" ref="I119" ca="1">IF(F119&lt;&gt;"",IF(OR(G119="Bill Accounts",G119="Investments", G119="Cash Accounts"),INDIRECT("'"&amp;F119&amp;"'!$C$10"),INDIRECT("'"&amp;F119&amp;"'!$C$8")),"")</f>
        <v/>
      </c>
      <c r="J119" s="46" t="str" cm="1">
        <f t="array" aca="1" ref="J119" ca="1">IF(F119&lt;&gt;"",ABS(INDIRECT("'"&amp;F119&amp;"'!$I$2")),"")</f>
        <v/>
      </c>
      <c r="K119" s="48">
        <f t="shared" si="6"/>
        <v>125</v>
      </c>
      <c r="L119" s="114" t="str" cm="1">
        <f t="array" aca="1" ref="L119" ca="1">IF(F119&lt;&gt;"",INDIRECT("'"&amp;F119&amp;"'!$F$17"),"")</f>
        <v/>
      </c>
      <c r="M119" s="116" t="str">
        <f t="shared" ca="1" si="4"/>
        <v/>
      </c>
      <c r="O119" s="49" t="str">
        <f t="shared" ca="1" si="5"/>
        <v/>
      </c>
      <c r="P119" s="38" t="str">
        <f ca="1">IF(E119&lt;&gt;"",RANK(E119,$E$3:$E$2298)+COUNTIF($E$3:E119,E119)-1,"")</f>
        <v/>
      </c>
      <c r="Q119" s="8"/>
      <c r="R119" s="64"/>
      <c r="Z119" s="8"/>
    </row>
    <row r="120" spans="4:26" x14ac:dyDescent="0.25">
      <c r="D120" s="36" t="str" cm="1">
        <f t="array" aca="1" ref="D120" ca="1">IFERROR(IF(INDIRECT("'"&amp;F120&amp;"'!$C$5")&gt;0,DATE(YEAR(Dashboard!$AL$2),Dashboard!$AU$4,INDIRECT("'"&amp;F120&amp;"'!$C$5")),""),"")</f>
        <v/>
      </c>
      <c r="E120" s="50" t="str" cm="1">
        <f t="array" aca="1" ref="E120" ca="1">IF(G120="Credit Accounts",IFERROR(IF(INDIRECT("'"&amp;F120&amp;"'!$C$8")&gt;0,INDIRECT("'"&amp;F120&amp;"'!$F$2"),""),""),"")</f>
        <v/>
      </c>
      <c r="F120" s="37" t="str" cm="1">
        <f t="array" ref="F120">IFERROR(INDEX(Sheet_Names,K120),"")</f>
        <v/>
      </c>
      <c r="G120" s="38" t="str" cm="1">
        <f t="array" aca="1" ref="G120" ca="1">IF(F120="",
    "",
    IFERROR(
        IF(INDIRECT("'"&amp;F120&amp;"'!$B$2")="Credit Limit",
            "Credit Accounts",
            IF(INDIRECT("'"&amp;F120&amp;"'!$E$2")="Location",
                "Cash Accounts",
                IF(INDIRECT("'"&amp;F120&amp;"'!$B$2")="Amount",
                    "Investments",
                    "Bill Accounts"
                )
            )
        ),
    "")
)</f>
        <v/>
      </c>
      <c r="H120" s="46" t="str" cm="1">
        <f t="array" aca="1" ref="H120" ca="1">IF(F120&lt;&gt;"",INDIRECT("'"&amp;F120&amp;"'!$C$10"),"")</f>
        <v/>
      </c>
      <c r="I120" s="46" t="str" cm="1">
        <f t="array" aca="1" ref="I120" ca="1">IF(F120&lt;&gt;"",IF(OR(G120="Bill Accounts",G120="Investments", G120="Cash Accounts"),INDIRECT("'"&amp;F120&amp;"'!$C$10"),INDIRECT("'"&amp;F120&amp;"'!$C$8")),"")</f>
        <v/>
      </c>
      <c r="J120" s="46" t="str" cm="1">
        <f t="array" aca="1" ref="J120" ca="1">IF(F120&lt;&gt;"",ABS(INDIRECT("'"&amp;F120&amp;"'!$I$2")),"")</f>
        <v/>
      </c>
      <c r="K120" s="48">
        <f t="shared" si="6"/>
        <v>126</v>
      </c>
      <c r="L120" s="114" t="str" cm="1">
        <f t="array" aca="1" ref="L120" ca="1">IF(F120&lt;&gt;"",INDIRECT("'"&amp;F120&amp;"'!$F$17"),"")</f>
        <v/>
      </c>
      <c r="M120" s="116" t="str">
        <f t="shared" ca="1" si="4"/>
        <v/>
      </c>
      <c r="O120" s="49" t="str">
        <f t="shared" ca="1" si="5"/>
        <v/>
      </c>
      <c r="P120" s="38" t="str">
        <f ca="1">IF(E120&lt;&gt;"",RANK(E120,$E$3:$E$2298)+COUNTIF($E$3:E120,E120)-1,"")</f>
        <v/>
      </c>
      <c r="Q120" s="8"/>
      <c r="R120" s="64"/>
      <c r="Z120" s="8"/>
    </row>
    <row r="121" spans="4:26" x14ac:dyDescent="0.25">
      <c r="D121" s="36" t="str" cm="1">
        <f t="array" aca="1" ref="D121" ca="1">IFERROR(IF(INDIRECT("'"&amp;F121&amp;"'!$C$5")&gt;0,DATE(YEAR(Dashboard!$AL$2),Dashboard!$AU$4,INDIRECT("'"&amp;F121&amp;"'!$C$5")),""),"")</f>
        <v/>
      </c>
      <c r="E121" s="50" t="str" cm="1">
        <f t="array" aca="1" ref="E121" ca="1">IF(G121="Credit Accounts",IFERROR(IF(INDIRECT("'"&amp;F121&amp;"'!$C$8")&gt;0,INDIRECT("'"&amp;F121&amp;"'!$F$2"),""),""),"")</f>
        <v/>
      </c>
      <c r="F121" s="37" t="str" cm="1">
        <f t="array" ref="F121">IFERROR(INDEX(Sheet_Names,K121),"")</f>
        <v/>
      </c>
      <c r="G121" s="38" t="str" cm="1">
        <f t="array" aca="1" ref="G121" ca="1">IF(F121="",
    "",
    IFERROR(
        IF(INDIRECT("'"&amp;F121&amp;"'!$B$2")="Credit Limit",
            "Credit Accounts",
            IF(INDIRECT("'"&amp;F121&amp;"'!$E$2")="Location",
                "Cash Accounts",
                IF(INDIRECT("'"&amp;F121&amp;"'!$B$2")="Amount",
                    "Investments",
                    "Bill Accounts"
                )
            )
        ),
    "")
)</f>
        <v/>
      </c>
      <c r="H121" s="46" t="str" cm="1">
        <f t="array" aca="1" ref="H121" ca="1">IF(F121&lt;&gt;"",INDIRECT("'"&amp;F121&amp;"'!$C$10"),"")</f>
        <v/>
      </c>
      <c r="I121" s="46" t="str" cm="1">
        <f t="array" aca="1" ref="I121" ca="1">IF(F121&lt;&gt;"",IF(OR(G121="Bill Accounts",G121="Investments", G121="Cash Accounts"),INDIRECT("'"&amp;F121&amp;"'!$C$10"),INDIRECT("'"&amp;F121&amp;"'!$C$8")),"")</f>
        <v/>
      </c>
      <c r="J121" s="46" t="str" cm="1">
        <f t="array" aca="1" ref="J121" ca="1">IF(F121&lt;&gt;"",ABS(INDIRECT("'"&amp;F121&amp;"'!$I$2")),"")</f>
        <v/>
      </c>
      <c r="K121" s="48">
        <f t="shared" si="6"/>
        <v>127</v>
      </c>
      <c r="L121" s="114" t="str" cm="1">
        <f t="array" aca="1" ref="L121" ca="1">IF(F121&lt;&gt;"",INDIRECT("'"&amp;F121&amp;"'!$F$17"),"")</f>
        <v/>
      </c>
      <c r="M121" s="116" t="str">
        <f t="shared" ca="1" si="4"/>
        <v/>
      </c>
      <c r="O121" s="49" t="str">
        <f t="shared" ca="1" si="5"/>
        <v/>
      </c>
      <c r="P121" s="38" t="str">
        <f ca="1">IF(E121&lt;&gt;"",RANK(E121,$E$3:$E$2298)+COUNTIF($E$3:E121,E121)-1,"")</f>
        <v/>
      </c>
      <c r="Q121" s="8"/>
      <c r="R121" s="64"/>
      <c r="Z121" s="8"/>
    </row>
    <row r="122" spans="4:26" x14ac:dyDescent="0.25">
      <c r="D122" s="36" t="str" cm="1">
        <f t="array" aca="1" ref="D122" ca="1">IFERROR(IF(INDIRECT("'"&amp;F122&amp;"'!$C$5")&gt;0,DATE(YEAR(Dashboard!$AL$2),Dashboard!$AU$4,INDIRECT("'"&amp;F122&amp;"'!$C$5")),""),"")</f>
        <v/>
      </c>
      <c r="E122" s="50" t="str" cm="1">
        <f t="array" aca="1" ref="E122" ca="1">IF(G122="Credit Accounts",IFERROR(IF(INDIRECT("'"&amp;F122&amp;"'!$C$8")&gt;0,INDIRECT("'"&amp;F122&amp;"'!$F$2"),""),""),"")</f>
        <v/>
      </c>
      <c r="F122" s="37" t="str" cm="1">
        <f t="array" ref="F122">IFERROR(INDEX(Sheet_Names,K122),"")</f>
        <v/>
      </c>
      <c r="G122" s="38" t="str" cm="1">
        <f t="array" aca="1" ref="G122" ca="1">IF(F122="",
    "",
    IFERROR(
        IF(INDIRECT("'"&amp;F122&amp;"'!$B$2")="Credit Limit",
            "Credit Accounts",
            IF(INDIRECT("'"&amp;F122&amp;"'!$E$2")="Location",
                "Cash Accounts",
                IF(INDIRECT("'"&amp;F122&amp;"'!$B$2")="Amount",
                    "Investments",
                    "Bill Accounts"
                )
            )
        ),
    "")
)</f>
        <v/>
      </c>
      <c r="H122" s="46" t="str" cm="1">
        <f t="array" aca="1" ref="H122" ca="1">IF(F122&lt;&gt;"",INDIRECT("'"&amp;F122&amp;"'!$C$10"),"")</f>
        <v/>
      </c>
      <c r="I122" s="46" t="str" cm="1">
        <f t="array" aca="1" ref="I122" ca="1">IF(F122&lt;&gt;"",IF(OR(G122="Bill Accounts",G122="Investments", G122="Cash Accounts"),INDIRECT("'"&amp;F122&amp;"'!$C$10"),INDIRECT("'"&amp;F122&amp;"'!$C$8")),"")</f>
        <v/>
      </c>
      <c r="J122" s="46" t="str" cm="1">
        <f t="array" aca="1" ref="J122" ca="1">IF(F122&lt;&gt;"",ABS(INDIRECT("'"&amp;F122&amp;"'!$I$2")),"")</f>
        <v/>
      </c>
      <c r="K122" s="48">
        <f t="shared" si="6"/>
        <v>128</v>
      </c>
      <c r="L122" s="114" t="str" cm="1">
        <f t="array" aca="1" ref="L122" ca="1">IF(F122&lt;&gt;"",INDIRECT("'"&amp;F122&amp;"'!$F$17"),"")</f>
        <v/>
      </c>
      <c r="M122" s="116" t="str">
        <f t="shared" ca="1" si="4"/>
        <v/>
      </c>
      <c r="O122" s="49" t="str">
        <f t="shared" ca="1" si="5"/>
        <v/>
      </c>
      <c r="P122" s="38" t="str">
        <f ca="1">IF(E122&lt;&gt;"",RANK(E122,$E$3:$E$2298)+COUNTIF($E$3:E122,E122)-1,"")</f>
        <v/>
      </c>
      <c r="Q122" s="8"/>
      <c r="R122" s="64"/>
      <c r="Z122" s="8"/>
    </row>
    <row r="123" spans="4:26" x14ac:dyDescent="0.25">
      <c r="D123" s="36" t="str" cm="1">
        <f t="array" aca="1" ref="D123" ca="1">IFERROR(IF(INDIRECT("'"&amp;F123&amp;"'!$C$5")&gt;0,DATE(YEAR(Dashboard!$AL$2),Dashboard!$AU$4,INDIRECT("'"&amp;F123&amp;"'!$C$5")),""),"")</f>
        <v/>
      </c>
      <c r="E123" s="50" t="str" cm="1">
        <f t="array" aca="1" ref="E123" ca="1">IF(G123="Credit Accounts",IFERROR(IF(INDIRECT("'"&amp;F123&amp;"'!$C$8")&gt;0,INDIRECT("'"&amp;F123&amp;"'!$F$2"),""),""),"")</f>
        <v/>
      </c>
      <c r="F123" s="37" t="str" cm="1">
        <f t="array" ref="F123">IFERROR(INDEX(Sheet_Names,K123),"")</f>
        <v/>
      </c>
      <c r="G123" s="38" t="str" cm="1">
        <f t="array" aca="1" ref="G123" ca="1">IF(F123="",
    "",
    IFERROR(
        IF(INDIRECT("'"&amp;F123&amp;"'!$B$2")="Credit Limit",
            "Credit Accounts",
            IF(INDIRECT("'"&amp;F123&amp;"'!$E$2")="Location",
                "Cash Accounts",
                IF(INDIRECT("'"&amp;F123&amp;"'!$B$2")="Amount",
                    "Investments",
                    "Bill Accounts"
                )
            )
        ),
    "")
)</f>
        <v/>
      </c>
      <c r="H123" s="46" t="str" cm="1">
        <f t="array" aca="1" ref="H123" ca="1">IF(F123&lt;&gt;"",INDIRECT("'"&amp;F123&amp;"'!$C$10"),"")</f>
        <v/>
      </c>
      <c r="I123" s="46" t="str" cm="1">
        <f t="array" aca="1" ref="I123" ca="1">IF(F123&lt;&gt;"",IF(OR(G123="Bill Accounts",G123="Investments", G123="Cash Accounts"),INDIRECT("'"&amp;F123&amp;"'!$C$10"),INDIRECT("'"&amp;F123&amp;"'!$C$8")),"")</f>
        <v/>
      </c>
      <c r="J123" s="46" t="str" cm="1">
        <f t="array" aca="1" ref="J123" ca="1">IF(F123&lt;&gt;"",ABS(INDIRECT("'"&amp;F123&amp;"'!$I$2")),"")</f>
        <v/>
      </c>
      <c r="K123" s="48">
        <f t="shared" si="6"/>
        <v>129</v>
      </c>
      <c r="L123" s="114" t="str" cm="1">
        <f t="array" aca="1" ref="L123" ca="1">IF(F123&lt;&gt;"",INDIRECT("'"&amp;F123&amp;"'!$F$17"),"")</f>
        <v/>
      </c>
      <c r="M123" s="116" t="str">
        <f t="shared" ca="1" si="4"/>
        <v/>
      </c>
      <c r="O123" s="49" t="str">
        <f t="shared" ca="1" si="5"/>
        <v/>
      </c>
      <c r="P123" s="38" t="str">
        <f ca="1">IF(E123&lt;&gt;"",RANK(E123,$E$3:$E$2298)+COUNTIF($E$3:E123,E123)-1,"")</f>
        <v/>
      </c>
      <c r="Q123" s="8"/>
      <c r="R123" s="64"/>
      <c r="Z123" s="8"/>
    </row>
    <row r="124" spans="4:26" x14ac:dyDescent="0.25">
      <c r="D124" s="36" t="str" cm="1">
        <f t="array" aca="1" ref="D124" ca="1">IFERROR(IF(INDIRECT("'"&amp;F124&amp;"'!$C$5")&gt;0,DATE(YEAR(Dashboard!$AL$2),Dashboard!$AU$4,INDIRECT("'"&amp;F124&amp;"'!$C$5")),""),"")</f>
        <v/>
      </c>
      <c r="E124" s="50" t="str" cm="1">
        <f t="array" aca="1" ref="E124" ca="1">IF(G124="Credit Accounts",IFERROR(IF(INDIRECT("'"&amp;F124&amp;"'!$C$8")&gt;0,INDIRECT("'"&amp;F124&amp;"'!$F$2"),""),""),"")</f>
        <v/>
      </c>
      <c r="F124" s="37" t="str" cm="1">
        <f t="array" ref="F124">IFERROR(INDEX(Sheet_Names,K124),"")</f>
        <v/>
      </c>
      <c r="G124" s="38" t="str" cm="1">
        <f t="array" aca="1" ref="G124" ca="1">IF(F124="",
    "",
    IFERROR(
        IF(INDIRECT("'"&amp;F124&amp;"'!$B$2")="Credit Limit",
            "Credit Accounts",
            IF(INDIRECT("'"&amp;F124&amp;"'!$E$2")="Location",
                "Cash Accounts",
                IF(INDIRECT("'"&amp;F124&amp;"'!$B$2")="Amount",
                    "Investments",
                    "Bill Accounts"
                )
            )
        ),
    "")
)</f>
        <v/>
      </c>
      <c r="H124" s="46" t="str" cm="1">
        <f t="array" aca="1" ref="H124" ca="1">IF(F124&lt;&gt;"",INDIRECT("'"&amp;F124&amp;"'!$C$10"),"")</f>
        <v/>
      </c>
      <c r="I124" s="46" t="str" cm="1">
        <f t="array" aca="1" ref="I124" ca="1">IF(F124&lt;&gt;"",IF(OR(G124="Bill Accounts",G124="Investments", G124="Cash Accounts"),INDIRECT("'"&amp;F124&amp;"'!$C$10"),INDIRECT("'"&amp;F124&amp;"'!$C$8")),"")</f>
        <v/>
      </c>
      <c r="J124" s="46" t="str" cm="1">
        <f t="array" aca="1" ref="J124" ca="1">IF(F124&lt;&gt;"",ABS(INDIRECT("'"&amp;F124&amp;"'!$I$2")),"")</f>
        <v/>
      </c>
      <c r="K124" s="48">
        <f t="shared" si="6"/>
        <v>130</v>
      </c>
      <c r="L124" s="114" t="str" cm="1">
        <f t="array" aca="1" ref="L124" ca="1">IF(F124&lt;&gt;"",INDIRECT("'"&amp;F124&amp;"'!$F$17"),"")</f>
        <v/>
      </c>
      <c r="M124" s="116" t="str">
        <f t="shared" ca="1" si="4"/>
        <v/>
      </c>
      <c r="O124" s="49" t="str">
        <f t="shared" ca="1" si="5"/>
        <v/>
      </c>
      <c r="P124" s="38" t="str">
        <f ca="1">IF(E124&lt;&gt;"",RANK(E124,$E$3:$E$2298)+COUNTIF($E$3:E124,E124)-1,"")</f>
        <v/>
      </c>
      <c r="Q124" s="8"/>
      <c r="R124" s="64"/>
      <c r="Z124" s="8"/>
    </row>
    <row r="125" spans="4:26" x14ac:dyDescent="0.25">
      <c r="D125" s="36" t="str" cm="1">
        <f t="array" aca="1" ref="D125" ca="1">IFERROR(IF(INDIRECT("'"&amp;F125&amp;"'!$C$5")&gt;0,DATE(YEAR(Dashboard!$AL$2),Dashboard!$AU$4,INDIRECT("'"&amp;F125&amp;"'!$C$5")),""),"")</f>
        <v/>
      </c>
      <c r="E125" s="50" t="str" cm="1">
        <f t="array" aca="1" ref="E125" ca="1">IF(G125="Credit Accounts",IFERROR(IF(INDIRECT("'"&amp;F125&amp;"'!$C$8")&gt;0,INDIRECT("'"&amp;F125&amp;"'!$F$2"),""),""),"")</f>
        <v/>
      </c>
      <c r="F125" s="37" t="str" cm="1">
        <f t="array" ref="F125">IFERROR(INDEX(Sheet_Names,K125),"")</f>
        <v/>
      </c>
      <c r="G125" s="38" t="str" cm="1">
        <f t="array" aca="1" ref="G125" ca="1">IF(F125="",
    "",
    IFERROR(
        IF(INDIRECT("'"&amp;F125&amp;"'!$B$2")="Credit Limit",
            "Credit Accounts",
            IF(INDIRECT("'"&amp;F125&amp;"'!$E$2")="Location",
                "Cash Accounts",
                IF(INDIRECT("'"&amp;F125&amp;"'!$B$2")="Amount",
                    "Investments",
                    "Bill Accounts"
                )
            )
        ),
    "")
)</f>
        <v/>
      </c>
      <c r="H125" s="46" t="str" cm="1">
        <f t="array" aca="1" ref="H125" ca="1">IF(F125&lt;&gt;"",INDIRECT("'"&amp;F125&amp;"'!$C$10"),"")</f>
        <v/>
      </c>
      <c r="I125" s="46" t="str" cm="1">
        <f t="array" aca="1" ref="I125" ca="1">IF(F125&lt;&gt;"",IF(OR(G125="Bill Accounts",G125="Investments", G125="Cash Accounts"),INDIRECT("'"&amp;F125&amp;"'!$C$10"),INDIRECT("'"&amp;F125&amp;"'!$C$8")),"")</f>
        <v/>
      </c>
      <c r="J125" s="46" t="str" cm="1">
        <f t="array" aca="1" ref="J125" ca="1">IF(F125&lt;&gt;"",ABS(INDIRECT("'"&amp;F125&amp;"'!$I$2")),"")</f>
        <v/>
      </c>
      <c r="K125" s="48">
        <f t="shared" si="6"/>
        <v>131</v>
      </c>
      <c r="L125" s="114" t="str" cm="1">
        <f t="array" aca="1" ref="L125" ca="1">IF(F125&lt;&gt;"",INDIRECT("'"&amp;F125&amp;"'!$F$17"),"")</f>
        <v/>
      </c>
      <c r="M125" s="116" t="str">
        <f t="shared" ca="1" si="4"/>
        <v/>
      </c>
      <c r="O125" s="49" t="str">
        <f t="shared" ca="1" si="5"/>
        <v/>
      </c>
      <c r="P125" s="38" t="str">
        <f ca="1">IF(E125&lt;&gt;"",RANK(E125,$E$3:$E$2298)+COUNTIF($E$3:E125,E125)-1,"")</f>
        <v/>
      </c>
      <c r="Q125" s="8"/>
      <c r="R125" s="64"/>
      <c r="Z125" s="8"/>
    </row>
    <row r="126" spans="4:26" x14ac:dyDescent="0.25">
      <c r="D126" s="36" t="str" cm="1">
        <f t="array" aca="1" ref="D126" ca="1">IFERROR(IF(INDIRECT("'"&amp;F126&amp;"'!$C$5")&gt;0,DATE(YEAR(Dashboard!$AL$2),Dashboard!$AU$4,INDIRECT("'"&amp;F126&amp;"'!$C$5")),""),"")</f>
        <v/>
      </c>
      <c r="E126" s="50" t="str" cm="1">
        <f t="array" aca="1" ref="E126" ca="1">IF(G126="Credit Accounts",IFERROR(IF(INDIRECT("'"&amp;F126&amp;"'!$C$8")&gt;0,INDIRECT("'"&amp;F126&amp;"'!$F$2"),""),""),"")</f>
        <v/>
      </c>
      <c r="F126" s="37" t="str" cm="1">
        <f t="array" ref="F126">IFERROR(INDEX(Sheet_Names,K126),"")</f>
        <v/>
      </c>
      <c r="G126" s="38" t="str" cm="1">
        <f t="array" aca="1" ref="G126" ca="1">IF(F126="",
    "",
    IFERROR(
        IF(INDIRECT("'"&amp;F126&amp;"'!$B$2")="Credit Limit",
            "Credit Accounts",
            IF(INDIRECT("'"&amp;F126&amp;"'!$E$2")="Location",
                "Cash Accounts",
                IF(INDIRECT("'"&amp;F126&amp;"'!$B$2")="Amount",
                    "Investments",
                    "Bill Accounts"
                )
            )
        ),
    "")
)</f>
        <v/>
      </c>
      <c r="H126" s="46" t="str" cm="1">
        <f t="array" aca="1" ref="H126" ca="1">IF(F126&lt;&gt;"",INDIRECT("'"&amp;F126&amp;"'!$C$10"),"")</f>
        <v/>
      </c>
      <c r="I126" s="46" t="str" cm="1">
        <f t="array" aca="1" ref="I126" ca="1">IF(F126&lt;&gt;"",IF(OR(G126="Bill Accounts",G126="Investments", G126="Cash Accounts"),INDIRECT("'"&amp;F126&amp;"'!$C$10"),INDIRECT("'"&amp;F126&amp;"'!$C$8")),"")</f>
        <v/>
      </c>
      <c r="J126" s="46" t="str" cm="1">
        <f t="array" aca="1" ref="J126" ca="1">IF(F126&lt;&gt;"",ABS(INDIRECT("'"&amp;F126&amp;"'!$I$2")),"")</f>
        <v/>
      </c>
      <c r="K126" s="48">
        <f t="shared" si="6"/>
        <v>132</v>
      </c>
      <c r="L126" s="114" t="str" cm="1">
        <f t="array" aca="1" ref="L126" ca="1">IF(F126&lt;&gt;"",INDIRECT("'"&amp;F126&amp;"'!$F$17"),"")</f>
        <v/>
      </c>
      <c r="M126" s="116" t="str">
        <f t="shared" ca="1" si="4"/>
        <v/>
      </c>
      <c r="O126" s="49" t="str">
        <f t="shared" ca="1" si="5"/>
        <v/>
      </c>
      <c r="P126" s="38" t="str">
        <f ca="1">IF(E126&lt;&gt;"",RANK(E126,$E$3:$E$2298)+COUNTIF($E$3:E126,E126)-1,"")</f>
        <v/>
      </c>
      <c r="Q126" s="8"/>
      <c r="R126" s="64"/>
      <c r="Z126" s="8"/>
    </row>
    <row r="127" spans="4:26" x14ac:dyDescent="0.25">
      <c r="D127" s="36" t="str" cm="1">
        <f t="array" aca="1" ref="D127" ca="1">IFERROR(IF(INDIRECT("'"&amp;F127&amp;"'!$C$5")&gt;0,DATE(YEAR(Dashboard!$AL$2),Dashboard!$AU$4,INDIRECT("'"&amp;F127&amp;"'!$C$5")),""),"")</f>
        <v/>
      </c>
      <c r="E127" s="50" t="str" cm="1">
        <f t="array" aca="1" ref="E127" ca="1">IF(G127="Credit Accounts",IFERROR(IF(INDIRECT("'"&amp;F127&amp;"'!$C$8")&gt;0,INDIRECT("'"&amp;F127&amp;"'!$F$2"),""),""),"")</f>
        <v/>
      </c>
      <c r="F127" s="37" t="str" cm="1">
        <f t="array" ref="F127">IFERROR(INDEX(Sheet_Names,K127),"")</f>
        <v/>
      </c>
      <c r="G127" s="38" t="str" cm="1">
        <f t="array" aca="1" ref="G127" ca="1">IF(F127="",
    "",
    IFERROR(
        IF(INDIRECT("'"&amp;F127&amp;"'!$B$2")="Credit Limit",
            "Credit Accounts",
            IF(INDIRECT("'"&amp;F127&amp;"'!$E$2")="Location",
                "Cash Accounts",
                IF(INDIRECT("'"&amp;F127&amp;"'!$B$2")="Amount",
                    "Investments",
                    "Bill Accounts"
                )
            )
        ),
    "")
)</f>
        <v/>
      </c>
      <c r="H127" s="46" t="str" cm="1">
        <f t="array" aca="1" ref="H127" ca="1">IF(F127&lt;&gt;"",INDIRECT("'"&amp;F127&amp;"'!$C$10"),"")</f>
        <v/>
      </c>
      <c r="I127" s="46" t="str" cm="1">
        <f t="array" aca="1" ref="I127" ca="1">IF(F127&lt;&gt;"",IF(OR(G127="Bill Accounts",G127="Investments", G127="Cash Accounts"),INDIRECT("'"&amp;F127&amp;"'!$C$10"),INDIRECT("'"&amp;F127&amp;"'!$C$8")),"")</f>
        <v/>
      </c>
      <c r="J127" s="46" t="str" cm="1">
        <f t="array" aca="1" ref="J127" ca="1">IF(F127&lt;&gt;"",ABS(INDIRECT("'"&amp;F127&amp;"'!$I$2")),"")</f>
        <v/>
      </c>
      <c r="K127" s="48">
        <f t="shared" si="6"/>
        <v>133</v>
      </c>
      <c r="L127" s="114" t="str" cm="1">
        <f t="array" aca="1" ref="L127" ca="1">IF(F127&lt;&gt;"",INDIRECT("'"&amp;F127&amp;"'!$F$17"),"")</f>
        <v/>
      </c>
      <c r="M127" s="116" t="str">
        <f t="shared" ca="1" si="4"/>
        <v/>
      </c>
      <c r="O127" s="49" t="str">
        <f t="shared" ca="1" si="5"/>
        <v/>
      </c>
      <c r="P127" s="38" t="str">
        <f ca="1">IF(E127&lt;&gt;"",RANK(E127,$E$3:$E$2298)+COUNTIF($E$3:E127,E127)-1,"")</f>
        <v/>
      </c>
      <c r="Q127" s="8"/>
      <c r="R127" s="64"/>
      <c r="Z127" s="8"/>
    </row>
    <row r="128" spans="4:26" x14ac:dyDescent="0.25">
      <c r="D128" s="36" t="str" cm="1">
        <f t="array" aca="1" ref="D128" ca="1">IFERROR(IF(INDIRECT("'"&amp;F128&amp;"'!$C$5")&gt;0,DATE(YEAR(Dashboard!$AL$2),Dashboard!$AU$4,INDIRECT("'"&amp;F128&amp;"'!$C$5")),""),"")</f>
        <v/>
      </c>
      <c r="E128" s="50" t="str" cm="1">
        <f t="array" aca="1" ref="E128" ca="1">IF(G128="Credit Accounts",IFERROR(IF(INDIRECT("'"&amp;F128&amp;"'!$C$8")&gt;0,INDIRECT("'"&amp;F128&amp;"'!$F$2"),""),""),"")</f>
        <v/>
      </c>
      <c r="F128" s="37" t="str" cm="1">
        <f t="array" ref="F128">IFERROR(INDEX(Sheet_Names,K128),"")</f>
        <v/>
      </c>
      <c r="G128" s="38" t="str" cm="1">
        <f t="array" aca="1" ref="G128" ca="1">IF(F128="",
    "",
    IFERROR(
        IF(INDIRECT("'"&amp;F128&amp;"'!$B$2")="Credit Limit",
            "Credit Accounts",
            IF(INDIRECT("'"&amp;F128&amp;"'!$E$2")="Location",
                "Cash Accounts",
                IF(INDIRECT("'"&amp;F128&amp;"'!$B$2")="Amount",
                    "Investments",
                    "Bill Accounts"
                )
            )
        ),
    "")
)</f>
        <v/>
      </c>
      <c r="H128" s="46" t="str" cm="1">
        <f t="array" aca="1" ref="H128" ca="1">IF(F128&lt;&gt;"",INDIRECT("'"&amp;F128&amp;"'!$C$10"),"")</f>
        <v/>
      </c>
      <c r="I128" s="46" t="str" cm="1">
        <f t="array" aca="1" ref="I128" ca="1">IF(F128&lt;&gt;"",IF(OR(G128="Bill Accounts",G128="Investments", G128="Cash Accounts"),INDIRECT("'"&amp;F128&amp;"'!$C$10"),INDIRECT("'"&amp;F128&amp;"'!$C$8")),"")</f>
        <v/>
      </c>
      <c r="J128" s="46" t="str" cm="1">
        <f t="array" aca="1" ref="J128" ca="1">IF(F128&lt;&gt;"",ABS(INDIRECT("'"&amp;F128&amp;"'!$I$2")),"")</f>
        <v/>
      </c>
      <c r="K128" s="48">
        <f t="shared" si="6"/>
        <v>134</v>
      </c>
      <c r="L128" s="114" t="str" cm="1">
        <f t="array" aca="1" ref="L128" ca="1">IF(F128&lt;&gt;"",INDIRECT("'"&amp;F128&amp;"'!$F$17"),"")</f>
        <v/>
      </c>
      <c r="M128" s="116" t="str">
        <f t="shared" ca="1" si="4"/>
        <v/>
      </c>
      <c r="O128" s="49" t="str">
        <f t="shared" ca="1" si="5"/>
        <v/>
      </c>
      <c r="P128" s="38" t="str">
        <f ca="1">IF(E128&lt;&gt;"",RANK(E128,$E$3:$E$2298)+COUNTIF($E$3:E128,E128)-1,"")</f>
        <v/>
      </c>
      <c r="Q128" s="8"/>
      <c r="R128" s="64"/>
      <c r="Z128" s="8"/>
    </row>
    <row r="129" spans="4:26" x14ac:dyDescent="0.25">
      <c r="D129" s="36" t="str" cm="1">
        <f t="array" aca="1" ref="D129" ca="1">IFERROR(IF(INDIRECT("'"&amp;F129&amp;"'!$C$5")&gt;0,DATE(YEAR(Dashboard!$AL$2),Dashboard!$AU$4,INDIRECT("'"&amp;F129&amp;"'!$C$5")),""),"")</f>
        <v/>
      </c>
      <c r="E129" s="50" t="str" cm="1">
        <f t="array" aca="1" ref="E129" ca="1">IF(G129="Credit Accounts",IFERROR(IF(INDIRECT("'"&amp;F129&amp;"'!$C$8")&gt;0,INDIRECT("'"&amp;F129&amp;"'!$F$2"),""),""),"")</f>
        <v/>
      </c>
      <c r="F129" s="37" t="str" cm="1">
        <f t="array" ref="F129">IFERROR(INDEX(Sheet_Names,K129),"")</f>
        <v/>
      </c>
      <c r="G129" s="38" t="str" cm="1">
        <f t="array" aca="1" ref="G129" ca="1">IF(F129="",
    "",
    IFERROR(
        IF(INDIRECT("'"&amp;F129&amp;"'!$B$2")="Credit Limit",
            "Credit Accounts",
            IF(INDIRECT("'"&amp;F129&amp;"'!$E$2")="Location",
                "Cash Accounts",
                IF(INDIRECT("'"&amp;F129&amp;"'!$B$2")="Amount",
                    "Investments",
                    "Bill Accounts"
                )
            )
        ),
    "")
)</f>
        <v/>
      </c>
      <c r="H129" s="46" t="str" cm="1">
        <f t="array" aca="1" ref="H129" ca="1">IF(F129&lt;&gt;"",INDIRECT("'"&amp;F129&amp;"'!$C$10"),"")</f>
        <v/>
      </c>
      <c r="I129" s="46" t="str" cm="1">
        <f t="array" aca="1" ref="I129" ca="1">IF(F129&lt;&gt;"",IF(OR(G129="Bill Accounts",G129="Investments", G129="Cash Accounts"),INDIRECT("'"&amp;F129&amp;"'!$C$10"),INDIRECT("'"&amp;F129&amp;"'!$C$8")),"")</f>
        <v/>
      </c>
      <c r="J129" s="46" t="str" cm="1">
        <f t="array" aca="1" ref="J129" ca="1">IF(F129&lt;&gt;"",ABS(INDIRECT("'"&amp;F129&amp;"'!$I$2")),"")</f>
        <v/>
      </c>
      <c r="K129" s="48">
        <f t="shared" si="6"/>
        <v>135</v>
      </c>
      <c r="L129" s="114" t="str" cm="1">
        <f t="array" aca="1" ref="L129" ca="1">IF(F129&lt;&gt;"",INDIRECT("'"&amp;F129&amp;"'!$F$17"),"")</f>
        <v/>
      </c>
      <c r="M129" s="116" t="str">
        <f t="shared" ca="1" si="4"/>
        <v/>
      </c>
      <c r="O129" s="49" t="str">
        <f t="shared" ca="1" si="5"/>
        <v/>
      </c>
      <c r="P129" s="38" t="str">
        <f ca="1">IF(E129&lt;&gt;"",RANK(E129,$E$3:$E$2298)+COUNTIF($E$3:E129,E129)-1,"")</f>
        <v/>
      </c>
      <c r="Q129" s="8"/>
      <c r="R129" s="64"/>
      <c r="Z129" s="8"/>
    </row>
    <row r="130" spans="4:26" x14ac:dyDescent="0.25">
      <c r="D130" s="36" t="str" cm="1">
        <f t="array" aca="1" ref="D130" ca="1">IFERROR(IF(INDIRECT("'"&amp;F130&amp;"'!$C$5")&gt;0,DATE(YEAR(Dashboard!$AL$2),Dashboard!$AU$4,INDIRECT("'"&amp;F130&amp;"'!$C$5")),""),"")</f>
        <v/>
      </c>
      <c r="E130" s="50" t="str" cm="1">
        <f t="array" aca="1" ref="E130" ca="1">IF(G130="Credit Accounts",IFERROR(IF(INDIRECT("'"&amp;F130&amp;"'!$C$8")&gt;0,INDIRECT("'"&amp;F130&amp;"'!$F$2"),""),""),"")</f>
        <v/>
      </c>
      <c r="F130" s="37" t="str" cm="1">
        <f t="array" ref="F130">IFERROR(INDEX(Sheet_Names,K130),"")</f>
        <v/>
      </c>
      <c r="G130" s="38" t="str" cm="1">
        <f t="array" aca="1" ref="G130" ca="1">IF(F130="",
    "",
    IFERROR(
        IF(INDIRECT("'"&amp;F130&amp;"'!$B$2")="Credit Limit",
            "Credit Accounts",
            IF(INDIRECT("'"&amp;F130&amp;"'!$E$2")="Location",
                "Cash Accounts",
                IF(INDIRECT("'"&amp;F130&amp;"'!$B$2")="Amount",
                    "Investments",
                    "Bill Accounts"
                )
            )
        ),
    "")
)</f>
        <v/>
      </c>
      <c r="H130" s="46" t="str" cm="1">
        <f t="array" aca="1" ref="H130" ca="1">IF(F130&lt;&gt;"",INDIRECT("'"&amp;F130&amp;"'!$C$10"),"")</f>
        <v/>
      </c>
      <c r="I130" s="46" t="str" cm="1">
        <f t="array" aca="1" ref="I130" ca="1">IF(F130&lt;&gt;"",IF(OR(G130="Bill Accounts",G130="Investments", G130="Cash Accounts"),INDIRECT("'"&amp;F130&amp;"'!$C$10"),INDIRECT("'"&amp;F130&amp;"'!$C$8")),"")</f>
        <v/>
      </c>
      <c r="J130" s="46" t="str" cm="1">
        <f t="array" aca="1" ref="J130" ca="1">IF(F130&lt;&gt;"",ABS(INDIRECT("'"&amp;F130&amp;"'!$I$2")),"")</f>
        <v/>
      </c>
      <c r="K130" s="48">
        <f t="shared" si="6"/>
        <v>136</v>
      </c>
      <c r="L130" s="114" t="str" cm="1">
        <f t="array" aca="1" ref="L130" ca="1">IF(F130&lt;&gt;"",INDIRECT("'"&amp;F130&amp;"'!$F$17"),"")</f>
        <v/>
      </c>
      <c r="M130" s="116" t="str">
        <f t="shared" ca="1" si="4"/>
        <v/>
      </c>
      <c r="O130" s="49" t="str">
        <f t="shared" ca="1" si="5"/>
        <v/>
      </c>
      <c r="P130" s="38" t="str">
        <f ca="1">IF(E130&lt;&gt;"",RANK(E130,$E$3:$E$2298)+COUNTIF($E$3:E130,E130)-1,"")</f>
        <v/>
      </c>
      <c r="Q130" s="8"/>
      <c r="R130" s="64"/>
      <c r="Z130" s="8"/>
    </row>
    <row r="131" spans="4:26" x14ac:dyDescent="0.25">
      <c r="D131" s="36" t="str" cm="1">
        <f t="array" aca="1" ref="D131" ca="1">IFERROR(IF(INDIRECT("'"&amp;F131&amp;"'!$C$5")&gt;0,DATE(YEAR(Dashboard!$AL$2),Dashboard!$AU$4,INDIRECT("'"&amp;F131&amp;"'!$C$5")),""),"")</f>
        <v/>
      </c>
      <c r="E131" s="50" t="str" cm="1">
        <f t="array" aca="1" ref="E131" ca="1">IF(G131="Credit Accounts",IFERROR(IF(INDIRECT("'"&amp;F131&amp;"'!$C$8")&gt;0,INDIRECT("'"&amp;F131&amp;"'!$F$2"),""),""),"")</f>
        <v/>
      </c>
      <c r="F131" s="37" t="str" cm="1">
        <f t="array" ref="F131">IFERROR(INDEX(Sheet_Names,K131),"")</f>
        <v/>
      </c>
      <c r="G131" s="38" t="str" cm="1">
        <f t="array" aca="1" ref="G131" ca="1">IF(F131="",
    "",
    IFERROR(
        IF(INDIRECT("'"&amp;F131&amp;"'!$B$2")="Credit Limit",
            "Credit Accounts",
            IF(INDIRECT("'"&amp;F131&amp;"'!$E$2")="Location",
                "Cash Accounts",
                IF(INDIRECT("'"&amp;F131&amp;"'!$B$2")="Amount",
                    "Investments",
                    "Bill Accounts"
                )
            )
        ),
    "")
)</f>
        <v/>
      </c>
      <c r="H131" s="46" t="str" cm="1">
        <f t="array" aca="1" ref="H131" ca="1">IF(F131&lt;&gt;"",INDIRECT("'"&amp;F131&amp;"'!$C$10"),"")</f>
        <v/>
      </c>
      <c r="I131" s="46" t="str" cm="1">
        <f t="array" aca="1" ref="I131" ca="1">IF(F131&lt;&gt;"",IF(OR(G131="Bill Accounts",G131="Investments", G131="Cash Accounts"),INDIRECT("'"&amp;F131&amp;"'!$C$10"),INDIRECT("'"&amp;F131&amp;"'!$C$8")),"")</f>
        <v/>
      </c>
      <c r="J131" s="46" t="str" cm="1">
        <f t="array" aca="1" ref="J131" ca="1">IF(F131&lt;&gt;"",ABS(INDIRECT("'"&amp;F131&amp;"'!$I$2")),"")</f>
        <v/>
      </c>
      <c r="K131" s="48">
        <f t="shared" si="6"/>
        <v>137</v>
      </c>
      <c r="L131" s="114" t="str" cm="1">
        <f t="array" aca="1" ref="L131" ca="1">IF(F131&lt;&gt;"",INDIRECT("'"&amp;F131&amp;"'!$F$17"),"")</f>
        <v/>
      </c>
      <c r="M131" s="116" t="str">
        <f t="shared" ca="1" si="4"/>
        <v/>
      </c>
      <c r="O131" s="49" t="str">
        <f t="shared" ca="1" si="5"/>
        <v/>
      </c>
      <c r="P131" s="38" t="str">
        <f ca="1">IF(E131&lt;&gt;"",RANK(E131,$E$3:$E$2298)+COUNTIF($E$3:E131,E131)-1,"")</f>
        <v/>
      </c>
      <c r="Q131" s="8"/>
      <c r="R131" s="64"/>
      <c r="Z131" s="8"/>
    </row>
    <row r="132" spans="4:26" x14ac:dyDescent="0.25">
      <c r="D132" s="36" t="str" cm="1">
        <f t="array" aca="1" ref="D132" ca="1">IFERROR(IF(INDIRECT("'"&amp;F132&amp;"'!$C$5")&gt;0,DATE(YEAR(Dashboard!$AL$2),Dashboard!$AU$4,INDIRECT("'"&amp;F132&amp;"'!$C$5")),""),"")</f>
        <v/>
      </c>
      <c r="E132" s="50" t="str" cm="1">
        <f t="array" aca="1" ref="E132" ca="1">IF(G132="Credit Accounts",IFERROR(IF(INDIRECT("'"&amp;F132&amp;"'!$C$8")&gt;0,INDIRECT("'"&amp;F132&amp;"'!$F$2"),""),""),"")</f>
        <v/>
      </c>
      <c r="F132" s="37" t="str" cm="1">
        <f t="array" ref="F132">IFERROR(INDEX(Sheet_Names,K132),"")</f>
        <v/>
      </c>
      <c r="G132" s="38" t="str" cm="1">
        <f t="array" aca="1" ref="G132" ca="1">IF(F132="",
    "",
    IFERROR(
        IF(INDIRECT("'"&amp;F132&amp;"'!$B$2")="Credit Limit",
            "Credit Accounts",
            IF(INDIRECT("'"&amp;F132&amp;"'!$E$2")="Location",
                "Cash Accounts",
                IF(INDIRECT("'"&amp;F132&amp;"'!$B$2")="Amount",
                    "Investments",
                    "Bill Accounts"
                )
            )
        ),
    "")
)</f>
        <v/>
      </c>
      <c r="H132" s="46" t="str" cm="1">
        <f t="array" aca="1" ref="H132" ca="1">IF(F132&lt;&gt;"",INDIRECT("'"&amp;F132&amp;"'!$C$10"),"")</f>
        <v/>
      </c>
      <c r="I132" s="46" t="str" cm="1">
        <f t="array" aca="1" ref="I132" ca="1">IF(F132&lt;&gt;"",IF(OR(G132="Bill Accounts",G132="Investments", G132="Cash Accounts"),INDIRECT("'"&amp;F132&amp;"'!$C$10"),INDIRECT("'"&amp;F132&amp;"'!$C$8")),"")</f>
        <v/>
      </c>
      <c r="J132" s="46" t="str" cm="1">
        <f t="array" aca="1" ref="J132" ca="1">IF(F132&lt;&gt;"",ABS(INDIRECT("'"&amp;F132&amp;"'!$I$2")),"")</f>
        <v/>
      </c>
      <c r="K132" s="48">
        <f t="shared" si="6"/>
        <v>138</v>
      </c>
      <c r="L132" s="114" t="str" cm="1">
        <f t="array" aca="1" ref="L132" ca="1">IF(F132&lt;&gt;"",INDIRECT("'"&amp;F132&amp;"'!$F$17"),"")</f>
        <v/>
      </c>
      <c r="M132" s="116" t="str">
        <f t="shared" ref="M132:M195" ca="1" si="7">IF(G132="Credit Accounts",EDATE(TODAY(),INDIRECT("'"&amp;F132&amp;"'!$C$14")),"")</f>
        <v/>
      </c>
      <c r="O132" s="49" t="str">
        <f t="shared" ref="O132:O195" ca="1" si="8">IF(D132&lt;&gt;"",DAY(D132),"")</f>
        <v/>
      </c>
      <c r="P132" s="38" t="str">
        <f ca="1">IF(E132&lt;&gt;"",RANK(E132,$E$3:$E$2298)+COUNTIF($E$3:E132,E132)-1,"")</f>
        <v/>
      </c>
      <c r="Q132" s="8"/>
      <c r="R132" s="64"/>
      <c r="Z132" s="8"/>
    </row>
    <row r="133" spans="4:26" x14ac:dyDescent="0.25">
      <c r="D133" s="36" t="str" cm="1">
        <f t="array" aca="1" ref="D133" ca="1">IFERROR(IF(INDIRECT("'"&amp;F133&amp;"'!$C$5")&gt;0,DATE(YEAR(Dashboard!$AL$2),Dashboard!$AU$4,INDIRECT("'"&amp;F133&amp;"'!$C$5")),""),"")</f>
        <v/>
      </c>
      <c r="E133" s="50" t="str" cm="1">
        <f t="array" aca="1" ref="E133" ca="1">IF(G133="Credit Accounts",IFERROR(IF(INDIRECT("'"&amp;F133&amp;"'!$C$8")&gt;0,INDIRECT("'"&amp;F133&amp;"'!$F$2"),""),""),"")</f>
        <v/>
      </c>
      <c r="F133" s="37" t="str" cm="1">
        <f t="array" ref="F133">IFERROR(INDEX(Sheet_Names,K133),"")</f>
        <v/>
      </c>
      <c r="G133" s="38" t="str" cm="1">
        <f t="array" aca="1" ref="G133" ca="1">IF(F133="",
    "",
    IFERROR(
        IF(INDIRECT("'"&amp;F133&amp;"'!$B$2")="Credit Limit",
            "Credit Accounts",
            IF(INDIRECT("'"&amp;F133&amp;"'!$E$2")="Location",
                "Cash Accounts",
                IF(INDIRECT("'"&amp;F133&amp;"'!$B$2")="Amount",
                    "Investments",
                    "Bill Accounts"
                )
            )
        ),
    "")
)</f>
        <v/>
      </c>
      <c r="H133" s="46" t="str" cm="1">
        <f t="array" aca="1" ref="H133" ca="1">IF(F133&lt;&gt;"",INDIRECT("'"&amp;F133&amp;"'!$C$10"),"")</f>
        <v/>
      </c>
      <c r="I133" s="46" t="str" cm="1">
        <f t="array" aca="1" ref="I133" ca="1">IF(F133&lt;&gt;"",IF(OR(G133="Bill Accounts",G133="Investments", G133="Cash Accounts"),INDIRECT("'"&amp;F133&amp;"'!$C$10"),INDIRECT("'"&amp;F133&amp;"'!$C$8")),"")</f>
        <v/>
      </c>
      <c r="J133" s="46" t="str" cm="1">
        <f t="array" aca="1" ref="J133" ca="1">IF(F133&lt;&gt;"",ABS(INDIRECT("'"&amp;F133&amp;"'!$I$2")),"")</f>
        <v/>
      </c>
      <c r="K133" s="48">
        <f t="shared" si="6"/>
        <v>139</v>
      </c>
      <c r="L133" s="114" t="str" cm="1">
        <f t="array" aca="1" ref="L133" ca="1">IF(F133&lt;&gt;"",INDIRECT("'"&amp;F133&amp;"'!$F$17"),"")</f>
        <v/>
      </c>
      <c r="M133" s="116" t="str">
        <f t="shared" ca="1" si="7"/>
        <v/>
      </c>
      <c r="O133" s="49" t="str">
        <f t="shared" ca="1" si="8"/>
        <v/>
      </c>
      <c r="P133" s="38" t="str">
        <f ca="1">IF(E133&lt;&gt;"",RANK(E133,$E$3:$E$2298)+COUNTIF($E$3:E133,E133)-1,"")</f>
        <v/>
      </c>
      <c r="Q133" s="8"/>
      <c r="R133" s="64"/>
      <c r="Z133" s="8"/>
    </row>
    <row r="134" spans="4:26" x14ac:dyDescent="0.25">
      <c r="D134" s="36" t="str" cm="1">
        <f t="array" aca="1" ref="D134" ca="1">IFERROR(IF(INDIRECT("'"&amp;F134&amp;"'!$C$5")&gt;0,DATE(YEAR(Dashboard!$AL$2),Dashboard!$AU$4,INDIRECT("'"&amp;F134&amp;"'!$C$5")),""),"")</f>
        <v/>
      </c>
      <c r="E134" s="50" t="str" cm="1">
        <f t="array" aca="1" ref="E134" ca="1">IF(G134="Credit Accounts",IFERROR(IF(INDIRECT("'"&amp;F134&amp;"'!$C$8")&gt;0,INDIRECT("'"&amp;F134&amp;"'!$F$2"),""),""),"")</f>
        <v/>
      </c>
      <c r="F134" s="37" t="str" cm="1">
        <f t="array" ref="F134">IFERROR(INDEX(Sheet_Names,K134),"")</f>
        <v/>
      </c>
      <c r="G134" s="38" t="str" cm="1">
        <f t="array" aca="1" ref="G134" ca="1">IF(F134="",
    "",
    IFERROR(
        IF(INDIRECT("'"&amp;F134&amp;"'!$B$2")="Credit Limit",
            "Credit Accounts",
            IF(INDIRECT("'"&amp;F134&amp;"'!$E$2")="Location",
                "Cash Accounts",
                IF(INDIRECT("'"&amp;F134&amp;"'!$B$2")="Amount",
                    "Investments",
                    "Bill Accounts"
                )
            )
        ),
    "")
)</f>
        <v/>
      </c>
      <c r="H134" s="46" t="str" cm="1">
        <f t="array" aca="1" ref="H134" ca="1">IF(F134&lt;&gt;"",INDIRECT("'"&amp;F134&amp;"'!$C$10"),"")</f>
        <v/>
      </c>
      <c r="I134" s="46" t="str" cm="1">
        <f t="array" aca="1" ref="I134" ca="1">IF(F134&lt;&gt;"",IF(OR(G134="Bill Accounts",G134="Investments", G134="Cash Accounts"),INDIRECT("'"&amp;F134&amp;"'!$C$10"),INDIRECT("'"&amp;F134&amp;"'!$C$8")),"")</f>
        <v/>
      </c>
      <c r="J134" s="46" t="str" cm="1">
        <f t="array" aca="1" ref="J134" ca="1">IF(F134&lt;&gt;"",ABS(INDIRECT("'"&amp;F134&amp;"'!$I$2")),"")</f>
        <v/>
      </c>
      <c r="K134" s="48">
        <f t="shared" si="6"/>
        <v>140</v>
      </c>
      <c r="L134" s="114" t="str" cm="1">
        <f t="array" aca="1" ref="L134" ca="1">IF(F134&lt;&gt;"",INDIRECT("'"&amp;F134&amp;"'!$F$17"),"")</f>
        <v/>
      </c>
      <c r="M134" s="116" t="str">
        <f t="shared" ca="1" si="7"/>
        <v/>
      </c>
      <c r="O134" s="49" t="str">
        <f t="shared" ca="1" si="8"/>
        <v/>
      </c>
      <c r="P134" s="38" t="str">
        <f ca="1">IF(E134&lt;&gt;"",RANK(E134,$E$3:$E$2298)+COUNTIF($E$3:E134,E134)-1,"")</f>
        <v/>
      </c>
      <c r="Q134" s="8"/>
      <c r="R134" s="64"/>
      <c r="Z134" s="8"/>
    </row>
    <row r="135" spans="4:26" x14ac:dyDescent="0.25">
      <c r="D135" s="36" t="str" cm="1">
        <f t="array" aca="1" ref="D135" ca="1">IFERROR(IF(INDIRECT("'"&amp;F135&amp;"'!$C$5")&gt;0,DATE(YEAR(Dashboard!$AL$2),Dashboard!$AU$4,INDIRECT("'"&amp;F135&amp;"'!$C$5")),""),"")</f>
        <v/>
      </c>
      <c r="E135" s="50" t="str" cm="1">
        <f t="array" aca="1" ref="E135" ca="1">IF(G135="Credit Accounts",IFERROR(IF(INDIRECT("'"&amp;F135&amp;"'!$C$8")&gt;0,INDIRECT("'"&amp;F135&amp;"'!$F$2"),""),""),"")</f>
        <v/>
      </c>
      <c r="F135" s="37" t="str" cm="1">
        <f t="array" ref="F135">IFERROR(INDEX(Sheet_Names,K135),"")</f>
        <v/>
      </c>
      <c r="G135" s="38" t="str" cm="1">
        <f t="array" aca="1" ref="G135" ca="1">IF(F135="",
    "",
    IFERROR(
        IF(INDIRECT("'"&amp;F135&amp;"'!$B$2")="Credit Limit",
            "Credit Accounts",
            IF(INDIRECT("'"&amp;F135&amp;"'!$E$2")="Location",
                "Cash Accounts",
                IF(INDIRECT("'"&amp;F135&amp;"'!$B$2")="Amount",
                    "Investments",
                    "Bill Accounts"
                )
            )
        ),
    "")
)</f>
        <v/>
      </c>
      <c r="H135" s="46" t="str" cm="1">
        <f t="array" aca="1" ref="H135" ca="1">IF(F135&lt;&gt;"",INDIRECT("'"&amp;F135&amp;"'!$C$10"),"")</f>
        <v/>
      </c>
      <c r="I135" s="46" t="str" cm="1">
        <f t="array" aca="1" ref="I135" ca="1">IF(F135&lt;&gt;"",IF(OR(G135="Bill Accounts",G135="Investments", G135="Cash Accounts"),INDIRECT("'"&amp;F135&amp;"'!$C$10"),INDIRECT("'"&amp;F135&amp;"'!$C$8")),"")</f>
        <v/>
      </c>
      <c r="J135" s="46" t="str" cm="1">
        <f t="array" aca="1" ref="J135" ca="1">IF(F135&lt;&gt;"",ABS(INDIRECT("'"&amp;F135&amp;"'!$I$2")),"")</f>
        <v/>
      </c>
      <c r="K135" s="48">
        <f t="shared" si="6"/>
        <v>141</v>
      </c>
      <c r="L135" s="114" t="str" cm="1">
        <f t="array" aca="1" ref="L135" ca="1">IF(F135&lt;&gt;"",INDIRECT("'"&amp;F135&amp;"'!$F$17"),"")</f>
        <v/>
      </c>
      <c r="M135" s="116" t="str">
        <f t="shared" ca="1" si="7"/>
        <v/>
      </c>
      <c r="O135" s="49" t="str">
        <f t="shared" ca="1" si="8"/>
        <v/>
      </c>
      <c r="P135" s="38" t="str">
        <f ca="1">IF(E135&lt;&gt;"",RANK(E135,$E$3:$E$2298)+COUNTIF($E$3:E135,E135)-1,"")</f>
        <v/>
      </c>
      <c r="Q135" s="8"/>
      <c r="R135" s="64"/>
      <c r="Z135" s="8"/>
    </row>
    <row r="136" spans="4:26" x14ac:dyDescent="0.25">
      <c r="D136" s="36" t="str" cm="1">
        <f t="array" aca="1" ref="D136" ca="1">IFERROR(IF(INDIRECT("'"&amp;F136&amp;"'!$C$5")&gt;0,DATE(YEAR(Dashboard!$AL$2),Dashboard!$AU$4,INDIRECT("'"&amp;F136&amp;"'!$C$5")),""),"")</f>
        <v/>
      </c>
      <c r="E136" s="50" t="str" cm="1">
        <f t="array" aca="1" ref="E136" ca="1">IF(G136="Credit Accounts",IFERROR(IF(INDIRECT("'"&amp;F136&amp;"'!$C$8")&gt;0,INDIRECT("'"&amp;F136&amp;"'!$F$2"),""),""),"")</f>
        <v/>
      </c>
      <c r="F136" s="37" t="str" cm="1">
        <f t="array" ref="F136">IFERROR(INDEX(Sheet_Names,K136),"")</f>
        <v/>
      </c>
      <c r="G136" s="38" t="str" cm="1">
        <f t="array" aca="1" ref="G136" ca="1">IF(F136="",
    "",
    IFERROR(
        IF(INDIRECT("'"&amp;F136&amp;"'!$B$2")="Credit Limit",
            "Credit Accounts",
            IF(INDIRECT("'"&amp;F136&amp;"'!$E$2")="Location",
                "Cash Accounts",
                IF(INDIRECT("'"&amp;F136&amp;"'!$B$2")="Amount",
                    "Investments",
                    "Bill Accounts"
                )
            )
        ),
    "")
)</f>
        <v/>
      </c>
      <c r="H136" s="46" t="str" cm="1">
        <f t="array" aca="1" ref="H136" ca="1">IF(F136&lt;&gt;"",INDIRECT("'"&amp;F136&amp;"'!$C$10"),"")</f>
        <v/>
      </c>
      <c r="I136" s="46" t="str" cm="1">
        <f t="array" aca="1" ref="I136" ca="1">IF(F136&lt;&gt;"",IF(OR(G136="Bill Accounts",G136="Investments", G136="Cash Accounts"),INDIRECT("'"&amp;F136&amp;"'!$C$10"),INDIRECT("'"&amp;F136&amp;"'!$C$8")),"")</f>
        <v/>
      </c>
      <c r="J136" s="46" t="str" cm="1">
        <f t="array" aca="1" ref="J136" ca="1">IF(F136&lt;&gt;"",ABS(INDIRECT("'"&amp;F136&amp;"'!$I$2")),"")</f>
        <v/>
      </c>
      <c r="K136" s="48">
        <f t="shared" ref="K136:K199" si="9">SUM(K135+1)</f>
        <v>142</v>
      </c>
      <c r="L136" s="114" t="str" cm="1">
        <f t="array" aca="1" ref="L136" ca="1">IF(F136&lt;&gt;"",INDIRECT("'"&amp;F136&amp;"'!$F$17"),"")</f>
        <v/>
      </c>
      <c r="M136" s="116" t="str">
        <f t="shared" ca="1" si="7"/>
        <v/>
      </c>
      <c r="O136" s="49" t="str">
        <f t="shared" ca="1" si="8"/>
        <v/>
      </c>
      <c r="P136" s="38" t="str">
        <f ca="1">IF(E136&lt;&gt;"",RANK(E136,$E$3:$E$2298)+COUNTIF($E$3:E136,E136)-1,"")</f>
        <v/>
      </c>
      <c r="Q136" s="8"/>
      <c r="R136" s="64"/>
      <c r="Z136" s="8"/>
    </row>
    <row r="137" spans="4:26" x14ac:dyDescent="0.25">
      <c r="D137" s="36" t="str" cm="1">
        <f t="array" aca="1" ref="D137" ca="1">IFERROR(IF(INDIRECT("'"&amp;F137&amp;"'!$C$5")&gt;0,DATE(YEAR(Dashboard!$AL$2),Dashboard!$AU$4,INDIRECT("'"&amp;F137&amp;"'!$C$5")),""),"")</f>
        <v/>
      </c>
      <c r="E137" s="50" t="str" cm="1">
        <f t="array" aca="1" ref="E137" ca="1">IF(G137="Credit Accounts",IFERROR(IF(INDIRECT("'"&amp;F137&amp;"'!$C$8")&gt;0,INDIRECT("'"&amp;F137&amp;"'!$F$2"),""),""),"")</f>
        <v/>
      </c>
      <c r="F137" s="37" t="str" cm="1">
        <f t="array" ref="F137">IFERROR(INDEX(Sheet_Names,K137),"")</f>
        <v/>
      </c>
      <c r="G137" s="38" t="str" cm="1">
        <f t="array" aca="1" ref="G137" ca="1">IF(F137="",
    "",
    IFERROR(
        IF(INDIRECT("'"&amp;F137&amp;"'!$B$2")="Credit Limit",
            "Credit Accounts",
            IF(INDIRECT("'"&amp;F137&amp;"'!$E$2")="Location",
                "Cash Accounts",
                IF(INDIRECT("'"&amp;F137&amp;"'!$B$2")="Amount",
                    "Investments",
                    "Bill Accounts"
                )
            )
        ),
    "")
)</f>
        <v/>
      </c>
      <c r="H137" s="46" t="str" cm="1">
        <f t="array" aca="1" ref="H137" ca="1">IF(F137&lt;&gt;"",INDIRECT("'"&amp;F137&amp;"'!$C$10"),"")</f>
        <v/>
      </c>
      <c r="I137" s="46" t="str" cm="1">
        <f t="array" aca="1" ref="I137" ca="1">IF(F137&lt;&gt;"",IF(OR(G137="Bill Accounts",G137="Investments", G137="Cash Accounts"),INDIRECT("'"&amp;F137&amp;"'!$C$10"),INDIRECT("'"&amp;F137&amp;"'!$C$8")),"")</f>
        <v/>
      </c>
      <c r="J137" s="46" t="str" cm="1">
        <f t="array" aca="1" ref="J137" ca="1">IF(F137&lt;&gt;"",ABS(INDIRECT("'"&amp;F137&amp;"'!$I$2")),"")</f>
        <v/>
      </c>
      <c r="K137" s="48">
        <f t="shared" si="9"/>
        <v>143</v>
      </c>
      <c r="L137" s="114" t="str" cm="1">
        <f t="array" aca="1" ref="L137" ca="1">IF(F137&lt;&gt;"",INDIRECT("'"&amp;F137&amp;"'!$F$17"),"")</f>
        <v/>
      </c>
      <c r="M137" s="116" t="str">
        <f t="shared" ca="1" si="7"/>
        <v/>
      </c>
      <c r="O137" s="49" t="str">
        <f t="shared" ca="1" si="8"/>
        <v/>
      </c>
      <c r="P137" s="38" t="str">
        <f ca="1">IF(E137&lt;&gt;"",RANK(E137,$E$3:$E$2298)+COUNTIF($E$3:E137,E137)-1,"")</f>
        <v/>
      </c>
      <c r="Q137" s="8"/>
      <c r="R137" s="64"/>
      <c r="Z137" s="8"/>
    </row>
    <row r="138" spans="4:26" x14ac:dyDescent="0.25">
      <c r="D138" s="36" t="str" cm="1">
        <f t="array" aca="1" ref="D138" ca="1">IFERROR(IF(INDIRECT("'"&amp;F138&amp;"'!$C$5")&gt;0,DATE(YEAR(Dashboard!$AL$2),Dashboard!$AU$4,INDIRECT("'"&amp;F138&amp;"'!$C$5")),""),"")</f>
        <v/>
      </c>
      <c r="E138" s="50" t="str" cm="1">
        <f t="array" aca="1" ref="E138" ca="1">IF(G138="Credit Accounts",IFERROR(IF(INDIRECT("'"&amp;F138&amp;"'!$C$8")&gt;0,INDIRECT("'"&amp;F138&amp;"'!$F$2"),""),""),"")</f>
        <v/>
      </c>
      <c r="F138" s="37" t="str" cm="1">
        <f t="array" ref="F138">IFERROR(INDEX(Sheet_Names,K138),"")</f>
        <v/>
      </c>
      <c r="G138" s="38" t="str" cm="1">
        <f t="array" aca="1" ref="G138" ca="1">IF(F138="",
    "",
    IFERROR(
        IF(INDIRECT("'"&amp;F138&amp;"'!$B$2")="Credit Limit",
            "Credit Accounts",
            IF(INDIRECT("'"&amp;F138&amp;"'!$E$2")="Location",
                "Cash Accounts",
                IF(INDIRECT("'"&amp;F138&amp;"'!$B$2")="Amount",
                    "Investments",
                    "Bill Accounts"
                )
            )
        ),
    "")
)</f>
        <v/>
      </c>
      <c r="H138" s="46" t="str" cm="1">
        <f t="array" aca="1" ref="H138" ca="1">IF(F138&lt;&gt;"",INDIRECT("'"&amp;F138&amp;"'!$C$10"),"")</f>
        <v/>
      </c>
      <c r="I138" s="46" t="str" cm="1">
        <f t="array" aca="1" ref="I138" ca="1">IF(F138&lt;&gt;"",IF(OR(G138="Bill Accounts",G138="Investments", G138="Cash Accounts"),INDIRECT("'"&amp;F138&amp;"'!$C$10"),INDIRECT("'"&amp;F138&amp;"'!$C$8")),"")</f>
        <v/>
      </c>
      <c r="J138" s="46" t="str" cm="1">
        <f t="array" aca="1" ref="J138" ca="1">IF(F138&lt;&gt;"",ABS(INDIRECT("'"&amp;F138&amp;"'!$I$2")),"")</f>
        <v/>
      </c>
      <c r="K138" s="48">
        <f t="shared" si="9"/>
        <v>144</v>
      </c>
      <c r="L138" s="114" t="str" cm="1">
        <f t="array" aca="1" ref="L138" ca="1">IF(F138&lt;&gt;"",INDIRECT("'"&amp;F138&amp;"'!$F$17"),"")</f>
        <v/>
      </c>
      <c r="M138" s="116" t="str">
        <f t="shared" ca="1" si="7"/>
        <v/>
      </c>
      <c r="O138" s="49" t="str">
        <f t="shared" ca="1" si="8"/>
        <v/>
      </c>
      <c r="P138" s="38" t="str">
        <f ca="1">IF(E138&lt;&gt;"",RANK(E138,$E$3:$E$2298)+COUNTIF($E$3:E138,E138)-1,"")</f>
        <v/>
      </c>
      <c r="Q138" s="8"/>
      <c r="R138" s="64"/>
      <c r="Z138" s="8"/>
    </row>
    <row r="139" spans="4:26" x14ac:dyDescent="0.25">
      <c r="D139" s="36" t="str" cm="1">
        <f t="array" aca="1" ref="D139" ca="1">IFERROR(IF(INDIRECT("'"&amp;F139&amp;"'!$C$5")&gt;0,DATE(YEAR(Dashboard!$AL$2),Dashboard!$AU$4,INDIRECT("'"&amp;F139&amp;"'!$C$5")),""),"")</f>
        <v/>
      </c>
      <c r="E139" s="50" t="str" cm="1">
        <f t="array" aca="1" ref="E139" ca="1">IF(G139="Credit Accounts",IFERROR(IF(INDIRECT("'"&amp;F139&amp;"'!$C$8")&gt;0,INDIRECT("'"&amp;F139&amp;"'!$F$2"),""),""),"")</f>
        <v/>
      </c>
      <c r="F139" s="37" t="str" cm="1">
        <f t="array" ref="F139">IFERROR(INDEX(Sheet_Names,K139),"")</f>
        <v/>
      </c>
      <c r="G139" s="38" t="str" cm="1">
        <f t="array" aca="1" ref="G139" ca="1">IF(F139="",
    "",
    IFERROR(
        IF(INDIRECT("'"&amp;F139&amp;"'!$B$2")="Credit Limit",
            "Credit Accounts",
            IF(INDIRECT("'"&amp;F139&amp;"'!$E$2")="Location",
                "Cash Accounts",
                IF(INDIRECT("'"&amp;F139&amp;"'!$B$2")="Amount",
                    "Investments",
                    "Bill Accounts"
                )
            )
        ),
    "")
)</f>
        <v/>
      </c>
      <c r="H139" s="46" t="str" cm="1">
        <f t="array" aca="1" ref="H139" ca="1">IF(F139&lt;&gt;"",INDIRECT("'"&amp;F139&amp;"'!$C$10"),"")</f>
        <v/>
      </c>
      <c r="I139" s="46" t="str" cm="1">
        <f t="array" aca="1" ref="I139" ca="1">IF(F139&lt;&gt;"",IF(OR(G139="Bill Accounts",G139="Investments", G139="Cash Accounts"),INDIRECT("'"&amp;F139&amp;"'!$C$10"),INDIRECT("'"&amp;F139&amp;"'!$C$8")),"")</f>
        <v/>
      </c>
      <c r="J139" s="46" t="str" cm="1">
        <f t="array" aca="1" ref="J139" ca="1">IF(F139&lt;&gt;"",ABS(INDIRECT("'"&amp;F139&amp;"'!$I$2")),"")</f>
        <v/>
      </c>
      <c r="K139" s="48">
        <f t="shared" si="9"/>
        <v>145</v>
      </c>
      <c r="L139" s="114" t="str" cm="1">
        <f t="array" aca="1" ref="L139" ca="1">IF(F139&lt;&gt;"",INDIRECT("'"&amp;F139&amp;"'!$F$17"),"")</f>
        <v/>
      </c>
      <c r="M139" s="116" t="str">
        <f t="shared" ca="1" si="7"/>
        <v/>
      </c>
      <c r="O139" s="49" t="str">
        <f t="shared" ca="1" si="8"/>
        <v/>
      </c>
      <c r="P139" s="38" t="str">
        <f ca="1">IF(E139&lt;&gt;"",RANK(E139,$E$3:$E$2298)+COUNTIF($E$3:E139,E139)-1,"")</f>
        <v/>
      </c>
      <c r="Q139" s="8"/>
      <c r="R139" s="64"/>
      <c r="Z139" s="8"/>
    </row>
    <row r="140" spans="4:26" x14ac:dyDescent="0.25">
      <c r="D140" s="36" t="str" cm="1">
        <f t="array" aca="1" ref="D140" ca="1">IFERROR(IF(INDIRECT("'"&amp;F140&amp;"'!$C$5")&gt;0,DATE(YEAR(Dashboard!$AL$2),Dashboard!$AU$4,INDIRECT("'"&amp;F140&amp;"'!$C$5")),""),"")</f>
        <v/>
      </c>
      <c r="E140" s="50" t="str" cm="1">
        <f t="array" aca="1" ref="E140" ca="1">IF(G140="Credit Accounts",IFERROR(IF(INDIRECT("'"&amp;F140&amp;"'!$C$8")&gt;0,INDIRECT("'"&amp;F140&amp;"'!$F$2"),""),""),"")</f>
        <v/>
      </c>
      <c r="F140" s="37" t="str" cm="1">
        <f t="array" ref="F140">IFERROR(INDEX(Sheet_Names,K140),"")</f>
        <v/>
      </c>
      <c r="G140" s="38" t="str" cm="1">
        <f t="array" aca="1" ref="G140" ca="1">IF(F140="",
    "",
    IFERROR(
        IF(INDIRECT("'"&amp;F140&amp;"'!$B$2")="Credit Limit",
            "Credit Accounts",
            IF(INDIRECT("'"&amp;F140&amp;"'!$E$2")="Location",
                "Cash Accounts",
                IF(INDIRECT("'"&amp;F140&amp;"'!$B$2")="Amount",
                    "Investments",
                    "Bill Accounts"
                )
            )
        ),
    "")
)</f>
        <v/>
      </c>
      <c r="H140" s="46" t="str" cm="1">
        <f t="array" aca="1" ref="H140" ca="1">IF(F140&lt;&gt;"",INDIRECT("'"&amp;F140&amp;"'!$C$10"),"")</f>
        <v/>
      </c>
      <c r="I140" s="46" t="str" cm="1">
        <f t="array" aca="1" ref="I140" ca="1">IF(F140&lt;&gt;"",IF(OR(G140="Bill Accounts",G140="Investments", G140="Cash Accounts"),INDIRECT("'"&amp;F140&amp;"'!$C$10"),INDIRECT("'"&amp;F140&amp;"'!$C$8")),"")</f>
        <v/>
      </c>
      <c r="J140" s="46" t="str" cm="1">
        <f t="array" aca="1" ref="J140" ca="1">IF(F140&lt;&gt;"",ABS(INDIRECT("'"&amp;F140&amp;"'!$I$2")),"")</f>
        <v/>
      </c>
      <c r="K140" s="48">
        <f t="shared" si="9"/>
        <v>146</v>
      </c>
      <c r="L140" s="114" t="str" cm="1">
        <f t="array" aca="1" ref="L140" ca="1">IF(F140&lt;&gt;"",INDIRECT("'"&amp;F140&amp;"'!$F$17"),"")</f>
        <v/>
      </c>
      <c r="M140" s="116" t="str">
        <f t="shared" ca="1" si="7"/>
        <v/>
      </c>
      <c r="O140" s="49" t="str">
        <f t="shared" ca="1" si="8"/>
        <v/>
      </c>
      <c r="P140" s="38" t="str">
        <f ca="1">IF(E140&lt;&gt;"",RANK(E140,$E$3:$E$2298)+COUNTIF($E$3:E140,E140)-1,"")</f>
        <v/>
      </c>
      <c r="Q140" s="8"/>
      <c r="R140" s="64"/>
      <c r="Z140" s="8"/>
    </row>
    <row r="141" spans="4:26" x14ac:dyDescent="0.25">
      <c r="D141" s="36" t="str" cm="1">
        <f t="array" aca="1" ref="D141" ca="1">IFERROR(IF(INDIRECT("'"&amp;F141&amp;"'!$C$5")&gt;0,DATE(YEAR(Dashboard!$AL$2),Dashboard!$AU$4,INDIRECT("'"&amp;F141&amp;"'!$C$5")),""),"")</f>
        <v/>
      </c>
      <c r="E141" s="50" t="str" cm="1">
        <f t="array" aca="1" ref="E141" ca="1">IF(G141="Credit Accounts",IFERROR(IF(INDIRECT("'"&amp;F141&amp;"'!$C$8")&gt;0,INDIRECT("'"&amp;F141&amp;"'!$F$2"),""),""),"")</f>
        <v/>
      </c>
      <c r="F141" s="37" t="str" cm="1">
        <f t="array" ref="F141">IFERROR(INDEX(Sheet_Names,K141),"")</f>
        <v/>
      </c>
      <c r="G141" s="38" t="str" cm="1">
        <f t="array" aca="1" ref="G141" ca="1">IF(F141="",
    "",
    IFERROR(
        IF(INDIRECT("'"&amp;F141&amp;"'!$B$2")="Credit Limit",
            "Credit Accounts",
            IF(INDIRECT("'"&amp;F141&amp;"'!$E$2")="Location",
                "Cash Accounts",
                IF(INDIRECT("'"&amp;F141&amp;"'!$B$2")="Amount",
                    "Investments",
                    "Bill Accounts"
                )
            )
        ),
    "")
)</f>
        <v/>
      </c>
      <c r="H141" s="46" t="str" cm="1">
        <f t="array" aca="1" ref="H141" ca="1">IF(F141&lt;&gt;"",INDIRECT("'"&amp;F141&amp;"'!$C$10"),"")</f>
        <v/>
      </c>
      <c r="I141" s="46" t="str" cm="1">
        <f t="array" aca="1" ref="I141" ca="1">IF(F141&lt;&gt;"",IF(OR(G141="Bill Accounts",G141="Investments", G141="Cash Accounts"),INDIRECT("'"&amp;F141&amp;"'!$C$10"),INDIRECT("'"&amp;F141&amp;"'!$C$8")),"")</f>
        <v/>
      </c>
      <c r="J141" s="46" t="str" cm="1">
        <f t="array" aca="1" ref="J141" ca="1">IF(F141&lt;&gt;"",ABS(INDIRECT("'"&amp;F141&amp;"'!$I$2")),"")</f>
        <v/>
      </c>
      <c r="K141" s="48">
        <f t="shared" si="9"/>
        <v>147</v>
      </c>
      <c r="L141" s="114" t="str" cm="1">
        <f t="array" aca="1" ref="L141" ca="1">IF(F141&lt;&gt;"",INDIRECT("'"&amp;F141&amp;"'!$F$17"),"")</f>
        <v/>
      </c>
      <c r="M141" s="116" t="str">
        <f t="shared" ca="1" si="7"/>
        <v/>
      </c>
      <c r="O141" s="49" t="str">
        <f t="shared" ca="1" si="8"/>
        <v/>
      </c>
      <c r="P141" s="38" t="str">
        <f ca="1">IF(E141&lt;&gt;"",RANK(E141,$E$3:$E$2298)+COUNTIF($E$3:E141,E141)-1,"")</f>
        <v/>
      </c>
      <c r="Q141" s="8"/>
      <c r="R141" s="64"/>
      <c r="Z141" s="8"/>
    </row>
    <row r="142" spans="4:26" x14ac:dyDescent="0.25">
      <c r="D142" s="36" t="str" cm="1">
        <f t="array" aca="1" ref="D142" ca="1">IFERROR(IF(INDIRECT("'"&amp;F142&amp;"'!$C$5")&gt;0,DATE(YEAR(Dashboard!$AL$2),Dashboard!$AU$4,INDIRECT("'"&amp;F142&amp;"'!$C$5")),""),"")</f>
        <v/>
      </c>
      <c r="E142" s="50" t="str" cm="1">
        <f t="array" aca="1" ref="E142" ca="1">IF(G142="Credit Accounts",IFERROR(IF(INDIRECT("'"&amp;F142&amp;"'!$C$8")&gt;0,INDIRECT("'"&amp;F142&amp;"'!$F$2"),""),""),"")</f>
        <v/>
      </c>
      <c r="F142" s="37" t="str" cm="1">
        <f t="array" ref="F142">IFERROR(INDEX(Sheet_Names,K142),"")</f>
        <v/>
      </c>
      <c r="G142" s="38" t="str" cm="1">
        <f t="array" aca="1" ref="G142" ca="1">IF(F142="",
    "",
    IFERROR(
        IF(INDIRECT("'"&amp;F142&amp;"'!$B$2")="Credit Limit",
            "Credit Accounts",
            IF(INDIRECT("'"&amp;F142&amp;"'!$E$2")="Location",
                "Cash Accounts",
                IF(INDIRECT("'"&amp;F142&amp;"'!$B$2")="Amount",
                    "Investments",
                    "Bill Accounts"
                )
            )
        ),
    "")
)</f>
        <v/>
      </c>
      <c r="H142" s="46" t="str" cm="1">
        <f t="array" aca="1" ref="H142" ca="1">IF(F142&lt;&gt;"",INDIRECT("'"&amp;F142&amp;"'!$C$10"),"")</f>
        <v/>
      </c>
      <c r="I142" s="46" t="str" cm="1">
        <f t="array" aca="1" ref="I142" ca="1">IF(F142&lt;&gt;"",IF(OR(G142="Bill Accounts",G142="Investments", G142="Cash Accounts"),INDIRECT("'"&amp;F142&amp;"'!$C$10"),INDIRECT("'"&amp;F142&amp;"'!$C$8")),"")</f>
        <v/>
      </c>
      <c r="J142" s="46" t="str" cm="1">
        <f t="array" aca="1" ref="J142" ca="1">IF(F142&lt;&gt;"",ABS(INDIRECT("'"&amp;F142&amp;"'!$I$2")),"")</f>
        <v/>
      </c>
      <c r="K142" s="48">
        <f t="shared" si="9"/>
        <v>148</v>
      </c>
      <c r="L142" s="114" t="str" cm="1">
        <f t="array" aca="1" ref="L142" ca="1">IF(F142&lt;&gt;"",INDIRECT("'"&amp;F142&amp;"'!$F$17"),"")</f>
        <v/>
      </c>
      <c r="M142" s="116" t="str">
        <f t="shared" ca="1" si="7"/>
        <v/>
      </c>
      <c r="O142" s="49" t="str">
        <f t="shared" ca="1" si="8"/>
        <v/>
      </c>
      <c r="P142" s="38" t="str">
        <f ca="1">IF(E142&lt;&gt;"",RANK(E142,$E$3:$E$2298)+COUNTIF($E$3:E142,E142)-1,"")</f>
        <v/>
      </c>
      <c r="Q142" s="8"/>
      <c r="R142" s="64"/>
      <c r="Z142" s="8"/>
    </row>
    <row r="143" spans="4:26" x14ac:dyDescent="0.25">
      <c r="D143" s="36" t="str" cm="1">
        <f t="array" aca="1" ref="D143" ca="1">IFERROR(IF(INDIRECT("'"&amp;F143&amp;"'!$C$5")&gt;0,DATE(YEAR(Dashboard!$AL$2),Dashboard!$AU$4,INDIRECT("'"&amp;F143&amp;"'!$C$5")),""),"")</f>
        <v/>
      </c>
      <c r="E143" s="50" t="str" cm="1">
        <f t="array" aca="1" ref="E143" ca="1">IF(G143="Credit Accounts",IFERROR(IF(INDIRECT("'"&amp;F143&amp;"'!$C$8")&gt;0,INDIRECT("'"&amp;F143&amp;"'!$F$2"),""),""),"")</f>
        <v/>
      </c>
      <c r="F143" s="37" t="str" cm="1">
        <f t="array" ref="F143">IFERROR(INDEX(Sheet_Names,K143),"")</f>
        <v/>
      </c>
      <c r="G143" s="38" t="str" cm="1">
        <f t="array" aca="1" ref="G143" ca="1">IF(F143="",
    "",
    IFERROR(
        IF(INDIRECT("'"&amp;F143&amp;"'!$B$2")="Credit Limit",
            "Credit Accounts",
            IF(INDIRECT("'"&amp;F143&amp;"'!$E$2")="Location",
                "Cash Accounts",
                IF(INDIRECT("'"&amp;F143&amp;"'!$B$2")="Amount",
                    "Investments",
                    "Bill Accounts"
                )
            )
        ),
    "")
)</f>
        <v/>
      </c>
      <c r="H143" s="46" t="str" cm="1">
        <f t="array" aca="1" ref="H143" ca="1">IF(F143&lt;&gt;"",INDIRECT("'"&amp;F143&amp;"'!$C$10"),"")</f>
        <v/>
      </c>
      <c r="I143" s="46" t="str" cm="1">
        <f t="array" aca="1" ref="I143" ca="1">IF(F143&lt;&gt;"",IF(OR(G143="Bill Accounts",G143="Investments", G143="Cash Accounts"),INDIRECT("'"&amp;F143&amp;"'!$C$10"),INDIRECT("'"&amp;F143&amp;"'!$C$8")),"")</f>
        <v/>
      </c>
      <c r="J143" s="46" t="str" cm="1">
        <f t="array" aca="1" ref="J143" ca="1">IF(F143&lt;&gt;"",ABS(INDIRECT("'"&amp;F143&amp;"'!$I$2")),"")</f>
        <v/>
      </c>
      <c r="K143" s="48">
        <f t="shared" si="9"/>
        <v>149</v>
      </c>
      <c r="L143" s="114" t="str" cm="1">
        <f t="array" aca="1" ref="L143" ca="1">IF(F143&lt;&gt;"",INDIRECT("'"&amp;F143&amp;"'!$F$17"),"")</f>
        <v/>
      </c>
      <c r="M143" s="116" t="str">
        <f t="shared" ca="1" si="7"/>
        <v/>
      </c>
      <c r="O143" s="49" t="str">
        <f t="shared" ca="1" si="8"/>
        <v/>
      </c>
      <c r="P143" s="38" t="str">
        <f ca="1">IF(E143&lt;&gt;"",RANK(E143,$E$3:$E$2298)+COUNTIF($E$3:E143,E143)-1,"")</f>
        <v/>
      </c>
      <c r="Q143" s="8"/>
      <c r="R143" s="64"/>
      <c r="Z143" s="8"/>
    </row>
    <row r="144" spans="4:26" x14ac:dyDescent="0.25">
      <c r="D144" s="36" t="str" cm="1">
        <f t="array" aca="1" ref="D144" ca="1">IFERROR(IF(INDIRECT("'"&amp;F144&amp;"'!$C$5")&gt;0,DATE(YEAR(Dashboard!$AL$2),Dashboard!$AU$4,INDIRECT("'"&amp;F144&amp;"'!$C$5")),""),"")</f>
        <v/>
      </c>
      <c r="E144" s="50" t="str" cm="1">
        <f t="array" aca="1" ref="E144" ca="1">IF(G144="Credit Accounts",IFERROR(IF(INDIRECT("'"&amp;F144&amp;"'!$C$8")&gt;0,INDIRECT("'"&amp;F144&amp;"'!$F$2"),""),""),"")</f>
        <v/>
      </c>
      <c r="F144" s="37" t="str" cm="1">
        <f t="array" ref="F144">IFERROR(INDEX(Sheet_Names,K144),"")</f>
        <v/>
      </c>
      <c r="G144" s="38" t="str" cm="1">
        <f t="array" aca="1" ref="G144" ca="1">IF(F144="",
    "",
    IFERROR(
        IF(INDIRECT("'"&amp;F144&amp;"'!$B$2")="Credit Limit",
            "Credit Accounts",
            IF(INDIRECT("'"&amp;F144&amp;"'!$E$2")="Location",
                "Cash Accounts",
                IF(INDIRECT("'"&amp;F144&amp;"'!$B$2")="Amount",
                    "Investments",
                    "Bill Accounts"
                )
            )
        ),
    "")
)</f>
        <v/>
      </c>
      <c r="H144" s="46" t="str" cm="1">
        <f t="array" aca="1" ref="H144" ca="1">IF(F144&lt;&gt;"",INDIRECT("'"&amp;F144&amp;"'!$C$10"),"")</f>
        <v/>
      </c>
      <c r="I144" s="46" t="str" cm="1">
        <f t="array" aca="1" ref="I144" ca="1">IF(F144&lt;&gt;"",IF(OR(G144="Bill Accounts",G144="Investments", G144="Cash Accounts"),INDIRECT("'"&amp;F144&amp;"'!$C$10"),INDIRECT("'"&amp;F144&amp;"'!$C$8")),"")</f>
        <v/>
      </c>
      <c r="J144" s="46" t="str" cm="1">
        <f t="array" aca="1" ref="J144" ca="1">IF(F144&lt;&gt;"",ABS(INDIRECT("'"&amp;F144&amp;"'!$I$2")),"")</f>
        <v/>
      </c>
      <c r="K144" s="48">
        <f t="shared" si="9"/>
        <v>150</v>
      </c>
      <c r="L144" s="114" t="str" cm="1">
        <f t="array" aca="1" ref="L144" ca="1">IF(F144&lt;&gt;"",INDIRECT("'"&amp;F144&amp;"'!$F$17"),"")</f>
        <v/>
      </c>
      <c r="M144" s="116" t="str">
        <f t="shared" ca="1" si="7"/>
        <v/>
      </c>
      <c r="O144" s="49" t="str">
        <f t="shared" ca="1" si="8"/>
        <v/>
      </c>
      <c r="P144" s="38" t="str">
        <f ca="1">IF(E144&lt;&gt;"",RANK(E144,$E$3:$E$2298)+COUNTIF($E$3:E144,E144)-1,"")</f>
        <v/>
      </c>
      <c r="Q144" s="8"/>
      <c r="R144" s="64"/>
      <c r="Z144" s="8"/>
    </row>
    <row r="145" spans="4:26" x14ac:dyDescent="0.25">
      <c r="D145" s="36" t="str" cm="1">
        <f t="array" aca="1" ref="D145" ca="1">IFERROR(IF(INDIRECT("'"&amp;F145&amp;"'!$C$5")&gt;0,DATE(YEAR(Dashboard!$AL$2),Dashboard!$AU$4,INDIRECT("'"&amp;F145&amp;"'!$C$5")),""),"")</f>
        <v/>
      </c>
      <c r="E145" s="50" t="str" cm="1">
        <f t="array" aca="1" ref="E145" ca="1">IF(G145="Credit Accounts",IFERROR(IF(INDIRECT("'"&amp;F145&amp;"'!$C$8")&gt;0,INDIRECT("'"&amp;F145&amp;"'!$F$2"),""),""),"")</f>
        <v/>
      </c>
      <c r="F145" s="37" t="str" cm="1">
        <f t="array" ref="F145">IFERROR(INDEX(Sheet_Names,K145),"")</f>
        <v/>
      </c>
      <c r="G145" s="38" t="str" cm="1">
        <f t="array" aca="1" ref="G145" ca="1">IF(F145="",
    "",
    IFERROR(
        IF(INDIRECT("'"&amp;F145&amp;"'!$B$2")="Credit Limit",
            "Credit Accounts",
            IF(INDIRECT("'"&amp;F145&amp;"'!$E$2")="Location",
                "Cash Accounts",
                IF(INDIRECT("'"&amp;F145&amp;"'!$B$2")="Amount",
                    "Investments",
                    "Bill Accounts"
                )
            )
        ),
    "")
)</f>
        <v/>
      </c>
      <c r="H145" s="46" t="str" cm="1">
        <f t="array" aca="1" ref="H145" ca="1">IF(F145&lt;&gt;"",INDIRECT("'"&amp;F145&amp;"'!$C$10"),"")</f>
        <v/>
      </c>
      <c r="I145" s="46" t="str" cm="1">
        <f t="array" aca="1" ref="I145" ca="1">IF(F145&lt;&gt;"",IF(OR(G145="Bill Accounts",G145="Investments", G145="Cash Accounts"),INDIRECT("'"&amp;F145&amp;"'!$C$10"),INDIRECT("'"&amp;F145&amp;"'!$C$8")),"")</f>
        <v/>
      </c>
      <c r="J145" s="46" t="str" cm="1">
        <f t="array" aca="1" ref="J145" ca="1">IF(F145&lt;&gt;"",ABS(INDIRECT("'"&amp;F145&amp;"'!$I$2")),"")</f>
        <v/>
      </c>
      <c r="K145" s="48">
        <f t="shared" si="9"/>
        <v>151</v>
      </c>
      <c r="L145" s="114" t="str" cm="1">
        <f t="array" aca="1" ref="L145" ca="1">IF(F145&lt;&gt;"",INDIRECT("'"&amp;F145&amp;"'!$F$17"),"")</f>
        <v/>
      </c>
      <c r="M145" s="116" t="str">
        <f t="shared" ca="1" si="7"/>
        <v/>
      </c>
      <c r="O145" s="49" t="str">
        <f t="shared" ca="1" si="8"/>
        <v/>
      </c>
      <c r="P145" s="38" t="str">
        <f ca="1">IF(E145&lt;&gt;"",RANK(E145,$E$3:$E$2298)+COUNTIF($E$3:E145,E145)-1,"")</f>
        <v/>
      </c>
      <c r="Q145" s="8"/>
      <c r="R145" s="64"/>
      <c r="Z145" s="8"/>
    </row>
    <row r="146" spans="4:26" x14ac:dyDescent="0.25">
      <c r="D146" s="36" t="str" cm="1">
        <f t="array" aca="1" ref="D146" ca="1">IFERROR(IF(INDIRECT("'"&amp;F146&amp;"'!$C$5")&gt;0,DATE(YEAR(Dashboard!$AL$2),Dashboard!$AU$4,INDIRECT("'"&amp;F146&amp;"'!$C$5")),""),"")</f>
        <v/>
      </c>
      <c r="E146" s="50" t="str" cm="1">
        <f t="array" aca="1" ref="E146" ca="1">IF(G146="Credit Accounts",IFERROR(IF(INDIRECT("'"&amp;F146&amp;"'!$C$8")&gt;0,INDIRECT("'"&amp;F146&amp;"'!$F$2"),""),""),"")</f>
        <v/>
      </c>
      <c r="F146" s="37" t="str" cm="1">
        <f t="array" ref="F146">IFERROR(INDEX(Sheet_Names,K146),"")</f>
        <v/>
      </c>
      <c r="G146" s="38" t="str" cm="1">
        <f t="array" aca="1" ref="G146" ca="1">IF(F146="",
    "",
    IFERROR(
        IF(INDIRECT("'"&amp;F146&amp;"'!$B$2")="Credit Limit",
            "Credit Accounts",
            IF(INDIRECT("'"&amp;F146&amp;"'!$E$2")="Location",
                "Cash Accounts",
                IF(INDIRECT("'"&amp;F146&amp;"'!$B$2")="Amount",
                    "Investments",
                    "Bill Accounts"
                )
            )
        ),
    "")
)</f>
        <v/>
      </c>
      <c r="H146" s="46" t="str" cm="1">
        <f t="array" aca="1" ref="H146" ca="1">IF(F146&lt;&gt;"",INDIRECT("'"&amp;F146&amp;"'!$C$10"),"")</f>
        <v/>
      </c>
      <c r="I146" s="46" t="str" cm="1">
        <f t="array" aca="1" ref="I146" ca="1">IF(F146&lt;&gt;"",IF(OR(G146="Bill Accounts",G146="Investments", G146="Cash Accounts"),INDIRECT("'"&amp;F146&amp;"'!$C$10"),INDIRECT("'"&amp;F146&amp;"'!$C$8")),"")</f>
        <v/>
      </c>
      <c r="J146" s="46" t="str" cm="1">
        <f t="array" aca="1" ref="J146" ca="1">IF(F146&lt;&gt;"",ABS(INDIRECT("'"&amp;F146&amp;"'!$I$2")),"")</f>
        <v/>
      </c>
      <c r="K146" s="48">
        <f t="shared" si="9"/>
        <v>152</v>
      </c>
      <c r="L146" s="114" t="str" cm="1">
        <f t="array" aca="1" ref="L146" ca="1">IF(F146&lt;&gt;"",INDIRECT("'"&amp;F146&amp;"'!$F$17"),"")</f>
        <v/>
      </c>
      <c r="M146" s="116" t="str">
        <f t="shared" ca="1" si="7"/>
        <v/>
      </c>
      <c r="O146" s="49" t="str">
        <f t="shared" ca="1" si="8"/>
        <v/>
      </c>
      <c r="P146" s="38" t="str">
        <f ca="1">IF(E146&lt;&gt;"",RANK(E146,$E$3:$E$2298)+COUNTIF($E$3:E146,E146)-1,"")</f>
        <v/>
      </c>
      <c r="Q146" s="8"/>
      <c r="R146" s="64"/>
      <c r="Z146" s="8"/>
    </row>
    <row r="147" spans="4:26" x14ac:dyDescent="0.25">
      <c r="D147" s="36" t="str" cm="1">
        <f t="array" aca="1" ref="D147" ca="1">IFERROR(IF(INDIRECT("'"&amp;F147&amp;"'!$C$5")&gt;0,DATE(YEAR(Dashboard!$AL$2),Dashboard!$AU$4,INDIRECT("'"&amp;F147&amp;"'!$C$5")),""),"")</f>
        <v/>
      </c>
      <c r="E147" s="50" t="str" cm="1">
        <f t="array" aca="1" ref="E147" ca="1">IF(G147="Credit Accounts",IFERROR(IF(INDIRECT("'"&amp;F147&amp;"'!$C$8")&gt;0,INDIRECT("'"&amp;F147&amp;"'!$F$2"),""),""),"")</f>
        <v/>
      </c>
      <c r="F147" s="37" t="str" cm="1">
        <f t="array" ref="F147">IFERROR(INDEX(Sheet_Names,K147),"")</f>
        <v/>
      </c>
      <c r="G147" s="38" t="str" cm="1">
        <f t="array" aca="1" ref="G147" ca="1">IF(F147="",
    "",
    IFERROR(
        IF(INDIRECT("'"&amp;F147&amp;"'!$B$2")="Credit Limit",
            "Credit Accounts",
            IF(INDIRECT("'"&amp;F147&amp;"'!$E$2")="Location",
                "Cash Accounts",
                IF(INDIRECT("'"&amp;F147&amp;"'!$B$2")="Amount",
                    "Investments",
                    "Bill Accounts"
                )
            )
        ),
    "")
)</f>
        <v/>
      </c>
      <c r="H147" s="46" t="str" cm="1">
        <f t="array" aca="1" ref="H147" ca="1">IF(F147&lt;&gt;"",INDIRECT("'"&amp;F147&amp;"'!$C$10"),"")</f>
        <v/>
      </c>
      <c r="I147" s="46" t="str" cm="1">
        <f t="array" aca="1" ref="I147" ca="1">IF(F147&lt;&gt;"",IF(OR(G147="Bill Accounts",G147="Investments", G147="Cash Accounts"),INDIRECT("'"&amp;F147&amp;"'!$C$10"),INDIRECT("'"&amp;F147&amp;"'!$C$8")),"")</f>
        <v/>
      </c>
      <c r="J147" s="46" t="str" cm="1">
        <f t="array" aca="1" ref="J147" ca="1">IF(F147&lt;&gt;"",ABS(INDIRECT("'"&amp;F147&amp;"'!$I$2")),"")</f>
        <v/>
      </c>
      <c r="K147" s="48">
        <f t="shared" si="9"/>
        <v>153</v>
      </c>
      <c r="L147" s="114" t="str" cm="1">
        <f t="array" aca="1" ref="L147" ca="1">IF(F147&lt;&gt;"",INDIRECT("'"&amp;F147&amp;"'!$F$17"),"")</f>
        <v/>
      </c>
      <c r="M147" s="116" t="str">
        <f t="shared" ca="1" si="7"/>
        <v/>
      </c>
      <c r="O147" s="49" t="str">
        <f t="shared" ca="1" si="8"/>
        <v/>
      </c>
      <c r="P147" s="38" t="str">
        <f ca="1">IF(E147&lt;&gt;"",RANK(E147,$E$3:$E$2298)+COUNTIF($E$3:E147,E147)-1,"")</f>
        <v/>
      </c>
      <c r="Q147" s="8"/>
      <c r="R147" s="64"/>
      <c r="Z147" s="8"/>
    </row>
    <row r="148" spans="4:26" x14ac:dyDescent="0.25">
      <c r="D148" s="36" t="str" cm="1">
        <f t="array" aca="1" ref="D148" ca="1">IFERROR(IF(INDIRECT("'"&amp;F148&amp;"'!$C$5")&gt;0,DATE(YEAR(Dashboard!$AL$2),Dashboard!$AU$4,INDIRECT("'"&amp;F148&amp;"'!$C$5")),""),"")</f>
        <v/>
      </c>
      <c r="E148" s="50" t="str" cm="1">
        <f t="array" aca="1" ref="E148" ca="1">IF(G148="Credit Accounts",IFERROR(IF(INDIRECT("'"&amp;F148&amp;"'!$C$8")&gt;0,INDIRECT("'"&amp;F148&amp;"'!$F$2"),""),""),"")</f>
        <v/>
      </c>
      <c r="F148" s="37" t="str" cm="1">
        <f t="array" ref="F148">IFERROR(INDEX(Sheet_Names,K148),"")</f>
        <v/>
      </c>
      <c r="G148" s="38" t="str" cm="1">
        <f t="array" aca="1" ref="G148" ca="1">IF(F148="",
    "",
    IFERROR(
        IF(INDIRECT("'"&amp;F148&amp;"'!$B$2")="Credit Limit",
            "Credit Accounts",
            IF(INDIRECT("'"&amp;F148&amp;"'!$E$2")="Location",
                "Cash Accounts",
                IF(INDIRECT("'"&amp;F148&amp;"'!$B$2")="Amount",
                    "Investments",
                    "Bill Accounts"
                )
            )
        ),
    "")
)</f>
        <v/>
      </c>
      <c r="H148" s="46" t="str" cm="1">
        <f t="array" aca="1" ref="H148" ca="1">IF(F148&lt;&gt;"",INDIRECT("'"&amp;F148&amp;"'!$C$10"),"")</f>
        <v/>
      </c>
      <c r="I148" s="46" t="str" cm="1">
        <f t="array" aca="1" ref="I148" ca="1">IF(F148&lt;&gt;"",IF(OR(G148="Bill Accounts",G148="Investments", G148="Cash Accounts"),INDIRECT("'"&amp;F148&amp;"'!$C$10"),INDIRECT("'"&amp;F148&amp;"'!$C$8")),"")</f>
        <v/>
      </c>
      <c r="J148" s="46" t="str" cm="1">
        <f t="array" aca="1" ref="J148" ca="1">IF(F148&lt;&gt;"",ABS(INDIRECT("'"&amp;F148&amp;"'!$I$2")),"")</f>
        <v/>
      </c>
      <c r="K148" s="48">
        <f t="shared" si="9"/>
        <v>154</v>
      </c>
      <c r="L148" s="114" t="str" cm="1">
        <f t="array" aca="1" ref="L148" ca="1">IF(F148&lt;&gt;"",INDIRECT("'"&amp;F148&amp;"'!$F$17"),"")</f>
        <v/>
      </c>
      <c r="M148" s="116" t="str">
        <f t="shared" ca="1" si="7"/>
        <v/>
      </c>
      <c r="O148" s="49" t="str">
        <f t="shared" ca="1" si="8"/>
        <v/>
      </c>
      <c r="P148" s="38" t="str">
        <f ca="1">IF(E148&lt;&gt;"",RANK(E148,$E$3:$E$2298)+COUNTIF($E$3:E148,E148)-1,"")</f>
        <v/>
      </c>
      <c r="Q148" s="8"/>
      <c r="R148" s="64"/>
      <c r="Z148" s="8"/>
    </row>
    <row r="149" spans="4:26" x14ac:dyDescent="0.25">
      <c r="D149" s="36" t="str" cm="1">
        <f t="array" aca="1" ref="D149" ca="1">IFERROR(IF(INDIRECT("'"&amp;F149&amp;"'!$C$5")&gt;0,DATE(YEAR(Dashboard!$AL$2),Dashboard!$AU$4,INDIRECT("'"&amp;F149&amp;"'!$C$5")),""),"")</f>
        <v/>
      </c>
      <c r="E149" s="50" t="str" cm="1">
        <f t="array" aca="1" ref="E149" ca="1">IF(G149="Credit Accounts",IFERROR(IF(INDIRECT("'"&amp;F149&amp;"'!$C$8")&gt;0,INDIRECT("'"&amp;F149&amp;"'!$F$2"),""),""),"")</f>
        <v/>
      </c>
      <c r="F149" s="37" t="str" cm="1">
        <f t="array" ref="F149">IFERROR(INDEX(Sheet_Names,K149),"")</f>
        <v/>
      </c>
      <c r="G149" s="38" t="str" cm="1">
        <f t="array" aca="1" ref="G149" ca="1">IF(F149="",
    "",
    IFERROR(
        IF(INDIRECT("'"&amp;F149&amp;"'!$B$2")="Credit Limit",
            "Credit Accounts",
            IF(INDIRECT("'"&amp;F149&amp;"'!$E$2")="Location",
                "Cash Accounts",
                IF(INDIRECT("'"&amp;F149&amp;"'!$B$2")="Amount",
                    "Investments",
                    "Bill Accounts"
                )
            )
        ),
    "")
)</f>
        <v/>
      </c>
      <c r="H149" s="46" t="str" cm="1">
        <f t="array" aca="1" ref="H149" ca="1">IF(F149&lt;&gt;"",INDIRECT("'"&amp;F149&amp;"'!$C$10"),"")</f>
        <v/>
      </c>
      <c r="I149" s="46" t="str" cm="1">
        <f t="array" aca="1" ref="I149" ca="1">IF(F149&lt;&gt;"",IF(OR(G149="Bill Accounts",G149="Investments", G149="Cash Accounts"),INDIRECT("'"&amp;F149&amp;"'!$C$10"),INDIRECT("'"&amp;F149&amp;"'!$C$8")),"")</f>
        <v/>
      </c>
      <c r="J149" s="46" t="str" cm="1">
        <f t="array" aca="1" ref="J149" ca="1">IF(F149&lt;&gt;"",ABS(INDIRECT("'"&amp;F149&amp;"'!$I$2")),"")</f>
        <v/>
      </c>
      <c r="K149" s="48">
        <f t="shared" si="9"/>
        <v>155</v>
      </c>
      <c r="L149" s="114" t="str" cm="1">
        <f t="array" aca="1" ref="L149" ca="1">IF(F149&lt;&gt;"",INDIRECT("'"&amp;F149&amp;"'!$F$17"),"")</f>
        <v/>
      </c>
      <c r="M149" s="116" t="str">
        <f t="shared" ca="1" si="7"/>
        <v/>
      </c>
      <c r="O149" s="49" t="str">
        <f t="shared" ca="1" si="8"/>
        <v/>
      </c>
      <c r="P149" s="38" t="str">
        <f ca="1">IF(E149&lt;&gt;"",RANK(E149,$E$3:$E$2298)+COUNTIF($E$3:E149,E149)-1,"")</f>
        <v/>
      </c>
      <c r="Q149" s="8"/>
      <c r="R149" s="64"/>
      <c r="Z149" s="8"/>
    </row>
    <row r="150" spans="4:26" x14ac:dyDescent="0.25">
      <c r="D150" s="36" t="str" cm="1">
        <f t="array" aca="1" ref="D150" ca="1">IFERROR(IF(INDIRECT("'"&amp;F150&amp;"'!$C$5")&gt;0,DATE(YEAR(Dashboard!$AL$2),Dashboard!$AU$4,INDIRECT("'"&amp;F150&amp;"'!$C$5")),""),"")</f>
        <v/>
      </c>
      <c r="E150" s="50" t="str" cm="1">
        <f t="array" aca="1" ref="E150" ca="1">IF(G150="Credit Accounts",IFERROR(IF(INDIRECT("'"&amp;F150&amp;"'!$C$8")&gt;0,INDIRECT("'"&amp;F150&amp;"'!$F$2"),""),""),"")</f>
        <v/>
      </c>
      <c r="F150" s="37" t="str" cm="1">
        <f t="array" ref="F150">IFERROR(INDEX(Sheet_Names,K150),"")</f>
        <v/>
      </c>
      <c r="G150" s="38" t="str" cm="1">
        <f t="array" aca="1" ref="G150" ca="1">IF(F150="",
    "",
    IFERROR(
        IF(INDIRECT("'"&amp;F150&amp;"'!$B$2")="Credit Limit",
            "Credit Accounts",
            IF(INDIRECT("'"&amp;F150&amp;"'!$E$2")="Location",
                "Cash Accounts",
                IF(INDIRECT("'"&amp;F150&amp;"'!$B$2")="Amount",
                    "Investments",
                    "Bill Accounts"
                )
            )
        ),
    "")
)</f>
        <v/>
      </c>
      <c r="H150" s="46" t="str" cm="1">
        <f t="array" aca="1" ref="H150" ca="1">IF(F150&lt;&gt;"",INDIRECT("'"&amp;F150&amp;"'!$C$10"),"")</f>
        <v/>
      </c>
      <c r="I150" s="46" t="str" cm="1">
        <f t="array" aca="1" ref="I150" ca="1">IF(F150&lt;&gt;"",IF(OR(G150="Bill Accounts",G150="Investments", G150="Cash Accounts"),INDIRECT("'"&amp;F150&amp;"'!$C$10"),INDIRECT("'"&amp;F150&amp;"'!$C$8")),"")</f>
        <v/>
      </c>
      <c r="J150" s="46" t="str" cm="1">
        <f t="array" aca="1" ref="J150" ca="1">IF(F150&lt;&gt;"",ABS(INDIRECT("'"&amp;F150&amp;"'!$I$2")),"")</f>
        <v/>
      </c>
      <c r="K150" s="48">
        <f t="shared" si="9"/>
        <v>156</v>
      </c>
      <c r="L150" s="114" t="str" cm="1">
        <f t="array" aca="1" ref="L150" ca="1">IF(F150&lt;&gt;"",INDIRECT("'"&amp;F150&amp;"'!$F$17"),"")</f>
        <v/>
      </c>
      <c r="M150" s="116" t="str">
        <f t="shared" ca="1" si="7"/>
        <v/>
      </c>
      <c r="O150" s="49" t="str">
        <f t="shared" ca="1" si="8"/>
        <v/>
      </c>
      <c r="P150" s="38" t="str">
        <f ca="1">IF(E150&lt;&gt;"",RANK(E150,$E$3:$E$2298)+COUNTIF($E$3:E150,E150)-1,"")</f>
        <v/>
      </c>
      <c r="Q150" s="8"/>
      <c r="R150" s="64"/>
      <c r="Z150" s="8"/>
    </row>
    <row r="151" spans="4:26" x14ac:dyDescent="0.25">
      <c r="D151" s="36" t="str" cm="1">
        <f t="array" aca="1" ref="D151" ca="1">IFERROR(IF(INDIRECT("'"&amp;F151&amp;"'!$C$5")&gt;0,DATE(YEAR(Dashboard!$AL$2),Dashboard!$AU$4,INDIRECT("'"&amp;F151&amp;"'!$C$5")),""),"")</f>
        <v/>
      </c>
      <c r="E151" s="50" t="str" cm="1">
        <f t="array" aca="1" ref="E151" ca="1">IF(G151="Credit Accounts",IFERROR(IF(INDIRECT("'"&amp;F151&amp;"'!$C$8")&gt;0,INDIRECT("'"&amp;F151&amp;"'!$F$2"),""),""),"")</f>
        <v/>
      </c>
      <c r="F151" s="37" t="str" cm="1">
        <f t="array" ref="F151">IFERROR(INDEX(Sheet_Names,K151),"")</f>
        <v/>
      </c>
      <c r="G151" s="38" t="str" cm="1">
        <f t="array" aca="1" ref="G151" ca="1">IF(F151="",
    "",
    IFERROR(
        IF(INDIRECT("'"&amp;F151&amp;"'!$B$2")="Credit Limit",
            "Credit Accounts",
            IF(INDIRECT("'"&amp;F151&amp;"'!$E$2")="Location",
                "Cash Accounts",
                IF(INDIRECT("'"&amp;F151&amp;"'!$B$2")="Amount",
                    "Investments",
                    "Bill Accounts"
                )
            )
        ),
    "")
)</f>
        <v/>
      </c>
      <c r="H151" s="46" t="str" cm="1">
        <f t="array" aca="1" ref="H151" ca="1">IF(F151&lt;&gt;"",INDIRECT("'"&amp;F151&amp;"'!$C$10"),"")</f>
        <v/>
      </c>
      <c r="I151" s="46" t="str" cm="1">
        <f t="array" aca="1" ref="I151" ca="1">IF(F151&lt;&gt;"",IF(OR(G151="Bill Accounts",G151="Investments", G151="Cash Accounts"),INDIRECT("'"&amp;F151&amp;"'!$C$10"),INDIRECT("'"&amp;F151&amp;"'!$C$8")),"")</f>
        <v/>
      </c>
      <c r="J151" s="46" t="str" cm="1">
        <f t="array" aca="1" ref="J151" ca="1">IF(F151&lt;&gt;"",ABS(INDIRECT("'"&amp;F151&amp;"'!$I$2")),"")</f>
        <v/>
      </c>
      <c r="K151" s="48">
        <f t="shared" si="9"/>
        <v>157</v>
      </c>
      <c r="L151" s="114" t="str" cm="1">
        <f t="array" aca="1" ref="L151" ca="1">IF(F151&lt;&gt;"",INDIRECT("'"&amp;F151&amp;"'!$F$17"),"")</f>
        <v/>
      </c>
      <c r="M151" s="116" t="str">
        <f t="shared" ca="1" si="7"/>
        <v/>
      </c>
      <c r="O151" s="49" t="str">
        <f t="shared" ca="1" si="8"/>
        <v/>
      </c>
      <c r="P151" s="38" t="str">
        <f ca="1">IF(E151&lt;&gt;"",RANK(E151,$E$3:$E$2298)+COUNTIF($E$3:E151,E151)-1,"")</f>
        <v/>
      </c>
      <c r="Q151" s="8"/>
      <c r="R151" s="64"/>
      <c r="Z151" s="8"/>
    </row>
    <row r="152" spans="4:26" x14ac:dyDescent="0.25">
      <c r="D152" s="36" t="str" cm="1">
        <f t="array" aca="1" ref="D152" ca="1">IFERROR(IF(INDIRECT("'"&amp;F152&amp;"'!$C$5")&gt;0,DATE(YEAR(Dashboard!$AL$2),Dashboard!$AU$4,INDIRECT("'"&amp;F152&amp;"'!$C$5")),""),"")</f>
        <v/>
      </c>
      <c r="E152" s="50" t="str" cm="1">
        <f t="array" aca="1" ref="E152" ca="1">IF(G152="Credit Accounts",IFERROR(IF(INDIRECT("'"&amp;F152&amp;"'!$C$8")&gt;0,INDIRECT("'"&amp;F152&amp;"'!$F$2"),""),""),"")</f>
        <v/>
      </c>
      <c r="F152" s="37" t="str" cm="1">
        <f t="array" ref="F152">IFERROR(INDEX(Sheet_Names,K152),"")</f>
        <v/>
      </c>
      <c r="G152" s="38" t="str" cm="1">
        <f t="array" aca="1" ref="G152" ca="1">IF(F152="",
    "",
    IFERROR(
        IF(INDIRECT("'"&amp;F152&amp;"'!$B$2")="Credit Limit",
            "Credit Accounts",
            IF(INDIRECT("'"&amp;F152&amp;"'!$E$2")="Location",
                "Cash Accounts",
                IF(INDIRECT("'"&amp;F152&amp;"'!$B$2")="Amount",
                    "Investments",
                    "Bill Accounts"
                )
            )
        ),
    "")
)</f>
        <v/>
      </c>
      <c r="H152" s="46" t="str" cm="1">
        <f t="array" aca="1" ref="H152" ca="1">IF(F152&lt;&gt;"",INDIRECT("'"&amp;F152&amp;"'!$C$10"),"")</f>
        <v/>
      </c>
      <c r="I152" s="46" t="str" cm="1">
        <f t="array" aca="1" ref="I152" ca="1">IF(F152&lt;&gt;"",IF(OR(G152="Bill Accounts",G152="Investments", G152="Cash Accounts"),INDIRECT("'"&amp;F152&amp;"'!$C$10"),INDIRECT("'"&amp;F152&amp;"'!$C$8")),"")</f>
        <v/>
      </c>
      <c r="J152" s="46" t="str" cm="1">
        <f t="array" aca="1" ref="J152" ca="1">IF(F152&lt;&gt;"",ABS(INDIRECT("'"&amp;F152&amp;"'!$I$2")),"")</f>
        <v/>
      </c>
      <c r="K152" s="48">
        <f t="shared" si="9"/>
        <v>158</v>
      </c>
      <c r="L152" s="114" t="str" cm="1">
        <f t="array" aca="1" ref="L152" ca="1">IF(F152&lt;&gt;"",INDIRECT("'"&amp;F152&amp;"'!$F$17"),"")</f>
        <v/>
      </c>
      <c r="M152" s="116" t="str">
        <f t="shared" ca="1" si="7"/>
        <v/>
      </c>
      <c r="O152" s="49" t="str">
        <f t="shared" ca="1" si="8"/>
        <v/>
      </c>
      <c r="P152" s="38" t="str">
        <f ca="1">IF(E152&lt;&gt;"",RANK(E152,$E$3:$E$2298)+COUNTIF($E$3:E152,E152)-1,"")</f>
        <v/>
      </c>
      <c r="Q152" s="8"/>
      <c r="R152" s="64"/>
      <c r="Z152" s="8"/>
    </row>
    <row r="153" spans="4:26" x14ac:dyDescent="0.25">
      <c r="D153" s="36" t="str" cm="1">
        <f t="array" aca="1" ref="D153" ca="1">IFERROR(IF(INDIRECT("'"&amp;F153&amp;"'!$C$5")&gt;0,DATE(YEAR(Dashboard!$AL$2),Dashboard!$AU$4,INDIRECT("'"&amp;F153&amp;"'!$C$5")),""),"")</f>
        <v/>
      </c>
      <c r="G153" s="38" t="str" cm="1">
        <f t="array" aca="1" ref="G153" ca="1">IF(F153="",
    "",
    IFERROR(
        IF(INDIRECT("'"&amp;F153&amp;"'!$B$2")="Credit Limit",
            "Credit Accounts",
            IF(INDIRECT("'"&amp;F153&amp;"'!$E$2")="Location",
                "Cash Accounts",
                IF(INDIRECT("'"&amp;F153&amp;"'!$B$2")="Amount",
                    "Investments",
                    "Bill Accounts"
                )
            )
        ),
    "")
)</f>
        <v/>
      </c>
      <c r="I153" s="46" t="str" cm="1">
        <f t="array" aca="1" ref="I153" ca="1">IF(F153&lt;&gt;"",IF(OR(G153="Bill Accounts",G153="Investments", G153="Cash Accounts"),INDIRECT("'"&amp;F153&amp;"'!$C$10"),INDIRECT("'"&amp;F153&amp;"'!$C$8")),"")</f>
        <v/>
      </c>
      <c r="K153" s="48">
        <f t="shared" si="9"/>
        <v>159</v>
      </c>
      <c r="L153" s="114" t="str" cm="1">
        <f t="array" aca="1" ref="L153" ca="1">IF(F153&lt;&gt;"",INDIRECT("'"&amp;F153&amp;"'!$F$17"),"")</f>
        <v/>
      </c>
      <c r="M153" s="116" t="str">
        <f t="shared" ca="1" si="7"/>
        <v/>
      </c>
      <c r="O153" s="49" t="str">
        <f t="shared" ca="1" si="8"/>
        <v/>
      </c>
      <c r="P153" s="38" t="str">
        <f>IF(E153&lt;&gt;"",RANK(E153,$E$3:$E$2298)+COUNTIF($E$3:E153,E153)-1,"")</f>
        <v/>
      </c>
      <c r="Q153" s="8"/>
      <c r="R153" s="64"/>
      <c r="Z153" s="8"/>
    </row>
    <row r="154" spans="4:26" x14ac:dyDescent="0.25">
      <c r="D154" s="36" t="str" cm="1">
        <f t="array" aca="1" ref="D154" ca="1">IFERROR(IF(INDIRECT("'"&amp;F154&amp;"'!$C$5")&gt;0,DATE(YEAR(Dashboard!$AL$2),Dashboard!$AU$4,INDIRECT("'"&amp;F154&amp;"'!$C$5")),""),"")</f>
        <v/>
      </c>
      <c r="G154" s="38" t="str" cm="1">
        <f t="array" aca="1" ref="G154" ca="1">IF(F154="",
    "",
    IFERROR(
        IF(INDIRECT("'"&amp;F154&amp;"'!$B$2")="Credit Limit",
            "Credit Accounts",
            IF(INDIRECT("'"&amp;F154&amp;"'!$E$2")="Location",
                "Cash Accounts",
                IF(INDIRECT("'"&amp;F154&amp;"'!$B$2")="Amount",
                    "Investments",
                    "Bill Accounts"
                )
            )
        ),
    "")
)</f>
        <v/>
      </c>
      <c r="I154" s="46" t="str" cm="1">
        <f t="array" aca="1" ref="I154" ca="1">IF(F154&lt;&gt;"",IF(OR(G154="Bill Accounts",G154="Investments", G154="Cash Accounts"),INDIRECT("'"&amp;F154&amp;"'!$C$10"),INDIRECT("'"&amp;F154&amp;"'!$C$8")),"")</f>
        <v/>
      </c>
      <c r="K154" s="48">
        <f t="shared" si="9"/>
        <v>160</v>
      </c>
      <c r="L154" s="114" t="str" cm="1">
        <f t="array" aca="1" ref="L154" ca="1">IF(F154&lt;&gt;"",INDIRECT("'"&amp;F154&amp;"'!$F$17"),"")</f>
        <v/>
      </c>
      <c r="M154" s="116" t="str">
        <f t="shared" ca="1" si="7"/>
        <v/>
      </c>
      <c r="O154" s="49" t="str">
        <f t="shared" ca="1" si="8"/>
        <v/>
      </c>
      <c r="P154" s="38" t="str">
        <f>IF(E154&lt;&gt;"",RANK(E154,$E$3:$E$2298)+COUNTIF($E$3:E154,E154)-1,"")</f>
        <v/>
      </c>
      <c r="Q154" s="8"/>
      <c r="R154" s="64"/>
      <c r="Z154" s="8"/>
    </row>
    <row r="155" spans="4:26" x14ac:dyDescent="0.25">
      <c r="D155" s="36" t="str" cm="1">
        <f t="array" aca="1" ref="D155" ca="1">IFERROR(IF(INDIRECT("'"&amp;F155&amp;"'!$C$5")&gt;0,DATE(YEAR(Dashboard!$AL$2),Dashboard!$AU$4,INDIRECT("'"&amp;F155&amp;"'!$C$5")),""),"")</f>
        <v/>
      </c>
      <c r="G155" s="38" t="str" cm="1">
        <f t="array" aca="1" ref="G155" ca="1">IF(F155="",
    "",
    IFERROR(
        IF(INDIRECT("'"&amp;F155&amp;"'!$B$2")="Credit Limit",
            "Credit Accounts",
            IF(INDIRECT("'"&amp;F155&amp;"'!$E$2")="Location",
                "Cash Accounts",
                IF(INDIRECT("'"&amp;F155&amp;"'!$B$2")="Amount",
                    "Investments",
                    "Bill Accounts"
                )
            )
        ),
    "")
)</f>
        <v/>
      </c>
      <c r="I155" s="46" t="str" cm="1">
        <f t="array" aca="1" ref="I155" ca="1">IF(F155&lt;&gt;"",IF(OR(G155="Bill Accounts",G155="Investments", G155="Cash Accounts"),INDIRECT("'"&amp;F155&amp;"'!$C$10"),INDIRECT("'"&amp;F155&amp;"'!$C$8")),"")</f>
        <v/>
      </c>
      <c r="K155" s="48">
        <f t="shared" si="9"/>
        <v>161</v>
      </c>
      <c r="L155" s="114" t="str" cm="1">
        <f t="array" aca="1" ref="L155" ca="1">IF(F155&lt;&gt;"",INDIRECT("'"&amp;F155&amp;"'!$F$17"),"")</f>
        <v/>
      </c>
      <c r="M155" s="116" t="str">
        <f t="shared" ca="1" si="7"/>
        <v/>
      </c>
      <c r="O155" s="49" t="str">
        <f t="shared" ca="1" si="8"/>
        <v/>
      </c>
      <c r="P155" s="38" t="str">
        <f>IF(E155&lt;&gt;"",RANK(E155,$E$3:$E$2298)+COUNTIF($E$3:E155,E155)-1,"")</f>
        <v/>
      </c>
      <c r="Q155" s="8"/>
      <c r="R155" s="64"/>
      <c r="Z155" s="8"/>
    </row>
    <row r="156" spans="4:26" x14ac:dyDescent="0.25">
      <c r="D156" s="36" t="str" cm="1">
        <f t="array" aca="1" ref="D156" ca="1">IFERROR(IF(INDIRECT("'"&amp;F156&amp;"'!$C$5")&gt;0,DATE(YEAR(Dashboard!$AL$2),Dashboard!$AU$4,INDIRECT("'"&amp;F156&amp;"'!$C$5")),""),"")</f>
        <v/>
      </c>
      <c r="G156" s="38" t="str" cm="1">
        <f t="array" aca="1" ref="G156" ca="1">IF(F156="",
    "",
    IFERROR(
        IF(INDIRECT("'"&amp;F156&amp;"'!$B$2")="Credit Limit",
            "Credit Accounts",
            IF(INDIRECT("'"&amp;F156&amp;"'!$E$2")="Location",
                "Cash Accounts",
                IF(INDIRECT("'"&amp;F156&amp;"'!$B$2")="Amount",
                    "Investments",
                    "Bill Accounts"
                )
            )
        ),
    "")
)</f>
        <v/>
      </c>
      <c r="I156" s="46" t="str" cm="1">
        <f t="array" aca="1" ref="I156" ca="1">IF(F156&lt;&gt;"",IF(OR(G156="Bill Accounts",G156="Investments", G156="Cash Accounts"),INDIRECT("'"&amp;F156&amp;"'!$C$10"),INDIRECT("'"&amp;F156&amp;"'!$C$8")),"")</f>
        <v/>
      </c>
      <c r="K156" s="48">
        <f t="shared" si="9"/>
        <v>162</v>
      </c>
      <c r="L156" s="114" t="str" cm="1">
        <f t="array" aca="1" ref="L156" ca="1">IF(F156&lt;&gt;"",INDIRECT("'"&amp;F156&amp;"'!$F$17"),"")</f>
        <v/>
      </c>
      <c r="M156" s="116" t="str">
        <f t="shared" ca="1" si="7"/>
        <v/>
      </c>
      <c r="O156" s="49" t="str">
        <f t="shared" ca="1" si="8"/>
        <v/>
      </c>
      <c r="P156" s="38" t="str">
        <f>IF(E156&lt;&gt;"",RANK(E156,$E$3:$E$2298)+COUNTIF($E$3:E156,E156)-1,"")</f>
        <v/>
      </c>
      <c r="Q156" s="8"/>
      <c r="R156" s="64"/>
      <c r="Z156" s="8"/>
    </row>
    <row r="157" spans="4:26" x14ac:dyDescent="0.25">
      <c r="D157" s="36" t="str" cm="1">
        <f t="array" aca="1" ref="D157" ca="1">IFERROR(IF(INDIRECT("'"&amp;F157&amp;"'!$C$5")&gt;0,DATE(YEAR(Dashboard!$AL$2),Dashboard!$AU$4,INDIRECT("'"&amp;F157&amp;"'!$C$5")),""),"")</f>
        <v/>
      </c>
      <c r="G157" s="38" t="str" cm="1">
        <f t="array" aca="1" ref="G157" ca="1">IF(F157="",
    "",
    IFERROR(
        IF(INDIRECT("'"&amp;F157&amp;"'!$B$2")="Credit Limit",
            "Credit Accounts",
            IF(INDIRECT("'"&amp;F157&amp;"'!$E$2")="Location",
                "Cash Accounts",
                IF(INDIRECT("'"&amp;F157&amp;"'!$B$2")="Amount",
                    "Investments",
                    "Bill Accounts"
                )
            )
        ),
    "")
)</f>
        <v/>
      </c>
      <c r="I157" s="46" t="str" cm="1">
        <f t="array" aca="1" ref="I157" ca="1">IF(F157&lt;&gt;"",IF(OR(G157="Bill Accounts",G157="Investments", G157="Cash Accounts"),INDIRECT("'"&amp;F157&amp;"'!$C$10"),INDIRECT("'"&amp;F157&amp;"'!$C$8")),"")</f>
        <v/>
      </c>
      <c r="K157" s="48">
        <f t="shared" si="9"/>
        <v>163</v>
      </c>
      <c r="L157" s="114" t="str" cm="1">
        <f t="array" aca="1" ref="L157" ca="1">IF(F157&lt;&gt;"",INDIRECT("'"&amp;F157&amp;"'!$F$17"),"")</f>
        <v/>
      </c>
      <c r="M157" s="116" t="str">
        <f t="shared" ca="1" si="7"/>
        <v/>
      </c>
      <c r="O157" s="49" t="str">
        <f t="shared" ca="1" si="8"/>
        <v/>
      </c>
      <c r="P157" s="38" t="str">
        <f>IF(E157&lt;&gt;"",RANK(E157,$E$3:$E$2298)+COUNTIF($E$3:E157,E157)-1,"")</f>
        <v/>
      </c>
      <c r="Q157" s="8"/>
      <c r="R157" s="64"/>
      <c r="Z157" s="8"/>
    </row>
    <row r="158" spans="4:26" x14ac:dyDescent="0.25">
      <c r="D158" s="36" t="str" cm="1">
        <f t="array" aca="1" ref="D158" ca="1">IFERROR(IF(INDIRECT("'"&amp;F158&amp;"'!$C$5")&gt;0,DATE(YEAR(Dashboard!$AL$2),Dashboard!$AU$4,INDIRECT("'"&amp;F158&amp;"'!$C$5")),""),"")</f>
        <v/>
      </c>
      <c r="G158" s="38" t="str" cm="1">
        <f t="array" aca="1" ref="G158" ca="1">IF(F158="",
    "",
    IFERROR(
        IF(INDIRECT("'"&amp;F158&amp;"'!$B$2")="Credit Limit",
            "Credit Accounts",
            IF(INDIRECT("'"&amp;F158&amp;"'!$E$2")="Location",
                "Cash Accounts",
                IF(INDIRECT("'"&amp;F158&amp;"'!$B$2")="Amount",
                    "Investments",
                    "Bill Accounts"
                )
            )
        ),
    "")
)</f>
        <v/>
      </c>
      <c r="I158" s="46" t="str" cm="1">
        <f t="array" aca="1" ref="I158" ca="1">IF(F158&lt;&gt;"",IF(OR(G158="Bill Accounts",G158="Investments", G158="Cash Accounts"),INDIRECT("'"&amp;F158&amp;"'!$C$10"),INDIRECT("'"&amp;F158&amp;"'!$C$8")),"")</f>
        <v/>
      </c>
      <c r="K158" s="48">
        <f t="shared" si="9"/>
        <v>164</v>
      </c>
      <c r="L158" s="114" t="str" cm="1">
        <f t="array" aca="1" ref="L158" ca="1">IF(F158&lt;&gt;"",INDIRECT("'"&amp;F158&amp;"'!$F$17"),"")</f>
        <v/>
      </c>
      <c r="M158" s="116" t="str">
        <f t="shared" ca="1" si="7"/>
        <v/>
      </c>
      <c r="O158" s="49" t="str">
        <f t="shared" ca="1" si="8"/>
        <v/>
      </c>
      <c r="P158" s="38" t="str">
        <f>IF(E158&lt;&gt;"",RANK(E158,$E$3:$E$2298)+COUNTIF($E$3:E158,E158)-1,"")</f>
        <v/>
      </c>
      <c r="Q158" s="8"/>
      <c r="R158" s="64"/>
      <c r="Z158" s="8"/>
    </row>
    <row r="159" spans="4:26" x14ac:dyDescent="0.25">
      <c r="D159" s="36" t="str" cm="1">
        <f t="array" aca="1" ref="D159" ca="1">IFERROR(IF(INDIRECT("'"&amp;F159&amp;"'!$C$5")&gt;0,DATE(YEAR(Dashboard!$AL$2),Dashboard!$AU$4,INDIRECT("'"&amp;F159&amp;"'!$C$5")),""),"")</f>
        <v/>
      </c>
      <c r="G159" s="38" t="str" cm="1">
        <f t="array" aca="1" ref="G159" ca="1">IF(F159="",
    "",
    IFERROR(
        IF(INDIRECT("'"&amp;F159&amp;"'!$B$2")="Credit Limit",
            "Credit Accounts",
            IF(INDIRECT("'"&amp;F159&amp;"'!$E$2")="Location",
                "Cash Accounts",
                IF(INDIRECT("'"&amp;F159&amp;"'!$B$2")="Amount",
                    "Investments",
                    "Bill Accounts"
                )
            )
        ),
    "")
)</f>
        <v/>
      </c>
      <c r="I159" s="46" t="str" cm="1">
        <f t="array" aca="1" ref="I159" ca="1">IF(F159&lt;&gt;"",IF(OR(G159="Bill Accounts",G159="Investments", G159="Cash Accounts"),INDIRECT("'"&amp;F159&amp;"'!$C$10"),INDIRECT("'"&amp;F159&amp;"'!$C$8")),"")</f>
        <v/>
      </c>
      <c r="K159" s="48">
        <f t="shared" si="9"/>
        <v>165</v>
      </c>
      <c r="L159" s="114" t="str" cm="1">
        <f t="array" aca="1" ref="L159" ca="1">IF(F159&lt;&gt;"",INDIRECT("'"&amp;F159&amp;"'!$F$17"),"")</f>
        <v/>
      </c>
      <c r="M159" s="116" t="str">
        <f t="shared" ca="1" si="7"/>
        <v/>
      </c>
      <c r="O159" s="49" t="str">
        <f t="shared" ca="1" si="8"/>
        <v/>
      </c>
      <c r="P159" s="38" t="str">
        <f>IF(E159&lt;&gt;"",RANK(E159,$E$3:$E$2298)+COUNTIF($E$3:E159,E159)-1,"")</f>
        <v/>
      </c>
      <c r="Q159" s="8"/>
      <c r="R159" s="64"/>
      <c r="Z159" s="8"/>
    </row>
    <row r="160" spans="4:26" x14ac:dyDescent="0.25">
      <c r="D160" s="36" t="str" cm="1">
        <f t="array" aca="1" ref="D160" ca="1">IFERROR(IF(INDIRECT("'"&amp;F160&amp;"'!$C$5")&gt;0,DATE(YEAR(Dashboard!$AL$2),Dashboard!$AU$4,INDIRECT("'"&amp;F160&amp;"'!$C$5")),""),"")</f>
        <v/>
      </c>
      <c r="G160" s="38" t="str" cm="1">
        <f t="array" aca="1" ref="G160" ca="1">IF(F160="",
    "",
    IFERROR(
        IF(INDIRECT("'"&amp;F160&amp;"'!$B$2")="Credit Limit",
            "Credit Accounts",
            IF(INDIRECT("'"&amp;F160&amp;"'!$E$2")="Location",
                "Cash Accounts",
                IF(INDIRECT("'"&amp;F160&amp;"'!$B$2")="Amount",
                    "Investments",
                    "Bill Accounts"
                )
            )
        ),
    "")
)</f>
        <v/>
      </c>
      <c r="I160" s="46" t="str" cm="1">
        <f t="array" aca="1" ref="I160" ca="1">IF(F160&lt;&gt;"",IF(OR(G160="Bill Accounts",G160="Investments", G160="Cash Accounts"),INDIRECT("'"&amp;F160&amp;"'!$C$10"),INDIRECT("'"&amp;F160&amp;"'!$C$8")),"")</f>
        <v/>
      </c>
      <c r="K160" s="48">
        <f t="shared" si="9"/>
        <v>166</v>
      </c>
      <c r="L160" s="114" t="str" cm="1">
        <f t="array" aca="1" ref="L160" ca="1">IF(F160&lt;&gt;"",INDIRECT("'"&amp;F160&amp;"'!$F$17"),"")</f>
        <v/>
      </c>
      <c r="M160" s="116" t="str">
        <f t="shared" ca="1" si="7"/>
        <v/>
      </c>
      <c r="O160" s="49" t="str">
        <f t="shared" ca="1" si="8"/>
        <v/>
      </c>
      <c r="P160" s="38" t="str">
        <f>IF(E160&lt;&gt;"",RANK(E160,$E$3:$E$2298)+COUNTIF($E$3:E160,E160)-1,"")</f>
        <v/>
      </c>
      <c r="Q160" s="8"/>
      <c r="R160" s="64"/>
      <c r="Z160" s="8"/>
    </row>
    <row r="161" spans="4:26" x14ac:dyDescent="0.25">
      <c r="D161" s="36" t="str" cm="1">
        <f t="array" aca="1" ref="D161" ca="1">IFERROR(IF(INDIRECT("'"&amp;F161&amp;"'!$C$5")&gt;0,DATE(YEAR(Dashboard!$AL$2),Dashboard!$AU$4,INDIRECT("'"&amp;F161&amp;"'!$C$5")),""),"")</f>
        <v/>
      </c>
      <c r="G161" s="38" t="str" cm="1">
        <f t="array" aca="1" ref="G161" ca="1">IF(F161="",
    "",
    IFERROR(
        IF(INDIRECT("'"&amp;F161&amp;"'!$B$2")="Credit Limit",
            "Credit Accounts",
            IF(INDIRECT("'"&amp;F161&amp;"'!$E$2")="Location",
                "Cash Accounts",
                IF(INDIRECT("'"&amp;F161&amp;"'!$B$2")="Amount",
                    "Investments",
                    "Bill Accounts"
                )
            )
        ),
    "")
)</f>
        <v/>
      </c>
      <c r="I161" s="46" t="str" cm="1">
        <f t="array" aca="1" ref="I161" ca="1">IF(F161&lt;&gt;"",IF(OR(G161="Bill Accounts",G161="Investments", G161="Cash Accounts"),INDIRECT("'"&amp;F161&amp;"'!$C$10"),INDIRECT("'"&amp;F161&amp;"'!$C$8")),"")</f>
        <v/>
      </c>
      <c r="K161" s="48">
        <f t="shared" si="9"/>
        <v>167</v>
      </c>
      <c r="L161" s="114" t="str" cm="1">
        <f t="array" aca="1" ref="L161" ca="1">IF(F161&lt;&gt;"",INDIRECT("'"&amp;F161&amp;"'!$F$17"),"")</f>
        <v/>
      </c>
      <c r="M161" s="116" t="str">
        <f t="shared" ca="1" si="7"/>
        <v/>
      </c>
      <c r="O161" s="49" t="str">
        <f t="shared" ca="1" si="8"/>
        <v/>
      </c>
      <c r="P161" s="38" t="str">
        <f>IF(E161&lt;&gt;"",RANK(E161,$E$3:$E$2298)+COUNTIF($E$3:E161,E161)-1,"")</f>
        <v/>
      </c>
      <c r="Q161" s="8"/>
      <c r="R161" s="64"/>
      <c r="Z161" s="8"/>
    </row>
    <row r="162" spans="4:26" x14ac:dyDescent="0.25">
      <c r="D162" s="36" t="str" cm="1">
        <f t="array" aca="1" ref="D162" ca="1">IFERROR(IF(INDIRECT("'"&amp;F162&amp;"'!$C$5")&gt;0,DATE(YEAR(Dashboard!$AL$2),Dashboard!$AU$4,INDIRECT("'"&amp;F162&amp;"'!$C$5")),""),"")</f>
        <v/>
      </c>
      <c r="G162" s="38" t="str" cm="1">
        <f t="array" aca="1" ref="G162" ca="1">IF(F162="",
    "",
    IFERROR(
        IF(INDIRECT("'"&amp;F162&amp;"'!$B$2")="Credit Limit",
            "Credit Accounts",
            IF(INDIRECT("'"&amp;F162&amp;"'!$E$2")="Location",
                "Cash Accounts",
                IF(INDIRECT("'"&amp;F162&amp;"'!$B$2")="Amount",
                    "Investments",
                    "Bill Accounts"
                )
            )
        ),
    "")
)</f>
        <v/>
      </c>
      <c r="I162" s="46" t="str" cm="1">
        <f t="array" aca="1" ref="I162" ca="1">IF(F162&lt;&gt;"",IF(OR(G162="Bill Accounts",G162="Investments", G162="Cash Accounts"),INDIRECT("'"&amp;F162&amp;"'!$C$10"),INDIRECT("'"&amp;F162&amp;"'!$C$8")),"")</f>
        <v/>
      </c>
      <c r="K162" s="48">
        <f t="shared" si="9"/>
        <v>168</v>
      </c>
      <c r="L162" s="114" t="str" cm="1">
        <f t="array" aca="1" ref="L162" ca="1">IF(F162&lt;&gt;"",INDIRECT("'"&amp;F162&amp;"'!$F$17"),"")</f>
        <v/>
      </c>
      <c r="M162" s="116" t="str">
        <f t="shared" ca="1" si="7"/>
        <v/>
      </c>
      <c r="O162" s="49" t="str">
        <f t="shared" ca="1" si="8"/>
        <v/>
      </c>
      <c r="P162" s="38" t="str">
        <f>IF(E162&lt;&gt;"",RANK(E162,$E$3:$E$2298)+COUNTIF($E$3:E162,E162)-1,"")</f>
        <v/>
      </c>
      <c r="Q162" s="8"/>
      <c r="R162" s="64"/>
      <c r="Z162" s="8"/>
    </row>
    <row r="163" spans="4:26" x14ac:dyDescent="0.25">
      <c r="D163" s="36" t="str" cm="1">
        <f t="array" aca="1" ref="D163" ca="1">IFERROR(IF(INDIRECT("'"&amp;F163&amp;"'!$C$5")&gt;0,DATE(YEAR(Dashboard!$AL$2),Dashboard!$AU$4,INDIRECT("'"&amp;F163&amp;"'!$C$5")),""),"")</f>
        <v/>
      </c>
      <c r="G163" s="38" t="str" cm="1">
        <f t="array" aca="1" ref="G163" ca="1">IF(F163="",
    "",
    IFERROR(
        IF(INDIRECT("'"&amp;F163&amp;"'!$B$2")="Credit Limit",
            "Credit Accounts",
            IF(INDIRECT("'"&amp;F163&amp;"'!$E$2")="Location",
                "Cash Accounts",
                IF(INDIRECT("'"&amp;F163&amp;"'!$B$2")="Amount",
                    "Investments",
                    "Bill Accounts"
                )
            )
        ),
    "")
)</f>
        <v/>
      </c>
      <c r="I163" s="46" t="str" cm="1">
        <f t="array" aca="1" ref="I163" ca="1">IF(F163&lt;&gt;"",IF(OR(G163="Bill Accounts",G163="Investments", G163="Cash Accounts"),INDIRECT("'"&amp;F163&amp;"'!$C$10"),INDIRECT("'"&amp;F163&amp;"'!$C$8")),"")</f>
        <v/>
      </c>
      <c r="K163" s="48">
        <f t="shared" si="9"/>
        <v>169</v>
      </c>
      <c r="L163" s="114" t="str" cm="1">
        <f t="array" aca="1" ref="L163" ca="1">IF(F163&lt;&gt;"",INDIRECT("'"&amp;F163&amp;"'!$F$17"),"")</f>
        <v/>
      </c>
      <c r="M163" s="116" t="str">
        <f t="shared" ca="1" si="7"/>
        <v/>
      </c>
      <c r="O163" s="49" t="str">
        <f t="shared" ca="1" si="8"/>
        <v/>
      </c>
      <c r="P163" s="38" t="str">
        <f>IF(E163&lt;&gt;"",RANK(E163,$E$3:$E$2298)+COUNTIF($E$3:E163,E163)-1,"")</f>
        <v/>
      </c>
      <c r="Q163" s="8"/>
      <c r="R163" s="64"/>
      <c r="Z163" s="8"/>
    </row>
    <row r="164" spans="4:26" x14ac:dyDescent="0.25">
      <c r="D164" s="36" t="str" cm="1">
        <f t="array" aca="1" ref="D164" ca="1">IFERROR(IF(INDIRECT("'"&amp;F164&amp;"'!$C$5")&gt;0,DATE(YEAR(Dashboard!$AL$2),Dashboard!$AU$4,INDIRECT("'"&amp;F164&amp;"'!$C$5")),""),"")</f>
        <v/>
      </c>
      <c r="G164" s="38" t="str" cm="1">
        <f t="array" aca="1" ref="G164" ca="1">IF(F164="",
    "",
    IFERROR(
        IF(INDIRECT("'"&amp;F164&amp;"'!$B$2")="Credit Limit",
            "Credit Accounts",
            IF(INDIRECT("'"&amp;F164&amp;"'!$E$2")="Location",
                "Cash Accounts",
                IF(INDIRECT("'"&amp;F164&amp;"'!$B$2")="Amount",
                    "Investments",
                    "Bill Accounts"
                )
            )
        ),
    "")
)</f>
        <v/>
      </c>
      <c r="I164" s="46" t="str" cm="1">
        <f t="array" aca="1" ref="I164" ca="1">IF(F164&lt;&gt;"",IF(OR(G164="Bill Accounts",G164="Investments", G164="Cash Accounts"),INDIRECT("'"&amp;F164&amp;"'!$C$10"),INDIRECT("'"&amp;F164&amp;"'!$C$8")),"")</f>
        <v/>
      </c>
      <c r="K164" s="48">
        <f t="shared" si="9"/>
        <v>170</v>
      </c>
      <c r="L164" s="114" t="str" cm="1">
        <f t="array" aca="1" ref="L164" ca="1">IF(F164&lt;&gt;"",INDIRECT("'"&amp;F164&amp;"'!$F$17"),"")</f>
        <v/>
      </c>
      <c r="M164" s="116" t="str">
        <f t="shared" ca="1" si="7"/>
        <v/>
      </c>
      <c r="O164" s="49" t="str">
        <f t="shared" ca="1" si="8"/>
        <v/>
      </c>
      <c r="P164" s="38" t="str">
        <f>IF(E164&lt;&gt;"",RANK(E164,$E$3:$E$2298)+COUNTIF($E$3:E164,E164)-1,"")</f>
        <v/>
      </c>
      <c r="Q164" s="8"/>
      <c r="R164" s="64"/>
      <c r="Z164" s="8"/>
    </row>
    <row r="165" spans="4:26" x14ac:dyDescent="0.25">
      <c r="D165" s="36" t="str" cm="1">
        <f t="array" aca="1" ref="D165" ca="1">IFERROR(IF(INDIRECT("'"&amp;F165&amp;"'!$C$5")&gt;0,DATE(YEAR(Dashboard!$AL$2),Dashboard!$AU$4,INDIRECT("'"&amp;F165&amp;"'!$C$5")),""),"")</f>
        <v/>
      </c>
      <c r="G165" s="38" t="str" cm="1">
        <f t="array" aca="1" ref="G165" ca="1">IF(F165="",
    "",
    IFERROR(
        IF(INDIRECT("'"&amp;F165&amp;"'!$B$2")="Credit Limit",
            "Credit Accounts",
            IF(INDIRECT("'"&amp;F165&amp;"'!$E$2")="Location",
                "Cash Accounts",
                IF(INDIRECT("'"&amp;F165&amp;"'!$B$2")="Amount",
                    "Investments",
                    "Bill Accounts"
                )
            )
        ),
    "")
)</f>
        <v/>
      </c>
      <c r="I165" s="46" t="str" cm="1">
        <f t="array" aca="1" ref="I165" ca="1">IF(F165&lt;&gt;"",IF(OR(G165="Bill Accounts",G165="Investments", G165="Cash Accounts"),INDIRECT("'"&amp;F165&amp;"'!$C$10"),INDIRECT("'"&amp;F165&amp;"'!$C$8")),"")</f>
        <v/>
      </c>
      <c r="K165" s="48">
        <f t="shared" si="9"/>
        <v>171</v>
      </c>
      <c r="L165" s="114" t="str" cm="1">
        <f t="array" aca="1" ref="L165" ca="1">IF(F165&lt;&gt;"",INDIRECT("'"&amp;F165&amp;"'!$F$17"),"")</f>
        <v/>
      </c>
      <c r="M165" s="116" t="str">
        <f t="shared" ca="1" si="7"/>
        <v/>
      </c>
      <c r="O165" s="49" t="str">
        <f t="shared" ca="1" si="8"/>
        <v/>
      </c>
      <c r="P165" s="38" t="str">
        <f>IF(E165&lt;&gt;"",RANK(E165,$E$3:$E$2298)+COUNTIF($E$3:E165,E165)-1,"")</f>
        <v/>
      </c>
      <c r="Q165" s="8"/>
      <c r="R165" s="64"/>
      <c r="Z165" s="8"/>
    </row>
    <row r="166" spans="4:26" x14ac:dyDescent="0.25">
      <c r="D166" s="36" t="str" cm="1">
        <f t="array" aca="1" ref="D166" ca="1">IFERROR(IF(INDIRECT("'"&amp;F166&amp;"'!$C$5")&gt;0,DATE(YEAR(Dashboard!$AL$2),Dashboard!$AU$4,INDIRECT("'"&amp;F166&amp;"'!$C$5")),""),"")</f>
        <v/>
      </c>
      <c r="G166" s="38" t="str" cm="1">
        <f t="array" aca="1" ref="G166" ca="1">IF(F166="",
    "",
    IFERROR(
        IF(INDIRECT("'"&amp;F166&amp;"'!$B$2")="Credit Limit",
            "Credit Accounts",
            IF(INDIRECT("'"&amp;F166&amp;"'!$E$2")="Location",
                "Cash Accounts",
                IF(INDIRECT("'"&amp;F166&amp;"'!$B$2")="Amount",
                    "Investments",
                    "Bill Accounts"
                )
            )
        ),
    "")
)</f>
        <v/>
      </c>
      <c r="I166" s="46" t="str" cm="1">
        <f t="array" aca="1" ref="I166" ca="1">IF(F166&lt;&gt;"",IF(OR(G166="Bill Accounts",G166="Investments", G166="Cash Accounts"),INDIRECT("'"&amp;F166&amp;"'!$C$10"),INDIRECT("'"&amp;F166&amp;"'!$C$8")),"")</f>
        <v/>
      </c>
      <c r="K166" s="48">
        <f t="shared" si="9"/>
        <v>172</v>
      </c>
      <c r="L166" s="114" t="str" cm="1">
        <f t="array" aca="1" ref="L166" ca="1">IF(F166&lt;&gt;"",INDIRECT("'"&amp;F166&amp;"'!$F$17"),"")</f>
        <v/>
      </c>
      <c r="M166" s="116" t="str">
        <f t="shared" ca="1" si="7"/>
        <v/>
      </c>
      <c r="O166" s="49" t="str">
        <f t="shared" ca="1" si="8"/>
        <v/>
      </c>
      <c r="P166" s="38" t="str">
        <f>IF(E166&lt;&gt;"",RANK(E166,$E$3:$E$2298)+COUNTIF($E$3:E166,E166)-1,"")</f>
        <v/>
      </c>
      <c r="Q166" s="8"/>
      <c r="R166" s="64"/>
      <c r="Z166" s="8"/>
    </row>
    <row r="167" spans="4:26" x14ac:dyDescent="0.25">
      <c r="D167" s="36" t="str" cm="1">
        <f t="array" aca="1" ref="D167" ca="1">IFERROR(IF(INDIRECT("'"&amp;F167&amp;"'!$C$5")&gt;0,DATE(YEAR(Dashboard!$AL$2),Dashboard!$AU$4,INDIRECT("'"&amp;F167&amp;"'!$C$5")),""),"")</f>
        <v/>
      </c>
      <c r="G167" s="38" t="str" cm="1">
        <f t="array" aca="1" ref="G167" ca="1">IF(F167="",
    "",
    IFERROR(
        IF(INDIRECT("'"&amp;F167&amp;"'!$B$2")="Credit Limit",
            "Credit Accounts",
            IF(INDIRECT("'"&amp;F167&amp;"'!$E$2")="Location",
                "Cash Accounts",
                IF(INDIRECT("'"&amp;F167&amp;"'!$B$2")="Amount",
                    "Investments",
                    "Bill Accounts"
                )
            )
        ),
    "")
)</f>
        <v/>
      </c>
      <c r="I167" s="46" t="str" cm="1">
        <f t="array" aca="1" ref="I167" ca="1">IF(F167&lt;&gt;"",IF(OR(G167="Bill Accounts",G167="Investments", G167="Cash Accounts"),INDIRECT("'"&amp;F167&amp;"'!$C$10"),INDIRECT("'"&amp;F167&amp;"'!$C$8")),"")</f>
        <v/>
      </c>
      <c r="K167" s="48">
        <f t="shared" si="9"/>
        <v>173</v>
      </c>
      <c r="L167" s="114" t="str" cm="1">
        <f t="array" aca="1" ref="L167" ca="1">IF(F167&lt;&gt;"",INDIRECT("'"&amp;F167&amp;"'!$F$17"),"")</f>
        <v/>
      </c>
      <c r="M167" s="116" t="str">
        <f t="shared" ca="1" si="7"/>
        <v/>
      </c>
      <c r="O167" s="49" t="str">
        <f t="shared" ca="1" si="8"/>
        <v/>
      </c>
      <c r="P167" s="38" t="str">
        <f>IF(E167&lt;&gt;"",RANK(E167,$E$3:$E$2298)+COUNTIF($E$3:E167,E167)-1,"")</f>
        <v/>
      </c>
      <c r="Q167" s="8"/>
      <c r="R167" s="64"/>
      <c r="Z167" s="8"/>
    </row>
    <row r="168" spans="4:26" x14ac:dyDescent="0.25">
      <c r="D168" s="36" t="str" cm="1">
        <f t="array" aca="1" ref="D168" ca="1">IFERROR(IF(INDIRECT("'"&amp;F168&amp;"'!$C$5")&gt;0,DATE(YEAR(Dashboard!$AL$2),Dashboard!$AU$4,INDIRECT("'"&amp;F168&amp;"'!$C$5")),""),"")</f>
        <v/>
      </c>
      <c r="G168" s="38" t="str" cm="1">
        <f t="array" aca="1" ref="G168" ca="1">IF(F168="",
    "",
    IFERROR(
        IF(INDIRECT("'"&amp;F168&amp;"'!$B$2")="Credit Limit",
            "Credit Accounts",
            IF(INDIRECT("'"&amp;F168&amp;"'!$E$2")="Location",
                "Cash Accounts",
                IF(INDIRECT("'"&amp;F168&amp;"'!$B$2")="Amount",
                    "Investments",
                    "Bill Accounts"
                )
            )
        ),
    "")
)</f>
        <v/>
      </c>
      <c r="I168" s="46" t="str" cm="1">
        <f t="array" aca="1" ref="I168" ca="1">IF(F168&lt;&gt;"",IF(OR(G168="Bill Accounts",G168="Investments", G168="Cash Accounts"),INDIRECT("'"&amp;F168&amp;"'!$C$10"),INDIRECT("'"&amp;F168&amp;"'!$C$8")),"")</f>
        <v/>
      </c>
      <c r="K168" s="48">
        <f t="shared" si="9"/>
        <v>174</v>
      </c>
      <c r="L168" s="114" t="str" cm="1">
        <f t="array" aca="1" ref="L168" ca="1">IF(F168&lt;&gt;"",INDIRECT("'"&amp;F168&amp;"'!$F$17"),"")</f>
        <v/>
      </c>
      <c r="M168" s="116" t="str">
        <f t="shared" ca="1" si="7"/>
        <v/>
      </c>
      <c r="O168" s="49" t="str">
        <f t="shared" ca="1" si="8"/>
        <v/>
      </c>
      <c r="P168" s="38" t="str">
        <f>IF(E168&lt;&gt;"",RANK(E168,$E$3:$E$2298)+COUNTIF($E$3:E168,E168)-1,"")</f>
        <v/>
      </c>
      <c r="Q168" s="8"/>
      <c r="R168" s="64"/>
      <c r="Z168" s="8"/>
    </row>
    <row r="169" spans="4:26" x14ac:dyDescent="0.25">
      <c r="D169" s="36" t="str" cm="1">
        <f t="array" aca="1" ref="D169" ca="1">IFERROR(IF(INDIRECT("'"&amp;F169&amp;"'!$C$5")&gt;0,DATE(YEAR(Dashboard!$AL$2),Dashboard!$AU$4,INDIRECT("'"&amp;F169&amp;"'!$C$5")),""),"")</f>
        <v/>
      </c>
      <c r="G169" s="38" t="str" cm="1">
        <f t="array" aca="1" ref="G169" ca="1">IF(F169="",
    "",
    IFERROR(
        IF(INDIRECT("'"&amp;F169&amp;"'!$B$2")="Credit Limit",
            "Credit Accounts",
            IF(INDIRECT("'"&amp;F169&amp;"'!$E$2")="Location",
                "Cash Accounts",
                IF(INDIRECT("'"&amp;F169&amp;"'!$B$2")="Amount",
                    "Investments",
                    "Bill Accounts"
                )
            )
        ),
    "")
)</f>
        <v/>
      </c>
      <c r="I169" s="46" t="str" cm="1">
        <f t="array" aca="1" ref="I169" ca="1">IF(F169&lt;&gt;"",IF(OR(G169="Bill Accounts",G169="Investments", G169="Cash Accounts"),INDIRECT("'"&amp;F169&amp;"'!$C$10"),INDIRECT("'"&amp;F169&amp;"'!$C$8")),"")</f>
        <v/>
      </c>
      <c r="K169" s="48">
        <f t="shared" si="9"/>
        <v>175</v>
      </c>
      <c r="L169" s="114" t="str" cm="1">
        <f t="array" aca="1" ref="L169" ca="1">IF(F169&lt;&gt;"",INDIRECT("'"&amp;F169&amp;"'!$F$17"),"")</f>
        <v/>
      </c>
      <c r="M169" s="116" t="str">
        <f t="shared" ca="1" si="7"/>
        <v/>
      </c>
      <c r="O169" s="49" t="str">
        <f t="shared" ca="1" si="8"/>
        <v/>
      </c>
      <c r="P169" s="38" t="str">
        <f>IF(E169&lt;&gt;"",RANK(E169,$E$3:$E$2298)+COUNTIF($E$3:E169,E169)-1,"")</f>
        <v/>
      </c>
      <c r="Q169" s="8"/>
      <c r="R169" s="64"/>
      <c r="Z169" s="8"/>
    </row>
    <row r="170" spans="4:26" x14ac:dyDescent="0.25">
      <c r="D170" s="36" t="str" cm="1">
        <f t="array" aca="1" ref="D170" ca="1">IFERROR(IF(INDIRECT("'"&amp;F170&amp;"'!$C$5")&gt;0,DATE(YEAR(Dashboard!$AL$2),Dashboard!$AU$4,INDIRECT("'"&amp;F170&amp;"'!$C$5")),""),"")</f>
        <v/>
      </c>
      <c r="G170" s="38" t="str" cm="1">
        <f t="array" aca="1" ref="G170" ca="1">IF(F170="",
    "",
    IFERROR(
        IF(INDIRECT("'"&amp;F170&amp;"'!$B$2")="Credit Limit",
            "Credit Accounts",
            IF(INDIRECT("'"&amp;F170&amp;"'!$E$2")="Location",
                "Cash Accounts",
                IF(INDIRECT("'"&amp;F170&amp;"'!$B$2")="Amount",
                    "Investments",
                    "Bill Accounts"
                )
            )
        ),
    "")
)</f>
        <v/>
      </c>
      <c r="I170" s="46" t="str" cm="1">
        <f t="array" aca="1" ref="I170" ca="1">IF(F170&lt;&gt;"",IF(OR(G170="Bill Accounts",G170="Investments", G170="Cash Accounts"),INDIRECT("'"&amp;F170&amp;"'!$C$10"),INDIRECT("'"&amp;F170&amp;"'!$C$8")),"")</f>
        <v/>
      </c>
      <c r="K170" s="48">
        <f t="shared" si="9"/>
        <v>176</v>
      </c>
      <c r="L170" s="114" t="str" cm="1">
        <f t="array" aca="1" ref="L170" ca="1">IF(F170&lt;&gt;"",INDIRECT("'"&amp;F170&amp;"'!$F$17"),"")</f>
        <v/>
      </c>
      <c r="M170" s="116" t="str">
        <f t="shared" ca="1" si="7"/>
        <v/>
      </c>
      <c r="O170" s="49" t="str">
        <f t="shared" ca="1" si="8"/>
        <v/>
      </c>
      <c r="P170" s="38" t="str">
        <f>IF(E170&lt;&gt;"",RANK(E170,$E$3:$E$2298)+COUNTIF($E$3:E170,E170)-1,"")</f>
        <v/>
      </c>
      <c r="Q170" s="8"/>
      <c r="R170" s="64"/>
      <c r="Z170" s="8"/>
    </row>
    <row r="171" spans="4:26" x14ac:dyDescent="0.25">
      <c r="D171" s="36" t="str" cm="1">
        <f t="array" aca="1" ref="D171" ca="1">IFERROR(IF(INDIRECT("'"&amp;F171&amp;"'!$C$5")&gt;0,DATE(YEAR(Dashboard!$AL$2),Dashboard!$AU$4,INDIRECT("'"&amp;F171&amp;"'!$C$5")),""),"")</f>
        <v/>
      </c>
      <c r="G171" s="38" t="str" cm="1">
        <f t="array" aca="1" ref="G171" ca="1">IF(F171="",
    "",
    IFERROR(
        IF(INDIRECT("'"&amp;F171&amp;"'!$B$2")="Credit Limit",
            "Credit Accounts",
            IF(INDIRECT("'"&amp;F171&amp;"'!$E$2")="Location",
                "Cash Accounts",
                IF(INDIRECT("'"&amp;F171&amp;"'!$B$2")="Amount",
                    "Investments",
                    "Bill Accounts"
                )
            )
        ),
    "")
)</f>
        <v/>
      </c>
      <c r="I171" s="46" t="str" cm="1">
        <f t="array" aca="1" ref="I171" ca="1">IF(F171&lt;&gt;"",IF(OR(G171="Bill Accounts",G171="Investments", G171="Cash Accounts"),INDIRECT("'"&amp;F171&amp;"'!$C$10"),INDIRECT("'"&amp;F171&amp;"'!$C$8")),"")</f>
        <v/>
      </c>
      <c r="K171" s="48">
        <f t="shared" si="9"/>
        <v>177</v>
      </c>
      <c r="L171" s="114" t="str" cm="1">
        <f t="array" aca="1" ref="L171" ca="1">IF(F171&lt;&gt;"",INDIRECT("'"&amp;F171&amp;"'!$F$17"),"")</f>
        <v/>
      </c>
      <c r="M171" s="116" t="str">
        <f t="shared" ca="1" si="7"/>
        <v/>
      </c>
      <c r="O171" s="49" t="str">
        <f t="shared" ca="1" si="8"/>
        <v/>
      </c>
      <c r="P171" s="38" t="str">
        <f>IF(E171&lt;&gt;"",RANK(E171,$E$3:$E$2298)+COUNTIF($E$3:E171,E171)-1,"")</f>
        <v/>
      </c>
      <c r="Q171" s="8"/>
      <c r="R171" s="64"/>
      <c r="Z171" s="8"/>
    </row>
    <row r="172" spans="4:26" x14ac:dyDescent="0.25">
      <c r="D172" s="36" t="str" cm="1">
        <f t="array" aca="1" ref="D172" ca="1">IFERROR(IF(INDIRECT("'"&amp;F172&amp;"'!$C$5")&gt;0,DATE(YEAR(Dashboard!$AL$2),Dashboard!$AU$4,INDIRECT("'"&amp;F172&amp;"'!$C$5")),""),"")</f>
        <v/>
      </c>
      <c r="G172" s="38" t="str" cm="1">
        <f t="array" aca="1" ref="G172" ca="1">IF(F172="",
    "",
    IFERROR(
        IF(INDIRECT("'"&amp;F172&amp;"'!$B$2")="Credit Limit",
            "Credit Accounts",
            IF(INDIRECT("'"&amp;F172&amp;"'!$E$2")="Location",
                "Cash Accounts",
                IF(INDIRECT("'"&amp;F172&amp;"'!$B$2")="Amount",
                    "Investments",
                    "Bill Accounts"
                )
            )
        ),
    "")
)</f>
        <v/>
      </c>
      <c r="I172" s="46" t="str" cm="1">
        <f t="array" aca="1" ref="I172" ca="1">IF(F172&lt;&gt;"",IF(OR(G172="Bill Accounts",G172="Investments", G172="Cash Accounts"),INDIRECT("'"&amp;F172&amp;"'!$C$10"),INDIRECT("'"&amp;F172&amp;"'!$C$8")),"")</f>
        <v/>
      </c>
      <c r="K172" s="48">
        <f t="shared" si="9"/>
        <v>178</v>
      </c>
      <c r="L172" s="114" t="str" cm="1">
        <f t="array" aca="1" ref="L172" ca="1">IF(F172&lt;&gt;"",INDIRECT("'"&amp;F172&amp;"'!$F$17"),"")</f>
        <v/>
      </c>
      <c r="M172" s="116" t="str">
        <f t="shared" ca="1" si="7"/>
        <v/>
      </c>
      <c r="O172" s="49" t="str">
        <f t="shared" ca="1" si="8"/>
        <v/>
      </c>
      <c r="P172" s="38" t="str">
        <f>IF(E172&lt;&gt;"",RANK(E172,$E$3:$E$2298)+COUNTIF($E$3:E172,E172)-1,"")</f>
        <v/>
      </c>
      <c r="Q172" s="8"/>
      <c r="R172" s="64"/>
      <c r="Z172" s="8"/>
    </row>
    <row r="173" spans="4:26" x14ac:dyDescent="0.25">
      <c r="D173" s="36" t="str" cm="1">
        <f t="array" aca="1" ref="D173" ca="1">IFERROR(IF(INDIRECT("'"&amp;F173&amp;"'!$C$5")&gt;0,DATE(YEAR(Dashboard!$AL$2),Dashboard!$AU$4,INDIRECT("'"&amp;F173&amp;"'!$C$5")),""),"")</f>
        <v/>
      </c>
      <c r="G173" s="38" t="str" cm="1">
        <f t="array" aca="1" ref="G173" ca="1">IF(F173="",
    "",
    IFERROR(
        IF(INDIRECT("'"&amp;F173&amp;"'!$B$2")="Credit Limit",
            "Credit Accounts",
            IF(INDIRECT("'"&amp;F173&amp;"'!$E$2")="Location",
                "Cash Accounts",
                IF(INDIRECT("'"&amp;F173&amp;"'!$B$2")="Amount",
                    "Investments",
                    "Bill Accounts"
                )
            )
        ),
    "")
)</f>
        <v/>
      </c>
      <c r="I173" s="46" t="str" cm="1">
        <f t="array" aca="1" ref="I173" ca="1">IF(F173&lt;&gt;"",IF(OR(G173="Bill Accounts",G173="Investments", G173="Cash Accounts"),INDIRECT("'"&amp;F173&amp;"'!$C$10"),INDIRECT("'"&amp;F173&amp;"'!$C$8")),"")</f>
        <v/>
      </c>
      <c r="K173" s="48">
        <f t="shared" si="9"/>
        <v>179</v>
      </c>
      <c r="L173" s="114" t="str" cm="1">
        <f t="array" aca="1" ref="L173" ca="1">IF(F173&lt;&gt;"",INDIRECT("'"&amp;F173&amp;"'!$F$17"),"")</f>
        <v/>
      </c>
      <c r="M173" s="116" t="str">
        <f t="shared" ca="1" si="7"/>
        <v/>
      </c>
      <c r="O173" s="49" t="str">
        <f t="shared" ca="1" si="8"/>
        <v/>
      </c>
      <c r="P173" s="38" t="str">
        <f>IF(E173&lt;&gt;"",RANK(E173,$E$3:$E$2298)+COUNTIF($E$3:E173,E173)-1,"")</f>
        <v/>
      </c>
      <c r="Q173" s="8"/>
      <c r="R173" s="64"/>
      <c r="Z173" s="8"/>
    </row>
    <row r="174" spans="4:26" x14ac:dyDescent="0.25">
      <c r="D174" s="36" t="str" cm="1">
        <f t="array" aca="1" ref="D174" ca="1">IFERROR(IF(INDIRECT("'"&amp;F174&amp;"'!$C$5")&gt;0,DATE(YEAR(Dashboard!$AL$2),Dashboard!$AU$4,INDIRECT("'"&amp;F174&amp;"'!$C$5")),""),"")</f>
        <v/>
      </c>
      <c r="G174" s="38" t="str" cm="1">
        <f t="array" aca="1" ref="G174" ca="1">IF(F174="",
    "",
    IFERROR(
        IF(INDIRECT("'"&amp;F174&amp;"'!$B$2")="Credit Limit",
            "Credit Accounts",
            IF(INDIRECT("'"&amp;F174&amp;"'!$E$2")="Location",
                "Cash Accounts",
                IF(INDIRECT("'"&amp;F174&amp;"'!$B$2")="Amount",
                    "Investments",
                    "Bill Accounts"
                )
            )
        ),
    "")
)</f>
        <v/>
      </c>
      <c r="I174" s="46" t="str" cm="1">
        <f t="array" aca="1" ref="I174" ca="1">IF(F174&lt;&gt;"",IF(OR(G174="Bill Accounts",G174="Investments", G174="Cash Accounts"),INDIRECT("'"&amp;F174&amp;"'!$C$10"),INDIRECT("'"&amp;F174&amp;"'!$C$8")),"")</f>
        <v/>
      </c>
      <c r="K174" s="48">
        <f t="shared" si="9"/>
        <v>180</v>
      </c>
      <c r="L174" s="114" t="str" cm="1">
        <f t="array" aca="1" ref="L174" ca="1">IF(F174&lt;&gt;"",INDIRECT("'"&amp;F174&amp;"'!$F$17"),"")</f>
        <v/>
      </c>
      <c r="M174" s="116" t="str">
        <f t="shared" ca="1" si="7"/>
        <v/>
      </c>
      <c r="O174" s="49" t="str">
        <f t="shared" ca="1" si="8"/>
        <v/>
      </c>
      <c r="P174" s="38" t="str">
        <f>IF(E174&lt;&gt;"",RANK(E174,$E$3:$E$2298)+COUNTIF($E$3:E174,E174)-1,"")</f>
        <v/>
      </c>
      <c r="Q174" s="8"/>
      <c r="R174" s="64"/>
      <c r="Z174" s="8"/>
    </row>
    <row r="175" spans="4:26" x14ac:dyDescent="0.25">
      <c r="D175" s="36" t="str" cm="1">
        <f t="array" aca="1" ref="D175" ca="1">IFERROR(IF(INDIRECT("'"&amp;F175&amp;"'!$C$5")&gt;0,DATE(YEAR(Dashboard!$AL$2),Dashboard!$AU$4,INDIRECT("'"&amp;F175&amp;"'!$C$5")),""),"")</f>
        <v/>
      </c>
      <c r="G175" s="38" t="str" cm="1">
        <f t="array" aca="1" ref="G175" ca="1">IF(F175="",
    "",
    IFERROR(
        IF(INDIRECT("'"&amp;F175&amp;"'!$B$2")="Credit Limit",
            "Credit Accounts",
            IF(INDIRECT("'"&amp;F175&amp;"'!$E$2")="Location",
                "Cash Accounts",
                IF(INDIRECT("'"&amp;F175&amp;"'!$B$2")="Amount",
                    "Investments",
                    "Bill Accounts"
                )
            )
        ),
    "")
)</f>
        <v/>
      </c>
      <c r="I175" s="46" t="str" cm="1">
        <f t="array" aca="1" ref="I175" ca="1">IF(F175&lt;&gt;"",IF(OR(G175="Bill Accounts",G175="Investments", G175="Cash Accounts"),INDIRECT("'"&amp;F175&amp;"'!$C$10"),INDIRECT("'"&amp;F175&amp;"'!$C$8")),"")</f>
        <v/>
      </c>
      <c r="K175" s="48">
        <f t="shared" si="9"/>
        <v>181</v>
      </c>
      <c r="L175" s="114" t="str" cm="1">
        <f t="array" aca="1" ref="L175" ca="1">IF(F175&lt;&gt;"",INDIRECT("'"&amp;F175&amp;"'!$F$17"),"")</f>
        <v/>
      </c>
      <c r="M175" s="116" t="str">
        <f t="shared" ca="1" si="7"/>
        <v/>
      </c>
      <c r="O175" s="49" t="str">
        <f t="shared" ca="1" si="8"/>
        <v/>
      </c>
      <c r="P175" s="38" t="str">
        <f>IF(E175&lt;&gt;"",RANK(E175,$E$3:$E$2298)+COUNTIF($E$3:E175,E175)-1,"")</f>
        <v/>
      </c>
      <c r="Q175" s="8"/>
      <c r="R175" s="64"/>
      <c r="Z175" s="8"/>
    </row>
    <row r="176" spans="4:26" x14ac:dyDescent="0.25">
      <c r="D176" s="36" t="str" cm="1">
        <f t="array" aca="1" ref="D176" ca="1">IFERROR(IF(INDIRECT("'"&amp;F176&amp;"'!$C$5")&gt;0,DATE(YEAR(Dashboard!$AL$2),Dashboard!$AU$4,INDIRECT("'"&amp;F176&amp;"'!$C$5")),""),"")</f>
        <v/>
      </c>
      <c r="G176" s="38" t="str" cm="1">
        <f t="array" aca="1" ref="G176" ca="1">IF(F176="",
    "",
    IFERROR(
        IF(INDIRECT("'"&amp;F176&amp;"'!$B$2")="Credit Limit",
            "Credit Accounts",
            IF(INDIRECT("'"&amp;F176&amp;"'!$E$2")="Location",
                "Cash Accounts",
                IF(INDIRECT("'"&amp;F176&amp;"'!$B$2")="Amount",
                    "Investments",
                    "Bill Accounts"
                )
            )
        ),
    "")
)</f>
        <v/>
      </c>
      <c r="I176" s="46" t="str" cm="1">
        <f t="array" aca="1" ref="I176" ca="1">IF(F176&lt;&gt;"",IF(OR(G176="Bill Accounts",G176="Investments", G176="Cash Accounts"),INDIRECT("'"&amp;F176&amp;"'!$C$10"),INDIRECT("'"&amp;F176&amp;"'!$C$8")),"")</f>
        <v/>
      </c>
      <c r="K176" s="48">
        <f t="shared" si="9"/>
        <v>182</v>
      </c>
      <c r="L176" s="114" t="str" cm="1">
        <f t="array" aca="1" ref="L176" ca="1">IF(F176&lt;&gt;"",INDIRECT("'"&amp;F176&amp;"'!$F$17"),"")</f>
        <v/>
      </c>
      <c r="M176" s="116" t="str">
        <f t="shared" ca="1" si="7"/>
        <v/>
      </c>
      <c r="O176" s="49" t="str">
        <f t="shared" ca="1" si="8"/>
        <v/>
      </c>
      <c r="P176" s="38" t="str">
        <f>IF(E176&lt;&gt;"",RANK(E176,$E$3:$E$2298)+COUNTIF($E$3:E176,E176)-1,"")</f>
        <v/>
      </c>
      <c r="Q176" s="8"/>
      <c r="R176" s="64"/>
      <c r="Z176" s="8"/>
    </row>
    <row r="177" spans="4:26" x14ac:dyDescent="0.25">
      <c r="D177" s="36" t="str" cm="1">
        <f t="array" aca="1" ref="D177" ca="1">IFERROR(IF(INDIRECT("'"&amp;F177&amp;"'!$C$5")&gt;0,DATE(YEAR(Dashboard!$AL$2),Dashboard!$AU$4,INDIRECT("'"&amp;F177&amp;"'!$C$5")),""),"")</f>
        <v/>
      </c>
      <c r="G177" s="38" t="str" cm="1">
        <f t="array" aca="1" ref="G177" ca="1">IF(F177="",
    "",
    IFERROR(
        IF(INDIRECT("'"&amp;F177&amp;"'!$B$2")="Credit Limit",
            "Credit Accounts",
            IF(INDIRECT("'"&amp;F177&amp;"'!$E$2")="Location",
                "Cash Accounts",
                IF(INDIRECT("'"&amp;F177&amp;"'!$B$2")="Amount",
                    "Investments",
                    "Bill Accounts"
                )
            )
        ),
    "")
)</f>
        <v/>
      </c>
      <c r="I177" s="46" t="str" cm="1">
        <f t="array" aca="1" ref="I177" ca="1">IF(F177&lt;&gt;"",IF(OR(G177="Bill Accounts",G177="Investments", G177="Cash Accounts"),INDIRECT("'"&amp;F177&amp;"'!$C$10"),INDIRECT("'"&amp;F177&amp;"'!$C$8")),"")</f>
        <v/>
      </c>
      <c r="K177" s="48">
        <f t="shared" si="9"/>
        <v>183</v>
      </c>
      <c r="L177" s="114" t="str" cm="1">
        <f t="array" aca="1" ref="L177" ca="1">IF(F177&lt;&gt;"",INDIRECT("'"&amp;F177&amp;"'!$F$17"),"")</f>
        <v/>
      </c>
      <c r="M177" s="116" t="str">
        <f t="shared" ca="1" si="7"/>
        <v/>
      </c>
      <c r="O177" s="49" t="str">
        <f t="shared" ca="1" si="8"/>
        <v/>
      </c>
      <c r="P177" s="38" t="str">
        <f>IF(E177&lt;&gt;"",RANK(E177,$E$3:$E$2298)+COUNTIF($E$3:E177,E177)-1,"")</f>
        <v/>
      </c>
      <c r="Q177" s="8"/>
      <c r="R177" s="64"/>
      <c r="Z177" s="8"/>
    </row>
    <row r="178" spans="4:26" x14ac:dyDescent="0.25">
      <c r="D178" s="36" t="str" cm="1">
        <f t="array" aca="1" ref="D178" ca="1">IFERROR(IF(INDIRECT("'"&amp;F178&amp;"'!$C$5")&gt;0,DATE(YEAR(Dashboard!$AL$2),Dashboard!$AU$4,INDIRECT("'"&amp;F178&amp;"'!$C$5")),""),"")</f>
        <v/>
      </c>
      <c r="G178" s="38" t="str" cm="1">
        <f t="array" aca="1" ref="G178" ca="1">IF(F178="",
    "",
    IFERROR(
        IF(INDIRECT("'"&amp;F178&amp;"'!$B$2")="Credit Limit",
            "Credit Accounts",
            IF(INDIRECT("'"&amp;F178&amp;"'!$E$2")="Location",
                "Cash Accounts",
                IF(INDIRECT("'"&amp;F178&amp;"'!$B$2")="Amount",
                    "Investments",
                    "Bill Accounts"
                )
            )
        ),
    "")
)</f>
        <v/>
      </c>
      <c r="I178" s="46" t="str" cm="1">
        <f t="array" aca="1" ref="I178" ca="1">IF(F178&lt;&gt;"",IF(OR(G178="Bill Accounts",G178="Investments", G178="Cash Accounts"),INDIRECT("'"&amp;F178&amp;"'!$C$10"),INDIRECT("'"&amp;F178&amp;"'!$C$8")),"")</f>
        <v/>
      </c>
      <c r="K178" s="48">
        <f t="shared" si="9"/>
        <v>184</v>
      </c>
      <c r="L178" s="114" t="str" cm="1">
        <f t="array" aca="1" ref="L178" ca="1">IF(F178&lt;&gt;"",INDIRECT("'"&amp;F178&amp;"'!$F$17"),"")</f>
        <v/>
      </c>
      <c r="M178" s="116" t="str">
        <f t="shared" ca="1" si="7"/>
        <v/>
      </c>
      <c r="O178" s="49" t="str">
        <f t="shared" ca="1" si="8"/>
        <v/>
      </c>
      <c r="P178" s="38" t="str">
        <f>IF(E178&lt;&gt;"",RANK(E178,$E$3:$E$2298)+COUNTIF($E$3:E178,E178)-1,"")</f>
        <v/>
      </c>
      <c r="Q178" s="8"/>
      <c r="R178" s="64"/>
      <c r="Z178" s="8"/>
    </row>
    <row r="179" spans="4:26" x14ac:dyDescent="0.25">
      <c r="D179" s="36" t="str" cm="1">
        <f t="array" aca="1" ref="D179" ca="1">IFERROR(IF(INDIRECT("'"&amp;F179&amp;"'!$C$5")&gt;0,DATE(YEAR(Dashboard!$AL$2),Dashboard!$AU$4,INDIRECT("'"&amp;F179&amp;"'!$C$5")),""),"")</f>
        <v/>
      </c>
      <c r="G179" s="38" t="str" cm="1">
        <f t="array" aca="1" ref="G179" ca="1">IF(F179="",
    "",
    IFERROR(
        IF(INDIRECT("'"&amp;F179&amp;"'!$B$2")="Credit Limit",
            "Credit Accounts",
            IF(INDIRECT("'"&amp;F179&amp;"'!$E$2")="Location",
                "Cash Accounts",
                IF(INDIRECT("'"&amp;F179&amp;"'!$B$2")="Amount",
                    "Investments",
                    "Bill Accounts"
                )
            )
        ),
    "")
)</f>
        <v/>
      </c>
      <c r="I179" s="46" t="str" cm="1">
        <f t="array" aca="1" ref="I179" ca="1">IF(F179&lt;&gt;"",IF(OR(G179="Bill Accounts",G179="Investments", G179="Cash Accounts"),INDIRECT("'"&amp;F179&amp;"'!$C$10"),INDIRECT("'"&amp;F179&amp;"'!$C$8")),"")</f>
        <v/>
      </c>
      <c r="K179" s="48">
        <f t="shared" si="9"/>
        <v>185</v>
      </c>
      <c r="L179" s="114" t="str" cm="1">
        <f t="array" aca="1" ref="L179" ca="1">IF(F179&lt;&gt;"",INDIRECT("'"&amp;F179&amp;"'!$F$17"),"")</f>
        <v/>
      </c>
      <c r="M179" s="116" t="str">
        <f t="shared" ca="1" si="7"/>
        <v/>
      </c>
      <c r="O179" s="49" t="str">
        <f t="shared" ca="1" si="8"/>
        <v/>
      </c>
      <c r="P179" s="38" t="str">
        <f>IF(E179&lt;&gt;"",RANK(E179,$E$3:$E$2298)+COUNTIF($E$3:E179,E179)-1,"")</f>
        <v/>
      </c>
      <c r="Q179" s="8"/>
      <c r="R179" s="64"/>
      <c r="Z179" s="8"/>
    </row>
    <row r="180" spans="4:26" x14ac:dyDescent="0.25">
      <c r="D180" s="36" t="str" cm="1">
        <f t="array" aca="1" ref="D180" ca="1">IFERROR(IF(INDIRECT("'"&amp;F180&amp;"'!$C$5")&gt;0,DATE(YEAR(Dashboard!$AL$2),Dashboard!$AU$4,INDIRECT("'"&amp;F180&amp;"'!$C$5")),""),"")</f>
        <v/>
      </c>
      <c r="G180" s="38" t="str" cm="1">
        <f t="array" aca="1" ref="G180" ca="1">IF(F180="",
    "",
    IFERROR(
        IF(INDIRECT("'"&amp;F180&amp;"'!$B$2")="Credit Limit",
            "Credit Accounts",
            IF(INDIRECT("'"&amp;F180&amp;"'!$E$2")="Location",
                "Cash Accounts",
                IF(INDIRECT("'"&amp;F180&amp;"'!$B$2")="Amount",
                    "Investments",
                    "Bill Accounts"
                )
            )
        ),
    "")
)</f>
        <v/>
      </c>
      <c r="I180" s="46" t="str" cm="1">
        <f t="array" aca="1" ref="I180" ca="1">IF(F180&lt;&gt;"",IF(OR(G180="Bill Accounts",G180="Investments", G180="Cash Accounts"),INDIRECT("'"&amp;F180&amp;"'!$C$10"),INDIRECT("'"&amp;F180&amp;"'!$C$8")),"")</f>
        <v/>
      </c>
      <c r="K180" s="48">
        <f t="shared" si="9"/>
        <v>186</v>
      </c>
      <c r="L180" s="114" t="str" cm="1">
        <f t="array" aca="1" ref="L180" ca="1">IF(F180&lt;&gt;"",INDIRECT("'"&amp;F180&amp;"'!$F$17"),"")</f>
        <v/>
      </c>
      <c r="M180" s="116" t="str">
        <f t="shared" ca="1" si="7"/>
        <v/>
      </c>
      <c r="O180" s="49" t="str">
        <f t="shared" ca="1" si="8"/>
        <v/>
      </c>
      <c r="P180" s="38" t="str">
        <f>IF(E180&lt;&gt;"",RANK(E180,$E$3:$E$2298)+COUNTIF($E$3:E180,E180)-1,"")</f>
        <v/>
      </c>
      <c r="Q180" s="8"/>
      <c r="R180" s="64"/>
      <c r="Z180" s="8"/>
    </row>
    <row r="181" spans="4:26" x14ac:dyDescent="0.25">
      <c r="D181" s="36" t="str" cm="1">
        <f t="array" aca="1" ref="D181" ca="1">IFERROR(IF(INDIRECT("'"&amp;F181&amp;"'!$C$5")&gt;0,DATE(YEAR(Dashboard!$AL$2),Dashboard!$AU$4,INDIRECT("'"&amp;F181&amp;"'!$C$5")),""),"")</f>
        <v/>
      </c>
      <c r="G181" s="38" t="str" cm="1">
        <f t="array" aca="1" ref="G181" ca="1">IF(F181="",
    "",
    IFERROR(
        IF(INDIRECT("'"&amp;F181&amp;"'!$B$2")="Credit Limit",
            "Credit Accounts",
            IF(INDIRECT("'"&amp;F181&amp;"'!$E$2")="Location",
                "Cash Accounts",
                IF(INDIRECT("'"&amp;F181&amp;"'!$B$2")="Amount",
                    "Investments",
                    "Bill Accounts"
                )
            )
        ),
    "")
)</f>
        <v/>
      </c>
      <c r="I181" s="46" t="str" cm="1">
        <f t="array" aca="1" ref="I181" ca="1">IF(F181&lt;&gt;"",IF(OR(G181="Bill Accounts",G181="Investments", G181="Cash Accounts"),INDIRECT("'"&amp;F181&amp;"'!$C$10"),INDIRECT("'"&amp;F181&amp;"'!$C$8")),"")</f>
        <v/>
      </c>
      <c r="K181" s="48">
        <f t="shared" si="9"/>
        <v>187</v>
      </c>
      <c r="L181" s="114" t="str" cm="1">
        <f t="array" aca="1" ref="L181" ca="1">IF(F181&lt;&gt;"",INDIRECT("'"&amp;F181&amp;"'!$F$17"),"")</f>
        <v/>
      </c>
      <c r="M181" s="116" t="str">
        <f t="shared" ca="1" si="7"/>
        <v/>
      </c>
      <c r="O181" s="49" t="str">
        <f t="shared" ca="1" si="8"/>
        <v/>
      </c>
      <c r="P181" s="38" t="str">
        <f>IF(E181&lt;&gt;"",RANK(E181,$E$3:$E$2298)+COUNTIF($E$3:E181,E181)-1,"")</f>
        <v/>
      </c>
      <c r="Q181" s="8"/>
      <c r="R181" s="64"/>
      <c r="Z181" s="8"/>
    </row>
    <row r="182" spans="4:26" x14ac:dyDescent="0.25">
      <c r="D182" s="36" t="str" cm="1">
        <f t="array" aca="1" ref="D182" ca="1">IFERROR(IF(INDIRECT("'"&amp;F182&amp;"'!$C$5")&gt;0,DATE(YEAR(Dashboard!$AL$2),Dashboard!$AU$4,INDIRECT("'"&amp;F182&amp;"'!$C$5")),""),"")</f>
        <v/>
      </c>
      <c r="G182" s="38" t="str" cm="1">
        <f t="array" aca="1" ref="G182" ca="1">IF(F182="",
    "",
    IFERROR(
        IF(INDIRECT("'"&amp;F182&amp;"'!$B$2")="Credit Limit",
            "Credit Accounts",
            IF(INDIRECT("'"&amp;F182&amp;"'!$E$2")="Location",
                "Cash Accounts",
                IF(INDIRECT("'"&amp;F182&amp;"'!$B$2")="Amount",
                    "Investments",
                    "Bill Accounts"
                )
            )
        ),
    "")
)</f>
        <v/>
      </c>
      <c r="I182" s="46" t="str" cm="1">
        <f t="array" aca="1" ref="I182" ca="1">IF(F182&lt;&gt;"",IF(OR(G182="Bill Accounts",G182="Investments", G182="Cash Accounts"),INDIRECT("'"&amp;F182&amp;"'!$C$10"),INDIRECT("'"&amp;F182&amp;"'!$C$8")),"")</f>
        <v/>
      </c>
      <c r="K182" s="48">
        <f t="shared" si="9"/>
        <v>188</v>
      </c>
      <c r="L182" s="114" t="str" cm="1">
        <f t="array" aca="1" ref="L182" ca="1">IF(F182&lt;&gt;"",INDIRECT("'"&amp;F182&amp;"'!$F$17"),"")</f>
        <v/>
      </c>
      <c r="M182" s="116" t="str">
        <f t="shared" ca="1" si="7"/>
        <v/>
      </c>
      <c r="O182" s="49" t="str">
        <f t="shared" ca="1" si="8"/>
        <v/>
      </c>
      <c r="P182" s="38" t="str">
        <f>IF(E182&lt;&gt;"",RANK(E182,$E$3:$E$2298)+COUNTIF($E$3:E182,E182)-1,"")</f>
        <v/>
      </c>
      <c r="Q182" s="8"/>
      <c r="R182" s="64"/>
      <c r="Z182" s="8"/>
    </row>
    <row r="183" spans="4:26" x14ac:dyDescent="0.25">
      <c r="D183" s="36" t="str" cm="1">
        <f t="array" aca="1" ref="D183" ca="1">IFERROR(IF(INDIRECT("'"&amp;F183&amp;"'!$C$5")&gt;0,DATE(YEAR(Dashboard!$AL$2),Dashboard!$AU$4,INDIRECT("'"&amp;F183&amp;"'!$C$5")),""),"")</f>
        <v/>
      </c>
      <c r="G183" s="38" t="str" cm="1">
        <f t="array" aca="1" ref="G183" ca="1">IF(F183="",
    "",
    IFERROR(
        IF(INDIRECT("'"&amp;F183&amp;"'!$B$2")="Credit Limit",
            "Credit Accounts",
            IF(INDIRECT("'"&amp;F183&amp;"'!$E$2")="Location",
                "Cash Accounts",
                IF(INDIRECT("'"&amp;F183&amp;"'!$B$2")="Amount",
                    "Investments",
                    "Bill Accounts"
                )
            )
        ),
    "")
)</f>
        <v/>
      </c>
      <c r="I183" s="46" t="str" cm="1">
        <f t="array" aca="1" ref="I183" ca="1">IF(F183&lt;&gt;"",IF(OR(G183="Bill Accounts",G183="Investments", G183="Cash Accounts"),INDIRECT("'"&amp;F183&amp;"'!$C$10"),INDIRECT("'"&amp;F183&amp;"'!$C$8")),"")</f>
        <v/>
      </c>
      <c r="K183" s="48">
        <f t="shared" si="9"/>
        <v>189</v>
      </c>
      <c r="L183" s="114" t="str" cm="1">
        <f t="array" aca="1" ref="L183" ca="1">IF(F183&lt;&gt;"",INDIRECT("'"&amp;F183&amp;"'!$F$17"),"")</f>
        <v/>
      </c>
      <c r="M183" s="116" t="str">
        <f t="shared" ca="1" si="7"/>
        <v/>
      </c>
      <c r="O183" s="49" t="str">
        <f t="shared" ca="1" si="8"/>
        <v/>
      </c>
      <c r="P183" s="38" t="str">
        <f>IF(E183&lt;&gt;"",RANK(E183,$E$3:$E$2298)+COUNTIF($E$3:E183,E183)-1,"")</f>
        <v/>
      </c>
      <c r="Q183" s="8"/>
      <c r="R183" s="64"/>
      <c r="Z183" s="8"/>
    </row>
    <row r="184" spans="4:26" x14ac:dyDescent="0.25">
      <c r="D184" s="36" t="str" cm="1">
        <f t="array" aca="1" ref="D184" ca="1">IFERROR(IF(INDIRECT("'"&amp;F184&amp;"'!$C$5")&gt;0,DATE(YEAR(Dashboard!$AL$2),Dashboard!$AU$4,INDIRECT("'"&amp;F184&amp;"'!$C$5")),""),"")</f>
        <v/>
      </c>
      <c r="G184" s="38" t="str" cm="1">
        <f t="array" aca="1" ref="G184" ca="1">IF(F184="",
    "",
    IFERROR(
        IF(INDIRECT("'"&amp;F184&amp;"'!$B$2")="Credit Limit",
            "Credit Accounts",
            IF(INDIRECT("'"&amp;F184&amp;"'!$E$2")="Location",
                "Cash Accounts",
                IF(INDIRECT("'"&amp;F184&amp;"'!$B$2")="Amount",
                    "Investments",
                    "Bill Accounts"
                )
            )
        ),
    "")
)</f>
        <v/>
      </c>
      <c r="I184" s="46" t="str" cm="1">
        <f t="array" aca="1" ref="I184" ca="1">IF(F184&lt;&gt;"",IF(OR(G184="Bill Accounts",G184="Investments", G184="Cash Accounts"),INDIRECT("'"&amp;F184&amp;"'!$C$10"),INDIRECT("'"&amp;F184&amp;"'!$C$8")),"")</f>
        <v/>
      </c>
      <c r="K184" s="48">
        <f t="shared" si="9"/>
        <v>190</v>
      </c>
      <c r="L184" s="114" t="str" cm="1">
        <f t="array" aca="1" ref="L184" ca="1">IF(F184&lt;&gt;"",INDIRECT("'"&amp;F184&amp;"'!$F$17"),"")</f>
        <v/>
      </c>
      <c r="M184" s="116" t="str">
        <f t="shared" ca="1" si="7"/>
        <v/>
      </c>
      <c r="O184" s="49" t="str">
        <f t="shared" ca="1" si="8"/>
        <v/>
      </c>
      <c r="P184" s="38" t="str">
        <f>IF(E184&lt;&gt;"",RANK(E184,$E$3:$E$2298)+COUNTIF($E$3:E184,E184)-1,"")</f>
        <v/>
      </c>
      <c r="Q184" s="8"/>
      <c r="R184" s="64"/>
      <c r="Z184" s="8"/>
    </row>
    <row r="185" spans="4:26" x14ac:dyDescent="0.25">
      <c r="D185" s="36" t="str" cm="1">
        <f t="array" aca="1" ref="D185" ca="1">IFERROR(IF(INDIRECT("'"&amp;F185&amp;"'!$C$5")&gt;0,DATE(YEAR(Dashboard!$AL$2),Dashboard!$AU$4,INDIRECT("'"&amp;F185&amp;"'!$C$5")),""),"")</f>
        <v/>
      </c>
      <c r="G185" s="38" t="str" cm="1">
        <f t="array" aca="1" ref="G185" ca="1">IF(F185="",
    "",
    IFERROR(
        IF(INDIRECT("'"&amp;F185&amp;"'!$B$2")="Credit Limit",
            "Credit Accounts",
            IF(INDIRECT("'"&amp;F185&amp;"'!$E$2")="Location",
                "Cash Accounts",
                IF(INDIRECT("'"&amp;F185&amp;"'!$B$2")="Amount",
                    "Investments",
                    "Bill Accounts"
                )
            )
        ),
    "")
)</f>
        <v/>
      </c>
      <c r="I185" s="46" t="str" cm="1">
        <f t="array" aca="1" ref="I185" ca="1">IF(F185&lt;&gt;"",IF(OR(G185="Bill Accounts",G185="Investments", G185="Cash Accounts"),INDIRECT("'"&amp;F185&amp;"'!$C$10"),INDIRECT("'"&amp;F185&amp;"'!$C$8")),"")</f>
        <v/>
      </c>
      <c r="K185" s="48">
        <f t="shared" si="9"/>
        <v>191</v>
      </c>
      <c r="L185" s="114" t="str" cm="1">
        <f t="array" aca="1" ref="L185" ca="1">IF(F185&lt;&gt;"",INDIRECT("'"&amp;F185&amp;"'!$F$17"),"")</f>
        <v/>
      </c>
      <c r="M185" s="116" t="str">
        <f t="shared" ca="1" si="7"/>
        <v/>
      </c>
      <c r="O185" s="49" t="str">
        <f t="shared" ca="1" si="8"/>
        <v/>
      </c>
      <c r="P185" s="38" t="str">
        <f>IF(E185&lt;&gt;"",RANK(E185,$E$3:$E$2298)+COUNTIF($E$3:E185,E185)-1,"")</f>
        <v/>
      </c>
      <c r="Q185" s="8"/>
      <c r="R185" s="64"/>
      <c r="Z185" s="8"/>
    </row>
    <row r="186" spans="4:26" x14ac:dyDescent="0.25">
      <c r="D186" s="36" t="str" cm="1">
        <f t="array" aca="1" ref="D186" ca="1">IFERROR(IF(INDIRECT("'"&amp;F186&amp;"'!$C$5")&gt;0,DATE(YEAR(Dashboard!$AL$2),Dashboard!$AU$4,INDIRECT("'"&amp;F186&amp;"'!$C$5")),""),"")</f>
        <v/>
      </c>
      <c r="G186" s="38" t="str" cm="1">
        <f t="array" aca="1" ref="G186" ca="1">IF(F186="",
    "",
    IFERROR(
        IF(INDIRECT("'"&amp;F186&amp;"'!$B$2")="Credit Limit",
            "Credit Accounts",
            IF(INDIRECT("'"&amp;F186&amp;"'!$E$2")="Location",
                "Cash Accounts",
                IF(INDIRECT("'"&amp;F186&amp;"'!$B$2")="Amount",
                    "Investments",
                    "Bill Accounts"
                )
            )
        ),
    "")
)</f>
        <v/>
      </c>
      <c r="I186" s="46" t="str" cm="1">
        <f t="array" aca="1" ref="I186" ca="1">IF(F186&lt;&gt;"",IF(OR(G186="Bill Accounts",G186="Investments", G186="Cash Accounts"),INDIRECT("'"&amp;F186&amp;"'!$C$10"),INDIRECT("'"&amp;F186&amp;"'!$C$8")),"")</f>
        <v/>
      </c>
      <c r="K186" s="48">
        <f t="shared" si="9"/>
        <v>192</v>
      </c>
      <c r="L186" s="114" t="str" cm="1">
        <f t="array" aca="1" ref="L186" ca="1">IF(F186&lt;&gt;"",INDIRECT("'"&amp;F186&amp;"'!$F$17"),"")</f>
        <v/>
      </c>
      <c r="M186" s="116" t="str">
        <f t="shared" ca="1" si="7"/>
        <v/>
      </c>
      <c r="O186" s="49" t="str">
        <f t="shared" ca="1" si="8"/>
        <v/>
      </c>
      <c r="P186" s="38" t="str">
        <f>IF(E186&lt;&gt;"",RANK(E186,$E$3:$E$2298)+COUNTIF($E$3:E186,E186)-1,"")</f>
        <v/>
      </c>
      <c r="Q186" s="8"/>
      <c r="R186" s="64"/>
      <c r="Z186" s="8"/>
    </row>
    <row r="187" spans="4:26" x14ac:dyDescent="0.25">
      <c r="D187" s="36" t="str" cm="1">
        <f t="array" aca="1" ref="D187" ca="1">IFERROR(IF(INDIRECT("'"&amp;F187&amp;"'!$C$5")&gt;0,DATE(YEAR(Dashboard!$AL$2),Dashboard!$AU$4,INDIRECT("'"&amp;F187&amp;"'!$C$5")),""),"")</f>
        <v/>
      </c>
      <c r="G187" s="38" t="str" cm="1">
        <f t="array" aca="1" ref="G187" ca="1">IF(F187="",
    "",
    IFERROR(
        IF(INDIRECT("'"&amp;F187&amp;"'!$B$2")="Credit Limit",
            "Credit Accounts",
            IF(INDIRECT("'"&amp;F187&amp;"'!$E$2")="Location",
                "Cash Accounts",
                IF(INDIRECT("'"&amp;F187&amp;"'!$B$2")="Amount",
                    "Investments",
                    "Bill Accounts"
                )
            )
        ),
    "")
)</f>
        <v/>
      </c>
      <c r="I187" s="46" t="str" cm="1">
        <f t="array" aca="1" ref="I187" ca="1">IF(F187&lt;&gt;"",IF(OR(G187="Bill Accounts",G187="Investments", G187="Cash Accounts"),INDIRECT("'"&amp;F187&amp;"'!$C$10"),INDIRECT("'"&amp;F187&amp;"'!$C$8")),"")</f>
        <v/>
      </c>
      <c r="K187" s="48">
        <f t="shared" si="9"/>
        <v>193</v>
      </c>
      <c r="L187" s="114" t="str" cm="1">
        <f t="array" aca="1" ref="L187" ca="1">IF(F187&lt;&gt;"",INDIRECT("'"&amp;F187&amp;"'!$F$17"),"")</f>
        <v/>
      </c>
      <c r="M187" s="116" t="str">
        <f t="shared" ca="1" si="7"/>
        <v/>
      </c>
      <c r="O187" s="49" t="str">
        <f t="shared" ca="1" si="8"/>
        <v/>
      </c>
      <c r="P187" s="38" t="str">
        <f>IF(E187&lt;&gt;"",RANK(E187,$E$3:$E$2298)+COUNTIF($E$3:E187,E187)-1,"")</f>
        <v/>
      </c>
      <c r="Q187" s="8"/>
      <c r="R187" s="64"/>
      <c r="Z187" s="8"/>
    </row>
    <row r="188" spans="4:26" x14ac:dyDescent="0.25">
      <c r="D188" s="36" t="str" cm="1">
        <f t="array" aca="1" ref="D188" ca="1">IFERROR(IF(INDIRECT("'"&amp;F188&amp;"'!$C$5")&gt;0,DATE(YEAR(Dashboard!$AL$2),Dashboard!$AU$4,INDIRECT("'"&amp;F188&amp;"'!$C$5")),""),"")</f>
        <v/>
      </c>
      <c r="G188" s="38" t="str" cm="1">
        <f t="array" aca="1" ref="G188" ca="1">IF(F188="",
    "",
    IFERROR(
        IF(INDIRECT("'"&amp;F188&amp;"'!$B$2")="Credit Limit",
            "Credit Accounts",
            IF(INDIRECT("'"&amp;F188&amp;"'!$E$2")="Location",
                "Cash Accounts",
                IF(INDIRECT("'"&amp;F188&amp;"'!$B$2")="Amount",
                    "Investments",
                    "Bill Accounts"
                )
            )
        ),
    "")
)</f>
        <v/>
      </c>
      <c r="I188" s="46" t="str" cm="1">
        <f t="array" aca="1" ref="I188" ca="1">IF(F188&lt;&gt;"",IF(OR(G188="Bill Accounts",G188="Investments", G188="Cash Accounts"),INDIRECT("'"&amp;F188&amp;"'!$C$10"),INDIRECT("'"&amp;F188&amp;"'!$C$8")),"")</f>
        <v/>
      </c>
      <c r="K188" s="48">
        <f t="shared" si="9"/>
        <v>194</v>
      </c>
      <c r="L188" s="114" t="str" cm="1">
        <f t="array" aca="1" ref="L188" ca="1">IF(F188&lt;&gt;"",INDIRECT("'"&amp;F188&amp;"'!$F$17"),"")</f>
        <v/>
      </c>
      <c r="M188" s="116" t="str">
        <f t="shared" ca="1" si="7"/>
        <v/>
      </c>
      <c r="O188" s="49" t="str">
        <f t="shared" ca="1" si="8"/>
        <v/>
      </c>
      <c r="P188" s="38" t="str">
        <f>IF(E188&lt;&gt;"",RANK(E188,$E$3:$E$2298)+COUNTIF($E$3:E188,E188)-1,"")</f>
        <v/>
      </c>
      <c r="Q188" s="8"/>
      <c r="R188" s="64"/>
      <c r="Z188" s="8"/>
    </row>
    <row r="189" spans="4:26" x14ac:dyDescent="0.25">
      <c r="D189" s="36" t="str" cm="1">
        <f t="array" aca="1" ref="D189" ca="1">IFERROR(IF(INDIRECT("'"&amp;F189&amp;"'!$C$5")&gt;0,DATE(YEAR(Dashboard!$AL$2),Dashboard!$AU$4,INDIRECT("'"&amp;F189&amp;"'!$C$5")),""),"")</f>
        <v/>
      </c>
      <c r="G189" s="38" t="str" cm="1">
        <f t="array" aca="1" ref="G189" ca="1">IF(F189="",
    "",
    IFERROR(
        IF(INDIRECT("'"&amp;F189&amp;"'!$B$2")="Credit Limit",
            "Credit Accounts",
            IF(INDIRECT("'"&amp;F189&amp;"'!$E$2")="Location",
                "Cash Accounts",
                IF(INDIRECT("'"&amp;F189&amp;"'!$B$2")="Amount",
                    "Investments",
                    "Bill Accounts"
                )
            )
        ),
    "")
)</f>
        <v/>
      </c>
      <c r="I189" s="46" t="str" cm="1">
        <f t="array" aca="1" ref="I189" ca="1">IF(F189&lt;&gt;"",IF(OR(G189="Bill Accounts",G189="Investments", G189="Cash Accounts"),INDIRECT("'"&amp;F189&amp;"'!$C$10"),INDIRECT("'"&amp;F189&amp;"'!$C$8")),"")</f>
        <v/>
      </c>
      <c r="K189" s="48">
        <f t="shared" si="9"/>
        <v>195</v>
      </c>
      <c r="L189" s="114" t="str" cm="1">
        <f t="array" aca="1" ref="L189" ca="1">IF(F189&lt;&gt;"",INDIRECT("'"&amp;F189&amp;"'!$F$17"),"")</f>
        <v/>
      </c>
      <c r="M189" s="116" t="str">
        <f t="shared" ca="1" si="7"/>
        <v/>
      </c>
      <c r="O189" s="49" t="str">
        <f t="shared" ca="1" si="8"/>
        <v/>
      </c>
      <c r="P189" s="38" t="str">
        <f>IF(E189&lt;&gt;"",RANK(E189,$E$3:$E$2298)+COUNTIF($E$3:E189,E189)-1,"")</f>
        <v/>
      </c>
      <c r="Q189" s="8"/>
      <c r="R189" s="64"/>
      <c r="Z189" s="8"/>
    </row>
    <row r="190" spans="4:26" x14ac:dyDescent="0.25">
      <c r="D190" s="36" t="str" cm="1">
        <f t="array" aca="1" ref="D190" ca="1">IFERROR(IF(INDIRECT("'"&amp;F190&amp;"'!$C$5")&gt;0,DATE(YEAR(Dashboard!$AL$2),Dashboard!$AU$4,INDIRECT("'"&amp;F190&amp;"'!$C$5")),""),"")</f>
        <v/>
      </c>
      <c r="G190" s="38" t="str" cm="1">
        <f t="array" aca="1" ref="G190" ca="1">IF(F190="",
    "",
    IFERROR(
        IF(INDIRECT("'"&amp;F190&amp;"'!$B$2")="Credit Limit",
            "Credit Accounts",
            IF(INDIRECT("'"&amp;F190&amp;"'!$E$2")="Location",
                "Cash Accounts",
                IF(INDIRECT("'"&amp;F190&amp;"'!$B$2")="Amount",
                    "Investments",
                    "Bill Accounts"
                )
            )
        ),
    "")
)</f>
        <v/>
      </c>
      <c r="I190" s="46" t="str" cm="1">
        <f t="array" aca="1" ref="I190" ca="1">IF(F190&lt;&gt;"",IF(OR(G190="Bill Accounts",G190="Investments", G190="Cash Accounts"),INDIRECT("'"&amp;F190&amp;"'!$C$10"),INDIRECT("'"&amp;F190&amp;"'!$C$8")),"")</f>
        <v/>
      </c>
      <c r="K190" s="48">
        <f t="shared" si="9"/>
        <v>196</v>
      </c>
      <c r="L190" s="114" t="str" cm="1">
        <f t="array" aca="1" ref="L190" ca="1">IF(F190&lt;&gt;"",INDIRECT("'"&amp;F190&amp;"'!$F$17"),"")</f>
        <v/>
      </c>
      <c r="M190" s="116" t="str">
        <f t="shared" ca="1" si="7"/>
        <v/>
      </c>
      <c r="O190" s="49" t="str">
        <f t="shared" ca="1" si="8"/>
        <v/>
      </c>
      <c r="P190" s="38" t="str">
        <f>IF(E190&lt;&gt;"",RANK(E190,$E$3:$E$2298)+COUNTIF($E$3:E190,E190)-1,"")</f>
        <v/>
      </c>
      <c r="Q190" s="8"/>
      <c r="R190" s="64"/>
      <c r="Z190" s="8"/>
    </row>
    <row r="191" spans="4:26" x14ac:dyDescent="0.25">
      <c r="D191" s="36" t="str" cm="1">
        <f t="array" aca="1" ref="D191" ca="1">IFERROR(IF(INDIRECT("'"&amp;F191&amp;"'!$C$5")&gt;0,DATE(YEAR(Dashboard!$AL$2),Dashboard!$AU$4,INDIRECT("'"&amp;F191&amp;"'!$C$5")),""),"")</f>
        <v/>
      </c>
      <c r="G191" s="38" t="str" cm="1">
        <f t="array" aca="1" ref="G191" ca="1">IF(F191="",
    "",
    IFERROR(
        IF(INDIRECT("'"&amp;F191&amp;"'!$B$2")="Credit Limit",
            "Credit Accounts",
            IF(INDIRECT("'"&amp;F191&amp;"'!$E$2")="Location",
                "Cash Accounts",
                IF(INDIRECT("'"&amp;F191&amp;"'!$B$2")="Amount",
                    "Investments",
                    "Bill Accounts"
                )
            )
        ),
    "")
)</f>
        <v/>
      </c>
      <c r="I191" s="46" t="str" cm="1">
        <f t="array" aca="1" ref="I191" ca="1">IF(F191&lt;&gt;"",IF(OR(G191="Bill Accounts",G191="Investments", G191="Cash Accounts"),INDIRECT("'"&amp;F191&amp;"'!$C$10"),INDIRECT("'"&amp;F191&amp;"'!$C$8")),"")</f>
        <v/>
      </c>
      <c r="K191" s="48">
        <f t="shared" si="9"/>
        <v>197</v>
      </c>
      <c r="L191" s="114" t="str" cm="1">
        <f t="array" aca="1" ref="L191" ca="1">IF(F191&lt;&gt;"",INDIRECT("'"&amp;F191&amp;"'!$F$17"),"")</f>
        <v/>
      </c>
      <c r="M191" s="116" t="str">
        <f t="shared" ca="1" si="7"/>
        <v/>
      </c>
      <c r="O191" s="49" t="str">
        <f t="shared" ca="1" si="8"/>
        <v/>
      </c>
      <c r="P191" s="38" t="str">
        <f>IF(E191&lt;&gt;"",RANK(E191,$E$3:$E$2298)+COUNTIF($E$3:E191,E191)-1,"")</f>
        <v/>
      </c>
      <c r="Q191" s="8"/>
      <c r="R191" s="64"/>
      <c r="Z191" s="8"/>
    </row>
    <row r="192" spans="4:26" x14ac:dyDescent="0.25">
      <c r="D192" s="36" t="str" cm="1">
        <f t="array" aca="1" ref="D192" ca="1">IFERROR(IF(INDIRECT("'"&amp;F192&amp;"'!$C$5")&gt;0,DATE(YEAR(Dashboard!$AL$2),Dashboard!$AU$4,INDIRECT("'"&amp;F192&amp;"'!$C$5")),""),"")</f>
        <v/>
      </c>
      <c r="G192" s="38" t="str" cm="1">
        <f t="array" aca="1" ref="G192" ca="1">IF(F192="",
    "",
    IFERROR(
        IF(INDIRECT("'"&amp;F192&amp;"'!$B$2")="Credit Limit",
            "Credit Accounts",
            IF(INDIRECT("'"&amp;F192&amp;"'!$E$2")="Location",
                "Cash Accounts",
                IF(INDIRECT("'"&amp;F192&amp;"'!$B$2")="Amount",
                    "Investments",
                    "Bill Accounts"
                )
            )
        ),
    "")
)</f>
        <v/>
      </c>
      <c r="I192" s="46" t="str" cm="1">
        <f t="array" aca="1" ref="I192" ca="1">IF(F192&lt;&gt;"",IF(OR(G192="Bill Accounts",G192="Investments", G192="Cash Accounts"),INDIRECT("'"&amp;F192&amp;"'!$C$10"),INDIRECT("'"&amp;F192&amp;"'!$C$8")),"")</f>
        <v/>
      </c>
      <c r="K192" s="48">
        <f t="shared" si="9"/>
        <v>198</v>
      </c>
      <c r="L192" s="114" t="str" cm="1">
        <f t="array" aca="1" ref="L192" ca="1">IF(F192&lt;&gt;"",INDIRECT("'"&amp;F192&amp;"'!$F$17"),"")</f>
        <v/>
      </c>
      <c r="M192" s="116" t="str">
        <f t="shared" ca="1" si="7"/>
        <v/>
      </c>
      <c r="O192" s="49" t="str">
        <f t="shared" ca="1" si="8"/>
        <v/>
      </c>
      <c r="P192" s="38" t="str">
        <f>IF(E192&lt;&gt;"",RANK(E192,$E$3:$E$2298)+COUNTIF($E$3:E192,E192)-1,"")</f>
        <v/>
      </c>
      <c r="Q192" s="8"/>
      <c r="R192" s="64"/>
      <c r="Z192" s="8"/>
    </row>
    <row r="193" spans="4:26" x14ac:dyDescent="0.25">
      <c r="D193" s="36" t="str" cm="1">
        <f t="array" aca="1" ref="D193" ca="1">IFERROR(IF(INDIRECT("'"&amp;F193&amp;"'!$C$5")&gt;0,DATE(YEAR(Dashboard!$AL$2),Dashboard!$AU$4,INDIRECT("'"&amp;F193&amp;"'!$C$5")),""),"")</f>
        <v/>
      </c>
      <c r="G193" s="38" t="str" cm="1">
        <f t="array" aca="1" ref="G193" ca="1">IF(F193="",
    "",
    IFERROR(
        IF(INDIRECT("'"&amp;F193&amp;"'!$B$2")="Credit Limit",
            "Credit Accounts",
            IF(INDIRECT("'"&amp;F193&amp;"'!$E$2")="Location",
                "Cash Accounts",
                IF(INDIRECT("'"&amp;F193&amp;"'!$B$2")="Amount",
                    "Investments",
                    "Bill Accounts"
                )
            )
        ),
    "")
)</f>
        <v/>
      </c>
      <c r="I193" s="46" t="str" cm="1">
        <f t="array" aca="1" ref="I193" ca="1">IF(F193&lt;&gt;"",IF(OR(G193="Bill Accounts",G193="Investments", G193="Cash Accounts"),INDIRECT("'"&amp;F193&amp;"'!$C$10"),INDIRECT("'"&amp;F193&amp;"'!$C$8")),"")</f>
        <v/>
      </c>
      <c r="K193" s="48">
        <f t="shared" si="9"/>
        <v>199</v>
      </c>
      <c r="L193" s="114" t="str" cm="1">
        <f t="array" aca="1" ref="L193" ca="1">IF(F193&lt;&gt;"",INDIRECT("'"&amp;F193&amp;"'!$F$17"),"")</f>
        <v/>
      </c>
      <c r="M193" s="116" t="str">
        <f t="shared" ca="1" si="7"/>
        <v/>
      </c>
      <c r="O193" s="49" t="str">
        <f t="shared" ca="1" si="8"/>
        <v/>
      </c>
      <c r="P193" s="38" t="str">
        <f>IF(E193&lt;&gt;"",RANK(E193,$E$3:$E$2298)+COUNTIF($E$3:E193,E193)-1,"")</f>
        <v/>
      </c>
      <c r="Q193" s="8"/>
      <c r="R193" s="64"/>
      <c r="Z193" s="8"/>
    </row>
    <row r="194" spans="4:26" x14ac:dyDescent="0.25">
      <c r="D194" s="36" t="str" cm="1">
        <f t="array" aca="1" ref="D194" ca="1">IFERROR(IF(INDIRECT("'"&amp;F194&amp;"'!$C$5")&gt;0,DATE(YEAR(Dashboard!$AL$2),Dashboard!$AU$4,INDIRECT("'"&amp;F194&amp;"'!$C$5")),""),"")</f>
        <v/>
      </c>
      <c r="G194" s="38" t="str" cm="1">
        <f t="array" aca="1" ref="G194" ca="1">IF(F194="",
    "",
    IFERROR(
        IF(INDIRECT("'"&amp;F194&amp;"'!$B$2")="Credit Limit",
            "Credit Accounts",
            IF(INDIRECT("'"&amp;F194&amp;"'!$E$2")="Location",
                "Cash Accounts",
                IF(INDIRECT("'"&amp;F194&amp;"'!$B$2")="Amount",
                    "Investments",
                    "Bill Accounts"
                )
            )
        ),
    "")
)</f>
        <v/>
      </c>
      <c r="I194" s="46" t="str" cm="1">
        <f t="array" aca="1" ref="I194" ca="1">IF(F194&lt;&gt;"",IF(OR(G194="Bill Accounts",G194="Investments", G194="Cash Accounts"),INDIRECT("'"&amp;F194&amp;"'!$C$10"),INDIRECT("'"&amp;F194&amp;"'!$C$8")),"")</f>
        <v/>
      </c>
      <c r="K194" s="48">
        <f t="shared" si="9"/>
        <v>200</v>
      </c>
      <c r="L194" s="114" t="str" cm="1">
        <f t="array" aca="1" ref="L194" ca="1">IF(F194&lt;&gt;"",INDIRECT("'"&amp;F194&amp;"'!$F$17"),"")</f>
        <v/>
      </c>
      <c r="M194" s="116" t="str">
        <f t="shared" ca="1" si="7"/>
        <v/>
      </c>
      <c r="O194" s="49" t="str">
        <f t="shared" ca="1" si="8"/>
        <v/>
      </c>
      <c r="P194" s="38" t="str">
        <f>IF(E194&lt;&gt;"",RANK(E194,$E$3:$E$2298)+COUNTIF($E$3:E194,E194)-1,"")</f>
        <v/>
      </c>
      <c r="Q194" s="8"/>
      <c r="R194" s="64"/>
      <c r="Z194" s="8"/>
    </row>
    <row r="195" spans="4:26" x14ac:dyDescent="0.25">
      <c r="D195" s="36" t="str" cm="1">
        <f t="array" aca="1" ref="D195" ca="1">IFERROR(IF(INDIRECT("'"&amp;F195&amp;"'!$C$5")&gt;0,DATE(YEAR(Dashboard!$AL$2),Dashboard!$AU$4,INDIRECT("'"&amp;F195&amp;"'!$C$5")),""),"")</f>
        <v/>
      </c>
      <c r="G195" s="38" t="str" cm="1">
        <f t="array" aca="1" ref="G195" ca="1">IF(F195="",
    "",
    IFERROR(
        IF(INDIRECT("'"&amp;F195&amp;"'!$B$2")="Credit Limit",
            "Credit Accounts",
            IF(INDIRECT("'"&amp;F195&amp;"'!$E$2")="Location",
                "Cash Accounts",
                IF(INDIRECT("'"&amp;F195&amp;"'!$B$2")="Amount",
                    "Investments",
                    "Bill Accounts"
                )
            )
        ),
    "")
)</f>
        <v/>
      </c>
      <c r="I195" s="46" t="str" cm="1">
        <f t="array" aca="1" ref="I195" ca="1">IF(F195&lt;&gt;"",IF(OR(G195="Bill Accounts",G195="Investments", G195="Cash Accounts"),INDIRECT("'"&amp;F195&amp;"'!$C$10"),INDIRECT("'"&amp;F195&amp;"'!$C$8")),"")</f>
        <v/>
      </c>
      <c r="K195" s="48">
        <f t="shared" si="9"/>
        <v>201</v>
      </c>
      <c r="L195" s="114" t="str" cm="1">
        <f t="array" aca="1" ref="L195" ca="1">IF(F195&lt;&gt;"",INDIRECT("'"&amp;F195&amp;"'!$F$17"),"")</f>
        <v/>
      </c>
      <c r="M195" s="116" t="str">
        <f t="shared" ca="1" si="7"/>
        <v/>
      </c>
      <c r="O195" s="49" t="str">
        <f t="shared" ca="1" si="8"/>
        <v/>
      </c>
      <c r="P195" s="38" t="str">
        <f>IF(E195&lt;&gt;"",RANK(E195,$E$3:$E$2298)+COUNTIF($E$3:E195,E195)-1,"")</f>
        <v/>
      </c>
      <c r="Q195" s="8"/>
      <c r="R195" s="64"/>
      <c r="Z195" s="8"/>
    </row>
    <row r="196" spans="4:26" x14ac:dyDescent="0.25">
      <c r="D196" s="36" t="str" cm="1">
        <f t="array" aca="1" ref="D196" ca="1">IFERROR(IF(INDIRECT("'"&amp;F196&amp;"'!$C$5")&gt;0,DATE(YEAR(Dashboard!$AL$2),Dashboard!$AU$4,INDIRECT("'"&amp;F196&amp;"'!$C$5")),""),"")</f>
        <v/>
      </c>
      <c r="G196" s="38" t="str" cm="1">
        <f t="array" aca="1" ref="G196" ca="1">IF(F196="",
    "",
    IFERROR(
        IF(INDIRECT("'"&amp;F196&amp;"'!$B$2")="Credit Limit",
            "Credit Accounts",
            IF(INDIRECT("'"&amp;F196&amp;"'!$E$2")="Location",
                "Cash Accounts",
                IF(INDIRECT("'"&amp;F196&amp;"'!$B$2")="Amount",
                    "Investments",
                    "Bill Accounts"
                )
            )
        ),
    "")
)</f>
        <v/>
      </c>
      <c r="I196" s="46" t="str" cm="1">
        <f t="array" aca="1" ref="I196" ca="1">IF(F196&lt;&gt;"",IF(OR(G196="Bill Accounts",G196="Investments", G196="Cash Accounts"),INDIRECT("'"&amp;F196&amp;"'!$C$10"),INDIRECT("'"&amp;F196&amp;"'!$C$8")),"")</f>
        <v/>
      </c>
      <c r="K196" s="48">
        <f t="shared" si="9"/>
        <v>202</v>
      </c>
      <c r="L196" s="114" t="str" cm="1">
        <f t="array" aca="1" ref="L196" ca="1">IF(F196&lt;&gt;"",INDIRECT("'"&amp;F196&amp;"'!$F$17"),"")</f>
        <v/>
      </c>
      <c r="M196" s="116" t="str">
        <f t="shared" ref="M196:M259" ca="1" si="10">IF(G196="Credit Accounts",EDATE(TODAY(),INDIRECT("'"&amp;F196&amp;"'!$C$14")),"")</f>
        <v/>
      </c>
      <c r="O196" s="49" t="str">
        <f t="shared" ref="O196:O259" ca="1" si="11">IF(D196&lt;&gt;"",DAY(D196),"")</f>
        <v/>
      </c>
      <c r="P196" s="38" t="str">
        <f>IF(E196&lt;&gt;"",RANK(E196,$E$3:$E$2298)+COUNTIF($E$3:E196,E196)-1,"")</f>
        <v/>
      </c>
      <c r="Q196" s="8"/>
      <c r="R196" s="64"/>
      <c r="Z196" s="8"/>
    </row>
    <row r="197" spans="4:26" x14ac:dyDescent="0.25">
      <c r="D197" s="36" t="str" cm="1">
        <f t="array" aca="1" ref="D197" ca="1">IFERROR(IF(INDIRECT("'"&amp;F197&amp;"'!$C$5")&gt;0,DATE(YEAR(Dashboard!$AL$2),Dashboard!$AU$4,INDIRECT("'"&amp;F197&amp;"'!$C$5")),""),"")</f>
        <v/>
      </c>
      <c r="G197" s="38" t="str" cm="1">
        <f t="array" aca="1" ref="G197" ca="1">IF(F197="",
    "",
    IFERROR(
        IF(INDIRECT("'"&amp;F197&amp;"'!$B$2")="Credit Limit",
            "Credit Accounts",
            IF(INDIRECT("'"&amp;F197&amp;"'!$E$2")="Location",
                "Cash Accounts",
                IF(INDIRECT("'"&amp;F197&amp;"'!$B$2")="Amount",
                    "Investments",
                    "Bill Accounts"
                )
            )
        ),
    "")
)</f>
        <v/>
      </c>
      <c r="I197" s="46" t="str" cm="1">
        <f t="array" aca="1" ref="I197" ca="1">IF(F197&lt;&gt;"",IF(OR(G197="Bill Accounts",G197="Investments", G197="Cash Accounts"),INDIRECT("'"&amp;F197&amp;"'!$C$10"),INDIRECT("'"&amp;F197&amp;"'!$C$8")),"")</f>
        <v/>
      </c>
      <c r="K197" s="48">
        <f t="shared" si="9"/>
        <v>203</v>
      </c>
      <c r="L197" s="114" t="str" cm="1">
        <f t="array" aca="1" ref="L197" ca="1">IF(F197&lt;&gt;"",INDIRECT("'"&amp;F197&amp;"'!$F$17"),"")</f>
        <v/>
      </c>
      <c r="M197" s="116" t="str">
        <f t="shared" ca="1" si="10"/>
        <v/>
      </c>
      <c r="O197" s="49" t="str">
        <f t="shared" ca="1" si="11"/>
        <v/>
      </c>
      <c r="P197" s="38" t="str">
        <f>IF(E197&lt;&gt;"",RANK(E197,$E$3:$E$2298)+COUNTIF($E$3:E197,E197)-1,"")</f>
        <v/>
      </c>
      <c r="Q197" s="8"/>
      <c r="R197" s="64"/>
      <c r="Z197" s="8"/>
    </row>
    <row r="198" spans="4:26" x14ac:dyDescent="0.25">
      <c r="D198" s="36" t="str" cm="1">
        <f t="array" aca="1" ref="D198" ca="1">IFERROR(IF(INDIRECT("'"&amp;F198&amp;"'!$C$5")&gt;0,DATE(YEAR(Dashboard!$AL$2),Dashboard!$AU$4,INDIRECT("'"&amp;F198&amp;"'!$C$5")),""),"")</f>
        <v/>
      </c>
      <c r="G198" s="38" t="str" cm="1">
        <f t="array" aca="1" ref="G198" ca="1">IF(F198="",
    "",
    IFERROR(
        IF(INDIRECT("'"&amp;F198&amp;"'!$B$2")="Credit Limit",
            "Credit Accounts",
            IF(INDIRECT("'"&amp;F198&amp;"'!$E$2")="Location",
                "Cash Accounts",
                IF(INDIRECT("'"&amp;F198&amp;"'!$B$2")="Amount",
                    "Investments",
                    "Bill Accounts"
                )
            )
        ),
    "")
)</f>
        <v/>
      </c>
      <c r="I198" s="46" t="str" cm="1">
        <f t="array" aca="1" ref="I198" ca="1">IF(F198&lt;&gt;"",IF(OR(G198="Bill Accounts",G198="Investments", G198="Cash Accounts"),INDIRECT("'"&amp;F198&amp;"'!$C$10"),INDIRECT("'"&amp;F198&amp;"'!$C$8")),"")</f>
        <v/>
      </c>
      <c r="K198" s="48">
        <f t="shared" si="9"/>
        <v>204</v>
      </c>
      <c r="L198" s="114" t="str" cm="1">
        <f t="array" aca="1" ref="L198" ca="1">IF(F198&lt;&gt;"",INDIRECT("'"&amp;F198&amp;"'!$F$17"),"")</f>
        <v/>
      </c>
      <c r="M198" s="116" t="str">
        <f t="shared" ca="1" si="10"/>
        <v/>
      </c>
      <c r="O198" s="49" t="str">
        <f t="shared" ca="1" si="11"/>
        <v/>
      </c>
      <c r="P198" s="38" t="str">
        <f>IF(E198&lt;&gt;"",RANK(E198,$E$3:$E$2298)+COUNTIF($E$3:E198,E198)-1,"")</f>
        <v/>
      </c>
      <c r="Q198" s="8"/>
      <c r="R198" s="64"/>
      <c r="Z198" s="8"/>
    </row>
    <row r="199" spans="4:26" x14ac:dyDescent="0.25">
      <c r="D199" s="36" t="str" cm="1">
        <f t="array" aca="1" ref="D199" ca="1">IFERROR(IF(INDIRECT("'"&amp;F199&amp;"'!$C$5")&gt;0,DATE(YEAR(Dashboard!$AL$2),Dashboard!$AU$4,INDIRECT("'"&amp;F199&amp;"'!$C$5")),""),"")</f>
        <v/>
      </c>
      <c r="G199" s="38" t="str" cm="1">
        <f t="array" aca="1" ref="G199" ca="1">IF(F199="",
    "",
    IFERROR(
        IF(INDIRECT("'"&amp;F199&amp;"'!$B$2")="Credit Limit",
            "Credit Accounts",
            IF(INDIRECT("'"&amp;F199&amp;"'!$E$2")="Location",
                "Cash Accounts",
                IF(INDIRECT("'"&amp;F199&amp;"'!$B$2")="Amount",
                    "Investments",
                    "Bill Accounts"
                )
            )
        ),
    "")
)</f>
        <v/>
      </c>
      <c r="I199" s="46" t="str" cm="1">
        <f t="array" aca="1" ref="I199" ca="1">IF(F199&lt;&gt;"",IF(OR(G199="Bill Accounts",G199="Investments", G199="Cash Accounts"),INDIRECT("'"&amp;F199&amp;"'!$C$10"),INDIRECT("'"&amp;F199&amp;"'!$C$8")),"")</f>
        <v/>
      </c>
      <c r="K199" s="48">
        <f t="shared" si="9"/>
        <v>205</v>
      </c>
      <c r="L199" s="114" t="str" cm="1">
        <f t="array" aca="1" ref="L199" ca="1">IF(F199&lt;&gt;"",INDIRECT("'"&amp;F199&amp;"'!$F$17"),"")</f>
        <v/>
      </c>
      <c r="M199" s="116" t="str">
        <f t="shared" ca="1" si="10"/>
        <v/>
      </c>
      <c r="O199" s="49" t="str">
        <f t="shared" ca="1" si="11"/>
        <v/>
      </c>
      <c r="P199" s="38" t="str">
        <f>IF(E199&lt;&gt;"",RANK(E199,$E$3:$E$2298)+COUNTIF($E$3:E199,E199)-1,"")</f>
        <v/>
      </c>
      <c r="Q199" s="8"/>
      <c r="R199" s="64"/>
      <c r="Z199" s="8"/>
    </row>
    <row r="200" spans="4:26" x14ac:dyDescent="0.25">
      <c r="D200" s="36" t="str" cm="1">
        <f t="array" aca="1" ref="D200" ca="1">IFERROR(IF(INDIRECT("'"&amp;F200&amp;"'!$C$5")&gt;0,DATE(YEAR(Dashboard!$AL$2),Dashboard!$AU$4,INDIRECT("'"&amp;F200&amp;"'!$C$5")),""),"")</f>
        <v/>
      </c>
      <c r="G200" s="38" t="str" cm="1">
        <f t="array" aca="1" ref="G200" ca="1">IF(F200="",
    "",
    IFERROR(
        IF(INDIRECT("'"&amp;F200&amp;"'!$B$2")="Credit Limit",
            "Credit Accounts",
            IF(INDIRECT("'"&amp;F200&amp;"'!$E$2")="Location",
                "Cash Accounts",
                IF(INDIRECT("'"&amp;F200&amp;"'!$B$2")="Amount",
                    "Investments",
                    "Bill Accounts"
                )
            )
        ),
    "")
)</f>
        <v/>
      </c>
      <c r="I200" s="46" t="str" cm="1">
        <f t="array" aca="1" ref="I200" ca="1">IF(F200&lt;&gt;"",IF(OR(G200="Bill Accounts",G200="Investments", G200="Cash Accounts"),INDIRECT("'"&amp;F200&amp;"'!$C$10"),INDIRECT("'"&amp;F200&amp;"'!$C$8")),"")</f>
        <v/>
      </c>
      <c r="K200" s="48">
        <f t="shared" ref="K200:K263" si="12">SUM(K199+1)</f>
        <v>206</v>
      </c>
      <c r="L200" s="114" t="str" cm="1">
        <f t="array" aca="1" ref="L200" ca="1">IF(F200&lt;&gt;"",INDIRECT("'"&amp;F200&amp;"'!$F$17"),"")</f>
        <v/>
      </c>
      <c r="M200" s="116" t="str">
        <f t="shared" ca="1" si="10"/>
        <v/>
      </c>
      <c r="O200" s="49" t="str">
        <f t="shared" ca="1" si="11"/>
        <v/>
      </c>
      <c r="P200" s="38" t="str">
        <f>IF(E200&lt;&gt;"",RANK(E200,$E$3:$E$2298)+COUNTIF($E$3:E200,E200)-1,"")</f>
        <v/>
      </c>
      <c r="Q200" s="8"/>
      <c r="R200" s="64"/>
      <c r="Z200" s="8"/>
    </row>
    <row r="201" spans="4:26" x14ac:dyDescent="0.25">
      <c r="D201" s="36" t="str" cm="1">
        <f t="array" aca="1" ref="D201" ca="1">IFERROR(IF(INDIRECT("'"&amp;F201&amp;"'!$C$5")&gt;0,DATE(YEAR(Dashboard!$AL$2),Dashboard!$AU$4,INDIRECT("'"&amp;F201&amp;"'!$C$5")),""),"")</f>
        <v/>
      </c>
      <c r="G201" s="38" t="str" cm="1">
        <f t="array" aca="1" ref="G201" ca="1">IF(F201="",
    "",
    IFERROR(
        IF(INDIRECT("'"&amp;F201&amp;"'!$B$2")="Credit Limit",
            "Credit Accounts",
            IF(INDIRECT("'"&amp;F201&amp;"'!$E$2")="Location",
                "Cash Accounts",
                IF(INDIRECT("'"&amp;F201&amp;"'!$B$2")="Amount",
                    "Investments",
                    "Bill Accounts"
                )
            )
        ),
    "")
)</f>
        <v/>
      </c>
      <c r="I201" s="46" t="str" cm="1">
        <f t="array" aca="1" ref="I201" ca="1">IF(F201&lt;&gt;"",IF(OR(G201="Bill Accounts",G201="Investments", G201="Cash Accounts"),INDIRECT("'"&amp;F201&amp;"'!$C$10"),INDIRECT("'"&amp;F201&amp;"'!$C$8")),"")</f>
        <v/>
      </c>
      <c r="K201" s="48">
        <f t="shared" si="12"/>
        <v>207</v>
      </c>
      <c r="L201" s="114" t="str" cm="1">
        <f t="array" aca="1" ref="L201" ca="1">IF(F201&lt;&gt;"",INDIRECT("'"&amp;F201&amp;"'!$F$17"),"")</f>
        <v/>
      </c>
      <c r="M201" s="116" t="str">
        <f t="shared" ca="1" si="10"/>
        <v/>
      </c>
      <c r="O201" s="49" t="str">
        <f t="shared" ca="1" si="11"/>
        <v/>
      </c>
      <c r="P201" s="38" t="str">
        <f>IF(E201&lt;&gt;"",RANK(E201,$E$3:$E$2298)+COUNTIF($E$3:E201,E201)-1,"")</f>
        <v/>
      </c>
      <c r="Q201" s="8"/>
      <c r="R201" s="64"/>
      <c r="Z201" s="8"/>
    </row>
    <row r="202" spans="4:26" x14ac:dyDescent="0.25">
      <c r="D202" s="36" t="str" cm="1">
        <f t="array" aca="1" ref="D202" ca="1">IFERROR(IF(INDIRECT("'"&amp;F202&amp;"'!$C$5")&gt;0,DATE(YEAR(Dashboard!$AL$2),Dashboard!$AU$4,INDIRECT("'"&amp;F202&amp;"'!$C$5")),""),"")</f>
        <v/>
      </c>
      <c r="G202" s="38" t="str" cm="1">
        <f t="array" aca="1" ref="G202" ca="1">IF(F202="",
    "",
    IFERROR(
        IF(INDIRECT("'"&amp;F202&amp;"'!$B$2")="Credit Limit",
            "Credit Accounts",
            IF(INDIRECT("'"&amp;F202&amp;"'!$E$2")="Location",
                "Cash Accounts",
                IF(INDIRECT("'"&amp;F202&amp;"'!$B$2")="Amount",
                    "Investments",
                    "Bill Accounts"
                )
            )
        ),
    "")
)</f>
        <v/>
      </c>
      <c r="I202" s="46" t="str" cm="1">
        <f t="array" aca="1" ref="I202" ca="1">IF(F202&lt;&gt;"",IF(OR(G202="Bill Accounts",G202="Investments", G202="Cash Accounts"),INDIRECT("'"&amp;F202&amp;"'!$C$10"),INDIRECT("'"&amp;F202&amp;"'!$C$8")),"")</f>
        <v/>
      </c>
      <c r="K202" s="48">
        <f t="shared" si="12"/>
        <v>208</v>
      </c>
      <c r="L202" s="114" t="str" cm="1">
        <f t="array" aca="1" ref="L202" ca="1">IF(F202&lt;&gt;"",INDIRECT("'"&amp;F202&amp;"'!$F$17"),"")</f>
        <v/>
      </c>
      <c r="M202" s="116" t="str">
        <f t="shared" ca="1" si="10"/>
        <v/>
      </c>
      <c r="O202" s="49" t="str">
        <f t="shared" ca="1" si="11"/>
        <v/>
      </c>
      <c r="P202" s="38" t="str">
        <f>IF(E202&lt;&gt;"",RANK(E202,$E$3:$E$2298)+COUNTIF($E$3:E202,E202)-1,"")</f>
        <v/>
      </c>
      <c r="Q202" s="8"/>
      <c r="R202" s="64"/>
      <c r="Z202" s="8"/>
    </row>
    <row r="203" spans="4:26" x14ac:dyDescent="0.25">
      <c r="D203" s="36" t="str" cm="1">
        <f t="array" aca="1" ref="D203" ca="1">IFERROR(IF(INDIRECT("'"&amp;F203&amp;"'!$C$5")&gt;0,DATE(YEAR(Dashboard!$AL$2),Dashboard!$AU$4,INDIRECT("'"&amp;F203&amp;"'!$C$5")),""),"")</f>
        <v/>
      </c>
      <c r="G203" s="38" t="str" cm="1">
        <f t="array" aca="1" ref="G203" ca="1">IF(F203="",
    "",
    IFERROR(
        IF(INDIRECT("'"&amp;F203&amp;"'!$B$2")="Credit Limit",
            "Credit Accounts",
            IF(INDIRECT("'"&amp;F203&amp;"'!$E$2")="Location",
                "Cash Accounts",
                IF(INDIRECT("'"&amp;F203&amp;"'!$B$2")="Amount",
                    "Investments",
                    "Bill Accounts"
                )
            )
        ),
    "")
)</f>
        <v/>
      </c>
      <c r="I203" s="46" t="str" cm="1">
        <f t="array" aca="1" ref="I203" ca="1">IF(F203&lt;&gt;"",IF(OR(G203="Bill Accounts",G203="Investments", G203="Cash Accounts"),INDIRECT("'"&amp;F203&amp;"'!$C$10"),INDIRECT("'"&amp;F203&amp;"'!$C$8")),"")</f>
        <v/>
      </c>
      <c r="K203" s="48">
        <f t="shared" si="12"/>
        <v>209</v>
      </c>
      <c r="L203" s="114" t="str" cm="1">
        <f t="array" aca="1" ref="L203" ca="1">IF(F203&lt;&gt;"",INDIRECT("'"&amp;F203&amp;"'!$F$17"),"")</f>
        <v/>
      </c>
      <c r="M203" s="116" t="str">
        <f t="shared" ca="1" si="10"/>
        <v/>
      </c>
      <c r="O203" s="49" t="str">
        <f t="shared" ca="1" si="11"/>
        <v/>
      </c>
      <c r="P203" s="38" t="str">
        <f>IF(E203&lt;&gt;"",RANK(E203,$E$3:$E$2298)+COUNTIF($E$3:E203,E203)-1,"")</f>
        <v/>
      </c>
      <c r="Q203" s="8"/>
      <c r="R203" s="64"/>
      <c r="Z203" s="8"/>
    </row>
    <row r="204" spans="4:26" x14ac:dyDescent="0.25">
      <c r="D204" s="36" t="str" cm="1">
        <f t="array" aca="1" ref="D204" ca="1">IFERROR(IF(INDIRECT("'"&amp;F204&amp;"'!$C$5")&gt;0,DATE(YEAR(Dashboard!$AL$2),Dashboard!$AU$4,INDIRECT("'"&amp;F204&amp;"'!$C$5")),""),"")</f>
        <v/>
      </c>
      <c r="G204" s="38" t="str" cm="1">
        <f t="array" aca="1" ref="G204" ca="1">IF(F204="",
    "",
    IFERROR(
        IF(INDIRECT("'"&amp;F204&amp;"'!$B$2")="Credit Limit",
            "Credit Accounts",
            IF(INDIRECT("'"&amp;F204&amp;"'!$E$2")="Location",
                "Cash Accounts",
                IF(INDIRECT("'"&amp;F204&amp;"'!$B$2")="Amount",
                    "Investments",
                    "Bill Accounts"
                )
            )
        ),
    "")
)</f>
        <v/>
      </c>
      <c r="I204" s="46" t="str" cm="1">
        <f t="array" aca="1" ref="I204" ca="1">IF(F204&lt;&gt;"",IF(OR(G204="Bill Accounts",G204="Investments", G204="Cash Accounts"),INDIRECT("'"&amp;F204&amp;"'!$C$10"),INDIRECT("'"&amp;F204&amp;"'!$C$8")),"")</f>
        <v/>
      </c>
      <c r="K204" s="48">
        <f t="shared" si="12"/>
        <v>210</v>
      </c>
      <c r="L204" s="114" t="str" cm="1">
        <f t="array" aca="1" ref="L204" ca="1">IF(F204&lt;&gt;"",INDIRECT("'"&amp;F204&amp;"'!$F$17"),"")</f>
        <v/>
      </c>
      <c r="M204" s="116" t="str">
        <f t="shared" ca="1" si="10"/>
        <v/>
      </c>
      <c r="O204" s="49" t="str">
        <f t="shared" ca="1" si="11"/>
        <v/>
      </c>
      <c r="P204" s="38" t="str">
        <f>IF(E204&lt;&gt;"",RANK(E204,$E$3:$E$2298)+COUNTIF($E$3:E204,E204)-1,"")</f>
        <v/>
      </c>
      <c r="Q204" s="8"/>
      <c r="R204" s="64"/>
      <c r="Z204" s="8"/>
    </row>
    <row r="205" spans="4:26" x14ac:dyDescent="0.25">
      <c r="D205" s="36" t="str" cm="1">
        <f t="array" aca="1" ref="D205" ca="1">IFERROR(IF(INDIRECT("'"&amp;F205&amp;"'!$C$5")&gt;0,DATE(YEAR(Dashboard!$AL$2),Dashboard!$AU$4,INDIRECT("'"&amp;F205&amp;"'!$C$5")),""),"")</f>
        <v/>
      </c>
      <c r="G205" s="38" t="str" cm="1">
        <f t="array" aca="1" ref="G205" ca="1">IF(F205="",
    "",
    IFERROR(
        IF(INDIRECT("'"&amp;F205&amp;"'!$B$2")="Credit Limit",
            "Credit Accounts",
            IF(INDIRECT("'"&amp;F205&amp;"'!$E$2")="Location",
                "Cash Accounts",
                IF(INDIRECT("'"&amp;F205&amp;"'!$B$2")="Amount",
                    "Investments",
                    "Bill Accounts"
                )
            )
        ),
    "")
)</f>
        <v/>
      </c>
      <c r="I205" s="46" t="str" cm="1">
        <f t="array" aca="1" ref="I205" ca="1">IF(F205&lt;&gt;"",IF(OR(G205="Bill Accounts",G205="Investments", G205="Cash Accounts"),INDIRECT("'"&amp;F205&amp;"'!$C$10"),INDIRECT("'"&amp;F205&amp;"'!$C$8")),"")</f>
        <v/>
      </c>
      <c r="K205" s="48">
        <f t="shared" si="12"/>
        <v>211</v>
      </c>
      <c r="L205" s="114" t="str" cm="1">
        <f t="array" aca="1" ref="L205" ca="1">IF(F205&lt;&gt;"",INDIRECT("'"&amp;F205&amp;"'!$F$17"),"")</f>
        <v/>
      </c>
      <c r="M205" s="116" t="str">
        <f t="shared" ca="1" si="10"/>
        <v/>
      </c>
      <c r="O205" s="49" t="str">
        <f t="shared" ca="1" si="11"/>
        <v/>
      </c>
      <c r="P205" s="38" t="str">
        <f>IF(E205&lt;&gt;"",RANK(E205,$E$3:$E$2298)+COUNTIF($E$3:E205,E205)-1,"")</f>
        <v/>
      </c>
      <c r="Q205" s="8"/>
      <c r="R205" s="64"/>
      <c r="Z205" s="8"/>
    </row>
    <row r="206" spans="4:26" x14ac:dyDescent="0.25">
      <c r="D206" s="36" t="str" cm="1">
        <f t="array" aca="1" ref="D206" ca="1">IFERROR(IF(INDIRECT("'"&amp;F206&amp;"'!$C$5")&gt;0,DATE(YEAR(Dashboard!$AL$2),Dashboard!$AU$4,INDIRECT("'"&amp;F206&amp;"'!$C$5")),""),"")</f>
        <v/>
      </c>
      <c r="G206" s="38" t="str" cm="1">
        <f t="array" aca="1" ref="G206" ca="1">IF(F206="",
    "",
    IFERROR(
        IF(INDIRECT("'"&amp;F206&amp;"'!$B$2")="Credit Limit",
            "Credit Accounts",
            IF(INDIRECT("'"&amp;F206&amp;"'!$E$2")="Location",
                "Cash Accounts",
                IF(INDIRECT("'"&amp;F206&amp;"'!$B$2")="Amount",
                    "Investments",
                    "Bill Accounts"
                )
            )
        ),
    "")
)</f>
        <v/>
      </c>
      <c r="I206" s="46" t="str" cm="1">
        <f t="array" aca="1" ref="I206" ca="1">IF(F206&lt;&gt;"",IF(OR(G206="Bill Accounts",G206="Investments", G206="Cash Accounts"),INDIRECT("'"&amp;F206&amp;"'!$C$10"),INDIRECT("'"&amp;F206&amp;"'!$C$8")),"")</f>
        <v/>
      </c>
      <c r="K206" s="48">
        <f t="shared" si="12"/>
        <v>212</v>
      </c>
      <c r="L206" s="114" t="str" cm="1">
        <f t="array" aca="1" ref="L206" ca="1">IF(F206&lt;&gt;"",INDIRECT("'"&amp;F206&amp;"'!$F$17"),"")</f>
        <v/>
      </c>
      <c r="M206" s="116" t="str">
        <f t="shared" ca="1" si="10"/>
        <v/>
      </c>
      <c r="O206" s="49" t="str">
        <f t="shared" ca="1" si="11"/>
        <v/>
      </c>
      <c r="P206" s="38" t="str">
        <f>IF(E206&lt;&gt;"",RANK(E206,$E$3:$E$2298)+COUNTIF($E$3:E206,E206)-1,"")</f>
        <v/>
      </c>
      <c r="Q206" s="8"/>
      <c r="R206" s="64"/>
      <c r="Z206" s="8"/>
    </row>
    <row r="207" spans="4:26" x14ac:dyDescent="0.25">
      <c r="D207" s="36" t="str" cm="1">
        <f t="array" aca="1" ref="D207" ca="1">IFERROR(IF(INDIRECT("'"&amp;F207&amp;"'!$C$5")&gt;0,DATE(YEAR(Dashboard!$AL$2),Dashboard!$AU$4,INDIRECT("'"&amp;F207&amp;"'!$C$5")),""),"")</f>
        <v/>
      </c>
      <c r="G207" s="38" t="str" cm="1">
        <f t="array" aca="1" ref="G207" ca="1">IF(F207="",
    "",
    IFERROR(
        IF(INDIRECT("'"&amp;F207&amp;"'!$B$2")="Credit Limit",
            "Credit Accounts",
            IF(INDIRECT("'"&amp;F207&amp;"'!$E$2")="Location",
                "Cash Accounts",
                IF(INDIRECT("'"&amp;F207&amp;"'!$B$2")="Amount",
                    "Investments",
                    "Bill Accounts"
                )
            )
        ),
    "")
)</f>
        <v/>
      </c>
      <c r="I207" s="46" t="str" cm="1">
        <f t="array" aca="1" ref="I207" ca="1">IF(F207&lt;&gt;"",IF(OR(G207="Bill Accounts",G207="Investments", G207="Cash Accounts"),INDIRECT("'"&amp;F207&amp;"'!$C$10"),INDIRECT("'"&amp;F207&amp;"'!$C$8")),"")</f>
        <v/>
      </c>
      <c r="K207" s="48">
        <f t="shared" si="12"/>
        <v>213</v>
      </c>
      <c r="L207" s="114" t="str" cm="1">
        <f t="array" aca="1" ref="L207" ca="1">IF(F207&lt;&gt;"",INDIRECT("'"&amp;F207&amp;"'!$F$17"),"")</f>
        <v/>
      </c>
      <c r="M207" s="116" t="str">
        <f t="shared" ca="1" si="10"/>
        <v/>
      </c>
      <c r="O207" s="49" t="str">
        <f t="shared" ca="1" si="11"/>
        <v/>
      </c>
      <c r="P207" s="38" t="str">
        <f>IF(E207&lt;&gt;"",RANK(E207,$E$3:$E$2298)+COUNTIF($E$3:E207,E207)-1,"")</f>
        <v/>
      </c>
      <c r="Q207" s="8"/>
      <c r="R207" s="64"/>
      <c r="Z207" s="8"/>
    </row>
    <row r="208" spans="4:26" x14ac:dyDescent="0.25">
      <c r="D208" s="36" t="str" cm="1">
        <f t="array" aca="1" ref="D208" ca="1">IFERROR(IF(INDIRECT("'"&amp;F208&amp;"'!$C$5")&gt;0,DATE(YEAR(Dashboard!$AL$2),Dashboard!$AU$4,INDIRECT("'"&amp;F208&amp;"'!$C$5")),""),"")</f>
        <v/>
      </c>
      <c r="G208" s="38" t="str" cm="1">
        <f t="array" aca="1" ref="G208" ca="1">IF(F208="",
    "",
    IFERROR(
        IF(INDIRECT("'"&amp;F208&amp;"'!$B$2")="Credit Limit",
            "Credit Accounts",
            IF(INDIRECT("'"&amp;F208&amp;"'!$E$2")="Location",
                "Cash Accounts",
                IF(INDIRECT("'"&amp;F208&amp;"'!$B$2")="Amount",
                    "Investments",
                    "Bill Accounts"
                )
            )
        ),
    "")
)</f>
        <v/>
      </c>
      <c r="I208" s="46" t="str" cm="1">
        <f t="array" aca="1" ref="I208" ca="1">IF(F208&lt;&gt;"",IF(OR(G208="Bill Accounts",G208="Investments", G208="Cash Accounts"),INDIRECT("'"&amp;F208&amp;"'!$C$10"),INDIRECT("'"&amp;F208&amp;"'!$C$8")),"")</f>
        <v/>
      </c>
      <c r="K208" s="48">
        <f t="shared" si="12"/>
        <v>214</v>
      </c>
      <c r="L208" s="114" t="str" cm="1">
        <f t="array" aca="1" ref="L208" ca="1">IF(F208&lt;&gt;"",INDIRECT("'"&amp;F208&amp;"'!$F$17"),"")</f>
        <v/>
      </c>
      <c r="M208" s="116" t="str">
        <f t="shared" ca="1" si="10"/>
        <v/>
      </c>
      <c r="O208" s="49" t="str">
        <f t="shared" ca="1" si="11"/>
        <v/>
      </c>
      <c r="P208" s="38" t="str">
        <f>IF(E208&lt;&gt;"",RANK(E208,$E$3:$E$2298)+COUNTIF($E$3:E208,E208)-1,"")</f>
        <v/>
      </c>
      <c r="Q208" s="8"/>
      <c r="R208" s="64"/>
      <c r="Z208" s="8"/>
    </row>
    <row r="209" spans="4:26" x14ac:dyDescent="0.25">
      <c r="D209" s="36" t="str" cm="1">
        <f t="array" aca="1" ref="D209" ca="1">IFERROR(IF(INDIRECT("'"&amp;F209&amp;"'!$C$5")&gt;0,DATE(YEAR(Dashboard!$AL$2),Dashboard!$AU$4,INDIRECT("'"&amp;F209&amp;"'!$C$5")),""),"")</f>
        <v/>
      </c>
      <c r="G209" s="38" t="str" cm="1">
        <f t="array" aca="1" ref="G209" ca="1">IF(F209="",
    "",
    IFERROR(
        IF(INDIRECT("'"&amp;F209&amp;"'!$B$2")="Credit Limit",
            "Credit Accounts",
            IF(INDIRECT("'"&amp;F209&amp;"'!$E$2")="Location",
                "Cash Accounts",
                IF(INDIRECT("'"&amp;F209&amp;"'!$B$2")="Amount",
                    "Investments",
                    "Bill Accounts"
                )
            )
        ),
    "")
)</f>
        <v/>
      </c>
      <c r="I209" s="46" t="str" cm="1">
        <f t="array" aca="1" ref="I209" ca="1">IF(F209&lt;&gt;"",IF(OR(G209="Bill Accounts",G209="Investments", G209="Cash Accounts"),INDIRECT("'"&amp;F209&amp;"'!$C$10"),INDIRECT("'"&amp;F209&amp;"'!$C$8")),"")</f>
        <v/>
      </c>
      <c r="K209" s="48">
        <f t="shared" si="12"/>
        <v>215</v>
      </c>
      <c r="L209" s="114" t="str" cm="1">
        <f t="array" aca="1" ref="L209" ca="1">IF(F209&lt;&gt;"",INDIRECT("'"&amp;F209&amp;"'!$F$17"),"")</f>
        <v/>
      </c>
      <c r="M209" s="116" t="str">
        <f t="shared" ca="1" si="10"/>
        <v/>
      </c>
      <c r="O209" s="49" t="str">
        <f t="shared" ca="1" si="11"/>
        <v/>
      </c>
      <c r="P209" s="38" t="str">
        <f>IF(E209&lt;&gt;"",RANK(E209,$E$3:$E$2298)+COUNTIF($E$3:E209,E209)-1,"")</f>
        <v/>
      </c>
      <c r="Q209" s="8"/>
      <c r="R209" s="64"/>
      <c r="Z209" s="8"/>
    </row>
    <row r="210" spans="4:26" x14ac:dyDescent="0.25">
      <c r="D210" s="36" t="str" cm="1">
        <f t="array" aca="1" ref="D210" ca="1">IFERROR(IF(INDIRECT("'"&amp;F210&amp;"'!$C$5")&gt;0,DATE(YEAR(Dashboard!$AL$2),Dashboard!$AU$4,INDIRECT("'"&amp;F210&amp;"'!$C$5")),""),"")</f>
        <v/>
      </c>
      <c r="G210" s="38" t="str" cm="1">
        <f t="array" aca="1" ref="G210" ca="1">IF(F210="",
    "",
    IFERROR(
        IF(INDIRECT("'"&amp;F210&amp;"'!$B$2")="Credit Limit",
            "Credit Accounts",
            IF(INDIRECT("'"&amp;F210&amp;"'!$E$2")="Location",
                "Cash Accounts",
                IF(INDIRECT("'"&amp;F210&amp;"'!$B$2")="Amount",
                    "Investments",
                    "Bill Accounts"
                )
            )
        ),
    "")
)</f>
        <v/>
      </c>
      <c r="I210" s="46" t="str" cm="1">
        <f t="array" aca="1" ref="I210" ca="1">IF(F210&lt;&gt;"",IF(OR(G210="Bill Accounts",G210="Investments", G210="Cash Accounts"),INDIRECT("'"&amp;F210&amp;"'!$C$10"),INDIRECT("'"&amp;F210&amp;"'!$C$8")),"")</f>
        <v/>
      </c>
      <c r="K210" s="48">
        <f t="shared" si="12"/>
        <v>216</v>
      </c>
      <c r="L210" s="114" t="str" cm="1">
        <f t="array" aca="1" ref="L210" ca="1">IF(F210&lt;&gt;"",INDIRECT("'"&amp;F210&amp;"'!$F$17"),"")</f>
        <v/>
      </c>
      <c r="M210" s="116" t="str">
        <f t="shared" ca="1" si="10"/>
        <v/>
      </c>
      <c r="O210" s="49" t="str">
        <f t="shared" ca="1" si="11"/>
        <v/>
      </c>
      <c r="P210" s="38" t="str">
        <f>IF(E210&lt;&gt;"",RANK(E210,$E$3:$E$2298)+COUNTIF($E$3:E210,E210)-1,"")</f>
        <v/>
      </c>
      <c r="Q210" s="8"/>
      <c r="R210" s="64"/>
      <c r="Z210" s="8"/>
    </row>
    <row r="211" spans="4:26" x14ac:dyDescent="0.25">
      <c r="D211" s="36" t="str" cm="1">
        <f t="array" aca="1" ref="D211" ca="1">IFERROR(IF(INDIRECT("'"&amp;F211&amp;"'!$C$5")&gt;0,DATE(YEAR(Dashboard!$AL$2),Dashboard!$AU$4,INDIRECT("'"&amp;F211&amp;"'!$C$5")),""),"")</f>
        <v/>
      </c>
      <c r="G211" s="38" t="str" cm="1">
        <f t="array" aca="1" ref="G211" ca="1">IF(F211="",
    "",
    IFERROR(
        IF(INDIRECT("'"&amp;F211&amp;"'!$B$2")="Credit Limit",
            "Credit Accounts",
            IF(INDIRECT("'"&amp;F211&amp;"'!$E$2")="Location",
                "Cash Accounts",
                IF(INDIRECT("'"&amp;F211&amp;"'!$B$2")="Amount",
                    "Investments",
                    "Bill Accounts"
                )
            )
        ),
    "")
)</f>
        <v/>
      </c>
      <c r="I211" s="46" t="str" cm="1">
        <f t="array" aca="1" ref="I211" ca="1">IF(F211&lt;&gt;"",IF(OR(G211="Bill Accounts",G211="Investments", G211="Cash Accounts"),INDIRECT("'"&amp;F211&amp;"'!$C$10"),INDIRECT("'"&amp;F211&amp;"'!$C$8")),"")</f>
        <v/>
      </c>
      <c r="K211" s="48">
        <f t="shared" si="12"/>
        <v>217</v>
      </c>
      <c r="L211" s="114" t="str" cm="1">
        <f t="array" aca="1" ref="L211" ca="1">IF(F211&lt;&gt;"",INDIRECT("'"&amp;F211&amp;"'!$F$17"),"")</f>
        <v/>
      </c>
      <c r="M211" s="116" t="str">
        <f t="shared" ca="1" si="10"/>
        <v/>
      </c>
      <c r="O211" s="49" t="str">
        <f t="shared" ca="1" si="11"/>
        <v/>
      </c>
      <c r="P211" s="38" t="str">
        <f>IF(E211&lt;&gt;"",RANK(E211,$E$3:$E$2298)+COUNTIF($E$3:E211,E211)-1,"")</f>
        <v/>
      </c>
      <c r="Q211" s="8"/>
      <c r="R211" s="64"/>
      <c r="Z211" s="8"/>
    </row>
    <row r="212" spans="4:26" x14ac:dyDescent="0.25">
      <c r="D212" s="36" t="str" cm="1">
        <f t="array" aca="1" ref="D212" ca="1">IFERROR(IF(INDIRECT("'"&amp;F212&amp;"'!$C$5")&gt;0,DATE(YEAR(Dashboard!$AL$2),Dashboard!$AU$4,INDIRECT("'"&amp;F212&amp;"'!$C$5")),""),"")</f>
        <v/>
      </c>
      <c r="G212" s="38" t="str" cm="1">
        <f t="array" aca="1" ref="G212" ca="1">IF(F212="",
    "",
    IFERROR(
        IF(INDIRECT("'"&amp;F212&amp;"'!$B$2")="Credit Limit",
            "Credit Accounts",
            IF(INDIRECT("'"&amp;F212&amp;"'!$E$2")="Location",
                "Cash Accounts",
                IF(INDIRECT("'"&amp;F212&amp;"'!$B$2")="Amount",
                    "Investments",
                    "Bill Accounts"
                )
            )
        ),
    "")
)</f>
        <v/>
      </c>
      <c r="I212" s="46" t="str" cm="1">
        <f t="array" aca="1" ref="I212" ca="1">IF(F212&lt;&gt;"",IF(OR(G212="Bill Accounts",G212="Investments", G212="Cash Accounts"),INDIRECT("'"&amp;F212&amp;"'!$C$10"),INDIRECT("'"&amp;F212&amp;"'!$C$8")),"")</f>
        <v/>
      </c>
      <c r="K212" s="48">
        <f t="shared" si="12"/>
        <v>218</v>
      </c>
      <c r="L212" s="114" t="str" cm="1">
        <f t="array" aca="1" ref="L212" ca="1">IF(F212&lt;&gt;"",INDIRECT("'"&amp;F212&amp;"'!$F$17"),"")</f>
        <v/>
      </c>
      <c r="M212" s="116" t="str">
        <f t="shared" ca="1" si="10"/>
        <v/>
      </c>
      <c r="O212" s="49" t="str">
        <f t="shared" ca="1" si="11"/>
        <v/>
      </c>
      <c r="P212" s="38" t="str">
        <f>IF(E212&lt;&gt;"",RANK(E212,$E$3:$E$2298)+COUNTIF($E$3:E212,E212)-1,"")</f>
        <v/>
      </c>
      <c r="Q212" s="8"/>
      <c r="R212" s="64"/>
      <c r="Z212" s="8"/>
    </row>
    <row r="213" spans="4:26" x14ac:dyDescent="0.25">
      <c r="D213" s="36" t="str" cm="1">
        <f t="array" aca="1" ref="D213" ca="1">IFERROR(IF(INDIRECT("'"&amp;F213&amp;"'!$C$5")&gt;0,DATE(YEAR(Dashboard!$AL$2),Dashboard!$AU$4,INDIRECT("'"&amp;F213&amp;"'!$C$5")),""),"")</f>
        <v/>
      </c>
      <c r="G213" s="38" t="str" cm="1">
        <f t="array" aca="1" ref="G213" ca="1">IF(F213="",
    "",
    IFERROR(
        IF(INDIRECT("'"&amp;F213&amp;"'!$B$2")="Credit Limit",
            "Credit Accounts",
            IF(INDIRECT("'"&amp;F213&amp;"'!$E$2")="Location",
                "Cash Accounts",
                IF(INDIRECT("'"&amp;F213&amp;"'!$B$2")="Amount",
                    "Investments",
                    "Bill Accounts"
                )
            )
        ),
    "")
)</f>
        <v/>
      </c>
      <c r="I213" s="46" t="str" cm="1">
        <f t="array" aca="1" ref="I213" ca="1">IF(F213&lt;&gt;"",IF(OR(G213="Bill Accounts",G213="Investments", G213="Cash Accounts"),INDIRECT("'"&amp;F213&amp;"'!$C$10"),INDIRECT("'"&amp;F213&amp;"'!$C$8")),"")</f>
        <v/>
      </c>
      <c r="K213" s="48">
        <f t="shared" si="12"/>
        <v>219</v>
      </c>
      <c r="L213" s="114" t="str" cm="1">
        <f t="array" aca="1" ref="L213" ca="1">IF(F213&lt;&gt;"",INDIRECT("'"&amp;F213&amp;"'!$F$17"),"")</f>
        <v/>
      </c>
      <c r="M213" s="116" t="str">
        <f t="shared" ca="1" si="10"/>
        <v/>
      </c>
      <c r="O213" s="49" t="str">
        <f t="shared" ca="1" si="11"/>
        <v/>
      </c>
      <c r="P213" s="38" t="str">
        <f>IF(E213&lt;&gt;"",RANK(E213,$E$3:$E$2298)+COUNTIF($E$3:E213,E213)-1,"")</f>
        <v/>
      </c>
      <c r="Q213" s="8"/>
      <c r="R213" s="64"/>
      <c r="Z213" s="8"/>
    </row>
    <row r="214" spans="4:26" x14ac:dyDescent="0.25">
      <c r="D214" s="36" t="str" cm="1">
        <f t="array" aca="1" ref="D214" ca="1">IFERROR(IF(INDIRECT("'"&amp;F214&amp;"'!$C$5")&gt;0,DATE(YEAR(Dashboard!$AL$2),Dashboard!$AU$4,INDIRECT("'"&amp;F214&amp;"'!$C$5")),""),"")</f>
        <v/>
      </c>
      <c r="G214" s="38" t="str" cm="1">
        <f t="array" aca="1" ref="G214" ca="1">IF(F214="",
    "",
    IFERROR(
        IF(INDIRECT("'"&amp;F214&amp;"'!$B$2")="Credit Limit",
            "Credit Accounts",
            IF(INDIRECT("'"&amp;F214&amp;"'!$E$2")="Location",
                "Cash Accounts",
                IF(INDIRECT("'"&amp;F214&amp;"'!$B$2")="Amount",
                    "Investments",
                    "Bill Accounts"
                )
            )
        ),
    "")
)</f>
        <v/>
      </c>
      <c r="I214" s="46" t="str" cm="1">
        <f t="array" aca="1" ref="I214" ca="1">IF(F214&lt;&gt;"",IF(OR(G214="Bill Accounts",G214="Investments", G214="Cash Accounts"),INDIRECT("'"&amp;F214&amp;"'!$C$10"),INDIRECT("'"&amp;F214&amp;"'!$C$8")),"")</f>
        <v/>
      </c>
      <c r="K214" s="48">
        <f t="shared" si="12"/>
        <v>220</v>
      </c>
      <c r="L214" s="114" t="str" cm="1">
        <f t="array" aca="1" ref="L214" ca="1">IF(F214&lt;&gt;"",INDIRECT("'"&amp;F214&amp;"'!$F$17"),"")</f>
        <v/>
      </c>
      <c r="M214" s="116" t="str">
        <f t="shared" ca="1" si="10"/>
        <v/>
      </c>
      <c r="O214" s="49" t="str">
        <f t="shared" ca="1" si="11"/>
        <v/>
      </c>
      <c r="P214" s="38" t="str">
        <f>IF(E214&lt;&gt;"",RANK(E214,$E$3:$E$2298)+COUNTIF($E$3:E214,E214)-1,"")</f>
        <v/>
      </c>
      <c r="Q214" s="8"/>
      <c r="R214" s="64"/>
      <c r="Z214" s="8"/>
    </row>
    <row r="215" spans="4:26" x14ac:dyDescent="0.25">
      <c r="D215" s="36" t="str" cm="1">
        <f t="array" aca="1" ref="D215" ca="1">IFERROR(IF(INDIRECT("'"&amp;F215&amp;"'!$C$5")&gt;0,DATE(YEAR(Dashboard!$AL$2),Dashboard!$AU$4,INDIRECT("'"&amp;F215&amp;"'!$C$5")),""),"")</f>
        <v/>
      </c>
      <c r="G215" s="38" t="str" cm="1">
        <f t="array" aca="1" ref="G215" ca="1">IF(F215="",
    "",
    IFERROR(
        IF(INDIRECT("'"&amp;F215&amp;"'!$B$2")="Credit Limit",
            "Credit Accounts",
            IF(INDIRECT("'"&amp;F215&amp;"'!$E$2")="Location",
                "Cash Accounts",
                IF(INDIRECT("'"&amp;F215&amp;"'!$B$2")="Amount",
                    "Investments",
                    "Bill Accounts"
                )
            )
        ),
    "")
)</f>
        <v/>
      </c>
      <c r="I215" s="46" t="str" cm="1">
        <f t="array" aca="1" ref="I215" ca="1">IF(F215&lt;&gt;"",IF(OR(G215="Bill Accounts",G215="Investments", G215="Cash Accounts"),INDIRECT("'"&amp;F215&amp;"'!$C$10"),INDIRECT("'"&amp;F215&amp;"'!$C$8")),"")</f>
        <v/>
      </c>
      <c r="K215" s="48">
        <f t="shared" si="12"/>
        <v>221</v>
      </c>
      <c r="L215" s="114" t="str" cm="1">
        <f t="array" aca="1" ref="L215" ca="1">IF(F215&lt;&gt;"",INDIRECT("'"&amp;F215&amp;"'!$F$17"),"")</f>
        <v/>
      </c>
      <c r="M215" s="116" t="str">
        <f t="shared" ca="1" si="10"/>
        <v/>
      </c>
      <c r="O215" s="49" t="str">
        <f t="shared" ca="1" si="11"/>
        <v/>
      </c>
      <c r="P215" s="38" t="str">
        <f>IF(E215&lt;&gt;"",RANK(E215,$E$3:$E$2298)+COUNTIF($E$3:E215,E215)-1,"")</f>
        <v/>
      </c>
      <c r="Q215" s="8"/>
      <c r="R215" s="64"/>
      <c r="Z215" s="8"/>
    </row>
    <row r="216" spans="4:26" x14ac:dyDescent="0.25">
      <c r="D216" s="36" t="str" cm="1">
        <f t="array" aca="1" ref="D216" ca="1">IFERROR(IF(INDIRECT("'"&amp;F216&amp;"'!$C$5")&gt;0,DATE(YEAR(Dashboard!$AL$2),Dashboard!$AU$4,INDIRECT("'"&amp;F216&amp;"'!$C$5")),""),"")</f>
        <v/>
      </c>
      <c r="G216" s="38" t="str" cm="1">
        <f t="array" aca="1" ref="G216" ca="1">IF(F216="",
    "",
    IFERROR(
        IF(INDIRECT("'"&amp;F216&amp;"'!$B$2")="Credit Limit",
            "Credit Accounts",
            IF(INDIRECT("'"&amp;F216&amp;"'!$E$2")="Location",
                "Cash Accounts",
                IF(INDIRECT("'"&amp;F216&amp;"'!$B$2")="Amount",
                    "Investments",
                    "Bill Accounts"
                )
            )
        ),
    "")
)</f>
        <v/>
      </c>
      <c r="I216" s="46" t="str" cm="1">
        <f t="array" aca="1" ref="I216" ca="1">IF(F216&lt;&gt;"",IF(OR(G216="Bill Accounts",G216="Investments", G216="Cash Accounts"),INDIRECT("'"&amp;F216&amp;"'!$C$10"),INDIRECT("'"&amp;F216&amp;"'!$C$8")),"")</f>
        <v/>
      </c>
      <c r="K216" s="48">
        <f t="shared" si="12"/>
        <v>222</v>
      </c>
      <c r="L216" s="114" t="str" cm="1">
        <f t="array" aca="1" ref="L216" ca="1">IF(F216&lt;&gt;"",INDIRECT("'"&amp;F216&amp;"'!$F$17"),"")</f>
        <v/>
      </c>
      <c r="M216" s="116" t="str">
        <f t="shared" ca="1" si="10"/>
        <v/>
      </c>
      <c r="O216" s="49" t="str">
        <f t="shared" ca="1" si="11"/>
        <v/>
      </c>
      <c r="P216" s="38" t="str">
        <f>IF(E216&lt;&gt;"",RANK(E216,$E$3:$E$2298)+COUNTIF($E$3:E216,E216)-1,"")</f>
        <v/>
      </c>
      <c r="Q216" s="8"/>
      <c r="R216" s="64"/>
      <c r="Z216" s="8"/>
    </row>
    <row r="217" spans="4:26" x14ac:dyDescent="0.25">
      <c r="D217" s="36" t="str" cm="1">
        <f t="array" aca="1" ref="D217" ca="1">IFERROR(IF(INDIRECT("'"&amp;F217&amp;"'!$C$5")&gt;0,DATE(YEAR(Dashboard!$AL$2),Dashboard!$AU$4,INDIRECT("'"&amp;F217&amp;"'!$C$5")),""),"")</f>
        <v/>
      </c>
      <c r="G217" s="38" t="str" cm="1">
        <f t="array" aca="1" ref="G217" ca="1">IF(F217="",
    "",
    IFERROR(
        IF(INDIRECT("'"&amp;F217&amp;"'!$B$2")="Credit Limit",
            "Credit Accounts",
            IF(INDIRECT("'"&amp;F217&amp;"'!$E$2")="Location",
                "Cash Accounts",
                IF(INDIRECT("'"&amp;F217&amp;"'!$B$2")="Amount",
                    "Investments",
                    "Bill Accounts"
                )
            )
        ),
    "")
)</f>
        <v/>
      </c>
      <c r="I217" s="46" t="str" cm="1">
        <f t="array" aca="1" ref="I217" ca="1">IF(F217&lt;&gt;"",IF(OR(G217="Bill Accounts",G217="Investments", G217="Cash Accounts"),INDIRECT("'"&amp;F217&amp;"'!$C$10"),INDIRECT("'"&amp;F217&amp;"'!$C$8")),"")</f>
        <v/>
      </c>
      <c r="K217" s="48">
        <f t="shared" si="12"/>
        <v>223</v>
      </c>
      <c r="L217" s="114" t="str" cm="1">
        <f t="array" aca="1" ref="L217" ca="1">IF(F217&lt;&gt;"",INDIRECT("'"&amp;F217&amp;"'!$F$17"),"")</f>
        <v/>
      </c>
      <c r="M217" s="116" t="str">
        <f t="shared" ca="1" si="10"/>
        <v/>
      </c>
      <c r="O217" s="49" t="str">
        <f t="shared" ca="1" si="11"/>
        <v/>
      </c>
      <c r="P217" s="38" t="str">
        <f>IF(E217&lt;&gt;"",RANK(E217,$E$3:$E$2298)+COUNTIF($E$3:E217,E217)-1,"")</f>
        <v/>
      </c>
      <c r="Q217" s="8"/>
      <c r="R217" s="64"/>
      <c r="Z217" s="8"/>
    </row>
    <row r="218" spans="4:26" x14ac:dyDescent="0.25">
      <c r="D218" s="36" t="str" cm="1">
        <f t="array" aca="1" ref="D218" ca="1">IFERROR(IF(INDIRECT("'"&amp;F218&amp;"'!$C$5")&gt;0,DATE(YEAR(Dashboard!$AL$2),Dashboard!$AU$4,INDIRECT("'"&amp;F218&amp;"'!$C$5")),""),"")</f>
        <v/>
      </c>
      <c r="G218" s="38" t="str" cm="1">
        <f t="array" aca="1" ref="G218" ca="1">IF(F218="",
    "",
    IFERROR(
        IF(INDIRECT("'"&amp;F218&amp;"'!$B$2")="Credit Limit",
            "Credit Accounts",
            IF(INDIRECT("'"&amp;F218&amp;"'!$E$2")="Location",
                "Cash Accounts",
                IF(INDIRECT("'"&amp;F218&amp;"'!$B$2")="Amount",
                    "Investments",
                    "Bill Accounts"
                )
            )
        ),
    "")
)</f>
        <v/>
      </c>
      <c r="I218" s="46" t="str" cm="1">
        <f t="array" aca="1" ref="I218" ca="1">IF(F218&lt;&gt;"",IF(OR(G218="Bill Accounts",G218="Investments", G218="Cash Accounts"),INDIRECT("'"&amp;F218&amp;"'!$C$10"),INDIRECT("'"&amp;F218&amp;"'!$C$8")),"")</f>
        <v/>
      </c>
      <c r="K218" s="48">
        <f t="shared" si="12"/>
        <v>224</v>
      </c>
      <c r="L218" s="114" t="str" cm="1">
        <f t="array" aca="1" ref="L218" ca="1">IF(F218&lt;&gt;"",INDIRECT("'"&amp;F218&amp;"'!$F$17"),"")</f>
        <v/>
      </c>
      <c r="M218" s="116" t="str">
        <f t="shared" ca="1" si="10"/>
        <v/>
      </c>
      <c r="O218" s="49" t="str">
        <f t="shared" ca="1" si="11"/>
        <v/>
      </c>
      <c r="P218" s="38" t="str">
        <f>IF(E218&lt;&gt;"",RANK(E218,$E$3:$E$2298)+COUNTIF($E$3:E218,E218)-1,"")</f>
        <v/>
      </c>
      <c r="Q218" s="8"/>
      <c r="R218" s="64"/>
      <c r="Z218" s="8"/>
    </row>
    <row r="219" spans="4:26" x14ac:dyDescent="0.25">
      <c r="D219" s="36" t="str" cm="1">
        <f t="array" aca="1" ref="D219" ca="1">IFERROR(IF(INDIRECT("'"&amp;F219&amp;"'!$C$5")&gt;0,DATE(YEAR(Dashboard!$AL$2),Dashboard!$AU$4,INDIRECT("'"&amp;F219&amp;"'!$C$5")),""),"")</f>
        <v/>
      </c>
      <c r="G219" s="38" t="str" cm="1">
        <f t="array" aca="1" ref="G219" ca="1">IF(F219="",
    "",
    IFERROR(
        IF(INDIRECT("'"&amp;F219&amp;"'!$B$2")="Credit Limit",
            "Credit Accounts",
            IF(INDIRECT("'"&amp;F219&amp;"'!$E$2")="Location",
                "Cash Accounts",
                IF(INDIRECT("'"&amp;F219&amp;"'!$B$2")="Amount",
                    "Investments",
                    "Bill Accounts"
                )
            )
        ),
    "")
)</f>
        <v/>
      </c>
      <c r="I219" s="46" t="str" cm="1">
        <f t="array" aca="1" ref="I219" ca="1">IF(F219&lt;&gt;"",IF(OR(G219="Bill Accounts",G219="Investments", G219="Cash Accounts"),INDIRECT("'"&amp;F219&amp;"'!$C$10"),INDIRECT("'"&amp;F219&amp;"'!$C$8")),"")</f>
        <v/>
      </c>
      <c r="K219" s="48">
        <f t="shared" si="12"/>
        <v>225</v>
      </c>
      <c r="L219" s="114" t="str" cm="1">
        <f t="array" aca="1" ref="L219" ca="1">IF(F219&lt;&gt;"",INDIRECT("'"&amp;F219&amp;"'!$F$17"),"")</f>
        <v/>
      </c>
      <c r="M219" s="116" t="str">
        <f t="shared" ca="1" si="10"/>
        <v/>
      </c>
      <c r="O219" s="49" t="str">
        <f t="shared" ca="1" si="11"/>
        <v/>
      </c>
      <c r="P219" s="38" t="str">
        <f>IF(E219&lt;&gt;"",RANK(E219,$E$3:$E$2298)+COUNTIF($E$3:E219,E219)-1,"")</f>
        <v/>
      </c>
      <c r="Q219" s="8"/>
      <c r="R219" s="64"/>
      <c r="Z219" s="8"/>
    </row>
    <row r="220" spans="4:26" x14ac:dyDescent="0.25">
      <c r="D220" s="36" t="str" cm="1">
        <f t="array" aca="1" ref="D220" ca="1">IFERROR(IF(INDIRECT("'"&amp;F220&amp;"'!$C$5")&gt;0,DATE(YEAR(Dashboard!$AL$2),Dashboard!$AU$4,INDIRECT("'"&amp;F220&amp;"'!$C$5")),""),"")</f>
        <v/>
      </c>
      <c r="G220" s="38" t="str" cm="1">
        <f t="array" aca="1" ref="G220" ca="1">IF(F220="",
    "",
    IFERROR(
        IF(INDIRECT("'"&amp;F220&amp;"'!$B$2")="Credit Limit",
            "Credit Accounts",
            IF(INDIRECT("'"&amp;F220&amp;"'!$E$2")="Location",
                "Cash Accounts",
                IF(INDIRECT("'"&amp;F220&amp;"'!$B$2")="Amount",
                    "Investments",
                    "Bill Accounts"
                )
            )
        ),
    "")
)</f>
        <v/>
      </c>
      <c r="I220" s="46" t="str" cm="1">
        <f t="array" aca="1" ref="I220" ca="1">IF(F220&lt;&gt;"",IF(OR(G220="Bill Accounts",G220="Investments", G220="Cash Accounts"),INDIRECT("'"&amp;F220&amp;"'!$C$10"),INDIRECT("'"&amp;F220&amp;"'!$C$8")),"")</f>
        <v/>
      </c>
      <c r="K220" s="48">
        <f t="shared" si="12"/>
        <v>226</v>
      </c>
      <c r="L220" s="114" t="str" cm="1">
        <f t="array" aca="1" ref="L220" ca="1">IF(F220&lt;&gt;"",INDIRECT("'"&amp;F220&amp;"'!$F$17"),"")</f>
        <v/>
      </c>
      <c r="M220" s="116" t="str">
        <f t="shared" ca="1" si="10"/>
        <v/>
      </c>
      <c r="O220" s="49" t="str">
        <f t="shared" ca="1" si="11"/>
        <v/>
      </c>
      <c r="P220" s="38" t="str">
        <f>IF(E220&lt;&gt;"",RANK(E220,$E$3:$E$2298)+COUNTIF($E$3:E220,E220)-1,"")</f>
        <v/>
      </c>
      <c r="Q220" s="8"/>
      <c r="R220" s="64"/>
      <c r="Z220" s="8"/>
    </row>
    <row r="221" spans="4:26" x14ac:dyDescent="0.25">
      <c r="D221" s="36" t="str" cm="1">
        <f t="array" aca="1" ref="D221" ca="1">IFERROR(IF(INDIRECT("'"&amp;F221&amp;"'!$C$5")&gt;0,DATE(YEAR(Dashboard!$AL$2),Dashboard!$AU$4,INDIRECT("'"&amp;F221&amp;"'!$C$5")),""),"")</f>
        <v/>
      </c>
      <c r="G221" s="38" t="str" cm="1">
        <f t="array" aca="1" ref="G221" ca="1">IF(F221="",
    "",
    IFERROR(
        IF(INDIRECT("'"&amp;F221&amp;"'!$B$2")="Credit Limit",
            "Credit Accounts",
            IF(INDIRECT("'"&amp;F221&amp;"'!$E$2")="Location",
                "Cash Accounts",
                IF(INDIRECT("'"&amp;F221&amp;"'!$B$2")="Amount",
                    "Investments",
                    "Bill Accounts"
                )
            )
        ),
    "")
)</f>
        <v/>
      </c>
      <c r="I221" s="46" t="str" cm="1">
        <f t="array" aca="1" ref="I221" ca="1">IF(F221&lt;&gt;"",IF(OR(G221="Bill Accounts",G221="Investments", G221="Cash Accounts"),INDIRECT("'"&amp;F221&amp;"'!$C$10"),INDIRECT("'"&amp;F221&amp;"'!$C$8")),"")</f>
        <v/>
      </c>
      <c r="K221" s="48">
        <f t="shared" si="12"/>
        <v>227</v>
      </c>
      <c r="L221" s="114" t="str" cm="1">
        <f t="array" aca="1" ref="L221" ca="1">IF(F221&lt;&gt;"",INDIRECT("'"&amp;F221&amp;"'!$F$17"),"")</f>
        <v/>
      </c>
      <c r="M221" s="116" t="str">
        <f t="shared" ca="1" si="10"/>
        <v/>
      </c>
      <c r="O221" s="49" t="str">
        <f t="shared" ca="1" si="11"/>
        <v/>
      </c>
      <c r="P221" s="38" t="str">
        <f>IF(E221&lt;&gt;"",RANK(E221,$E$3:$E$2298)+COUNTIF($E$3:E221,E221)-1,"")</f>
        <v/>
      </c>
      <c r="Q221" s="8"/>
      <c r="R221" s="64"/>
      <c r="Z221" s="8"/>
    </row>
    <row r="222" spans="4:26" x14ac:dyDescent="0.25">
      <c r="D222" s="36" t="str" cm="1">
        <f t="array" aca="1" ref="D222" ca="1">IFERROR(IF(INDIRECT("'"&amp;F222&amp;"'!$C$5")&gt;0,DATE(YEAR(Dashboard!$AL$2),Dashboard!$AU$4,INDIRECT("'"&amp;F222&amp;"'!$C$5")),""),"")</f>
        <v/>
      </c>
      <c r="G222" s="38" t="str" cm="1">
        <f t="array" aca="1" ref="G222" ca="1">IF(F222="",
    "",
    IFERROR(
        IF(INDIRECT("'"&amp;F222&amp;"'!$B$2")="Credit Limit",
            "Credit Accounts",
            IF(INDIRECT("'"&amp;F222&amp;"'!$E$2")="Location",
                "Cash Accounts",
                IF(INDIRECT("'"&amp;F222&amp;"'!$B$2")="Amount",
                    "Investments",
                    "Bill Accounts"
                )
            )
        ),
    "")
)</f>
        <v/>
      </c>
      <c r="I222" s="46" t="str" cm="1">
        <f t="array" aca="1" ref="I222" ca="1">IF(F222&lt;&gt;"",IF(OR(G222="Bill Accounts",G222="Investments", G222="Cash Accounts"),INDIRECT("'"&amp;F222&amp;"'!$C$10"),INDIRECT("'"&amp;F222&amp;"'!$C$8")),"")</f>
        <v/>
      </c>
      <c r="K222" s="48">
        <f t="shared" si="12"/>
        <v>228</v>
      </c>
      <c r="L222" s="114" t="str" cm="1">
        <f t="array" aca="1" ref="L222" ca="1">IF(F222&lt;&gt;"",INDIRECT("'"&amp;F222&amp;"'!$F$17"),"")</f>
        <v/>
      </c>
      <c r="M222" s="116" t="str">
        <f t="shared" ca="1" si="10"/>
        <v/>
      </c>
      <c r="O222" s="49" t="str">
        <f t="shared" ca="1" si="11"/>
        <v/>
      </c>
      <c r="P222" s="38" t="str">
        <f>IF(E222&lt;&gt;"",RANK(E222,$E$3:$E$2298)+COUNTIF($E$3:E222,E222)-1,"")</f>
        <v/>
      </c>
      <c r="Q222" s="8"/>
      <c r="R222" s="64"/>
      <c r="Z222" s="8"/>
    </row>
    <row r="223" spans="4:26" x14ac:dyDescent="0.25">
      <c r="D223" s="36" t="str" cm="1">
        <f t="array" aca="1" ref="D223" ca="1">IFERROR(IF(INDIRECT("'"&amp;F223&amp;"'!$C$5")&gt;0,DATE(YEAR(Dashboard!$AL$2),Dashboard!$AU$4,INDIRECT("'"&amp;F223&amp;"'!$C$5")),""),"")</f>
        <v/>
      </c>
      <c r="G223" s="38" t="str" cm="1">
        <f t="array" aca="1" ref="G223" ca="1">IF(F223="",
    "",
    IFERROR(
        IF(INDIRECT("'"&amp;F223&amp;"'!$B$2")="Credit Limit",
            "Credit Accounts",
            IF(INDIRECT("'"&amp;F223&amp;"'!$E$2")="Location",
                "Cash Accounts",
                IF(INDIRECT("'"&amp;F223&amp;"'!$B$2")="Amount",
                    "Investments",
                    "Bill Accounts"
                )
            )
        ),
    "")
)</f>
        <v/>
      </c>
      <c r="I223" s="46" t="str" cm="1">
        <f t="array" aca="1" ref="I223" ca="1">IF(F223&lt;&gt;"",IF(OR(G223="Bill Accounts",G223="Investments", G223="Cash Accounts"),INDIRECT("'"&amp;F223&amp;"'!$C$10"),INDIRECT("'"&amp;F223&amp;"'!$C$8")),"")</f>
        <v/>
      </c>
      <c r="K223" s="48">
        <f t="shared" si="12"/>
        <v>229</v>
      </c>
      <c r="L223" s="114" t="str" cm="1">
        <f t="array" aca="1" ref="L223" ca="1">IF(F223&lt;&gt;"",INDIRECT("'"&amp;F223&amp;"'!$F$17"),"")</f>
        <v/>
      </c>
      <c r="M223" s="116" t="str">
        <f t="shared" ca="1" si="10"/>
        <v/>
      </c>
      <c r="O223" s="49" t="str">
        <f t="shared" ca="1" si="11"/>
        <v/>
      </c>
      <c r="P223" s="38" t="str">
        <f>IF(E223&lt;&gt;"",RANK(E223,$E$3:$E$2298)+COUNTIF($E$3:E223,E223)-1,"")</f>
        <v/>
      </c>
      <c r="Q223" s="8"/>
      <c r="R223" s="64"/>
      <c r="Z223" s="8"/>
    </row>
    <row r="224" spans="4:26" x14ac:dyDescent="0.25">
      <c r="D224" s="36" t="str" cm="1">
        <f t="array" aca="1" ref="D224" ca="1">IFERROR(IF(INDIRECT("'"&amp;F224&amp;"'!$C$5")&gt;0,DATE(YEAR(Dashboard!$AL$2),Dashboard!$AU$4,INDIRECT("'"&amp;F224&amp;"'!$C$5")),""),"")</f>
        <v/>
      </c>
      <c r="G224" s="38" t="str" cm="1">
        <f t="array" aca="1" ref="G224" ca="1">IF(F224="",
    "",
    IFERROR(
        IF(INDIRECT("'"&amp;F224&amp;"'!$B$2")="Credit Limit",
            "Credit Accounts",
            IF(INDIRECT("'"&amp;F224&amp;"'!$E$2")="Location",
                "Cash Accounts",
                IF(INDIRECT("'"&amp;F224&amp;"'!$B$2")="Amount",
                    "Investments",
                    "Bill Accounts"
                )
            )
        ),
    "")
)</f>
        <v/>
      </c>
      <c r="I224" s="46" t="str" cm="1">
        <f t="array" aca="1" ref="I224" ca="1">IF(F224&lt;&gt;"",IF(OR(G224="Bill Accounts",G224="Investments", G224="Cash Accounts"),INDIRECT("'"&amp;F224&amp;"'!$C$10"),INDIRECT("'"&amp;F224&amp;"'!$C$8")),"")</f>
        <v/>
      </c>
      <c r="K224" s="48">
        <f t="shared" si="12"/>
        <v>230</v>
      </c>
      <c r="L224" s="114" t="str" cm="1">
        <f t="array" aca="1" ref="L224" ca="1">IF(F224&lt;&gt;"",INDIRECT("'"&amp;F224&amp;"'!$F$17"),"")</f>
        <v/>
      </c>
      <c r="M224" s="116" t="str">
        <f t="shared" ca="1" si="10"/>
        <v/>
      </c>
      <c r="O224" s="49" t="str">
        <f t="shared" ca="1" si="11"/>
        <v/>
      </c>
      <c r="P224" s="38" t="str">
        <f>IF(E224&lt;&gt;"",RANK(E224,$E$3:$E$2298)+COUNTIF($E$3:E224,E224)-1,"")</f>
        <v/>
      </c>
      <c r="Q224" s="8"/>
      <c r="R224" s="64"/>
      <c r="Z224" s="8"/>
    </row>
    <row r="225" spans="4:26" x14ac:dyDescent="0.25">
      <c r="D225" s="36" t="str" cm="1">
        <f t="array" aca="1" ref="D225" ca="1">IFERROR(IF(INDIRECT("'"&amp;F225&amp;"'!$C$5")&gt;0,DATE(YEAR(Dashboard!$AL$2),Dashboard!$AU$4,INDIRECT("'"&amp;F225&amp;"'!$C$5")),""),"")</f>
        <v/>
      </c>
      <c r="G225" s="38" t="str" cm="1">
        <f t="array" aca="1" ref="G225" ca="1">IF(F225="",
    "",
    IFERROR(
        IF(INDIRECT("'"&amp;F225&amp;"'!$B$2")="Credit Limit",
            "Credit Accounts",
            IF(INDIRECT("'"&amp;F225&amp;"'!$E$2")="Location",
                "Cash Accounts",
                IF(INDIRECT("'"&amp;F225&amp;"'!$B$2")="Amount",
                    "Investments",
                    "Bill Accounts"
                )
            )
        ),
    "")
)</f>
        <v/>
      </c>
      <c r="I225" s="46" t="str" cm="1">
        <f t="array" aca="1" ref="I225" ca="1">IF(F225&lt;&gt;"",IF(OR(G225="Bill Accounts",G225="Investments", G225="Cash Accounts"),INDIRECT("'"&amp;F225&amp;"'!$C$10"),INDIRECT("'"&amp;F225&amp;"'!$C$8")),"")</f>
        <v/>
      </c>
      <c r="K225" s="48">
        <f t="shared" si="12"/>
        <v>231</v>
      </c>
      <c r="L225" s="114" t="str" cm="1">
        <f t="array" aca="1" ref="L225" ca="1">IF(F225&lt;&gt;"",INDIRECT("'"&amp;F225&amp;"'!$F$17"),"")</f>
        <v/>
      </c>
      <c r="M225" s="116" t="str">
        <f t="shared" ca="1" si="10"/>
        <v/>
      </c>
      <c r="O225" s="49" t="str">
        <f t="shared" ca="1" si="11"/>
        <v/>
      </c>
      <c r="P225" s="38" t="str">
        <f>IF(E225&lt;&gt;"",RANK(E225,$E$3:$E$2298)+COUNTIF($E$3:E225,E225)-1,"")</f>
        <v/>
      </c>
      <c r="Q225" s="8"/>
      <c r="R225" s="64"/>
      <c r="Z225" s="8"/>
    </row>
    <row r="226" spans="4:26" x14ac:dyDescent="0.25">
      <c r="D226" s="36" t="str" cm="1">
        <f t="array" aca="1" ref="D226" ca="1">IFERROR(IF(INDIRECT("'"&amp;F226&amp;"'!$C$5")&gt;0,DATE(YEAR(Dashboard!$AL$2),Dashboard!$AU$4,INDIRECT("'"&amp;F226&amp;"'!$C$5")),""),"")</f>
        <v/>
      </c>
      <c r="G226" s="38" t="str" cm="1">
        <f t="array" aca="1" ref="G226" ca="1">IF(F226="",
    "",
    IFERROR(
        IF(INDIRECT("'"&amp;F226&amp;"'!$B$2")="Credit Limit",
            "Credit Accounts",
            IF(INDIRECT("'"&amp;F226&amp;"'!$E$2")="Location",
                "Cash Accounts",
                IF(INDIRECT("'"&amp;F226&amp;"'!$B$2")="Amount",
                    "Investments",
                    "Bill Accounts"
                )
            )
        ),
    "")
)</f>
        <v/>
      </c>
      <c r="I226" s="46" t="str" cm="1">
        <f t="array" aca="1" ref="I226" ca="1">IF(F226&lt;&gt;"",IF(OR(G226="Bill Accounts",G226="Investments", G226="Cash Accounts"),INDIRECT("'"&amp;F226&amp;"'!$C$10"),INDIRECT("'"&amp;F226&amp;"'!$C$8")),"")</f>
        <v/>
      </c>
      <c r="K226" s="48">
        <f t="shared" si="12"/>
        <v>232</v>
      </c>
      <c r="L226" s="114" t="str" cm="1">
        <f t="array" aca="1" ref="L226" ca="1">IF(F226&lt;&gt;"",INDIRECT("'"&amp;F226&amp;"'!$F$17"),"")</f>
        <v/>
      </c>
      <c r="M226" s="116" t="str">
        <f t="shared" ca="1" si="10"/>
        <v/>
      </c>
      <c r="O226" s="49" t="str">
        <f t="shared" ca="1" si="11"/>
        <v/>
      </c>
      <c r="P226" s="38" t="str">
        <f>IF(E226&lt;&gt;"",RANK(E226,$E$3:$E$2298)+COUNTIF($E$3:E226,E226)-1,"")</f>
        <v/>
      </c>
      <c r="Q226" s="8"/>
      <c r="R226" s="64"/>
      <c r="Z226" s="8"/>
    </row>
    <row r="227" spans="4:26" x14ac:dyDescent="0.25">
      <c r="D227" s="36" t="str" cm="1">
        <f t="array" aca="1" ref="D227" ca="1">IFERROR(IF(INDIRECT("'"&amp;F227&amp;"'!$C$5")&gt;0,DATE(YEAR(Dashboard!$AL$2),Dashboard!$AU$4,INDIRECT("'"&amp;F227&amp;"'!$C$5")),""),"")</f>
        <v/>
      </c>
      <c r="G227" s="38" t="str" cm="1">
        <f t="array" aca="1" ref="G227" ca="1">IF(F227="",
    "",
    IFERROR(
        IF(INDIRECT("'"&amp;F227&amp;"'!$B$2")="Credit Limit",
            "Credit Accounts",
            IF(INDIRECT("'"&amp;F227&amp;"'!$E$2")="Location",
                "Cash Accounts",
                IF(INDIRECT("'"&amp;F227&amp;"'!$B$2")="Amount",
                    "Investments",
                    "Bill Accounts"
                )
            )
        ),
    "")
)</f>
        <v/>
      </c>
      <c r="I227" s="46" t="str" cm="1">
        <f t="array" aca="1" ref="I227" ca="1">IF(F227&lt;&gt;"",IF(OR(G227="Bill Accounts",G227="Investments", G227="Cash Accounts"),INDIRECT("'"&amp;F227&amp;"'!$C$10"),INDIRECT("'"&amp;F227&amp;"'!$C$8")),"")</f>
        <v/>
      </c>
      <c r="K227" s="48">
        <f t="shared" si="12"/>
        <v>233</v>
      </c>
      <c r="L227" s="114" t="str" cm="1">
        <f t="array" aca="1" ref="L227" ca="1">IF(F227&lt;&gt;"",INDIRECT("'"&amp;F227&amp;"'!$F$17"),"")</f>
        <v/>
      </c>
      <c r="M227" s="116" t="str">
        <f t="shared" ca="1" si="10"/>
        <v/>
      </c>
      <c r="O227" s="49" t="str">
        <f t="shared" ca="1" si="11"/>
        <v/>
      </c>
      <c r="P227" s="38" t="str">
        <f>IF(E227&lt;&gt;"",RANK(E227,$E$3:$E$2298)+COUNTIF($E$3:E227,E227)-1,"")</f>
        <v/>
      </c>
      <c r="Q227" s="8"/>
      <c r="R227" s="64"/>
      <c r="Z227" s="8"/>
    </row>
    <row r="228" spans="4:26" x14ac:dyDescent="0.25">
      <c r="D228" s="36" t="str" cm="1">
        <f t="array" aca="1" ref="D228" ca="1">IFERROR(IF(INDIRECT("'"&amp;F228&amp;"'!$C$5")&gt;0,DATE(YEAR(Dashboard!$AL$2),Dashboard!$AU$4,INDIRECT("'"&amp;F228&amp;"'!$C$5")),""),"")</f>
        <v/>
      </c>
      <c r="G228" s="38" t="str" cm="1">
        <f t="array" aca="1" ref="G228" ca="1">IF(F228="",
    "",
    IFERROR(
        IF(INDIRECT("'"&amp;F228&amp;"'!$B$2")="Credit Limit",
            "Credit Accounts",
            IF(INDIRECT("'"&amp;F228&amp;"'!$E$2")="Location",
                "Cash Accounts",
                IF(INDIRECT("'"&amp;F228&amp;"'!$B$2")="Amount",
                    "Investments",
                    "Bill Accounts"
                )
            )
        ),
    "")
)</f>
        <v/>
      </c>
      <c r="I228" s="46" t="str" cm="1">
        <f t="array" aca="1" ref="I228" ca="1">IF(F228&lt;&gt;"",IF(OR(G228="Bill Accounts",G228="Investments", G228="Cash Accounts"),INDIRECT("'"&amp;F228&amp;"'!$C$10"),INDIRECT("'"&amp;F228&amp;"'!$C$8")),"")</f>
        <v/>
      </c>
      <c r="K228" s="48">
        <f t="shared" si="12"/>
        <v>234</v>
      </c>
      <c r="L228" s="114" t="str" cm="1">
        <f t="array" aca="1" ref="L228" ca="1">IF(F228&lt;&gt;"",INDIRECT("'"&amp;F228&amp;"'!$F$17"),"")</f>
        <v/>
      </c>
      <c r="M228" s="116" t="str">
        <f t="shared" ca="1" si="10"/>
        <v/>
      </c>
      <c r="O228" s="49" t="str">
        <f t="shared" ca="1" si="11"/>
        <v/>
      </c>
      <c r="P228" s="38" t="str">
        <f>IF(E228&lt;&gt;"",RANK(E228,$E$3:$E$2298)+COUNTIF($E$3:E228,E228)-1,"")</f>
        <v/>
      </c>
      <c r="Q228" s="8"/>
      <c r="R228" s="64"/>
      <c r="Z228" s="8"/>
    </row>
    <row r="229" spans="4:26" x14ac:dyDescent="0.25">
      <c r="D229" s="36" t="str" cm="1">
        <f t="array" aca="1" ref="D229" ca="1">IFERROR(IF(INDIRECT("'"&amp;F229&amp;"'!$C$5")&gt;0,DATE(YEAR(Dashboard!$AL$2),Dashboard!$AU$4,INDIRECT("'"&amp;F229&amp;"'!$C$5")),""),"")</f>
        <v/>
      </c>
      <c r="G229" s="38" t="str" cm="1">
        <f t="array" aca="1" ref="G229" ca="1">IF(F229="",
    "",
    IFERROR(
        IF(INDIRECT("'"&amp;F229&amp;"'!$B$2")="Credit Limit",
            "Credit Accounts",
            IF(INDIRECT("'"&amp;F229&amp;"'!$E$2")="Location",
                "Cash Accounts",
                IF(INDIRECT("'"&amp;F229&amp;"'!$B$2")="Amount",
                    "Investments",
                    "Bill Accounts"
                )
            )
        ),
    "")
)</f>
        <v/>
      </c>
      <c r="I229" s="46" t="str" cm="1">
        <f t="array" aca="1" ref="I229" ca="1">IF(F229&lt;&gt;"",IF(OR(G229="Bill Accounts",G229="Investments", G229="Cash Accounts"),INDIRECT("'"&amp;F229&amp;"'!$C$10"),INDIRECT("'"&amp;F229&amp;"'!$C$8")),"")</f>
        <v/>
      </c>
      <c r="K229" s="48">
        <f t="shared" si="12"/>
        <v>235</v>
      </c>
      <c r="L229" s="114" t="str" cm="1">
        <f t="array" aca="1" ref="L229" ca="1">IF(F229&lt;&gt;"",INDIRECT("'"&amp;F229&amp;"'!$F$17"),"")</f>
        <v/>
      </c>
      <c r="M229" s="116" t="str">
        <f t="shared" ca="1" si="10"/>
        <v/>
      </c>
      <c r="O229" s="49" t="str">
        <f t="shared" ca="1" si="11"/>
        <v/>
      </c>
      <c r="P229" s="38" t="str">
        <f>IF(E229&lt;&gt;"",RANK(E229,$E$3:$E$2298)+COUNTIF($E$3:E229,E229)-1,"")</f>
        <v/>
      </c>
      <c r="Q229" s="8"/>
      <c r="R229" s="64"/>
      <c r="Z229" s="8"/>
    </row>
    <row r="230" spans="4:26" x14ac:dyDescent="0.25">
      <c r="D230" s="36" t="str" cm="1">
        <f t="array" aca="1" ref="D230" ca="1">IFERROR(IF(INDIRECT("'"&amp;F230&amp;"'!$C$5")&gt;0,DATE(YEAR(Dashboard!$AL$2),Dashboard!$AU$4,INDIRECT("'"&amp;F230&amp;"'!$C$5")),""),"")</f>
        <v/>
      </c>
      <c r="G230" s="38" t="str" cm="1">
        <f t="array" aca="1" ref="G230" ca="1">IF(F230="",
    "",
    IFERROR(
        IF(INDIRECT("'"&amp;F230&amp;"'!$B$2")="Credit Limit",
            "Credit Accounts",
            IF(INDIRECT("'"&amp;F230&amp;"'!$E$2")="Location",
                "Cash Accounts",
                IF(INDIRECT("'"&amp;F230&amp;"'!$B$2")="Amount",
                    "Investments",
                    "Bill Accounts"
                )
            )
        ),
    "")
)</f>
        <v/>
      </c>
      <c r="I230" s="46" t="str" cm="1">
        <f t="array" aca="1" ref="I230" ca="1">IF(F230&lt;&gt;"",IF(OR(G230="Bill Accounts",G230="Investments", G230="Cash Accounts"),INDIRECT("'"&amp;F230&amp;"'!$C$10"),INDIRECT("'"&amp;F230&amp;"'!$C$8")),"")</f>
        <v/>
      </c>
      <c r="K230" s="48">
        <f t="shared" si="12"/>
        <v>236</v>
      </c>
      <c r="L230" s="114" t="str" cm="1">
        <f t="array" aca="1" ref="L230" ca="1">IF(F230&lt;&gt;"",INDIRECT("'"&amp;F230&amp;"'!$F$17"),"")</f>
        <v/>
      </c>
      <c r="M230" s="116" t="str">
        <f t="shared" ca="1" si="10"/>
        <v/>
      </c>
      <c r="O230" s="49" t="str">
        <f t="shared" ca="1" si="11"/>
        <v/>
      </c>
      <c r="P230" s="38" t="str">
        <f>IF(E230&lt;&gt;"",RANK(E230,$E$3:$E$2298)+COUNTIF($E$3:E230,E230)-1,"")</f>
        <v/>
      </c>
      <c r="Q230" s="8"/>
      <c r="R230" s="64"/>
      <c r="Z230" s="8"/>
    </row>
    <row r="231" spans="4:26" x14ac:dyDescent="0.25">
      <c r="D231" s="36" t="str" cm="1">
        <f t="array" aca="1" ref="D231" ca="1">IFERROR(IF(INDIRECT("'"&amp;F231&amp;"'!$C$5")&gt;0,DATE(YEAR(Dashboard!$AL$2),Dashboard!$AU$4,INDIRECT("'"&amp;F231&amp;"'!$C$5")),""),"")</f>
        <v/>
      </c>
      <c r="G231" s="38" t="str" cm="1">
        <f t="array" aca="1" ref="G231" ca="1">IF(F231="",
    "",
    IFERROR(
        IF(INDIRECT("'"&amp;F231&amp;"'!$B$2")="Credit Limit",
            "Credit Accounts",
            IF(INDIRECT("'"&amp;F231&amp;"'!$E$2")="Location",
                "Cash Accounts",
                IF(INDIRECT("'"&amp;F231&amp;"'!$B$2")="Amount",
                    "Investments",
                    "Bill Accounts"
                )
            )
        ),
    "")
)</f>
        <v/>
      </c>
      <c r="I231" s="46" t="str" cm="1">
        <f t="array" aca="1" ref="I231" ca="1">IF(F231&lt;&gt;"",IF(OR(G231="Bill Accounts",G231="Investments", G231="Cash Accounts"),INDIRECT("'"&amp;F231&amp;"'!$C$10"),INDIRECT("'"&amp;F231&amp;"'!$C$8")),"")</f>
        <v/>
      </c>
      <c r="K231" s="48">
        <f t="shared" si="12"/>
        <v>237</v>
      </c>
      <c r="L231" s="114" t="str" cm="1">
        <f t="array" aca="1" ref="L231" ca="1">IF(F231&lt;&gt;"",INDIRECT("'"&amp;F231&amp;"'!$F$17"),"")</f>
        <v/>
      </c>
      <c r="M231" s="116" t="str">
        <f t="shared" ca="1" si="10"/>
        <v/>
      </c>
      <c r="O231" s="49" t="str">
        <f t="shared" ca="1" si="11"/>
        <v/>
      </c>
      <c r="P231" s="38" t="str">
        <f>IF(E231&lt;&gt;"",RANK(E231,$E$3:$E$2298)+COUNTIF($E$3:E231,E231)-1,"")</f>
        <v/>
      </c>
      <c r="Q231" s="8"/>
      <c r="R231" s="64"/>
      <c r="Z231" s="8"/>
    </row>
    <row r="232" spans="4:26" x14ac:dyDescent="0.25">
      <c r="D232" s="36" t="str" cm="1">
        <f t="array" aca="1" ref="D232" ca="1">IFERROR(IF(INDIRECT("'"&amp;F232&amp;"'!$C$5")&gt;0,DATE(YEAR(Dashboard!$AL$2),Dashboard!$AU$4,INDIRECT("'"&amp;F232&amp;"'!$C$5")),""),"")</f>
        <v/>
      </c>
      <c r="G232" s="38" t="str" cm="1">
        <f t="array" aca="1" ref="G232" ca="1">IF(F232="",
    "",
    IFERROR(
        IF(INDIRECT("'"&amp;F232&amp;"'!$B$2")="Credit Limit",
            "Credit Accounts",
            IF(INDIRECT("'"&amp;F232&amp;"'!$E$2")="Location",
                "Cash Accounts",
                IF(INDIRECT("'"&amp;F232&amp;"'!$B$2")="Amount",
                    "Investments",
                    "Bill Accounts"
                )
            )
        ),
    "")
)</f>
        <v/>
      </c>
      <c r="I232" s="46" t="str" cm="1">
        <f t="array" aca="1" ref="I232" ca="1">IF(F232&lt;&gt;"",IF(OR(G232="Bill Accounts",G232="Investments", G232="Cash Accounts"),INDIRECT("'"&amp;F232&amp;"'!$C$10"),INDIRECT("'"&amp;F232&amp;"'!$C$8")),"")</f>
        <v/>
      </c>
      <c r="K232" s="48">
        <f t="shared" si="12"/>
        <v>238</v>
      </c>
      <c r="L232" s="114" t="str" cm="1">
        <f t="array" aca="1" ref="L232" ca="1">IF(F232&lt;&gt;"",INDIRECT("'"&amp;F232&amp;"'!$F$17"),"")</f>
        <v/>
      </c>
      <c r="M232" s="116" t="str">
        <f t="shared" ca="1" si="10"/>
        <v/>
      </c>
      <c r="O232" s="49" t="str">
        <f t="shared" ca="1" si="11"/>
        <v/>
      </c>
      <c r="P232" s="38" t="str">
        <f>IF(E232&lt;&gt;"",RANK(E232,$E$3:$E$2298)+COUNTIF($E$3:E232,E232)-1,"")</f>
        <v/>
      </c>
      <c r="Q232" s="8"/>
      <c r="R232" s="64"/>
      <c r="Z232" s="8"/>
    </row>
    <row r="233" spans="4:26" x14ac:dyDescent="0.25">
      <c r="D233" s="36" t="str" cm="1">
        <f t="array" aca="1" ref="D233" ca="1">IFERROR(IF(INDIRECT("'"&amp;F233&amp;"'!$C$5")&gt;0,DATE(YEAR(Dashboard!$AL$2),Dashboard!$AU$4,INDIRECT("'"&amp;F233&amp;"'!$C$5")),""),"")</f>
        <v/>
      </c>
      <c r="G233" s="38" t="str" cm="1">
        <f t="array" aca="1" ref="G233" ca="1">IF(F233="",
    "",
    IFERROR(
        IF(INDIRECT("'"&amp;F233&amp;"'!$B$2")="Credit Limit",
            "Credit Accounts",
            IF(INDIRECT("'"&amp;F233&amp;"'!$E$2")="Location",
                "Cash Accounts",
                IF(INDIRECT("'"&amp;F233&amp;"'!$B$2")="Amount",
                    "Investments",
                    "Bill Accounts"
                )
            )
        ),
    "")
)</f>
        <v/>
      </c>
      <c r="I233" s="46" t="str" cm="1">
        <f t="array" aca="1" ref="I233" ca="1">IF(F233&lt;&gt;"",IF(OR(G233="Bill Accounts",G233="Investments", G233="Cash Accounts"),INDIRECT("'"&amp;F233&amp;"'!$C$10"),INDIRECT("'"&amp;F233&amp;"'!$C$8")),"")</f>
        <v/>
      </c>
      <c r="K233" s="48">
        <f t="shared" si="12"/>
        <v>239</v>
      </c>
      <c r="L233" s="114" t="str" cm="1">
        <f t="array" aca="1" ref="L233" ca="1">IF(F233&lt;&gt;"",INDIRECT("'"&amp;F233&amp;"'!$F$17"),"")</f>
        <v/>
      </c>
      <c r="M233" s="116" t="str">
        <f t="shared" ca="1" si="10"/>
        <v/>
      </c>
      <c r="O233" s="49" t="str">
        <f t="shared" ca="1" si="11"/>
        <v/>
      </c>
      <c r="P233" s="38" t="str">
        <f>IF(E233&lt;&gt;"",RANK(E233,$E$3:$E$2298)+COUNTIF($E$3:E233,E233)-1,"")</f>
        <v/>
      </c>
      <c r="Q233" s="8"/>
      <c r="R233" s="64"/>
      <c r="Z233" s="8"/>
    </row>
    <row r="234" spans="4:26" x14ac:dyDescent="0.25">
      <c r="D234" s="36" t="str" cm="1">
        <f t="array" aca="1" ref="D234" ca="1">IFERROR(IF(INDIRECT("'"&amp;F234&amp;"'!$C$5")&gt;0,DATE(YEAR(Dashboard!$AL$2),Dashboard!$AU$4,INDIRECT("'"&amp;F234&amp;"'!$C$5")),""),"")</f>
        <v/>
      </c>
      <c r="G234" s="38" t="str" cm="1">
        <f t="array" aca="1" ref="G234" ca="1">IF(F234="",
    "",
    IFERROR(
        IF(INDIRECT("'"&amp;F234&amp;"'!$B$2")="Credit Limit",
            "Credit Accounts",
            IF(INDIRECT("'"&amp;F234&amp;"'!$E$2")="Location",
                "Cash Accounts",
                IF(INDIRECT("'"&amp;F234&amp;"'!$B$2")="Amount",
                    "Investments",
                    "Bill Accounts"
                )
            )
        ),
    "")
)</f>
        <v/>
      </c>
      <c r="I234" s="46" t="str" cm="1">
        <f t="array" aca="1" ref="I234" ca="1">IF(F234&lt;&gt;"",IF(OR(G234="Bill Accounts",G234="Investments", G234="Cash Accounts"),INDIRECT("'"&amp;F234&amp;"'!$C$10"),INDIRECT("'"&amp;F234&amp;"'!$C$8")),"")</f>
        <v/>
      </c>
      <c r="K234" s="48">
        <f t="shared" si="12"/>
        <v>240</v>
      </c>
      <c r="L234" s="114" t="str" cm="1">
        <f t="array" aca="1" ref="L234" ca="1">IF(F234&lt;&gt;"",INDIRECT("'"&amp;F234&amp;"'!$F$17"),"")</f>
        <v/>
      </c>
      <c r="M234" s="116" t="str">
        <f t="shared" ca="1" si="10"/>
        <v/>
      </c>
      <c r="O234" s="49" t="str">
        <f t="shared" ca="1" si="11"/>
        <v/>
      </c>
      <c r="P234" s="38" t="str">
        <f>IF(E234&lt;&gt;"",RANK(E234,$E$3:$E$2298)+COUNTIF($E$3:E234,E234)-1,"")</f>
        <v/>
      </c>
      <c r="Q234" s="8"/>
      <c r="R234" s="64"/>
      <c r="Z234" s="8"/>
    </row>
    <row r="235" spans="4:26" x14ac:dyDescent="0.25">
      <c r="D235" s="36" t="str" cm="1">
        <f t="array" aca="1" ref="D235" ca="1">IFERROR(IF(INDIRECT("'"&amp;F235&amp;"'!$C$5")&gt;0,DATE(YEAR(Dashboard!$AL$2),Dashboard!$AU$4,INDIRECT("'"&amp;F235&amp;"'!$C$5")),""),"")</f>
        <v/>
      </c>
      <c r="G235" s="38" t="str" cm="1">
        <f t="array" aca="1" ref="G235" ca="1">IF(F235="",
    "",
    IFERROR(
        IF(INDIRECT("'"&amp;F235&amp;"'!$B$2")="Credit Limit",
            "Credit Accounts",
            IF(INDIRECT("'"&amp;F235&amp;"'!$E$2")="Location",
                "Cash Accounts",
                IF(INDIRECT("'"&amp;F235&amp;"'!$B$2")="Amount",
                    "Investments",
                    "Bill Accounts"
                )
            )
        ),
    "")
)</f>
        <v/>
      </c>
      <c r="I235" s="46" t="str" cm="1">
        <f t="array" aca="1" ref="I235" ca="1">IF(F235&lt;&gt;"",IF(OR(G235="Bill Accounts",G235="Investments", G235="Cash Accounts"),INDIRECT("'"&amp;F235&amp;"'!$C$10"),INDIRECT("'"&amp;F235&amp;"'!$C$8")),"")</f>
        <v/>
      </c>
      <c r="K235" s="48">
        <f t="shared" si="12"/>
        <v>241</v>
      </c>
      <c r="L235" s="114" t="str" cm="1">
        <f t="array" aca="1" ref="L235" ca="1">IF(F235&lt;&gt;"",INDIRECT("'"&amp;F235&amp;"'!$F$17"),"")</f>
        <v/>
      </c>
      <c r="M235" s="116" t="str">
        <f t="shared" ca="1" si="10"/>
        <v/>
      </c>
      <c r="O235" s="49" t="str">
        <f t="shared" ca="1" si="11"/>
        <v/>
      </c>
      <c r="P235" s="38" t="str">
        <f>IF(E235&lt;&gt;"",RANK(E235,$E$3:$E$2298)+COUNTIF($E$3:E235,E235)-1,"")</f>
        <v/>
      </c>
      <c r="Q235" s="8"/>
      <c r="R235" s="64"/>
      <c r="Z235" s="8"/>
    </row>
    <row r="236" spans="4:26" x14ac:dyDescent="0.25">
      <c r="D236" s="36" t="str" cm="1">
        <f t="array" aca="1" ref="D236" ca="1">IFERROR(IF(INDIRECT("'"&amp;F236&amp;"'!$C$5")&gt;0,DATE(YEAR(Dashboard!$AL$2),Dashboard!$AU$4,INDIRECT("'"&amp;F236&amp;"'!$C$5")),""),"")</f>
        <v/>
      </c>
      <c r="G236" s="38" t="str" cm="1">
        <f t="array" aca="1" ref="G236" ca="1">IF(F236="",
    "",
    IFERROR(
        IF(INDIRECT("'"&amp;F236&amp;"'!$B$2")="Credit Limit",
            "Credit Accounts",
            IF(INDIRECT("'"&amp;F236&amp;"'!$E$2")="Location",
                "Cash Accounts",
                IF(INDIRECT("'"&amp;F236&amp;"'!$B$2")="Amount",
                    "Investments",
                    "Bill Accounts"
                )
            )
        ),
    "")
)</f>
        <v/>
      </c>
      <c r="I236" s="46" t="str" cm="1">
        <f t="array" aca="1" ref="I236" ca="1">IF(F236&lt;&gt;"",IF(OR(G236="Bill Accounts",G236="Investments", G236="Cash Accounts"),INDIRECT("'"&amp;F236&amp;"'!$C$10"),INDIRECT("'"&amp;F236&amp;"'!$C$8")),"")</f>
        <v/>
      </c>
      <c r="K236" s="48">
        <f t="shared" si="12"/>
        <v>242</v>
      </c>
      <c r="L236" s="114" t="str" cm="1">
        <f t="array" aca="1" ref="L236" ca="1">IF(F236&lt;&gt;"",INDIRECT("'"&amp;F236&amp;"'!$F$17"),"")</f>
        <v/>
      </c>
      <c r="M236" s="116" t="str">
        <f t="shared" ca="1" si="10"/>
        <v/>
      </c>
      <c r="O236" s="49" t="str">
        <f t="shared" ca="1" si="11"/>
        <v/>
      </c>
      <c r="P236" s="38" t="str">
        <f>IF(E236&lt;&gt;"",RANK(E236,$E$3:$E$2298)+COUNTIF($E$3:E236,E236)-1,"")</f>
        <v/>
      </c>
      <c r="Q236" s="8"/>
      <c r="R236" s="64"/>
      <c r="Z236" s="8"/>
    </row>
    <row r="237" spans="4:26" x14ac:dyDescent="0.25">
      <c r="D237" s="36" t="str" cm="1">
        <f t="array" aca="1" ref="D237" ca="1">IFERROR(IF(INDIRECT("'"&amp;F237&amp;"'!$C$5")&gt;0,DATE(YEAR(Dashboard!$AL$2),Dashboard!$AU$4,INDIRECT("'"&amp;F237&amp;"'!$C$5")),""),"")</f>
        <v/>
      </c>
      <c r="G237" s="38" t="str" cm="1">
        <f t="array" aca="1" ref="G237" ca="1">IF(F237="",
    "",
    IFERROR(
        IF(INDIRECT("'"&amp;F237&amp;"'!$B$2")="Credit Limit",
            "Credit Accounts",
            IF(INDIRECT("'"&amp;F237&amp;"'!$E$2")="Location",
                "Cash Accounts",
                IF(INDIRECT("'"&amp;F237&amp;"'!$B$2")="Amount",
                    "Investments",
                    "Bill Accounts"
                )
            )
        ),
    "")
)</f>
        <v/>
      </c>
      <c r="I237" s="46" t="str" cm="1">
        <f t="array" aca="1" ref="I237" ca="1">IF(F237&lt;&gt;"",IF(OR(G237="Bill Accounts",G237="Investments", G237="Cash Accounts"),INDIRECT("'"&amp;F237&amp;"'!$C$10"),INDIRECT("'"&amp;F237&amp;"'!$C$8")),"")</f>
        <v/>
      </c>
      <c r="K237" s="48">
        <f t="shared" si="12"/>
        <v>243</v>
      </c>
      <c r="L237" s="114" t="str" cm="1">
        <f t="array" aca="1" ref="L237" ca="1">IF(F237&lt;&gt;"",INDIRECT("'"&amp;F237&amp;"'!$F$17"),"")</f>
        <v/>
      </c>
      <c r="M237" s="116" t="str">
        <f t="shared" ca="1" si="10"/>
        <v/>
      </c>
      <c r="O237" s="49" t="str">
        <f t="shared" ca="1" si="11"/>
        <v/>
      </c>
      <c r="P237" s="38" t="str">
        <f>IF(E237&lt;&gt;"",RANK(E237,$E$3:$E$2298)+COUNTIF($E$3:E237,E237)-1,"")</f>
        <v/>
      </c>
      <c r="Q237" s="8"/>
      <c r="R237" s="64"/>
      <c r="Z237" s="8"/>
    </row>
    <row r="238" spans="4:26" x14ac:dyDescent="0.25">
      <c r="D238" s="36" t="str" cm="1">
        <f t="array" aca="1" ref="D238" ca="1">IFERROR(IF(INDIRECT("'"&amp;F238&amp;"'!$C$5")&gt;0,DATE(YEAR(Dashboard!$AL$2),Dashboard!$AU$4,INDIRECT("'"&amp;F238&amp;"'!$C$5")),""),"")</f>
        <v/>
      </c>
      <c r="G238" s="38" t="str" cm="1">
        <f t="array" aca="1" ref="G238" ca="1">IF(F238="",
    "",
    IFERROR(
        IF(INDIRECT("'"&amp;F238&amp;"'!$B$2")="Credit Limit",
            "Credit Accounts",
            IF(INDIRECT("'"&amp;F238&amp;"'!$E$2")="Location",
                "Cash Accounts",
                IF(INDIRECT("'"&amp;F238&amp;"'!$B$2")="Amount",
                    "Investments",
                    "Bill Accounts"
                )
            )
        ),
    "")
)</f>
        <v/>
      </c>
      <c r="I238" s="46" t="str" cm="1">
        <f t="array" aca="1" ref="I238" ca="1">IF(F238&lt;&gt;"",IF(OR(G238="Bill Accounts",G238="Investments", G238="Cash Accounts"),INDIRECT("'"&amp;F238&amp;"'!$C$10"),INDIRECT("'"&amp;F238&amp;"'!$C$8")),"")</f>
        <v/>
      </c>
      <c r="K238" s="48">
        <f t="shared" si="12"/>
        <v>244</v>
      </c>
      <c r="L238" s="114" t="str" cm="1">
        <f t="array" aca="1" ref="L238" ca="1">IF(F238&lt;&gt;"",INDIRECT("'"&amp;F238&amp;"'!$F$17"),"")</f>
        <v/>
      </c>
      <c r="M238" s="116" t="str">
        <f t="shared" ca="1" si="10"/>
        <v/>
      </c>
      <c r="O238" s="49" t="str">
        <f t="shared" ca="1" si="11"/>
        <v/>
      </c>
      <c r="P238" s="38" t="str">
        <f>IF(E238&lt;&gt;"",RANK(E238,$E$3:$E$2298)+COUNTIF($E$3:E238,E238)-1,"")</f>
        <v/>
      </c>
      <c r="Q238" s="8"/>
      <c r="R238" s="64"/>
      <c r="Z238" s="8"/>
    </row>
    <row r="239" spans="4:26" x14ac:dyDescent="0.25">
      <c r="D239" s="36" t="str" cm="1">
        <f t="array" aca="1" ref="D239" ca="1">IFERROR(IF(INDIRECT("'"&amp;F239&amp;"'!$C$5")&gt;0,DATE(YEAR(Dashboard!$AL$2),Dashboard!$AU$4,INDIRECT("'"&amp;F239&amp;"'!$C$5")),""),"")</f>
        <v/>
      </c>
      <c r="G239" s="38" t="str" cm="1">
        <f t="array" aca="1" ref="G239" ca="1">IF(F239="",
    "",
    IFERROR(
        IF(INDIRECT("'"&amp;F239&amp;"'!$B$2")="Credit Limit",
            "Credit Accounts",
            IF(INDIRECT("'"&amp;F239&amp;"'!$E$2")="Location",
                "Cash Accounts",
                IF(INDIRECT("'"&amp;F239&amp;"'!$B$2")="Amount",
                    "Investments",
                    "Bill Accounts"
                )
            )
        ),
    "")
)</f>
        <v/>
      </c>
      <c r="I239" s="46" t="str" cm="1">
        <f t="array" aca="1" ref="I239" ca="1">IF(F239&lt;&gt;"",IF(OR(G239="Bill Accounts",G239="Investments", G239="Cash Accounts"),INDIRECT("'"&amp;F239&amp;"'!$C$10"),INDIRECT("'"&amp;F239&amp;"'!$C$8")),"")</f>
        <v/>
      </c>
      <c r="K239" s="48">
        <f t="shared" si="12"/>
        <v>245</v>
      </c>
      <c r="L239" s="114" t="str" cm="1">
        <f t="array" aca="1" ref="L239" ca="1">IF(F239&lt;&gt;"",INDIRECT("'"&amp;F239&amp;"'!$F$17"),"")</f>
        <v/>
      </c>
      <c r="M239" s="116" t="str">
        <f t="shared" ca="1" si="10"/>
        <v/>
      </c>
      <c r="O239" s="49" t="str">
        <f t="shared" ca="1" si="11"/>
        <v/>
      </c>
      <c r="P239" s="38" t="str">
        <f>IF(E239&lt;&gt;"",RANK(E239,$E$3:$E$2298)+COUNTIF($E$3:E239,E239)-1,"")</f>
        <v/>
      </c>
      <c r="Q239" s="8"/>
      <c r="R239" s="64"/>
      <c r="Z239" s="8"/>
    </row>
    <row r="240" spans="4:26" x14ac:dyDescent="0.25">
      <c r="D240" s="36" t="str" cm="1">
        <f t="array" aca="1" ref="D240" ca="1">IFERROR(IF(INDIRECT("'"&amp;F240&amp;"'!$C$5")&gt;0,DATE(YEAR(Dashboard!$AL$2),Dashboard!$AU$4,INDIRECT("'"&amp;F240&amp;"'!$C$5")),""),"")</f>
        <v/>
      </c>
      <c r="G240" s="38" t="str" cm="1">
        <f t="array" aca="1" ref="G240" ca="1">IF(F240="",
    "",
    IFERROR(
        IF(INDIRECT("'"&amp;F240&amp;"'!$B$2")="Credit Limit",
            "Credit Accounts",
            IF(INDIRECT("'"&amp;F240&amp;"'!$E$2")="Location",
                "Cash Accounts",
                IF(INDIRECT("'"&amp;F240&amp;"'!$B$2")="Amount",
                    "Investments",
                    "Bill Accounts"
                )
            )
        ),
    "")
)</f>
        <v/>
      </c>
      <c r="I240" s="46" t="str" cm="1">
        <f t="array" aca="1" ref="I240" ca="1">IF(F240&lt;&gt;"",IF(OR(G240="Bill Accounts",G240="Investments", G240="Cash Accounts"),INDIRECT("'"&amp;F240&amp;"'!$C$10"),INDIRECT("'"&amp;F240&amp;"'!$C$8")),"")</f>
        <v/>
      </c>
      <c r="K240" s="48">
        <f t="shared" si="12"/>
        <v>246</v>
      </c>
      <c r="L240" s="114" t="str" cm="1">
        <f t="array" aca="1" ref="L240" ca="1">IF(F240&lt;&gt;"",INDIRECT("'"&amp;F240&amp;"'!$F$17"),"")</f>
        <v/>
      </c>
      <c r="M240" s="116" t="str">
        <f t="shared" ca="1" si="10"/>
        <v/>
      </c>
      <c r="O240" s="49" t="str">
        <f t="shared" ca="1" si="11"/>
        <v/>
      </c>
      <c r="P240" s="38" t="str">
        <f>IF(E240&lt;&gt;"",RANK(E240,$E$3:$E$2298)+COUNTIF($E$3:E240,E240)-1,"")</f>
        <v/>
      </c>
      <c r="Q240" s="8"/>
      <c r="R240" s="64"/>
      <c r="Z240" s="8"/>
    </row>
    <row r="241" spans="4:26" x14ac:dyDescent="0.25">
      <c r="D241" s="36" t="str" cm="1">
        <f t="array" aca="1" ref="D241" ca="1">IFERROR(IF(INDIRECT("'"&amp;F241&amp;"'!$C$5")&gt;0,DATE(YEAR(Dashboard!$AL$2),Dashboard!$AU$4,INDIRECT("'"&amp;F241&amp;"'!$C$5")),""),"")</f>
        <v/>
      </c>
      <c r="G241" s="38" t="str" cm="1">
        <f t="array" aca="1" ref="G241" ca="1">IF(F241="",
    "",
    IFERROR(
        IF(INDIRECT("'"&amp;F241&amp;"'!$B$2")="Credit Limit",
            "Credit Accounts",
            IF(INDIRECT("'"&amp;F241&amp;"'!$E$2")="Location",
                "Cash Accounts",
                IF(INDIRECT("'"&amp;F241&amp;"'!$B$2")="Amount",
                    "Investments",
                    "Bill Accounts"
                )
            )
        ),
    "")
)</f>
        <v/>
      </c>
      <c r="I241" s="46" t="str" cm="1">
        <f t="array" aca="1" ref="I241" ca="1">IF(F241&lt;&gt;"",IF(OR(G241="Bill Accounts",G241="Investments", G241="Cash Accounts"),INDIRECT("'"&amp;F241&amp;"'!$C$10"),INDIRECT("'"&amp;F241&amp;"'!$C$8")),"")</f>
        <v/>
      </c>
      <c r="K241" s="48">
        <f t="shared" si="12"/>
        <v>247</v>
      </c>
      <c r="L241" s="114" t="str" cm="1">
        <f t="array" aca="1" ref="L241" ca="1">IF(F241&lt;&gt;"",INDIRECT("'"&amp;F241&amp;"'!$F$17"),"")</f>
        <v/>
      </c>
      <c r="M241" s="116" t="str">
        <f t="shared" ca="1" si="10"/>
        <v/>
      </c>
      <c r="O241" s="49" t="str">
        <f t="shared" ca="1" si="11"/>
        <v/>
      </c>
      <c r="P241" s="38" t="str">
        <f>IF(E241&lt;&gt;"",RANK(E241,$E$3:$E$2298)+COUNTIF($E$3:E241,E241)-1,"")</f>
        <v/>
      </c>
      <c r="Q241" s="8"/>
      <c r="R241" s="64"/>
      <c r="Z241" s="8"/>
    </row>
    <row r="242" spans="4:26" x14ac:dyDescent="0.25">
      <c r="D242" s="36" t="str" cm="1">
        <f t="array" aca="1" ref="D242" ca="1">IFERROR(IF(INDIRECT("'"&amp;F242&amp;"'!$C$5")&gt;0,DATE(YEAR(Dashboard!$AL$2),Dashboard!$AU$4,INDIRECT("'"&amp;F242&amp;"'!$C$5")),""),"")</f>
        <v/>
      </c>
      <c r="G242" s="38" t="str" cm="1">
        <f t="array" aca="1" ref="G242" ca="1">IF(F242="",
    "",
    IFERROR(
        IF(INDIRECT("'"&amp;F242&amp;"'!$B$2")="Credit Limit",
            "Credit Accounts",
            IF(INDIRECT("'"&amp;F242&amp;"'!$E$2")="Location",
                "Cash Accounts",
                IF(INDIRECT("'"&amp;F242&amp;"'!$B$2")="Amount",
                    "Investments",
                    "Bill Accounts"
                )
            )
        ),
    "")
)</f>
        <v/>
      </c>
      <c r="I242" s="46" t="str" cm="1">
        <f t="array" aca="1" ref="I242" ca="1">IF(F242&lt;&gt;"",IF(OR(G242="Bill Accounts",G242="Investments", G242="Cash Accounts"),INDIRECT("'"&amp;F242&amp;"'!$C$10"),INDIRECT("'"&amp;F242&amp;"'!$C$8")),"")</f>
        <v/>
      </c>
      <c r="K242" s="48">
        <f t="shared" si="12"/>
        <v>248</v>
      </c>
      <c r="L242" s="114" t="str" cm="1">
        <f t="array" aca="1" ref="L242" ca="1">IF(F242&lt;&gt;"",INDIRECT("'"&amp;F242&amp;"'!$F$17"),"")</f>
        <v/>
      </c>
      <c r="M242" s="116" t="str">
        <f t="shared" ca="1" si="10"/>
        <v/>
      </c>
      <c r="O242" s="49" t="str">
        <f t="shared" ca="1" si="11"/>
        <v/>
      </c>
      <c r="P242" s="38" t="str">
        <f>IF(E242&lt;&gt;"",RANK(E242,$E$3:$E$2298)+COUNTIF($E$3:E242,E242)-1,"")</f>
        <v/>
      </c>
      <c r="Q242" s="8"/>
      <c r="R242" s="64"/>
      <c r="Z242" s="8"/>
    </row>
    <row r="243" spans="4:26" x14ac:dyDescent="0.25">
      <c r="D243" s="36" t="str" cm="1">
        <f t="array" aca="1" ref="D243" ca="1">IFERROR(IF(INDIRECT("'"&amp;F243&amp;"'!$C$5")&gt;0,DATE(YEAR(Dashboard!$AL$2),Dashboard!$AU$4,INDIRECT("'"&amp;F243&amp;"'!$C$5")),""),"")</f>
        <v/>
      </c>
      <c r="G243" s="38" t="str" cm="1">
        <f t="array" aca="1" ref="G243" ca="1">IF(F243="",
    "",
    IFERROR(
        IF(INDIRECT("'"&amp;F243&amp;"'!$B$2")="Credit Limit",
            "Credit Accounts",
            IF(INDIRECT("'"&amp;F243&amp;"'!$E$2")="Location",
                "Cash Accounts",
                IF(INDIRECT("'"&amp;F243&amp;"'!$B$2")="Amount",
                    "Investments",
                    "Bill Accounts"
                )
            )
        ),
    "")
)</f>
        <v/>
      </c>
      <c r="I243" s="46" t="str" cm="1">
        <f t="array" aca="1" ref="I243" ca="1">IF(F243&lt;&gt;"",IF(OR(G243="Bill Accounts",G243="Investments", G243="Cash Accounts"),INDIRECT("'"&amp;F243&amp;"'!$C$10"),INDIRECT("'"&amp;F243&amp;"'!$C$8")),"")</f>
        <v/>
      </c>
      <c r="K243" s="48">
        <f t="shared" si="12"/>
        <v>249</v>
      </c>
      <c r="L243" s="114" t="str" cm="1">
        <f t="array" aca="1" ref="L243" ca="1">IF(F243&lt;&gt;"",INDIRECT("'"&amp;F243&amp;"'!$F$17"),"")</f>
        <v/>
      </c>
      <c r="M243" s="116" t="str">
        <f t="shared" ca="1" si="10"/>
        <v/>
      </c>
      <c r="O243" s="49" t="str">
        <f t="shared" ca="1" si="11"/>
        <v/>
      </c>
      <c r="P243" s="38" t="str">
        <f>IF(E243&lt;&gt;"",RANK(E243,$E$3:$E$2298)+COUNTIF($E$3:E243,E243)-1,"")</f>
        <v/>
      </c>
      <c r="Q243" s="8"/>
      <c r="R243" s="64"/>
      <c r="Z243" s="8"/>
    </row>
    <row r="244" spans="4:26" x14ac:dyDescent="0.25">
      <c r="D244" s="36" t="str" cm="1">
        <f t="array" aca="1" ref="D244" ca="1">IFERROR(IF(INDIRECT("'"&amp;F244&amp;"'!$C$5")&gt;0,DATE(YEAR(Dashboard!$AL$2),Dashboard!$AU$4,INDIRECT("'"&amp;F244&amp;"'!$C$5")),""),"")</f>
        <v/>
      </c>
      <c r="G244" s="38" t="str" cm="1">
        <f t="array" aca="1" ref="G244" ca="1">IF(F244="",
    "",
    IFERROR(
        IF(INDIRECT("'"&amp;F244&amp;"'!$B$2")="Credit Limit",
            "Credit Accounts",
            IF(INDIRECT("'"&amp;F244&amp;"'!$E$2")="Location",
                "Cash Accounts",
                IF(INDIRECT("'"&amp;F244&amp;"'!$B$2")="Amount",
                    "Investments",
                    "Bill Accounts"
                )
            )
        ),
    "")
)</f>
        <v/>
      </c>
      <c r="I244" s="46" t="str" cm="1">
        <f t="array" aca="1" ref="I244" ca="1">IF(F244&lt;&gt;"",IF(OR(G244="Bill Accounts",G244="Investments", G244="Cash Accounts"),INDIRECT("'"&amp;F244&amp;"'!$C$10"),INDIRECT("'"&amp;F244&amp;"'!$C$8")),"")</f>
        <v/>
      </c>
      <c r="K244" s="48">
        <f t="shared" si="12"/>
        <v>250</v>
      </c>
      <c r="L244" s="114" t="str" cm="1">
        <f t="array" aca="1" ref="L244" ca="1">IF(F244&lt;&gt;"",INDIRECT("'"&amp;F244&amp;"'!$F$17"),"")</f>
        <v/>
      </c>
      <c r="M244" s="116" t="str">
        <f t="shared" ca="1" si="10"/>
        <v/>
      </c>
      <c r="O244" s="49" t="str">
        <f t="shared" ca="1" si="11"/>
        <v/>
      </c>
      <c r="P244" s="38" t="str">
        <f>IF(E244&lt;&gt;"",RANK(E244,$E$3:$E$2298)+COUNTIF($E$3:E244,E244)-1,"")</f>
        <v/>
      </c>
      <c r="Q244" s="8"/>
      <c r="R244" s="64"/>
      <c r="Z244" s="8"/>
    </row>
    <row r="245" spans="4:26" x14ac:dyDescent="0.25">
      <c r="D245" s="36" t="str" cm="1">
        <f t="array" aca="1" ref="D245" ca="1">IFERROR(IF(INDIRECT("'"&amp;F245&amp;"'!$C$5")&gt;0,DATE(YEAR(Dashboard!$AL$2),Dashboard!$AU$4,INDIRECT("'"&amp;F245&amp;"'!$C$5")),""),"")</f>
        <v/>
      </c>
      <c r="G245" s="38" t="str" cm="1">
        <f t="array" aca="1" ref="G245" ca="1">IF(F245="",
    "",
    IFERROR(
        IF(INDIRECT("'"&amp;F245&amp;"'!$B$2")="Credit Limit",
            "Credit Accounts",
            IF(INDIRECT("'"&amp;F245&amp;"'!$E$2")="Location",
                "Cash Accounts",
                IF(INDIRECT("'"&amp;F245&amp;"'!$B$2")="Amount",
                    "Investments",
                    "Bill Accounts"
                )
            )
        ),
    "")
)</f>
        <v/>
      </c>
      <c r="I245" s="46" t="str" cm="1">
        <f t="array" aca="1" ref="I245" ca="1">IF(F245&lt;&gt;"",IF(OR(G245="Bill Accounts",G245="Investments", G245="Cash Accounts"),INDIRECT("'"&amp;F245&amp;"'!$C$10"),INDIRECT("'"&amp;F245&amp;"'!$C$8")),"")</f>
        <v/>
      </c>
      <c r="K245" s="48">
        <f t="shared" si="12"/>
        <v>251</v>
      </c>
      <c r="L245" s="114" t="str" cm="1">
        <f t="array" aca="1" ref="L245" ca="1">IF(F245&lt;&gt;"",INDIRECT("'"&amp;F245&amp;"'!$F$17"),"")</f>
        <v/>
      </c>
      <c r="M245" s="116" t="str">
        <f t="shared" ca="1" si="10"/>
        <v/>
      </c>
      <c r="O245" s="49" t="str">
        <f t="shared" ca="1" si="11"/>
        <v/>
      </c>
      <c r="P245" s="38" t="str">
        <f>IF(E245&lt;&gt;"",RANK(E245,$E$3:$E$2298)+COUNTIF($E$3:E245,E245)-1,"")</f>
        <v/>
      </c>
      <c r="Q245" s="8"/>
      <c r="R245" s="64"/>
      <c r="Z245" s="8"/>
    </row>
    <row r="246" spans="4:26" x14ac:dyDescent="0.25">
      <c r="D246" s="36" t="str" cm="1">
        <f t="array" aca="1" ref="D246" ca="1">IFERROR(IF(INDIRECT("'"&amp;F246&amp;"'!$C$5")&gt;0,DATE(YEAR(Dashboard!$AL$2),Dashboard!$AU$4,INDIRECT("'"&amp;F246&amp;"'!$C$5")),""),"")</f>
        <v/>
      </c>
      <c r="G246" s="38" t="str" cm="1">
        <f t="array" aca="1" ref="G246" ca="1">IF(F246="",
    "",
    IFERROR(
        IF(INDIRECT("'"&amp;F246&amp;"'!$B$2")="Credit Limit",
            "Credit Accounts",
            IF(INDIRECT("'"&amp;F246&amp;"'!$E$2")="Location",
                "Cash Accounts",
                IF(INDIRECT("'"&amp;F246&amp;"'!$B$2")="Amount",
                    "Investments",
                    "Bill Accounts"
                )
            )
        ),
    "")
)</f>
        <v/>
      </c>
      <c r="I246" s="46" t="str" cm="1">
        <f t="array" aca="1" ref="I246" ca="1">IF(F246&lt;&gt;"",IF(OR(G246="Bill Accounts",G246="Investments", G246="Cash Accounts"),INDIRECT("'"&amp;F246&amp;"'!$C$10"),INDIRECT("'"&amp;F246&amp;"'!$C$8")),"")</f>
        <v/>
      </c>
      <c r="K246" s="48">
        <f t="shared" si="12"/>
        <v>252</v>
      </c>
      <c r="L246" s="114" t="str" cm="1">
        <f t="array" aca="1" ref="L246" ca="1">IF(F246&lt;&gt;"",INDIRECT("'"&amp;F246&amp;"'!$F$17"),"")</f>
        <v/>
      </c>
      <c r="M246" s="116" t="str">
        <f t="shared" ca="1" si="10"/>
        <v/>
      </c>
      <c r="O246" s="49" t="str">
        <f t="shared" ca="1" si="11"/>
        <v/>
      </c>
      <c r="P246" s="38" t="str">
        <f>IF(E246&lt;&gt;"",RANK(E246,$E$3:$E$2298)+COUNTIF($E$3:E246,E246)-1,"")</f>
        <v/>
      </c>
      <c r="Q246" s="8"/>
      <c r="R246" s="64"/>
      <c r="Z246" s="8"/>
    </row>
    <row r="247" spans="4:26" x14ac:dyDescent="0.25">
      <c r="D247" s="36" t="str" cm="1">
        <f t="array" aca="1" ref="D247" ca="1">IFERROR(IF(INDIRECT("'"&amp;F247&amp;"'!$C$5")&gt;0,DATE(YEAR(Dashboard!$AL$2),Dashboard!$AU$4,INDIRECT("'"&amp;F247&amp;"'!$C$5")),""),"")</f>
        <v/>
      </c>
      <c r="G247" s="38" t="str" cm="1">
        <f t="array" aca="1" ref="G247" ca="1">IF(F247="",
    "",
    IFERROR(
        IF(INDIRECT("'"&amp;F247&amp;"'!$B$2")="Credit Limit",
            "Credit Accounts",
            IF(INDIRECT("'"&amp;F247&amp;"'!$E$2")="Location",
                "Cash Accounts",
                IF(INDIRECT("'"&amp;F247&amp;"'!$B$2")="Amount",
                    "Investments",
                    "Bill Accounts"
                )
            )
        ),
    "")
)</f>
        <v/>
      </c>
      <c r="I247" s="46" t="str" cm="1">
        <f t="array" aca="1" ref="I247" ca="1">IF(F247&lt;&gt;"",IF(OR(G247="Bill Accounts",G247="Investments", G247="Cash Accounts"),INDIRECT("'"&amp;F247&amp;"'!$C$10"),INDIRECT("'"&amp;F247&amp;"'!$C$8")),"")</f>
        <v/>
      </c>
      <c r="K247" s="48">
        <f t="shared" si="12"/>
        <v>253</v>
      </c>
      <c r="L247" s="114" t="str" cm="1">
        <f t="array" aca="1" ref="L247" ca="1">IF(F247&lt;&gt;"",INDIRECT("'"&amp;F247&amp;"'!$F$17"),"")</f>
        <v/>
      </c>
      <c r="M247" s="116" t="str">
        <f t="shared" ca="1" si="10"/>
        <v/>
      </c>
      <c r="O247" s="49" t="str">
        <f t="shared" ca="1" si="11"/>
        <v/>
      </c>
      <c r="P247" s="38" t="str">
        <f>IF(E247&lt;&gt;"",RANK(E247,$E$3:$E$2298)+COUNTIF($E$3:E247,E247)-1,"")</f>
        <v/>
      </c>
      <c r="Q247" s="8"/>
      <c r="R247" s="64"/>
      <c r="Z247" s="8"/>
    </row>
    <row r="248" spans="4:26" x14ac:dyDescent="0.25">
      <c r="D248" s="36" t="str" cm="1">
        <f t="array" aca="1" ref="D248" ca="1">IFERROR(IF(INDIRECT("'"&amp;F248&amp;"'!$C$5")&gt;0,DATE(YEAR(Dashboard!$AL$2),Dashboard!$AU$4,INDIRECT("'"&amp;F248&amp;"'!$C$5")),""),"")</f>
        <v/>
      </c>
      <c r="G248" s="38" t="str" cm="1">
        <f t="array" aca="1" ref="G248" ca="1">IF(F248="",
    "",
    IFERROR(
        IF(INDIRECT("'"&amp;F248&amp;"'!$B$2")="Credit Limit",
            "Credit Accounts",
            IF(INDIRECT("'"&amp;F248&amp;"'!$E$2")="Location",
                "Cash Accounts",
                IF(INDIRECT("'"&amp;F248&amp;"'!$B$2")="Amount",
                    "Investments",
                    "Bill Accounts"
                )
            )
        ),
    "")
)</f>
        <v/>
      </c>
      <c r="I248" s="46" t="str" cm="1">
        <f t="array" aca="1" ref="I248" ca="1">IF(F248&lt;&gt;"",IF(OR(G248="Bill Accounts",G248="Investments", G248="Cash Accounts"),INDIRECT("'"&amp;F248&amp;"'!$C$10"),INDIRECT("'"&amp;F248&amp;"'!$C$8")),"")</f>
        <v/>
      </c>
      <c r="K248" s="48">
        <f t="shared" si="12"/>
        <v>254</v>
      </c>
      <c r="L248" s="114" t="str" cm="1">
        <f t="array" aca="1" ref="L248" ca="1">IF(F248&lt;&gt;"",INDIRECT("'"&amp;F248&amp;"'!$F$17"),"")</f>
        <v/>
      </c>
      <c r="M248" s="116" t="str">
        <f t="shared" ca="1" si="10"/>
        <v/>
      </c>
      <c r="O248" s="49" t="str">
        <f t="shared" ca="1" si="11"/>
        <v/>
      </c>
      <c r="P248" s="38" t="str">
        <f>IF(E248&lt;&gt;"",RANK(E248,$E$3:$E$2298)+COUNTIF($E$3:E248,E248)-1,"")</f>
        <v/>
      </c>
      <c r="Q248" s="8"/>
      <c r="R248" s="64"/>
      <c r="Z248" s="8"/>
    </row>
    <row r="249" spans="4:26" x14ac:dyDescent="0.25">
      <c r="D249" s="36" t="str" cm="1">
        <f t="array" aca="1" ref="D249" ca="1">IFERROR(IF(INDIRECT("'"&amp;F249&amp;"'!$C$5")&gt;0,DATE(YEAR(Dashboard!$AL$2),Dashboard!$AU$4,INDIRECT("'"&amp;F249&amp;"'!$C$5")),""),"")</f>
        <v/>
      </c>
      <c r="G249" s="38" t="str" cm="1">
        <f t="array" aca="1" ref="G249" ca="1">IF(F249="",
    "",
    IFERROR(
        IF(INDIRECT("'"&amp;F249&amp;"'!$B$2")="Credit Limit",
            "Credit Accounts",
            IF(INDIRECT("'"&amp;F249&amp;"'!$E$2")="Location",
                "Cash Accounts",
                IF(INDIRECT("'"&amp;F249&amp;"'!$B$2")="Amount",
                    "Investments",
                    "Bill Accounts"
                )
            )
        ),
    "")
)</f>
        <v/>
      </c>
      <c r="I249" s="46" t="str" cm="1">
        <f t="array" aca="1" ref="I249" ca="1">IF(F249&lt;&gt;"",IF(OR(G249="Bill Accounts",G249="Investments", G249="Cash Accounts"),INDIRECT("'"&amp;F249&amp;"'!$C$10"),INDIRECT("'"&amp;F249&amp;"'!$C$8")),"")</f>
        <v/>
      </c>
      <c r="K249" s="48">
        <f t="shared" si="12"/>
        <v>255</v>
      </c>
      <c r="L249" s="114" t="str" cm="1">
        <f t="array" aca="1" ref="L249" ca="1">IF(F249&lt;&gt;"",INDIRECT("'"&amp;F249&amp;"'!$F$17"),"")</f>
        <v/>
      </c>
      <c r="M249" s="116" t="str">
        <f t="shared" ca="1" si="10"/>
        <v/>
      </c>
      <c r="O249" s="49" t="str">
        <f t="shared" ca="1" si="11"/>
        <v/>
      </c>
      <c r="P249" s="38" t="str">
        <f>IF(E249&lt;&gt;"",RANK(E249,$E$3:$E$2298)+COUNTIF($E$3:E249,E249)-1,"")</f>
        <v/>
      </c>
      <c r="Q249" s="8"/>
      <c r="R249" s="64"/>
      <c r="Z249" s="8"/>
    </row>
    <row r="250" spans="4:26" x14ac:dyDescent="0.25">
      <c r="D250" s="36" t="str" cm="1">
        <f t="array" aca="1" ref="D250" ca="1">IFERROR(IF(INDIRECT("'"&amp;F250&amp;"'!$C$5")&gt;0,DATE(YEAR(Dashboard!$AL$2),Dashboard!$AU$4,INDIRECT("'"&amp;F250&amp;"'!$C$5")),""),"")</f>
        <v/>
      </c>
      <c r="G250" s="38" t="str" cm="1">
        <f t="array" aca="1" ref="G250" ca="1">IF(F250="",
    "",
    IFERROR(
        IF(INDIRECT("'"&amp;F250&amp;"'!$B$2")="Credit Limit",
            "Credit Accounts",
            IF(INDIRECT("'"&amp;F250&amp;"'!$E$2")="Location",
                "Cash Accounts",
                IF(INDIRECT("'"&amp;F250&amp;"'!$B$2")="Amount",
                    "Investments",
                    "Bill Accounts"
                )
            )
        ),
    "")
)</f>
        <v/>
      </c>
      <c r="I250" s="46" t="str" cm="1">
        <f t="array" aca="1" ref="I250" ca="1">IF(F250&lt;&gt;"",IF(OR(G250="Bill Accounts",G250="Investments", G250="Cash Accounts"),INDIRECT("'"&amp;F250&amp;"'!$C$10"),INDIRECT("'"&amp;F250&amp;"'!$C$8")),"")</f>
        <v/>
      </c>
      <c r="K250" s="48">
        <f t="shared" si="12"/>
        <v>256</v>
      </c>
      <c r="L250" s="114" t="str" cm="1">
        <f t="array" aca="1" ref="L250" ca="1">IF(F250&lt;&gt;"",INDIRECT("'"&amp;F250&amp;"'!$F$17"),"")</f>
        <v/>
      </c>
      <c r="M250" s="116" t="str">
        <f t="shared" ca="1" si="10"/>
        <v/>
      </c>
      <c r="O250" s="49" t="str">
        <f t="shared" ca="1" si="11"/>
        <v/>
      </c>
      <c r="P250" s="38" t="str">
        <f>IF(E250&lt;&gt;"",RANK(E250,$E$3:$E$2298)+COUNTIF($E$3:E250,E250)-1,"")</f>
        <v/>
      </c>
      <c r="Q250" s="8"/>
      <c r="R250" s="64"/>
      <c r="Z250" s="8"/>
    </row>
    <row r="251" spans="4:26" x14ac:dyDescent="0.25">
      <c r="D251" s="36" t="str" cm="1">
        <f t="array" aca="1" ref="D251" ca="1">IFERROR(IF(INDIRECT("'"&amp;F251&amp;"'!$C$5")&gt;0,DATE(YEAR(Dashboard!$AL$2),Dashboard!$AU$4,INDIRECT("'"&amp;F251&amp;"'!$C$5")),""),"")</f>
        <v/>
      </c>
      <c r="G251" s="38" t="str" cm="1">
        <f t="array" aca="1" ref="G251" ca="1">IF(F251="",
    "",
    IFERROR(
        IF(INDIRECT("'"&amp;F251&amp;"'!$B$2")="Credit Limit",
            "Credit Accounts",
            IF(INDIRECT("'"&amp;F251&amp;"'!$E$2")="Location",
                "Cash Accounts",
                IF(INDIRECT("'"&amp;F251&amp;"'!$B$2")="Amount",
                    "Investments",
                    "Bill Accounts"
                )
            )
        ),
    "")
)</f>
        <v/>
      </c>
      <c r="I251" s="46" t="str" cm="1">
        <f t="array" aca="1" ref="I251" ca="1">IF(F251&lt;&gt;"",IF(OR(G251="Bill Accounts",G251="Investments", G251="Cash Accounts"),INDIRECT("'"&amp;F251&amp;"'!$C$10"),INDIRECT("'"&amp;F251&amp;"'!$C$8")),"")</f>
        <v/>
      </c>
      <c r="K251" s="48">
        <f t="shared" si="12"/>
        <v>257</v>
      </c>
      <c r="L251" s="114" t="str" cm="1">
        <f t="array" aca="1" ref="L251" ca="1">IF(F251&lt;&gt;"",INDIRECT("'"&amp;F251&amp;"'!$F$17"),"")</f>
        <v/>
      </c>
      <c r="M251" s="116" t="str">
        <f t="shared" ca="1" si="10"/>
        <v/>
      </c>
      <c r="O251" s="49" t="str">
        <f t="shared" ca="1" si="11"/>
        <v/>
      </c>
      <c r="P251" s="38" t="str">
        <f>IF(E251&lt;&gt;"",RANK(E251,$E$3:$E$2298)+COUNTIF($E$3:E251,E251)-1,"")</f>
        <v/>
      </c>
      <c r="Q251" s="8"/>
      <c r="R251" s="64"/>
      <c r="Z251" s="8"/>
    </row>
    <row r="252" spans="4:26" x14ac:dyDescent="0.25">
      <c r="D252" s="36" t="str" cm="1">
        <f t="array" aca="1" ref="D252" ca="1">IFERROR(IF(INDIRECT("'"&amp;F252&amp;"'!$C$5")&gt;0,DATE(YEAR(Dashboard!$AL$2),Dashboard!$AU$4,INDIRECT("'"&amp;F252&amp;"'!$C$5")),""),"")</f>
        <v/>
      </c>
      <c r="G252" s="38" t="str" cm="1">
        <f t="array" aca="1" ref="G252" ca="1">IF(F252="",
    "",
    IFERROR(
        IF(INDIRECT("'"&amp;F252&amp;"'!$B$2")="Credit Limit",
            "Credit Accounts",
            IF(INDIRECT("'"&amp;F252&amp;"'!$E$2")="Location",
                "Cash Accounts",
                IF(INDIRECT("'"&amp;F252&amp;"'!$B$2")="Amount",
                    "Investments",
                    "Bill Accounts"
                )
            )
        ),
    "")
)</f>
        <v/>
      </c>
      <c r="I252" s="46" t="str" cm="1">
        <f t="array" aca="1" ref="I252" ca="1">IF(F252&lt;&gt;"",IF(OR(G252="Bill Accounts",G252="Investments", G252="Cash Accounts"),INDIRECT("'"&amp;F252&amp;"'!$C$10"),INDIRECT("'"&amp;F252&amp;"'!$C$8")),"")</f>
        <v/>
      </c>
      <c r="K252" s="48">
        <f t="shared" si="12"/>
        <v>258</v>
      </c>
      <c r="L252" s="114" t="str" cm="1">
        <f t="array" aca="1" ref="L252" ca="1">IF(F252&lt;&gt;"",INDIRECT("'"&amp;F252&amp;"'!$F$17"),"")</f>
        <v/>
      </c>
      <c r="M252" s="116" t="str">
        <f t="shared" ca="1" si="10"/>
        <v/>
      </c>
      <c r="O252" s="49" t="str">
        <f t="shared" ca="1" si="11"/>
        <v/>
      </c>
      <c r="P252" s="38" t="str">
        <f>IF(E252&lt;&gt;"",RANK(E252,$E$3:$E$2298)+COUNTIF($E$3:E252,E252)-1,"")</f>
        <v/>
      </c>
      <c r="Q252" s="8"/>
      <c r="R252" s="64"/>
      <c r="Z252" s="8"/>
    </row>
    <row r="253" spans="4:26" x14ac:dyDescent="0.25">
      <c r="D253" s="36" t="str" cm="1">
        <f t="array" aca="1" ref="D253" ca="1">IFERROR(IF(INDIRECT("'"&amp;F253&amp;"'!$C$5")&gt;0,DATE(YEAR(Dashboard!$AL$2),Dashboard!$AU$4,INDIRECT("'"&amp;F253&amp;"'!$C$5")),""),"")</f>
        <v/>
      </c>
      <c r="G253" s="38" t="str" cm="1">
        <f t="array" aca="1" ref="G253" ca="1">IF(F253="",
    "",
    IFERROR(
        IF(INDIRECT("'"&amp;F253&amp;"'!$B$2")="Credit Limit",
            "Credit Accounts",
            IF(INDIRECT("'"&amp;F253&amp;"'!$E$2")="Location",
                "Cash Accounts",
                IF(INDIRECT("'"&amp;F253&amp;"'!$B$2")="Amount",
                    "Investments",
                    "Bill Accounts"
                )
            )
        ),
    "")
)</f>
        <v/>
      </c>
      <c r="I253" s="46" t="str" cm="1">
        <f t="array" aca="1" ref="I253" ca="1">IF(F253&lt;&gt;"",IF(OR(G253="Bill Accounts",G253="Investments", G253="Cash Accounts"),INDIRECT("'"&amp;F253&amp;"'!$C$10"),INDIRECT("'"&amp;F253&amp;"'!$C$8")),"")</f>
        <v/>
      </c>
      <c r="K253" s="48">
        <f t="shared" si="12"/>
        <v>259</v>
      </c>
      <c r="L253" s="114" t="str" cm="1">
        <f t="array" aca="1" ref="L253" ca="1">IF(F253&lt;&gt;"",INDIRECT("'"&amp;F253&amp;"'!$F$17"),"")</f>
        <v/>
      </c>
      <c r="M253" s="116" t="str">
        <f t="shared" ca="1" si="10"/>
        <v/>
      </c>
      <c r="O253" s="49" t="str">
        <f t="shared" ca="1" si="11"/>
        <v/>
      </c>
      <c r="P253" s="38" t="str">
        <f>IF(E253&lt;&gt;"",RANK(E253,$E$3:$E$2298)+COUNTIF($E$3:E253,E253)-1,"")</f>
        <v/>
      </c>
      <c r="Q253" s="8"/>
      <c r="R253" s="64"/>
      <c r="Z253" s="8"/>
    </row>
    <row r="254" spans="4:26" x14ac:dyDescent="0.25">
      <c r="D254" s="36" t="str" cm="1">
        <f t="array" aca="1" ref="D254" ca="1">IFERROR(IF(INDIRECT("'"&amp;F254&amp;"'!$C$5")&gt;0,DATE(YEAR(Dashboard!$AL$2),Dashboard!$AU$4,INDIRECT("'"&amp;F254&amp;"'!$C$5")),""),"")</f>
        <v/>
      </c>
      <c r="G254" s="38" t="str" cm="1">
        <f t="array" aca="1" ref="G254" ca="1">IF(F254="",
    "",
    IFERROR(
        IF(INDIRECT("'"&amp;F254&amp;"'!$B$2")="Credit Limit",
            "Credit Accounts",
            IF(INDIRECT("'"&amp;F254&amp;"'!$E$2")="Location",
                "Cash Accounts",
                IF(INDIRECT("'"&amp;F254&amp;"'!$B$2")="Amount",
                    "Investments",
                    "Bill Accounts"
                )
            )
        ),
    "")
)</f>
        <v/>
      </c>
      <c r="I254" s="46" t="str" cm="1">
        <f t="array" aca="1" ref="I254" ca="1">IF(F254&lt;&gt;"",IF(OR(G254="Bill Accounts",G254="Investments", G254="Cash Accounts"),INDIRECT("'"&amp;F254&amp;"'!$C$10"),INDIRECT("'"&amp;F254&amp;"'!$C$8")),"")</f>
        <v/>
      </c>
      <c r="K254" s="48">
        <f t="shared" si="12"/>
        <v>260</v>
      </c>
      <c r="L254" s="114" t="str" cm="1">
        <f t="array" aca="1" ref="L254" ca="1">IF(F254&lt;&gt;"",INDIRECT("'"&amp;F254&amp;"'!$F$17"),"")</f>
        <v/>
      </c>
      <c r="M254" s="116" t="str">
        <f t="shared" ca="1" si="10"/>
        <v/>
      </c>
      <c r="O254" s="49" t="str">
        <f t="shared" ca="1" si="11"/>
        <v/>
      </c>
      <c r="P254" s="38" t="str">
        <f>IF(E254&lt;&gt;"",RANK(E254,$E$3:$E$2298)+COUNTIF($E$3:E254,E254)-1,"")</f>
        <v/>
      </c>
      <c r="Q254" s="8"/>
      <c r="R254" s="64"/>
      <c r="Z254" s="8"/>
    </row>
    <row r="255" spans="4:26" x14ac:dyDescent="0.25">
      <c r="D255" s="36" t="str" cm="1">
        <f t="array" aca="1" ref="D255" ca="1">IFERROR(IF(INDIRECT("'"&amp;F255&amp;"'!$C$5")&gt;0,DATE(YEAR(Dashboard!$AL$2),Dashboard!$AU$4,INDIRECT("'"&amp;F255&amp;"'!$C$5")),""),"")</f>
        <v/>
      </c>
      <c r="G255" s="38" t="str" cm="1">
        <f t="array" aca="1" ref="G255" ca="1">IF(F255="",
    "",
    IFERROR(
        IF(INDIRECT("'"&amp;F255&amp;"'!$B$2")="Credit Limit",
            "Credit Accounts",
            IF(INDIRECT("'"&amp;F255&amp;"'!$E$2")="Location",
                "Cash Accounts",
                IF(INDIRECT("'"&amp;F255&amp;"'!$B$2")="Amount",
                    "Investments",
                    "Bill Accounts"
                )
            )
        ),
    "")
)</f>
        <v/>
      </c>
      <c r="I255" s="46" t="str" cm="1">
        <f t="array" aca="1" ref="I255" ca="1">IF(F255&lt;&gt;"",IF(OR(G255="Bill Accounts",G255="Investments", G255="Cash Accounts"),INDIRECT("'"&amp;F255&amp;"'!$C$10"),INDIRECT("'"&amp;F255&amp;"'!$C$8")),"")</f>
        <v/>
      </c>
      <c r="K255" s="48">
        <f t="shared" si="12"/>
        <v>261</v>
      </c>
      <c r="L255" s="114" t="str" cm="1">
        <f t="array" aca="1" ref="L255" ca="1">IF(F255&lt;&gt;"",INDIRECT("'"&amp;F255&amp;"'!$F$17"),"")</f>
        <v/>
      </c>
      <c r="M255" s="116" t="str">
        <f t="shared" ca="1" si="10"/>
        <v/>
      </c>
      <c r="O255" s="49" t="str">
        <f t="shared" ca="1" si="11"/>
        <v/>
      </c>
      <c r="P255" s="38" t="str">
        <f>IF(E255&lt;&gt;"",RANK(E255,$E$3:$E$2298)+COUNTIF($E$3:E255,E255)-1,"")</f>
        <v/>
      </c>
      <c r="Q255" s="8"/>
      <c r="R255" s="64"/>
      <c r="Z255" s="8"/>
    </row>
    <row r="256" spans="4:26" x14ac:dyDescent="0.25">
      <c r="D256" s="36" t="str" cm="1">
        <f t="array" aca="1" ref="D256" ca="1">IFERROR(IF(INDIRECT("'"&amp;F256&amp;"'!$C$5")&gt;0,DATE(YEAR(Dashboard!$AL$2),Dashboard!$AU$4,INDIRECT("'"&amp;F256&amp;"'!$C$5")),""),"")</f>
        <v/>
      </c>
      <c r="G256" s="38" t="str" cm="1">
        <f t="array" aca="1" ref="G256" ca="1">IF(F256="",
    "",
    IFERROR(
        IF(INDIRECT("'"&amp;F256&amp;"'!$B$2")="Credit Limit",
            "Credit Accounts",
            IF(INDIRECT("'"&amp;F256&amp;"'!$E$2")="Location",
                "Cash Accounts",
                IF(INDIRECT("'"&amp;F256&amp;"'!$B$2")="Amount",
                    "Investments",
                    "Bill Accounts"
                )
            )
        ),
    "")
)</f>
        <v/>
      </c>
      <c r="I256" s="46" t="str" cm="1">
        <f t="array" aca="1" ref="I256" ca="1">IF(F256&lt;&gt;"",IF(OR(G256="Bill Accounts",G256="Investments", G256="Cash Accounts"),INDIRECT("'"&amp;F256&amp;"'!$C$10"),INDIRECT("'"&amp;F256&amp;"'!$C$8")),"")</f>
        <v/>
      </c>
      <c r="K256" s="48">
        <f t="shared" si="12"/>
        <v>262</v>
      </c>
      <c r="L256" s="114" t="str" cm="1">
        <f t="array" aca="1" ref="L256" ca="1">IF(F256&lt;&gt;"",INDIRECT("'"&amp;F256&amp;"'!$F$17"),"")</f>
        <v/>
      </c>
      <c r="M256" s="116" t="str">
        <f t="shared" ca="1" si="10"/>
        <v/>
      </c>
      <c r="O256" s="49" t="str">
        <f t="shared" ca="1" si="11"/>
        <v/>
      </c>
      <c r="P256" s="38" t="str">
        <f>IF(E256&lt;&gt;"",RANK(E256,$E$3:$E$2298)+COUNTIF($E$3:E256,E256)-1,"")</f>
        <v/>
      </c>
      <c r="Q256" s="8"/>
      <c r="R256" s="64"/>
      <c r="Z256" s="8"/>
    </row>
    <row r="257" spans="4:26" x14ac:dyDescent="0.25">
      <c r="D257" s="36" t="str" cm="1">
        <f t="array" aca="1" ref="D257" ca="1">IFERROR(IF(INDIRECT("'"&amp;F257&amp;"'!$C$5")&gt;0,DATE(YEAR(Dashboard!$AL$2),Dashboard!$AU$4,INDIRECT("'"&amp;F257&amp;"'!$C$5")),""),"")</f>
        <v/>
      </c>
      <c r="G257" s="38" t="str" cm="1">
        <f t="array" aca="1" ref="G257" ca="1">IF(F257="",
    "",
    IFERROR(
        IF(INDIRECT("'"&amp;F257&amp;"'!$B$2")="Credit Limit",
            "Credit Accounts",
            IF(INDIRECT("'"&amp;F257&amp;"'!$E$2")="Location",
                "Cash Accounts",
                IF(INDIRECT("'"&amp;F257&amp;"'!$B$2")="Amount",
                    "Investments",
                    "Bill Accounts"
                )
            )
        ),
    "")
)</f>
        <v/>
      </c>
      <c r="I257" s="46" t="str" cm="1">
        <f t="array" aca="1" ref="I257" ca="1">IF(F257&lt;&gt;"",IF(OR(G257="Bill Accounts",G257="Investments", G257="Cash Accounts"),INDIRECT("'"&amp;F257&amp;"'!$C$10"),INDIRECT("'"&amp;F257&amp;"'!$C$8")),"")</f>
        <v/>
      </c>
      <c r="K257" s="48">
        <f t="shared" si="12"/>
        <v>263</v>
      </c>
      <c r="L257" s="114" t="str" cm="1">
        <f t="array" aca="1" ref="L257" ca="1">IF(F257&lt;&gt;"",INDIRECT("'"&amp;F257&amp;"'!$F$17"),"")</f>
        <v/>
      </c>
      <c r="M257" s="116" t="str">
        <f t="shared" ca="1" si="10"/>
        <v/>
      </c>
      <c r="O257" s="49" t="str">
        <f t="shared" ca="1" si="11"/>
        <v/>
      </c>
      <c r="P257" s="38" t="str">
        <f>IF(E257&lt;&gt;"",RANK(E257,$E$3:$E$2298)+COUNTIF($E$3:E257,E257)-1,"")</f>
        <v/>
      </c>
      <c r="Q257" s="8"/>
      <c r="R257" s="64"/>
      <c r="Z257" s="8"/>
    </row>
    <row r="258" spans="4:26" x14ac:dyDescent="0.25">
      <c r="D258" s="36" t="str" cm="1">
        <f t="array" aca="1" ref="D258" ca="1">IFERROR(IF(INDIRECT("'"&amp;F258&amp;"'!$C$5")&gt;0,DATE(YEAR(Dashboard!$AL$2),Dashboard!$AU$4,INDIRECT("'"&amp;F258&amp;"'!$C$5")),""),"")</f>
        <v/>
      </c>
      <c r="G258" s="38" t="str" cm="1">
        <f t="array" aca="1" ref="G258" ca="1">IF(F258="",
    "",
    IFERROR(
        IF(INDIRECT("'"&amp;F258&amp;"'!$B$2")="Credit Limit",
            "Credit Accounts",
            IF(INDIRECT("'"&amp;F258&amp;"'!$E$2")="Location",
                "Cash Accounts",
                IF(INDIRECT("'"&amp;F258&amp;"'!$B$2")="Amount",
                    "Investments",
                    "Bill Accounts"
                )
            )
        ),
    "")
)</f>
        <v/>
      </c>
      <c r="I258" s="46" t="str" cm="1">
        <f t="array" aca="1" ref="I258" ca="1">IF(F258&lt;&gt;"",IF(OR(G258="Bill Accounts",G258="Investments", G258="Cash Accounts"),INDIRECT("'"&amp;F258&amp;"'!$C$10"),INDIRECT("'"&amp;F258&amp;"'!$C$8")),"")</f>
        <v/>
      </c>
      <c r="K258" s="48">
        <f t="shared" si="12"/>
        <v>264</v>
      </c>
      <c r="L258" s="114" t="str" cm="1">
        <f t="array" aca="1" ref="L258" ca="1">IF(F258&lt;&gt;"",INDIRECT("'"&amp;F258&amp;"'!$F$17"),"")</f>
        <v/>
      </c>
      <c r="M258" s="116" t="str">
        <f t="shared" ca="1" si="10"/>
        <v/>
      </c>
      <c r="O258" s="49" t="str">
        <f t="shared" ca="1" si="11"/>
        <v/>
      </c>
      <c r="P258" s="38" t="str">
        <f>IF(E258&lt;&gt;"",RANK(E258,$E$3:$E$2298)+COUNTIF($E$3:E258,E258)-1,"")</f>
        <v/>
      </c>
      <c r="Q258" s="8"/>
      <c r="R258" s="64"/>
      <c r="Z258" s="8"/>
    </row>
    <row r="259" spans="4:26" x14ac:dyDescent="0.25">
      <c r="D259" s="36" t="str" cm="1">
        <f t="array" aca="1" ref="D259" ca="1">IFERROR(IF(INDIRECT("'"&amp;F259&amp;"'!$C$5")&gt;0,DATE(YEAR(Dashboard!$AL$2),Dashboard!$AU$4,INDIRECT("'"&amp;F259&amp;"'!$C$5")),""),"")</f>
        <v/>
      </c>
      <c r="G259" s="38" t="str" cm="1">
        <f t="array" aca="1" ref="G259" ca="1">IF(F259="",
    "",
    IFERROR(
        IF(INDIRECT("'"&amp;F259&amp;"'!$B$2")="Credit Limit",
            "Credit Accounts",
            IF(INDIRECT("'"&amp;F259&amp;"'!$E$2")="Location",
                "Cash Accounts",
                IF(INDIRECT("'"&amp;F259&amp;"'!$B$2")="Amount",
                    "Investments",
                    "Bill Accounts"
                )
            )
        ),
    "")
)</f>
        <v/>
      </c>
      <c r="I259" s="46" t="str" cm="1">
        <f t="array" aca="1" ref="I259" ca="1">IF(F259&lt;&gt;"",IF(OR(G259="Bill Accounts",G259="Investments", G259="Cash Accounts"),INDIRECT("'"&amp;F259&amp;"'!$C$10"),INDIRECT("'"&amp;F259&amp;"'!$C$8")),"")</f>
        <v/>
      </c>
      <c r="K259" s="48">
        <f t="shared" si="12"/>
        <v>265</v>
      </c>
      <c r="L259" s="114" t="str" cm="1">
        <f t="array" aca="1" ref="L259" ca="1">IF(F259&lt;&gt;"",INDIRECT("'"&amp;F259&amp;"'!$F$17"),"")</f>
        <v/>
      </c>
      <c r="M259" s="116" t="str">
        <f t="shared" ca="1" si="10"/>
        <v/>
      </c>
      <c r="O259" s="49" t="str">
        <f t="shared" ca="1" si="11"/>
        <v/>
      </c>
      <c r="P259" s="38" t="str">
        <f>IF(E259&lt;&gt;"",RANK(E259,$E$3:$E$2298)+COUNTIF($E$3:E259,E259)-1,"")</f>
        <v/>
      </c>
      <c r="Q259" s="8"/>
      <c r="R259" s="64"/>
      <c r="Z259" s="8"/>
    </row>
    <row r="260" spans="4:26" x14ac:dyDescent="0.25">
      <c r="D260" s="36" t="str" cm="1">
        <f t="array" aca="1" ref="D260" ca="1">IFERROR(IF(INDIRECT("'"&amp;F260&amp;"'!$C$5")&gt;0,DATE(YEAR(Dashboard!$AL$2),Dashboard!$AU$4,INDIRECT("'"&amp;F260&amp;"'!$C$5")),""),"")</f>
        <v/>
      </c>
      <c r="G260" s="38" t="str" cm="1">
        <f t="array" aca="1" ref="G260" ca="1">IF(F260="",
    "",
    IFERROR(
        IF(INDIRECT("'"&amp;F260&amp;"'!$B$2")="Credit Limit",
            "Credit Accounts",
            IF(INDIRECT("'"&amp;F260&amp;"'!$E$2")="Location",
                "Cash Accounts",
                IF(INDIRECT("'"&amp;F260&amp;"'!$B$2")="Amount",
                    "Investments",
                    "Bill Accounts"
                )
            )
        ),
    "")
)</f>
        <v/>
      </c>
      <c r="I260" s="46" t="str" cm="1">
        <f t="array" aca="1" ref="I260" ca="1">IF(F260&lt;&gt;"",IF(OR(G260="Bill Accounts",G260="Investments", G260="Cash Accounts"),INDIRECT("'"&amp;F260&amp;"'!$C$10"),INDIRECT("'"&amp;F260&amp;"'!$C$8")),"")</f>
        <v/>
      </c>
      <c r="K260" s="48">
        <f t="shared" si="12"/>
        <v>266</v>
      </c>
      <c r="L260" s="114" t="str" cm="1">
        <f t="array" aca="1" ref="L260" ca="1">IF(F260&lt;&gt;"",INDIRECT("'"&amp;F260&amp;"'!$F$17"),"")</f>
        <v/>
      </c>
      <c r="M260" s="116" t="str">
        <f t="shared" ref="M260:M323" ca="1" si="13">IF(G260="Credit Accounts",EDATE(TODAY(),INDIRECT("'"&amp;F260&amp;"'!$C$14")),"")</f>
        <v/>
      </c>
      <c r="O260" s="49" t="str">
        <f t="shared" ref="O260:O323" ca="1" si="14">IF(D260&lt;&gt;"",DAY(D260),"")</f>
        <v/>
      </c>
      <c r="P260" s="38" t="str">
        <f>IF(E260&lt;&gt;"",RANK(E260,$E$3:$E$2298)+COUNTIF($E$3:E260,E260)-1,"")</f>
        <v/>
      </c>
      <c r="Q260" s="8"/>
      <c r="R260" s="64"/>
      <c r="Z260" s="8"/>
    </row>
    <row r="261" spans="4:26" x14ac:dyDescent="0.25">
      <c r="D261" s="36" t="str" cm="1">
        <f t="array" aca="1" ref="D261" ca="1">IFERROR(IF(INDIRECT("'"&amp;F261&amp;"'!$C$5")&gt;0,DATE(YEAR(Dashboard!$AL$2),Dashboard!$AU$4,INDIRECT("'"&amp;F261&amp;"'!$C$5")),""),"")</f>
        <v/>
      </c>
      <c r="G261" s="38" t="str" cm="1">
        <f t="array" aca="1" ref="G261" ca="1">IF(F261="",
    "",
    IFERROR(
        IF(INDIRECT("'"&amp;F261&amp;"'!$B$2")="Credit Limit",
            "Credit Accounts",
            IF(INDIRECT("'"&amp;F261&amp;"'!$E$2")="Location",
                "Cash Accounts",
                IF(INDIRECT("'"&amp;F261&amp;"'!$B$2")="Amount",
                    "Investments",
                    "Bill Accounts"
                )
            )
        ),
    "")
)</f>
        <v/>
      </c>
      <c r="I261" s="46" t="str" cm="1">
        <f t="array" aca="1" ref="I261" ca="1">IF(F261&lt;&gt;"",IF(OR(G261="Bill Accounts",G261="Investments", G261="Cash Accounts"),INDIRECT("'"&amp;F261&amp;"'!$C$10"),INDIRECT("'"&amp;F261&amp;"'!$C$8")),"")</f>
        <v/>
      </c>
      <c r="K261" s="48">
        <f t="shared" si="12"/>
        <v>267</v>
      </c>
      <c r="L261" s="114" t="str" cm="1">
        <f t="array" aca="1" ref="L261" ca="1">IF(F261&lt;&gt;"",INDIRECT("'"&amp;F261&amp;"'!$F$17"),"")</f>
        <v/>
      </c>
      <c r="M261" s="116" t="str">
        <f t="shared" ca="1" si="13"/>
        <v/>
      </c>
      <c r="O261" s="49" t="str">
        <f t="shared" ca="1" si="14"/>
        <v/>
      </c>
      <c r="P261" s="38" t="str">
        <f>IF(E261&lt;&gt;"",RANK(E261,$E$3:$E$2298)+COUNTIF($E$3:E261,E261)-1,"")</f>
        <v/>
      </c>
      <c r="Q261" s="8"/>
      <c r="R261" s="64"/>
      <c r="Z261" s="8"/>
    </row>
    <row r="262" spans="4:26" x14ac:dyDescent="0.25">
      <c r="D262" s="36" t="str" cm="1">
        <f t="array" aca="1" ref="D262" ca="1">IFERROR(IF(INDIRECT("'"&amp;F262&amp;"'!$C$5")&gt;0,DATE(YEAR(Dashboard!$AL$2),Dashboard!$AU$4,INDIRECT("'"&amp;F262&amp;"'!$C$5")),""),"")</f>
        <v/>
      </c>
      <c r="G262" s="38" t="str" cm="1">
        <f t="array" aca="1" ref="G262" ca="1">IF(F262="",
    "",
    IFERROR(
        IF(INDIRECT("'"&amp;F262&amp;"'!$B$2")="Credit Limit",
            "Credit Accounts",
            IF(INDIRECT("'"&amp;F262&amp;"'!$E$2")="Location",
                "Cash Accounts",
                IF(INDIRECT("'"&amp;F262&amp;"'!$B$2")="Amount",
                    "Investments",
                    "Bill Accounts"
                )
            )
        ),
    "")
)</f>
        <v/>
      </c>
      <c r="I262" s="46" t="str" cm="1">
        <f t="array" aca="1" ref="I262" ca="1">IF(F262&lt;&gt;"",IF(OR(G262="Bill Accounts",G262="Investments", G262="Cash Accounts"),INDIRECT("'"&amp;F262&amp;"'!$C$10"),INDIRECT("'"&amp;F262&amp;"'!$C$8")),"")</f>
        <v/>
      </c>
      <c r="K262" s="48">
        <f t="shared" si="12"/>
        <v>268</v>
      </c>
      <c r="L262" s="114" t="str" cm="1">
        <f t="array" aca="1" ref="L262" ca="1">IF(F262&lt;&gt;"",INDIRECT("'"&amp;F262&amp;"'!$F$17"),"")</f>
        <v/>
      </c>
      <c r="M262" s="116" t="str">
        <f t="shared" ca="1" si="13"/>
        <v/>
      </c>
      <c r="O262" s="49" t="str">
        <f t="shared" ca="1" si="14"/>
        <v/>
      </c>
      <c r="P262" s="38" t="str">
        <f>IF(E262&lt;&gt;"",RANK(E262,$E$3:$E$2298)+COUNTIF($E$3:E262,E262)-1,"")</f>
        <v/>
      </c>
      <c r="Q262" s="8"/>
      <c r="R262" s="64"/>
      <c r="Z262" s="8"/>
    </row>
    <row r="263" spans="4:26" x14ac:dyDescent="0.25">
      <c r="D263" s="36" t="str" cm="1">
        <f t="array" aca="1" ref="D263" ca="1">IFERROR(IF(INDIRECT("'"&amp;F263&amp;"'!$C$5")&gt;0,DATE(YEAR(Dashboard!$AL$2),Dashboard!$AU$4,INDIRECT("'"&amp;F263&amp;"'!$C$5")),""),"")</f>
        <v/>
      </c>
      <c r="G263" s="38" t="str" cm="1">
        <f t="array" aca="1" ref="G263" ca="1">IF(F263="",
    "",
    IFERROR(
        IF(INDIRECT("'"&amp;F263&amp;"'!$B$2")="Credit Limit",
            "Credit Accounts",
            IF(INDIRECT("'"&amp;F263&amp;"'!$E$2")="Location",
                "Cash Accounts",
                IF(INDIRECT("'"&amp;F263&amp;"'!$B$2")="Amount",
                    "Investments",
                    "Bill Accounts"
                )
            )
        ),
    "")
)</f>
        <v/>
      </c>
      <c r="I263" s="46" t="str" cm="1">
        <f t="array" aca="1" ref="I263" ca="1">IF(F263&lt;&gt;"",IF(OR(G263="Bill Accounts",G263="Investments", G263="Cash Accounts"),INDIRECT("'"&amp;F263&amp;"'!$C$10"),INDIRECT("'"&amp;F263&amp;"'!$C$8")),"")</f>
        <v/>
      </c>
      <c r="K263" s="48">
        <f t="shared" si="12"/>
        <v>269</v>
      </c>
      <c r="L263" s="114" t="str" cm="1">
        <f t="array" aca="1" ref="L263" ca="1">IF(F263&lt;&gt;"",INDIRECT("'"&amp;F263&amp;"'!$F$17"),"")</f>
        <v/>
      </c>
      <c r="M263" s="116" t="str">
        <f t="shared" ca="1" si="13"/>
        <v/>
      </c>
      <c r="O263" s="49" t="str">
        <f t="shared" ca="1" si="14"/>
        <v/>
      </c>
      <c r="P263" s="38" t="str">
        <f>IF(E263&lt;&gt;"",RANK(E263,$E$3:$E$2298)+COUNTIF($E$3:E263,E263)-1,"")</f>
        <v/>
      </c>
      <c r="Q263" s="8"/>
      <c r="R263" s="64"/>
      <c r="Z263" s="8"/>
    </row>
    <row r="264" spans="4:26" x14ac:dyDescent="0.25">
      <c r="D264" s="36" t="str" cm="1">
        <f t="array" aca="1" ref="D264" ca="1">IFERROR(IF(INDIRECT("'"&amp;F264&amp;"'!$C$5")&gt;0,DATE(YEAR(Dashboard!$AL$2),Dashboard!$AU$4,INDIRECT("'"&amp;F264&amp;"'!$C$5")),""),"")</f>
        <v/>
      </c>
      <c r="G264" s="38" t="str" cm="1">
        <f t="array" aca="1" ref="G264" ca="1">IF(F264="",
    "",
    IFERROR(
        IF(INDIRECT("'"&amp;F264&amp;"'!$B$2")="Credit Limit",
            "Credit Accounts",
            IF(INDIRECT("'"&amp;F264&amp;"'!$E$2")="Location",
                "Cash Accounts",
                IF(INDIRECT("'"&amp;F264&amp;"'!$B$2")="Amount",
                    "Investments",
                    "Bill Accounts"
                )
            )
        ),
    "")
)</f>
        <v/>
      </c>
      <c r="I264" s="46" t="str" cm="1">
        <f t="array" aca="1" ref="I264" ca="1">IF(F264&lt;&gt;"",IF(OR(G264="Bill Accounts",G264="Investments", G264="Cash Accounts"),INDIRECT("'"&amp;F264&amp;"'!$C$10"),INDIRECT("'"&amp;F264&amp;"'!$C$8")),"")</f>
        <v/>
      </c>
      <c r="K264" s="48">
        <f t="shared" ref="K264:K327" si="15">SUM(K263+1)</f>
        <v>270</v>
      </c>
      <c r="L264" s="114" t="str" cm="1">
        <f t="array" aca="1" ref="L264" ca="1">IF(F264&lt;&gt;"",INDIRECT("'"&amp;F264&amp;"'!$F$17"),"")</f>
        <v/>
      </c>
      <c r="M264" s="116" t="str">
        <f t="shared" ca="1" si="13"/>
        <v/>
      </c>
      <c r="O264" s="49" t="str">
        <f t="shared" ca="1" si="14"/>
        <v/>
      </c>
      <c r="P264" s="38" t="str">
        <f>IF(E264&lt;&gt;"",RANK(E264,$E$3:$E$2298)+COUNTIF($E$3:E264,E264)-1,"")</f>
        <v/>
      </c>
      <c r="Q264" s="8"/>
      <c r="R264" s="64"/>
      <c r="Z264" s="8"/>
    </row>
    <row r="265" spans="4:26" x14ac:dyDescent="0.25">
      <c r="D265" s="36" t="str" cm="1">
        <f t="array" aca="1" ref="D265" ca="1">IFERROR(IF(INDIRECT("'"&amp;F265&amp;"'!$C$5")&gt;0,DATE(YEAR(Dashboard!$AL$2),Dashboard!$AU$4,INDIRECT("'"&amp;F265&amp;"'!$C$5")),""),"")</f>
        <v/>
      </c>
      <c r="G265" s="38" t="str" cm="1">
        <f t="array" aca="1" ref="G265" ca="1">IF(F265="",
    "",
    IFERROR(
        IF(INDIRECT("'"&amp;F265&amp;"'!$B$2")="Credit Limit",
            "Credit Accounts",
            IF(INDIRECT("'"&amp;F265&amp;"'!$E$2")="Location",
                "Cash Accounts",
                IF(INDIRECT("'"&amp;F265&amp;"'!$B$2")="Amount",
                    "Investments",
                    "Bill Accounts"
                )
            )
        ),
    "")
)</f>
        <v/>
      </c>
      <c r="I265" s="46" t="str" cm="1">
        <f t="array" aca="1" ref="I265" ca="1">IF(F265&lt;&gt;"",IF(OR(G265="Bill Accounts",G265="Investments", G265="Cash Accounts"),INDIRECT("'"&amp;F265&amp;"'!$C$10"),INDIRECT("'"&amp;F265&amp;"'!$C$8")),"")</f>
        <v/>
      </c>
      <c r="K265" s="48">
        <f t="shared" si="15"/>
        <v>271</v>
      </c>
      <c r="L265" s="114" t="str" cm="1">
        <f t="array" aca="1" ref="L265" ca="1">IF(F265&lt;&gt;"",INDIRECT("'"&amp;F265&amp;"'!$F$17"),"")</f>
        <v/>
      </c>
      <c r="M265" s="116" t="str">
        <f t="shared" ca="1" si="13"/>
        <v/>
      </c>
      <c r="O265" s="49" t="str">
        <f t="shared" ca="1" si="14"/>
        <v/>
      </c>
      <c r="P265" s="38" t="str">
        <f>IF(E265&lt;&gt;"",RANK(E265,$E$3:$E$2298)+COUNTIF($E$3:E265,E265)-1,"")</f>
        <v/>
      </c>
      <c r="Q265" s="8"/>
      <c r="R265" s="64"/>
      <c r="Z265" s="8"/>
    </row>
    <row r="266" spans="4:26" x14ac:dyDescent="0.25">
      <c r="D266" s="36" t="str" cm="1">
        <f t="array" aca="1" ref="D266" ca="1">IFERROR(IF(INDIRECT("'"&amp;F266&amp;"'!$C$5")&gt;0,DATE(YEAR(Dashboard!$AL$2),Dashboard!$AU$4,INDIRECT("'"&amp;F266&amp;"'!$C$5")),""),"")</f>
        <v/>
      </c>
      <c r="G266" s="38" t="str" cm="1">
        <f t="array" aca="1" ref="G266" ca="1">IF(F266="",
    "",
    IFERROR(
        IF(INDIRECT("'"&amp;F266&amp;"'!$B$2")="Credit Limit",
            "Credit Accounts",
            IF(INDIRECT("'"&amp;F266&amp;"'!$E$2")="Location",
                "Cash Accounts",
                IF(INDIRECT("'"&amp;F266&amp;"'!$B$2")="Amount",
                    "Investments",
                    "Bill Accounts"
                )
            )
        ),
    "")
)</f>
        <v/>
      </c>
      <c r="I266" s="46" t="str" cm="1">
        <f t="array" aca="1" ref="I266" ca="1">IF(F266&lt;&gt;"",IF(OR(G266="Bill Accounts",G266="Investments", G266="Cash Accounts"),INDIRECT("'"&amp;F266&amp;"'!$C$10"),INDIRECT("'"&amp;F266&amp;"'!$C$8")),"")</f>
        <v/>
      </c>
      <c r="K266" s="48">
        <f t="shared" si="15"/>
        <v>272</v>
      </c>
      <c r="L266" s="114" t="str" cm="1">
        <f t="array" aca="1" ref="L266" ca="1">IF(F266&lt;&gt;"",INDIRECT("'"&amp;F266&amp;"'!$F$17"),"")</f>
        <v/>
      </c>
      <c r="M266" s="116" t="str">
        <f t="shared" ca="1" si="13"/>
        <v/>
      </c>
      <c r="O266" s="49" t="str">
        <f t="shared" ca="1" si="14"/>
        <v/>
      </c>
      <c r="P266" s="38" t="str">
        <f>IF(E266&lt;&gt;"",RANK(E266,$E$3:$E$2298)+COUNTIF($E$3:E266,E266)-1,"")</f>
        <v/>
      </c>
      <c r="Q266" s="8"/>
      <c r="R266" s="64"/>
      <c r="Z266" s="8"/>
    </row>
    <row r="267" spans="4:26" x14ac:dyDescent="0.25">
      <c r="D267" s="36" t="str" cm="1">
        <f t="array" aca="1" ref="D267" ca="1">IFERROR(IF(INDIRECT("'"&amp;F267&amp;"'!$C$5")&gt;0,DATE(YEAR(Dashboard!$AL$2),Dashboard!$AU$4,INDIRECT("'"&amp;F267&amp;"'!$C$5")),""),"")</f>
        <v/>
      </c>
      <c r="G267" s="38" t="str" cm="1">
        <f t="array" aca="1" ref="G267" ca="1">IF(F267="",
    "",
    IFERROR(
        IF(INDIRECT("'"&amp;F267&amp;"'!$B$2")="Credit Limit",
            "Credit Accounts",
            IF(INDIRECT("'"&amp;F267&amp;"'!$E$2")="Location",
                "Cash Accounts",
                IF(INDIRECT("'"&amp;F267&amp;"'!$B$2")="Amount",
                    "Investments",
                    "Bill Accounts"
                )
            )
        ),
    "")
)</f>
        <v/>
      </c>
      <c r="I267" s="46" t="str" cm="1">
        <f t="array" aca="1" ref="I267" ca="1">IF(F267&lt;&gt;"",IF(OR(G267="Bill Accounts",G267="Investments", G267="Cash Accounts"),INDIRECT("'"&amp;F267&amp;"'!$C$10"),INDIRECT("'"&amp;F267&amp;"'!$C$8")),"")</f>
        <v/>
      </c>
      <c r="K267" s="48">
        <f t="shared" si="15"/>
        <v>273</v>
      </c>
      <c r="L267" s="114" t="str" cm="1">
        <f t="array" aca="1" ref="L267" ca="1">IF(F267&lt;&gt;"",INDIRECT("'"&amp;F267&amp;"'!$F$17"),"")</f>
        <v/>
      </c>
      <c r="M267" s="116" t="str">
        <f t="shared" ca="1" si="13"/>
        <v/>
      </c>
      <c r="O267" s="49" t="str">
        <f t="shared" ca="1" si="14"/>
        <v/>
      </c>
      <c r="P267" s="38" t="str">
        <f>IF(E267&lt;&gt;"",RANK(E267,$E$3:$E$2298)+COUNTIF($E$3:E267,E267)-1,"")</f>
        <v/>
      </c>
      <c r="Q267" s="8"/>
      <c r="R267" s="64"/>
      <c r="Z267" s="8"/>
    </row>
    <row r="268" spans="4:26" x14ac:dyDescent="0.25">
      <c r="D268" s="36" t="str" cm="1">
        <f t="array" aca="1" ref="D268" ca="1">IFERROR(IF(INDIRECT("'"&amp;F268&amp;"'!$C$5")&gt;0,DATE(YEAR(Dashboard!$AL$2),Dashboard!$AU$4,INDIRECT("'"&amp;F268&amp;"'!$C$5")),""),"")</f>
        <v/>
      </c>
      <c r="G268" s="38" t="str" cm="1">
        <f t="array" aca="1" ref="G268" ca="1">IF(F268="",
    "",
    IFERROR(
        IF(INDIRECT("'"&amp;F268&amp;"'!$B$2")="Credit Limit",
            "Credit Accounts",
            IF(INDIRECT("'"&amp;F268&amp;"'!$E$2")="Location",
                "Cash Accounts",
                IF(INDIRECT("'"&amp;F268&amp;"'!$B$2")="Amount",
                    "Investments",
                    "Bill Accounts"
                )
            )
        ),
    "")
)</f>
        <v/>
      </c>
      <c r="I268" s="46" t="str" cm="1">
        <f t="array" aca="1" ref="I268" ca="1">IF(F268&lt;&gt;"",IF(OR(G268="Bill Accounts",G268="Investments", G268="Cash Accounts"),INDIRECT("'"&amp;F268&amp;"'!$C$10"),INDIRECT("'"&amp;F268&amp;"'!$C$8")),"")</f>
        <v/>
      </c>
      <c r="K268" s="48">
        <f t="shared" si="15"/>
        <v>274</v>
      </c>
      <c r="L268" s="114" t="str" cm="1">
        <f t="array" aca="1" ref="L268" ca="1">IF(F268&lt;&gt;"",INDIRECT("'"&amp;F268&amp;"'!$F$17"),"")</f>
        <v/>
      </c>
      <c r="M268" s="116" t="str">
        <f t="shared" ca="1" si="13"/>
        <v/>
      </c>
      <c r="O268" s="49" t="str">
        <f t="shared" ca="1" si="14"/>
        <v/>
      </c>
      <c r="P268" s="38" t="str">
        <f>IF(E268&lt;&gt;"",RANK(E268,$E$3:$E$2298)+COUNTIF($E$3:E268,E268)-1,"")</f>
        <v/>
      </c>
      <c r="Q268" s="8"/>
      <c r="R268" s="64"/>
      <c r="Z268" s="8"/>
    </row>
    <row r="269" spans="4:26" x14ac:dyDescent="0.25">
      <c r="D269" s="36" t="str" cm="1">
        <f t="array" aca="1" ref="D269" ca="1">IFERROR(IF(INDIRECT("'"&amp;F269&amp;"'!$C$5")&gt;0,DATE(YEAR(Dashboard!$AL$2),Dashboard!$AU$4,INDIRECT("'"&amp;F269&amp;"'!$C$5")),""),"")</f>
        <v/>
      </c>
      <c r="G269" s="38" t="str" cm="1">
        <f t="array" aca="1" ref="G269" ca="1">IF(F269="",
    "",
    IFERROR(
        IF(INDIRECT("'"&amp;F269&amp;"'!$B$2")="Credit Limit",
            "Credit Accounts",
            IF(INDIRECT("'"&amp;F269&amp;"'!$E$2")="Location",
                "Cash Accounts",
                IF(INDIRECT("'"&amp;F269&amp;"'!$B$2")="Amount",
                    "Investments",
                    "Bill Accounts"
                )
            )
        ),
    "")
)</f>
        <v/>
      </c>
      <c r="I269" s="46" t="str" cm="1">
        <f t="array" aca="1" ref="I269" ca="1">IF(F269&lt;&gt;"",IF(OR(G269="Bill Accounts",G269="Investments", G269="Cash Accounts"),INDIRECT("'"&amp;F269&amp;"'!$C$10"),INDIRECT("'"&amp;F269&amp;"'!$C$8")),"")</f>
        <v/>
      </c>
      <c r="K269" s="48">
        <f t="shared" si="15"/>
        <v>275</v>
      </c>
      <c r="L269" s="114" t="str" cm="1">
        <f t="array" aca="1" ref="L269" ca="1">IF(F269&lt;&gt;"",INDIRECT("'"&amp;F269&amp;"'!$F$17"),"")</f>
        <v/>
      </c>
      <c r="M269" s="116" t="str">
        <f t="shared" ca="1" si="13"/>
        <v/>
      </c>
      <c r="O269" s="49" t="str">
        <f t="shared" ca="1" si="14"/>
        <v/>
      </c>
      <c r="P269" s="38" t="str">
        <f>IF(E269&lt;&gt;"",RANK(E269,$E$3:$E$2298)+COUNTIF($E$3:E269,E269)-1,"")</f>
        <v/>
      </c>
      <c r="Q269" s="8"/>
      <c r="R269" s="64"/>
      <c r="Z269" s="8"/>
    </row>
    <row r="270" spans="4:26" x14ac:dyDescent="0.25">
      <c r="D270" s="36" t="str" cm="1">
        <f t="array" aca="1" ref="D270" ca="1">IFERROR(IF(INDIRECT("'"&amp;F270&amp;"'!$C$5")&gt;0,DATE(YEAR(Dashboard!$AL$2),Dashboard!$AU$4,INDIRECT("'"&amp;F270&amp;"'!$C$5")),""),"")</f>
        <v/>
      </c>
      <c r="G270" s="38" t="str" cm="1">
        <f t="array" aca="1" ref="G270" ca="1">IF(F270="",
    "",
    IFERROR(
        IF(INDIRECT("'"&amp;F270&amp;"'!$B$2")="Credit Limit",
            "Credit Accounts",
            IF(INDIRECT("'"&amp;F270&amp;"'!$E$2")="Location",
                "Cash Accounts",
                IF(INDIRECT("'"&amp;F270&amp;"'!$B$2")="Amount",
                    "Investments",
                    "Bill Accounts"
                )
            )
        ),
    "")
)</f>
        <v/>
      </c>
      <c r="I270" s="46" t="str" cm="1">
        <f t="array" aca="1" ref="I270" ca="1">IF(F270&lt;&gt;"",IF(OR(G270="Bill Accounts",G270="Investments", G270="Cash Accounts"),INDIRECT("'"&amp;F270&amp;"'!$C$10"),INDIRECT("'"&amp;F270&amp;"'!$C$8")),"")</f>
        <v/>
      </c>
      <c r="K270" s="48">
        <f t="shared" si="15"/>
        <v>276</v>
      </c>
      <c r="L270" s="114" t="str" cm="1">
        <f t="array" aca="1" ref="L270" ca="1">IF(F270&lt;&gt;"",INDIRECT("'"&amp;F270&amp;"'!$F$17"),"")</f>
        <v/>
      </c>
      <c r="M270" s="116" t="str">
        <f t="shared" ca="1" si="13"/>
        <v/>
      </c>
      <c r="O270" s="49" t="str">
        <f t="shared" ca="1" si="14"/>
        <v/>
      </c>
      <c r="P270" s="38" t="str">
        <f>IF(E270&lt;&gt;"",RANK(E270,$E$3:$E$2298)+COUNTIF($E$3:E270,E270)-1,"")</f>
        <v/>
      </c>
      <c r="Q270" s="8"/>
      <c r="R270" s="64"/>
      <c r="Z270" s="8"/>
    </row>
    <row r="271" spans="4:26" x14ac:dyDescent="0.25">
      <c r="D271" s="36" t="str" cm="1">
        <f t="array" aca="1" ref="D271" ca="1">IFERROR(IF(INDIRECT("'"&amp;F271&amp;"'!$C$5")&gt;0,DATE(YEAR(Dashboard!$AL$2),Dashboard!$AU$4,INDIRECT("'"&amp;F271&amp;"'!$C$5")),""),"")</f>
        <v/>
      </c>
      <c r="G271" s="38" t="str" cm="1">
        <f t="array" aca="1" ref="G271" ca="1">IF(F271="",
    "",
    IFERROR(
        IF(INDIRECT("'"&amp;F271&amp;"'!$B$2")="Credit Limit",
            "Credit Accounts",
            IF(INDIRECT("'"&amp;F271&amp;"'!$E$2")="Location",
                "Cash Accounts",
                IF(INDIRECT("'"&amp;F271&amp;"'!$B$2")="Amount",
                    "Investments",
                    "Bill Accounts"
                )
            )
        ),
    "")
)</f>
        <v/>
      </c>
      <c r="I271" s="46" t="str" cm="1">
        <f t="array" aca="1" ref="I271" ca="1">IF(F271&lt;&gt;"",IF(OR(G271="Bill Accounts",G271="Investments", G271="Cash Accounts"),INDIRECT("'"&amp;F271&amp;"'!$C$10"),INDIRECT("'"&amp;F271&amp;"'!$C$8")),"")</f>
        <v/>
      </c>
      <c r="K271" s="48">
        <f t="shared" si="15"/>
        <v>277</v>
      </c>
      <c r="L271" s="114" t="str" cm="1">
        <f t="array" aca="1" ref="L271" ca="1">IF(F271&lt;&gt;"",INDIRECT("'"&amp;F271&amp;"'!$F$17"),"")</f>
        <v/>
      </c>
      <c r="M271" s="116" t="str">
        <f t="shared" ca="1" si="13"/>
        <v/>
      </c>
      <c r="O271" s="49" t="str">
        <f t="shared" ca="1" si="14"/>
        <v/>
      </c>
      <c r="P271" s="38" t="str">
        <f>IF(E271&lt;&gt;"",RANK(E271,$E$3:$E$2298)+COUNTIF($E$3:E271,E271)-1,"")</f>
        <v/>
      </c>
      <c r="Q271" s="8"/>
      <c r="R271" s="64"/>
      <c r="Z271" s="8"/>
    </row>
    <row r="272" spans="4:26" x14ac:dyDescent="0.25">
      <c r="D272" s="36" t="str" cm="1">
        <f t="array" aca="1" ref="D272" ca="1">IFERROR(IF(INDIRECT("'"&amp;F272&amp;"'!$C$5")&gt;0,DATE(YEAR(Dashboard!$AL$2),Dashboard!$AU$4,INDIRECT("'"&amp;F272&amp;"'!$C$5")),""),"")</f>
        <v/>
      </c>
      <c r="G272" s="38" t="str" cm="1">
        <f t="array" aca="1" ref="G272" ca="1">IF(F272="",
    "",
    IFERROR(
        IF(INDIRECT("'"&amp;F272&amp;"'!$B$2")="Credit Limit",
            "Credit Accounts",
            IF(INDIRECT("'"&amp;F272&amp;"'!$E$2")="Location",
                "Cash Accounts",
                IF(INDIRECT("'"&amp;F272&amp;"'!$B$2")="Amount",
                    "Investments",
                    "Bill Accounts"
                )
            )
        ),
    "")
)</f>
        <v/>
      </c>
      <c r="I272" s="46" t="str" cm="1">
        <f t="array" aca="1" ref="I272" ca="1">IF(F272&lt;&gt;"",IF(OR(G272="Bill Accounts",G272="Investments", G272="Cash Accounts"),INDIRECT("'"&amp;F272&amp;"'!$C$10"),INDIRECT("'"&amp;F272&amp;"'!$C$8")),"")</f>
        <v/>
      </c>
      <c r="K272" s="48">
        <f t="shared" si="15"/>
        <v>278</v>
      </c>
      <c r="L272" s="114" t="str" cm="1">
        <f t="array" aca="1" ref="L272" ca="1">IF(F272&lt;&gt;"",INDIRECT("'"&amp;F272&amp;"'!$F$17"),"")</f>
        <v/>
      </c>
      <c r="M272" s="116" t="str">
        <f t="shared" ca="1" si="13"/>
        <v/>
      </c>
      <c r="O272" s="49" t="str">
        <f t="shared" ca="1" si="14"/>
        <v/>
      </c>
      <c r="P272" s="38" t="str">
        <f>IF(E272&lt;&gt;"",RANK(E272,$E$3:$E$2298)+COUNTIF($E$3:E272,E272)-1,"")</f>
        <v/>
      </c>
      <c r="Q272" s="8"/>
      <c r="R272" s="64"/>
      <c r="Z272" s="8"/>
    </row>
    <row r="273" spans="4:26" x14ac:dyDescent="0.25">
      <c r="D273" s="36" t="str" cm="1">
        <f t="array" aca="1" ref="D273" ca="1">IFERROR(IF(INDIRECT("'"&amp;F273&amp;"'!$C$5")&gt;0,DATE(YEAR(Dashboard!$AL$2),Dashboard!$AU$4,INDIRECT("'"&amp;F273&amp;"'!$C$5")),""),"")</f>
        <v/>
      </c>
      <c r="G273" s="38" t="str" cm="1">
        <f t="array" aca="1" ref="G273" ca="1">IF(F273="",
    "",
    IFERROR(
        IF(INDIRECT("'"&amp;F273&amp;"'!$B$2")="Credit Limit",
            "Credit Accounts",
            IF(INDIRECT("'"&amp;F273&amp;"'!$E$2")="Location",
                "Cash Accounts",
                IF(INDIRECT("'"&amp;F273&amp;"'!$B$2")="Amount",
                    "Investments",
                    "Bill Accounts"
                )
            )
        ),
    "")
)</f>
        <v/>
      </c>
      <c r="I273" s="46" t="str" cm="1">
        <f t="array" aca="1" ref="I273" ca="1">IF(F273&lt;&gt;"",IF(OR(G273="Bill Accounts",G273="Investments", G273="Cash Accounts"),INDIRECT("'"&amp;F273&amp;"'!$C$10"),INDIRECT("'"&amp;F273&amp;"'!$C$8")),"")</f>
        <v/>
      </c>
      <c r="K273" s="48">
        <f t="shared" si="15"/>
        <v>279</v>
      </c>
      <c r="L273" s="114" t="str" cm="1">
        <f t="array" aca="1" ref="L273" ca="1">IF(F273&lt;&gt;"",INDIRECT("'"&amp;F273&amp;"'!$F$17"),"")</f>
        <v/>
      </c>
      <c r="M273" s="116" t="str">
        <f t="shared" ca="1" si="13"/>
        <v/>
      </c>
      <c r="O273" s="49" t="str">
        <f t="shared" ca="1" si="14"/>
        <v/>
      </c>
      <c r="P273" s="38" t="str">
        <f>IF(E273&lt;&gt;"",RANK(E273,$E$3:$E$2298)+COUNTIF($E$3:E273,E273)-1,"")</f>
        <v/>
      </c>
      <c r="Q273" s="8"/>
      <c r="R273" s="64"/>
      <c r="Z273" s="8"/>
    </row>
    <row r="274" spans="4:26" x14ac:dyDescent="0.25">
      <c r="D274" s="36" t="str" cm="1">
        <f t="array" aca="1" ref="D274" ca="1">IFERROR(IF(INDIRECT("'"&amp;F274&amp;"'!$C$5")&gt;0,DATE(YEAR(Dashboard!$AL$2),Dashboard!$AU$4,INDIRECT("'"&amp;F274&amp;"'!$C$5")),""),"")</f>
        <v/>
      </c>
      <c r="G274" s="38" t="str" cm="1">
        <f t="array" aca="1" ref="G274" ca="1">IF(F274="",
    "",
    IFERROR(
        IF(INDIRECT("'"&amp;F274&amp;"'!$B$2")="Credit Limit",
            "Credit Accounts",
            IF(INDIRECT("'"&amp;F274&amp;"'!$E$2")="Location",
                "Cash Accounts",
                IF(INDIRECT("'"&amp;F274&amp;"'!$B$2")="Amount",
                    "Investments",
                    "Bill Accounts"
                )
            )
        ),
    "")
)</f>
        <v/>
      </c>
      <c r="I274" s="46" t="str" cm="1">
        <f t="array" aca="1" ref="I274" ca="1">IF(F274&lt;&gt;"",IF(OR(G274="Bill Accounts",G274="Investments", G274="Cash Accounts"),INDIRECT("'"&amp;F274&amp;"'!$C$10"),INDIRECT("'"&amp;F274&amp;"'!$C$8")),"")</f>
        <v/>
      </c>
      <c r="K274" s="48">
        <f t="shared" si="15"/>
        <v>280</v>
      </c>
      <c r="L274" s="114" t="str" cm="1">
        <f t="array" aca="1" ref="L274" ca="1">IF(F274&lt;&gt;"",INDIRECT("'"&amp;F274&amp;"'!$F$17"),"")</f>
        <v/>
      </c>
      <c r="M274" s="116" t="str">
        <f t="shared" ca="1" si="13"/>
        <v/>
      </c>
      <c r="O274" s="49" t="str">
        <f t="shared" ca="1" si="14"/>
        <v/>
      </c>
      <c r="P274" s="38" t="str">
        <f>IF(E274&lt;&gt;"",RANK(E274,$E$3:$E$2298)+COUNTIF($E$3:E274,E274)-1,"")</f>
        <v/>
      </c>
      <c r="Q274" s="8"/>
      <c r="R274" s="64"/>
      <c r="Z274" s="8"/>
    </row>
    <row r="275" spans="4:26" x14ac:dyDescent="0.25">
      <c r="D275" s="36" t="str" cm="1">
        <f t="array" aca="1" ref="D275" ca="1">IFERROR(IF(INDIRECT("'"&amp;F275&amp;"'!$C$5")&gt;0,DATE(YEAR(Dashboard!$AL$2),Dashboard!$AU$4,INDIRECT("'"&amp;F275&amp;"'!$C$5")),""),"")</f>
        <v/>
      </c>
      <c r="G275" s="38" t="str" cm="1">
        <f t="array" aca="1" ref="G275" ca="1">IF(F275="",
    "",
    IFERROR(
        IF(INDIRECT("'"&amp;F275&amp;"'!$B$2")="Credit Limit",
            "Credit Accounts",
            IF(INDIRECT("'"&amp;F275&amp;"'!$E$2")="Location",
                "Cash Accounts",
                IF(INDIRECT("'"&amp;F275&amp;"'!$B$2")="Amount",
                    "Investments",
                    "Bill Accounts"
                )
            )
        ),
    "")
)</f>
        <v/>
      </c>
      <c r="I275" s="46" t="str" cm="1">
        <f t="array" aca="1" ref="I275" ca="1">IF(F275&lt;&gt;"",IF(OR(G275="Bill Accounts",G275="Investments", G275="Cash Accounts"),INDIRECT("'"&amp;F275&amp;"'!$C$10"),INDIRECT("'"&amp;F275&amp;"'!$C$8")),"")</f>
        <v/>
      </c>
      <c r="K275" s="48">
        <f t="shared" si="15"/>
        <v>281</v>
      </c>
      <c r="L275" s="114" t="str" cm="1">
        <f t="array" aca="1" ref="L275" ca="1">IF(F275&lt;&gt;"",INDIRECT("'"&amp;F275&amp;"'!$F$17"),"")</f>
        <v/>
      </c>
      <c r="M275" s="116" t="str">
        <f t="shared" ca="1" si="13"/>
        <v/>
      </c>
      <c r="O275" s="49" t="str">
        <f t="shared" ca="1" si="14"/>
        <v/>
      </c>
      <c r="P275" s="38" t="str">
        <f>IF(E275&lt;&gt;"",RANK(E275,$E$3:$E$2298)+COUNTIF($E$3:E275,E275)-1,"")</f>
        <v/>
      </c>
      <c r="Q275" s="8"/>
      <c r="R275" s="64"/>
      <c r="Z275" s="8"/>
    </row>
    <row r="276" spans="4:26" x14ac:dyDescent="0.25">
      <c r="D276" s="36" t="str" cm="1">
        <f t="array" aca="1" ref="D276" ca="1">IFERROR(IF(INDIRECT("'"&amp;F276&amp;"'!$C$5")&gt;0,DATE(YEAR(Dashboard!$AL$2),Dashboard!$AU$4,INDIRECT("'"&amp;F276&amp;"'!$C$5")),""),"")</f>
        <v/>
      </c>
      <c r="G276" s="38" t="str" cm="1">
        <f t="array" aca="1" ref="G276" ca="1">IF(F276="",
    "",
    IFERROR(
        IF(INDIRECT("'"&amp;F276&amp;"'!$B$2")="Credit Limit",
            "Credit Accounts",
            IF(INDIRECT("'"&amp;F276&amp;"'!$E$2")="Location",
                "Cash Accounts",
                IF(INDIRECT("'"&amp;F276&amp;"'!$B$2")="Amount",
                    "Investments",
                    "Bill Accounts"
                )
            )
        ),
    "")
)</f>
        <v/>
      </c>
      <c r="I276" s="46" t="str" cm="1">
        <f t="array" aca="1" ref="I276" ca="1">IF(F276&lt;&gt;"",IF(OR(G276="Bill Accounts",G276="Investments", G276="Cash Accounts"),INDIRECT("'"&amp;F276&amp;"'!$C$10"),INDIRECT("'"&amp;F276&amp;"'!$C$8")),"")</f>
        <v/>
      </c>
      <c r="K276" s="48">
        <f t="shared" si="15"/>
        <v>282</v>
      </c>
      <c r="L276" s="114" t="str" cm="1">
        <f t="array" aca="1" ref="L276" ca="1">IF(F276&lt;&gt;"",INDIRECT("'"&amp;F276&amp;"'!$F$17"),"")</f>
        <v/>
      </c>
      <c r="M276" s="116" t="str">
        <f t="shared" ca="1" si="13"/>
        <v/>
      </c>
      <c r="O276" s="49" t="str">
        <f t="shared" ca="1" si="14"/>
        <v/>
      </c>
      <c r="P276" s="38" t="str">
        <f>IF(E276&lt;&gt;"",RANK(E276,$E$3:$E$2298)+COUNTIF($E$3:E276,E276)-1,"")</f>
        <v/>
      </c>
      <c r="Q276" s="8"/>
      <c r="R276" s="64"/>
      <c r="Z276" s="8"/>
    </row>
    <row r="277" spans="4:26" x14ac:dyDescent="0.25">
      <c r="D277" s="36" t="str" cm="1">
        <f t="array" aca="1" ref="D277" ca="1">IFERROR(IF(INDIRECT("'"&amp;F277&amp;"'!$C$5")&gt;0,DATE(YEAR(Dashboard!$AL$2),Dashboard!$AU$4,INDIRECT("'"&amp;F277&amp;"'!$C$5")),""),"")</f>
        <v/>
      </c>
      <c r="G277" s="38" t="str" cm="1">
        <f t="array" aca="1" ref="G277" ca="1">IF(F277="",
    "",
    IFERROR(
        IF(INDIRECT("'"&amp;F277&amp;"'!$B$2")="Credit Limit",
            "Credit Accounts",
            IF(INDIRECT("'"&amp;F277&amp;"'!$E$2")="Location",
                "Cash Accounts",
                IF(INDIRECT("'"&amp;F277&amp;"'!$B$2")="Amount",
                    "Investments",
                    "Bill Accounts"
                )
            )
        ),
    "")
)</f>
        <v/>
      </c>
      <c r="I277" s="46" t="str" cm="1">
        <f t="array" aca="1" ref="I277" ca="1">IF(F277&lt;&gt;"",IF(OR(G277="Bill Accounts",G277="Investments", G277="Cash Accounts"),INDIRECT("'"&amp;F277&amp;"'!$C$10"),INDIRECT("'"&amp;F277&amp;"'!$C$8")),"")</f>
        <v/>
      </c>
      <c r="K277" s="48">
        <f t="shared" si="15"/>
        <v>283</v>
      </c>
      <c r="L277" s="114" t="str" cm="1">
        <f t="array" aca="1" ref="L277" ca="1">IF(F277&lt;&gt;"",INDIRECT("'"&amp;F277&amp;"'!$F$17"),"")</f>
        <v/>
      </c>
      <c r="M277" s="116" t="str">
        <f t="shared" ca="1" si="13"/>
        <v/>
      </c>
      <c r="O277" s="49" t="str">
        <f t="shared" ca="1" si="14"/>
        <v/>
      </c>
      <c r="P277" s="38" t="str">
        <f>IF(E277&lt;&gt;"",RANK(E277,$E$3:$E$2298)+COUNTIF($E$3:E277,E277)-1,"")</f>
        <v/>
      </c>
      <c r="Q277" s="8"/>
      <c r="R277" s="64"/>
      <c r="Z277" s="8"/>
    </row>
    <row r="278" spans="4:26" x14ac:dyDescent="0.25">
      <c r="D278" s="36" t="str" cm="1">
        <f t="array" aca="1" ref="D278" ca="1">IFERROR(IF(INDIRECT("'"&amp;F278&amp;"'!$C$5")&gt;0,DATE(YEAR(Dashboard!$AL$2),Dashboard!$AU$4,INDIRECT("'"&amp;F278&amp;"'!$C$5")),""),"")</f>
        <v/>
      </c>
      <c r="G278" s="38" t="str" cm="1">
        <f t="array" aca="1" ref="G278" ca="1">IF(F278="",
    "",
    IFERROR(
        IF(INDIRECT("'"&amp;F278&amp;"'!$B$2")="Credit Limit",
            "Credit Accounts",
            IF(INDIRECT("'"&amp;F278&amp;"'!$E$2")="Location",
                "Cash Accounts",
                IF(INDIRECT("'"&amp;F278&amp;"'!$B$2")="Amount",
                    "Investments",
                    "Bill Accounts"
                )
            )
        ),
    "")
)</f>
        <v/>
      </c>
      <c r="I278" s="46" t="str" cm="1">
        <f t="array" aca="1" ref="I278" ca="1">IF(F278&lt;&gt;"",IF(OR(G278="Bill Accounts",G278="Investments", G278="Cash Accounts"),INDIRECT("'"&amp;F278&amp;"'!$C$10"),INDIRECT("'"&amp;F278&amp;"'!$C$8")),"")</f>
        <v/>
      </c>
      <c r="K278" s="48">
        <f t="shared" si="15"/>
        <v>284</v>
      </c>
      <c r="L278" s="114" t="str" cm="1">
        <f t="array" aca="1" ref="L278" ca="1">IF(F278&lt;&gt;"",INDIRECT("'"&amp;F278&amp;"'!$F$17"),"")</f>
        <v/>
      </c>
      <c r="M278" s="116" t="str">
        <f t="shared" ca="1" si="13"/>
        <v/>
      </c>
      <c r="O278" s="49" t="str">
        <f t="shared" ca="1" si="14"/>
        <v/>
      </c>
      <c r="P278" s="38" t="str">
        <f>IF(E278&lt;&gt;"",RANK(E278,$E$3:$E$2298)+COUNTIF($E$3:E278,E278)-1,"")</f>
        <v/>
      </c>
      <c r="Q278" s="8"/>
      <c r="R278" s="64"/>
      <c r="Z278" s="8"/>
    </row>
    <row r="279" spans="4:26" x14ac:dyDescent="0.25">
      <c r="D279" s="36" t="str" cm="1">
        <f t="array" aca="1" ref="D279" ca="1">IFERROR(IF(INDIRECT("'"&amp;F279&amp;"'!$C$5")&gt;0,DATE(YEAR(Dashboard!$AL$2),Dashboard!$AU$4,INDIRECT("'"&amp;F279&amp;"'!$C$5")),""),"")</f>
        <v/>
      </c>
      <c r="G279" s="38" t="str" cm="1">
        <f t="array" aca="1" ref="G279" ca="1">IF(F279="",
    "",
    IFERROR(
        IF(INDIRECT("'"&amp;F279&amp;"'!$B$2")="Credit Limit",
            "Credit Accounts",
            IF(INDIRECT("'"&amp;F279&amp;"'!$E$2")="Location",
                "Cash Accounts",
                IF(INDIRECT("'"&amp;F279&amp;"'!$B$2")="Amount",
                    "Investments",
                    "Bill Accounts"
                )
            )
        ),
    "")
)</f>
        <v/>
      </c>
      <c r="I279" s="46" t="str" cm="1">
        <f t="array" aca="1" ref="I279" ca="1">IF(F279&lt;&gt;"",IF(OR(G279="Bill Accounts",G279="Investments", G279="Cash Accounts"),INDIRECT("'"&amp;F279&amp;"'!$C$10"),INDIRECT("'"&amp;F279&amp;"'!$C$8")),"")</f>
        <v/>
      </c>
      <c r="K279" s="48">
        <f t="shared" si="15"/>
        <v>285</v>
      </c>
      <c r="L279" s="114" t="str" cm="1">
        <f t="array" aca="1" ref="L279" ca="1">IF(F279&lt;&gt;"",INDIRECT("'"&amp;F279&amp;"'!$F$17"),"")</f>
        <v/>
      </c>
      <c r="M279" s="116" t="str">
        <f t="shared" ca="1" si="13"/>
        <v/>
      </c>
      <c r="O279" s="49" t="str">
        <f t="shared" ca="1" si="14"/>
        <v/>
      </c>
      <c r="P279" s="38" t="str">
        <f>IF(E279&lt;&gt;"",RANK(E279,$E$3:$E$2298)+COUNTIF($E$3:E279,E279)-1,"")</f>
        <v/>
      </c>
      <c r="Q279" s="8"/>
      <c r="R279" s="64"/>
      <c r="Z279" s="8"/>
    </row>
    <row r="280" spans="4:26" x14ac:dyDescent="0.25">
      <c r="D280" s="36" t="str" cm="1">
        <f t="array" aca="1" ref="D280" ca="1">IFERROR(IF(INDIRECT("'"&amp;F280&amp;"'!$C$5")&gt;0,DATE(YEAR(Dashboard!$AL$2),Dashboard!$AU$4,INDIRECT("'"&amp;F280&amp;"'!$C$5")),""),"")</f>
        <v/>
      </c>
      <c r="G280" s="38" t="str" cm="1">
        <f t="array" aca="1" ref="G280" ca="1">IF(F280="",
    "",
    IFERROR(
        IF(INDIRECT("'"&amp;F280&amp;"'!$B$2")="Credit Limit",
            "Credit Accounts",
            IF(INDIRECT("'"&amp;F280&amp;"'!$E$2")="Location",
                "Cash Accounts",
                IF(INDIRECT("'"&amp;F280&amp;"'!$B$2")="Amount",
                    "Investments",
                    "Bill Accounts"
                )
            )
        ),
    "")
)</f>
        <v/>
      </c>
      <c r="I280" s="46" t="str" cm="1">
        <f t="array" aca="1" ref="I280" ca="1">IF(F280&lt;&gt;"",IF(OR(G280="Bill Accounts",G280="Investments", G280="Cash Accounts"),INDIRECT("'"&amp;F280&amp;"'!$C$10"),INDIRECT("'"&amp;F280&amp;"'!$C$8")),"")</f>
        <v/>
      </c>
      <c r="K280" s="48">
        <f t="shared" si="15"/>
        <v>286</v>
      </c>
      <c r="L280" s="114" t="str" cm="1">
        <f t="array" aca="1" ref="L280" ca="1">IF(F280&lt;&gt;"",INDIRECT("'"&amp;F280&amp;"'!$F$17"),"")</f>
        <v/>
      </c>
      <c r="M280" s="116" t="str">
        <f t="shared" ca="1" si="13"/>
        <v/>
      </c>
      <c r="O280" s="49" t="str">
        <f t="shared" ca="1" si="14"/>
        <v/>
      </c>
      <c r="P280" s="38" t="str">
        <f>IF(E280&lt;&gt;"",RANK(E280,$E$3:$E$2298)+COUNTIF($E$3:E280,E280)-1,"")</f>
        <v/>
      </c>
      <c r="Q280" s="8"/>
      <c r="R280" s="64"/>
      <c r="Z280" s="8"/>
    </row>
    <row r="281" spans="4:26" x14ac:dyDescent="0.25">
      <c r="D281" s="36" t="str" cm="1">
        <f t="array" aca="1" ref="D281" ca="1">IFERROR(IF(INDIRECT("'"&amp;F281&amp;"'!$C$5")&gt;0,DATE(YEAR(Dashboard!$AL$2),Dashboard!$AU$4,INDIRECT("'"&amp;F281&amp;"'!$C$5")),""),"")</f>
        <v/>
      </c>
      <c r="G281" s="38" t="str" cm="1">
        <f t="array" aca="1" ref="G281" ca="1">IF(F281="",
    "",
    IFERROR(
        IF(INDIRECT("'"&amp;F281&amp;"'!$B$2")="Credit Limit",
            "Credit Accounts",
            IF(INDIRECT("'"&amp;F281&amp;"'!$E$2")="Location",
                "Cash Accounts",
                IF(INDIRECT("'"&amp;F281&amp;"'!$B$2")="Amount",
                    "Investments",
                    "Bill Accounts"
                )
            )
        ),
    "")
)</f>
        <v/>
      </c>
      <c r="I281" s="46" t="str" cm="1">
        <f t="array" aca="1" ref="I281" ca="1">IF(F281&lt;&gt;"",IF(OR(G281="Bill Accounts",G281="Investments", G281="Cash Accounts"),INDIRECT("'"&amp;F281&amp;"'!$C$10"),INDIRECT("'"&amp;F281&amp;"'!$C$8")),"")</f>
        <v/>
      </c>
      <c r="K281" s="48">
        <f t="shared" si="15"/>
        <v>287</v>
      </c>
      <c r="L281" s="114" t="str" cm="1">
        <f t="array" aca="1" ref="L281" ca="1">IF(F281&lt;&gt;"",INDIRECT("'"&amp;F281&amp;"'!$F$17"),"")</f>
        <v/>
      </c>
      <c r="M281" s="116" t="str">
        <f t="shared" ca="1" si="13"/>
        <v/>
      </c>
      <c r="O281" s="49" t="str">
        <f t="shared" ca="1" si="14"/>
        <v/>
      </c>
      <c r="P281" s="38" t="str">
        <f>IF(E281&lt;&gt;"",RANK(E281,$E$3:$E$2298)+COUNTIF($E$3:E281,E281)-1,"")</f>
        <v/>
      </c>
      <c r="Q281" s="8"/>
      <c r="R281" s="64"/>
      <c r="Z281" s="8"/>
    </row>
    <row r="282" spans="4:26" x14ac:dyDescent="0.25">
      <c r="D282" s="36" t="str" cm="1">
        <f t="array" aca="1" ref="D282" ca="1">IFERROR(IF(INDIRECT("'"&amp;F282&amp;"'!$C$5")&gt;0,DATE(YEAR(Dashboard!$AL$2),Dashboard!$AU$4,INDIRECT("'"&amp;F282&amp;"'!$C$5")),""),"")</f>
        <v/>
      </c>
      <c r="G282" s="38" t="str" cm="1">
        <f t="array" aca="1" ref="G282" ca="1">IF(F282="",
    "",
    IFERROR(
        IF(INDIRECT("'"&amp;F282&amp;"'!$B$2")="Credit Limit",
            "Credit Accounts",
            IF(INDIRECT("'"&amp;F282&amp;"'!$E$2")="Location",
                "Cash Accounts",
                IF(INDIRECT("'"&amp;F282&amp;"'!$B$2")="Amount",
                    "Investments",
                    "Bill Accounts"
                )
            )
        ),
    "")
)</f>
        <v/>
      </c>
      <c r="I282" s="46" t="str" cm="1">
        <f t="array" aca="1" ref="I282" ca="1">IF(F282&lt;&gt;"",IF(OR(G282="Bill Accounts",G282="Investments", G282="Cash Accounts"),INDIRECT("'"&amp;F282&amp;"'!$C$10"),INDIRECT("'"&amp;F282&amp;"'!$C$8")),"")</f>
        <v/>
      </c>
      <c r="K282" s="48">
        <f t="shared" si="15"/>
        <v>288</v>
      </c>
      <c r="L282" s="114" t="str" cm="1">
        <f t="array" aca="1" ref="L282" ca="1">IF(F282&lt;&gt;"",INDIRECT("'"&amp;F282&amp;"'!$F$17"),"")</f>
        <v/>
      </c>
      <c r="M282" s="116" t="str">
        <f t="shared" ca="1" si="13"/>
        <v/>
      </c>
      <c r="O282" s="49" t="str">
        <f t="shared" ca="1" si="14"/>
        <v/>
      </c>
      <c r="P282" s="38" t="str">
        <f>IF(E282&lt;&gt;"",RANK(E282,$E$3:$E$2298)+COUNTIF($E$3:E282,E282)-1,"")</f>
        <v/>
      </c>
      <c r="Q282" s="8"/>
      <c r="R282" s="64"/>
      <c r="Z282" s="8"/>
    </row>
    <row r="283" spans="4:26" x14ac:dyDescent="0.25">
      <c r="D283" s="36" t="str" cm="1">
        <f t="array" aca="1" ref="D283" ca="1">IFERROR(IF(INDIRECT("'"&amp;F283&amp;"'!$C$5")&gt;0,DATE(YEAR(Dashboard!$AL$2),Dashboard!$AU$4,INDIRECT("'"&amp;F283&amp;"'!$C$5")),""),"")</f>
        <v/>
      </c>
      <c r="G283" s="38" t="str" cm="1">
        <f t="array" aca="1" ref="G283" ca="1">IF(F283="",
    "",
    IFERROR(
        IF(INDIRECT("'"&amp;F283&amp;"'!$B$2")="Credit Limit",
            "Credit Accounts",
            IF(INDIRECT("'"&amp;F283&amp;"'!$E$2")="Location",
                "Cash Accounts",
                IF(INDIRECT("'"&amp;F283&amp;"'!$B$2")="Amount",
                    "Investments",
                    "Bill Accounts"
                )
            )
        ),
    "")
)</f>
        <v/>
      </c>
      <c r="I283" s="46" t="str" cm="1">
        <f t="array" aca="1" ref="I283" ca="1">IF(F283&lt;&gt;"",IF(OR(G283="Bill Accounts",G283="Investments", G283="Cash Accounts"),INDIRECT("'"&amp;F283&amp;"'!$C$10"),INDIRECT("'"&amp;F283&amp;"'!$C$8")),"")</f>
        <v/>
      </c>
      <c r="K283" s="48">
        <f t="shared" si="15"/>
        <v>289</v>
      </c>
      <c r="L283" s="114" t="str" cm="1">
        <f t="array" aca="1" ref="L283" ca="1">IF(F283&lt;&gt;"",INDIRECT("'"&amp;F283&amp;"'!$F$17"),"")</f>
        <v/>
      </c>
      <c r="M283" s="116" t="str">
        <f t="shared" ca="1" si="13"/>
        <v/>
      </c>
      <c r="O283" s="49" t="str">
        <f t="shared" ca="1" si="14"/>
        <v/>
      </c>
      <c r="P283" s="38" t="str">
        <f>IF(E283&lt;&gt;"",RANK(E283,$E$3:$E$2298)+COUNTIF($E$3:E283,E283)-1,"")</f>
        <v/>
      </c>
      <c r="Q283" s="8"/>
      <c r="R283" s="64"/>
      <c r="Z283" s="8"/>
    </row>
    <row r="284" spans="4:26" x14ac:dyDescent="0.25">
      <c r="D284" s="36" t="str" cm="1">
        <f t="array" aca="1" ref="D284" ca="1">IFERROR(IF(INDIRECT("'"&amp;F284&amp;"'!$C$5")&gt;0,DATE(YEAR(Dashboard!$AL$2),Dashboard!$AU$4,INDIRECT("'"&amp;F284&amp;"'!$C$5")),""),"")</f>
        <v/>
      </c>
      <c r="G284" s="38" t="str" cm="1">
        <f t="array" aca="1" ref="G284" ca="1">IF(F284="",
    "",
    IFERROR(
        IF(INDIRECT("'"&amp;F284&amp;"'!$B$2")="Credit Limit",
            "Credit Accounts",
            IF(INDIRECT("'"&amp;F284&amp;"'!$E$2")="Location",
                "Cash Accounts",
                IF(INDIRECT("'"&amp;F284&amp;"'!$B$2")="Amount",
                    "Investments",
                    "Bill Accounts"
                )
            )
        ),
    "")
)</f>
        <v/>
      </c>
      <c r="I284" s="46" t="str" cm="1">
        <f t="array" aca="1" ref="I284" ca="1">IF(F284&lt;&gt;"",IF(OR(G284="Bill Accounts",G284="Investments", G284="Cash Accounts"),INDIRECT("'"&amp;F284&amp;"'!$C$10"),INDIRECT("'"&amp;F284&amp;"'!$C$8")),"")</f>
        <v/>
      </c>
      <c r="K284" s="48">
        <f t="shared" si="15"/>
        <v>290</v>
      </c>
      <c r="L284" s="114" t="str" cm="1">
        <f t="array" aca="1" ref="L284" ca="1">IF(F284&lt;&gt;"",INDIRECT("'"&amp;F284&amp;"'!$F$17"),"")</f>
        <v/>
      </c>
      <c r="M284" s="116" t="str">
        <f t="shared" ca="1" si="13"/>
        <v/>
      </c>
      <c r="O284" s="49" t="str">
        <f t="shared" ca="1" si="14"/>
        <v/>
      </c>
      <c r="P284" s="38" t="str">
        <f>IF(E284&lt;&gt;"",RANK(E284,$E$3:$E$2298)+COUNTIF($E$3:E284,E284)-1,"")</f>
        <v/>
      </c>
      <c r="Q284" s="8"/>
      <c r="R284" s="64"/>
      <c r="Z284" s="8"/>
    </row>
    <row r="285" spans="4:26" x14ac:dyDescent="0.25">
      <c r="D285" s="36" t="str" cm="1">
        <f t="array" aca="1" ref="D285" ca="1">IFERROR(IF(INDIRECT("'"&amp;F285&amp;"'!$C$5")&gt;0,DATE(YEAR(Dashboard!$AL$2),Dashboard!$AU$4,INDIRECT("'"&amp;F285&amp;"'!$C$5")),""),"")</f>
        <v/>
      </c>
      <c r="G285" s="38" t="str" cm="1">
        <f t="array" aca="1" ref="G285" ca="1">IF(F285="",
    "",
    IFERROR(
        IF(INDIRECT("'"&amp;F285&amp;"'!$B$2")="Credit Limit",
            "Credit Accounts",
            IF(INDIRECT("'"&amp;F285&amp;"'!$E$2")="Location",
                "Cash Accounts",
                IF(INDIRECT("'"&amp;F285&amp;"'!$B$2")="Amount",
                    "Investments",
                    "Bill Accounts"
                )
            )
        ),
    "")
)</f>
        <v/>
      </c>
      <c r="I285" s="46" t="str" cm="1">
        <f t="array" aca="1" ref="I285" ca="1">IF(F285&lt;&gt;"",IF(OR(G285="Bill Accounts",G285="Investments", G285="Cash Accounts"),INDIRECT("'"&amp;F285&amp;"'!$C$10"),INDIRECT("'"&amp;F285&amp;"'!$C$8")),"")</f>
        <v/>
      </c>
      <c r="K285" s="48">
        <f t="shared" si="15"/>
        <v>291</v>
      </c>
      <c r="L285" s="114" t="str" cm="1">
        <f t="array" aca="1" ref="L285" ca="1">IF(F285&lt;&gt;"",INDIRECT("'"&amp;F285&amp;"'!$F$17"),"")</f>
        <v/>
      </c>
      <c r="M285" s="116" t="str">
        <f t="shared" ca="1" si="13"/>
        <v/>
      </c>
      <c r="O285" s="49" t="str">
        <f t="shared" ca="1" si="14"/>
        <v/>
      </c>
      <c r="P285" s="38" t="str">
        <f>IF(E285&lt;&gt;"",RANK(E285,$E$3:$E$2298)+COUNTIF($E$3:E285,E285)-1,"")</f>
        <v/>
      </c>
      <c r="Q285" s="8"/>
      <c r="R285" s="64"/>
      <c r="Z285" s="8"/>
    </row>
    <row r="286" spans="4:26" x14ac:dyDescent="0.25">
      <c r="D286" s="36" t="str" cm="1">
        <f t="array" aca="1" ref="D286" ca="1">IFERROR(IF(INDIRECT("'"&amp;F286&amp;"'!$C$5")&gt;0,DATE(YEAR(Dashboard!$AL$2),Dashboard!$AU$4,INDIRECT("'"&amp;F286&amp;"'!$C$5")),""),"")</f>
        <v/>
      </c>
      <c r="G286" s="38" t="str" cm="1">
        <f t="array" aca="1" ref="G286" ca="1">IF(F286="",
    "",
    IFERROR(
        IF(INDIRECT("'"&amp;F286&amp;"'!$B$2")="Credit Limit",
            "Credit Accounts",
            IF(INDIRECT("'"&amp;F286&amp;"'!$E$2")="Location",
                "Cash Accounts",
                IF(INDIRECT("'"&amp;F286&amp;"'!$B$2")="Amount",
                    "Investments",
                    "Bill Accounts"
                )
            )
        ),
    "")
)</f>
        <v/>
      </c>
      <c r="I286" s="46" t="str" cm="1">
        <f t="array" aca="1" ref="I286" ca="1">IF(F286&lt;&gt;"",IF(OR(G286="Bill Accounts",G286="Investments", G286="Cash Accounts"),INDIRECT("'"&amp;F286&amp;"'!$C$10"),INDIRECT("'"&amp;F286&amp;"'!$C$8")),"")</f>
        <v/>
      </c>
      <c r="K286" s="48">
        <f t="shared" si="15"/>
        <v>292</v>
      </c>
      <c r="L286" s="114" t="str" cm="1">
        <f t="array" aca="1" ref="L286" ca="1">IF(F286&lt;&gt;"",INDIRECT("'"&amp;F286&amp;"'!$F$17"),"")</f>
        <v/>
      </c>
      <c r="M286" s="116" t="str">
        <f t="shared" ca="1" si="13"/>
        <v/>
      </c>
      <c r="O286" s="49" t="str">
        <f t="shared" ca="1" si="14"/>
        <v/>
      </c>
      <c r="P286" s="38" t="str">
        <f>IF(E286&lt;&gt;"",RANK(E286,$E$3:$E$2298)+COUNTIF($E$3:E286,E286)-1,"")</f>
        <v/>
      </c>
      <c r="Q286" s="8"/>
      <c r="R286" s="64"/>
      <c r="Z286" s="8"/>
    </row>
    <row r="287" spans="4:26" x14ac:dyDescent="0.25">
      <c r="D287" s="36" t="str" cm="1">
        <f t="array" aca="1" ref="D287" ca="1">IFERROR(IF(INDIRECT("'"&amp;F287&amp;"'!$C$5")&gt;0,DATE(YEAR(Dashboard!$AL$2),Dashboard!$AU$4,INDIRECT("'"&amp;F287&amp;"'!$C$5")),""),"")</f>
        <v/>
      </c>
      <c r="G287" s="38" t="str" cm="1">
        <f t="array" aca="1" ref="G287" ca="1">IF(F287="",
    "",
    IFERROR(
        IF(INDIRECT("'"&amp;F287&amp;"'!$B$2")="Credit Limit",
            "Credit Accounts",
            IF(INDIRECT("'"&amp;F287&amp;"'!$E$2")="Location",
                "Cash Accounts",
                IF(INDIRECT("'"&amp;F287&amp;"'!$B$2")="Amount",
                    "Investments",
                    "Bill Accounts"
                )
            )
        ),
    "")
)</f>
        <v/>
      </c>
      <c r="I287" s="46" t="str" cm="1">
        <f t="array" aca="1" ref="I287" ca="1">IF(F287&lt;&gt;"",IF(OR(G287="Bill Accounts",G287="Investments", G287="Cash Accounts"),INDIRECT("'"&amp;F287&amp;"'!$C$10"),INDIRECT("'"&amp;F287&amp;"'!$C$8")),"")</f>
        <v/>
      </c>
      <c r="K287" s="48">
        <f t="shared" si="15"/>
        <v>293</v>
      </c>
      <c r="L287" s="114" t="str" cm="1">
        <f t="array" aca="1" ref="L287" ca="1">IF(F287&lt;&gt;"",INDIRECT("'"&amp;F287&amp;"'!$F$17"),"")</f>
        <v/>
      </c>
      <c r="M287" s="116" t="str">
        <f t="shared" ca="1" si="13"/>
        <v/>
      </c>
      <c r="O287" s="49" t="str">
        <f t="shared" ca="1" si="14"/>
        <v/>
      </c>
      <c r="P287" s="38" t="str">
        <f>IF(E287&lt;&gt;"",RANK(E287,$E$3:$E$2298)+COUNTIF($E$3:E287,E287)-1,"")</f>
        <v/>
      </c>
      <c r="Q287" s="8"/>
      <c r="R287" s="64"/>
      <c r="Z287" s="8"/>
    </row>
    <row r="288" spans="4:26" x14ac:dyDescent="0.25">
      <c r="D288" s="36" t="str" cm="1">
        <f t="array" aca="1" ref="D288" ca="1">IFERROR(IF(INDIRECT("'"&amp;F288&amp;"'!$C$5")&gt;0,DATE(YEAR(Dashboard!$AL$2),Dashboard!$AU$4,INDIRECT("'"&amp;F288&amp;"'!$C$5")),""),"")</f>
        <v/>
      </c>
      <c r="G288" s="38" t="str" cm="1">
        <f t="array" aca="1" ref="G288" ca="1">IF(F288="",
    "",
    IFERROR(
        IF(INDIRECT("'"&amp;F288&amp;"'!$B$2")="Credit Limit",
            "Credit Accounts",
            IF(INDIRECT("'"&amp;F288&amp;"'!$E$2")="Location",
                "Cash Accounts",
                IF(INDIRECT("'"&amp;F288&amp;"'!$B$2")="Amount",
                    "Investments",
                    "Bill Accounts"
                )
            )
        ),
    "")
)</f>
        <v/>
      </c>
      <c r="I288" s="46" t="str" cm="1">
        <f t="array" aca="1" ref="I288" ca="1">IF(F288&lt;&gt;"",IF(OR(G288="Bill Accounts",G288="Investments", G288="Cash Accounts"),INDIRECT("'"&amp;F288&amp;"'!$C$10"),INDIRECT("'"&amp;F288&amp;"'!$C$8")),"")</f>
        <v/>
      </c>
      <c r="K288" s="48">
        <f t="shared" si="15"/>
        <v>294</v>
      </c>
      <c r="L288" s="114" t="str" cm="1">
        <f t="array" aca="1" ref="L288" ca="1">IF(F288&lt;&gt;"",INDIRECT("'"&amp;F288&amp;"'!$F$17"),"")</f>
        <v/>
      </c>
      <c r="M288" s="116" t="str">
        <f t="shared" ca="1" si="13"/>
        <v/>
      </c>
      <c r="O288" s="49" t="str">
        <f t="shared" ca="1" si="14"/>
        <v/>
      </c>
      <c r="P288" s="38" t="str">
        <f>IF(E288&lt;&gt;"",RANK(E288,$E$3:$E$2298)+COUNTIF($E$3:E288,E288)-1,"")</f>
        <v/>
      </c>
      <c r="Q288" s="8"/>
      <c r="R288" s="64"/>
      <c r="Z288" s="8"/>
    </row>
    <row r="289" spans="4:26" x14ac:dyDescent="0.25">
      <c r="D289" s="36" t="str" cm="1">
        <f t="array" aca="1" ref="D289" ca="1">IFERROR(IF(INDIRECT("'"&amp;F289&amp;"'!$C$5")&gt;0,DATE(YEAR(Dashboard!$AL$2),Dashboard!$AU$4,INDIRECT("'"&amp;F289&amp;"'!$C$5")),""),"")</f>
        <v/>
      </c>
      <c r="G289" s="38" t="str" cm="1">
        <f t="array" aca="1" ref="G289" ca="1">IF(F289="",
    "",
    IFERROR(
        IF(INDIRECT("'"&amp;F289&amp;"'!$B$2")="Credit Limit",
            "Credit Accounts",
            IF(INDIRECT("'"&amp;F289&amp;"'!$E$2")="Location",
                "Cash Accounts",
                IF(INDIRECT("'"&amp;F289&amp;"'!$B$2")="Amount",
                    "Investments",
                    "Bill Accounts"
                )
            )
        ),
    "")
)</f>
        <v/>
      </c>
      <c r="I289" s="46" t="str" cm="1">
        <f t="array" aca="1" ref="I289" ca="1">IF(F289&lt;&gt;"",IF(OR(G289="Bill Accounts",G289="Investments", G289="Cash Accounts"),INDIRECT("'"&amp;F289&amp;"'!$C$10"),INDIRECT("'"&amp;F289&amp;"'!$C$8")),"")</f>
        <v/>
      </c>
      <c r="K289" s="48">
        <f t="shared" si="15"/>
        <v>295</v>
      </c>
      <c r="L289" s="114" t="str" cm="1">
        <f t="array" aca="1" ref="L289" ca="1">IF(F289&lt;&gt;"",INDIRECT("'"&amp;F289&amp;"'!$F$17"),"")</f>
        <v/>
      </c>
      <c r="M289" s="116" t="str">
        <f t="shared" ca="1" si="13"/>
        <v/>
      </c>
      <c r="O289" s="49" t="str">
        <f t="shared" ca="1" si="14"/>
        <v/>
      </c>
      <c r="P289" s="38" t="str">
        <f>IF(E289&lt;&gt;"",RANK(E289,$E$3:$E$2298)+COUNTIF($E$3:E289,E289)-1,"")</f>
        <v/>
      </c>
      <c r="Q289" s="8"/>
      <c r="R289" s="64"/>
      <c r="Z289" s="8"/>
    </row>
    <row r="290" spans="4:26" x14ac:dyDescent="0.25">
      <c r="D290" s="36" t="str" cm="1">
        <f t="array" aca="1" ref="D290" ca="1">IFERROR(IF(INDIRECT("'"&amp;F290&amp;"'!$C$5")&gt;0,DATE(YEAR(Dashboard!$AL$2),Dashboard!$AU$4,INDIRECT("'"&amp;F290&amp;"'!$C$5")),""),"")</f>
        <v/>
      </c>
      <c r="G290" s="38" t="str" cm="1">
        <f t="array" aca="1" ref="G290" ca="1">IF(F290="",
    "",
    IFERROR(
        IF(INDIRECT("'"&amp;F290&amp;"'!$B$2")="Credit Limit",
            "Credit Accounts",
            IF(INDIRECT("'"&amp;F290&amp;"'!$E$2")="Location",
                "Cash Accounts",
                IF(INDIRECT("'"&amp;F290&amp;"'!$B$2")="Amount",
                    "Investments",
                    "Bill Accounts"
                )
            )
        ),
    "")
)</f>
        <v/>
      </c>
      <c r="I290" s="46" t="str" cm="1">
        <f t="array" aca="1" ref="I290" ca="1">IF(F290&lt;&gt;"",IF(OR(G290="Bill Accounts",G290="Investments", G290="Cash Accounts"),INDIRECT("'"&amp;F290&amp;"'!$C$10"),INDIRECT("'"&amp;F290&amp;"'!$C$8")),"")</f>
        <v/>
      </c>
      <c r="K290" s="48">
        <f t="shared" si="15"/>
        <v>296</v>
      </c>
      <c r="L290" s="114" t="str" cm="1">
        <f t="array" aca="1" ref="L290" ca="1">IF(F290&lt;&gt;"",INDIRECT("'"&amp;F290&amp;"'!$F$17"),"")</f>
        <v/>
      </c>
      <c r="M290" s="116" t="str">
        <f t="shared" ca="1" si="13"/>
        <v/>
      </c>
      <c r="O290" s="49" t="str">
        <f t="shared" ca="1" si="14"/>
        <v/>
      </c>
      <c r="P290" s="38" t="str">
        <f>IF(E290&lt;&gt;"",RANK(E290,$E$3:$E$2298)+COUNTIF($E$3:E290,E290)-1,"")</f>
        <v/>
      </c>
      <c r="Q290" s="8"/>
      <c r="R290" s="64"/>
      <c r="Z290" s="8"/>
    </row>
    <row r="291" spans="4:26" x14ac:dyDescent="0.25">
      <c r="D291" s="36" t="str" cm="1">
        <f t="array" aca="1" ref="D291" ca="1">IFERROR(IF(INDIRECT("'"&amp;F291&amp;"'!$C$5")&gt;0,DATE(YEAR(Dashboard!$AL$2),Dashboard!$AU$4,INDIRECT("'"&amp;F291&amp;"'!$C$5")),""),"")</f>
        <v/>
      </c>
      <c r="G291" s="38" t="str" cm="1">
        <f t="array" aca="1" ref="G291" ca="1">IF(F291="",
    "",
    IFERROR(
        IF(INDIRECT("'"&amp;F291&amp;"'!$B$2")="Credit Limit",
            "Credit Accounts",
            IF(INDIRECT("'"&amp;F291&amp;"'!$E$2")="Location",
                "Cash Accounts",
                IF(INDIRECT("'"&amp;F291&amp;"'!$B$2")="Amount",
                    "Investments",
                    "Bill Accounts"
                )
            )
        ),
    "")
)</f>
        <v/>
      </c>
      <c r="I291" s="46" t="str" cm="1">
        <f t="array" aca="1" ref="I291" ca="1">IF(F291&lt;&gt;"",IF(OR(G291="Bill Accounts",G291="Investments", G291="Cash Accounts"),INDIRECT("'"&amp;F291&amp;"'!$C$10"),INDIRECT("'"&amp;F291&amp;"'!$C$8")),"")</f>
        <v/>
      </c>
      <c r="K291" s="48">
        <f t="shared" si="15"/>
        <v>297</v>
      </c>
      <c r="L291" s="114" t="str" cm="1">
        <f t="array" aca="1" ref="L291" ca="1">IF(F291&lt;&gt;"",INDIRECT("'"&amp;F291&amp;"'!$F$17"),"")</f>
        <v/>
      </c>
      <c r="M291" s="116" t="str">
        <f t="shared" ca="1" si="13"/>
        <v/>
      </c>
      <c r="O291" s="49" t="str">
        <f t="shared" ca="1" si="14"/>
        <v/>
      </c>
      <c r="P291" s="38" t="str">
        <f>IF(E291&lt;&gt;"",RANK(E291,$E$3:$E$2298)+COUNTIF($E$3:E291,E291)-1,"")</f>
        <v/>
      </c>
      <c r="Q291" s="8"/>
      <c r="R291" s="64"/>
      <c r="Z291" s="8"/>
    </row>
    <row r="292" spans="4:26" x14ac:dyDescent="0.25">
      <c r="D292" s="36" t="str" cm="1">
        <f t="array" aca="1" ref="D292" ca="1">IFERROR(IF(INDIRECT("'"&amp;F292&amp;"'!$C$5")&gt;0,DATE(YEAR(Dashboard!$AL$2),Dashboard!$AU$4,INDIRECT("'"&amp;F292&amp;"'!$C$5")),""),"")</f>
        <v/>
      </c>
      <c r="G292" s="38" t="str" cm="1">
        <f t="array" aca="1" ref="G292" ca="1">IF(F292="",
    "",
    IFERROR(
        IF(INDIRECT("'"&amp;F292&amp;"'!$B$2")="Credit Limit",
            "Credit Accounts",
            IF(INDIRECT("'"&amp;F292&amp;"'!$E$2")="Location",
                "Cash Accounts",
                IF(INDIRECT("'"&amp;F292&amp;"'!$B$2")="Amount",
                    "Investments",
                    "Bill Accounts"
                )
            )
        ),
    "")
)</f>
        <v/>
      </c>
      <c r="I292" s="46" t="str" cm="1">
        <f t="array" aca="1" ref="I292" ca="1">IF(F292&lt;&gt;"",IF(OR(G292="Bill Accounts",G292="Investments", G292="Cash Accounts"),INDIRECT("'"&amp;F292&amp;"'!$C$10"),INDIRECT("'"&amp;F292&amp;"'!$C$8")),"")</f>
        <v/>
      </c>
      <c r="K292" s="48">
        <f t="shared" si="15"/>
        <v>298</v>
      </c>
      <c r="L292" s="114" t="str" cm="1">
        <f t="array" aca="1" ref="L292" ca="1">IF(F292&lt;&gt;"",INDIRECT("'"&amp;F292&amp;"'!$F$17"),"")</f>
        <v/>
      </c>
      <c r="M292" s="116" t="str">
        <f t="shared" ca="1" si="13"/>
        <v/>
      </c>
      <c r="O292" s="49" t="str">
        <f t="shared" ca="1" si="14"/>
        <v/>
      </c>
      <c r="P292" s="38" t="str">
        <f>IF(E292&lt;&gt;"",RANK(E292,$E$3:$E$2298)+COUNTIF($E$3:E292,E292)-1,"")</f>
        <v/>
      </c>
      <c r="Q292" s="8"/>
      <c r="R292" s="64"/>
      <c r="Z292" s="8"/>
    </row>
    <row r="293" spans="4:26" x14ac:dyDescent="0.25">
      <c r="D293" s="36" t="str" cm="1">
        <f t="array" aca="1" ref="D293" ca="1">IFERROR(IF(INDIRECT("'"&amp;F293&amp;"'!$C$5")&gt;0,DATE(YEAR(Dashboard!$AL$2),Dashboard!$AU$4,INDIRECT("'"&amp;F293&amp;"'!$C$5")),""),"")</f>
        <v/>
      </c>
      <c r="G293" s="38" t="str" cm="1">
        <f t="array" aca="1" ref="G293" ca="1">IF(F293="",
    "",
    IFERROR(
        IF(INDIRECT("'"&amp;F293&amp;"'!$B$2")="Credit Limit",
            "Credit Accounts",
            IF(INDIRECT("'"&amp;F293&amp;"'!$E$2")="Location",
                "Cash Accounts",
                IF(INDIRECT("'"&amp;F293&amp;"'!$B$2")="Amount",
                    "Investments",
                    "Bill Accounts"
                )
            )
        ),
    "")
)</f>
        <v/>
      </c>
      <c r="I293" s="46" t="str" cm="1">
        <f t="array" aca="1" ref="I293" ca="1">IF(F293&lt;&gt;"",IF(OR(G293="Bill Accounts",G293="Investments", G293="Cash Accounts"),INDIRECT("'"&amp;F293&amp;"'!$C$10"),INDIRECT("'"&amp;F293&amp;"'!$C$8")),"")</f>
        <v/>
      </c>
      <c r="K293" s="48">
        <f t="shared" si="15"/>
        <v>299</v>
      </c>
      <c r="L293" s="114" t="str" cm="1">
        <f t="array" aca="1" ref="L293" ca="1">IF(F293&lt;&gt;"",INDIRECT("'"&amp;F293&amp;"'!$F$17"),"")</f>
        <v/>
      </c>
      <c r="M293" s="116" t="str">
        <f t="shared" ca="1" si="13"/>
        <v/>
      </c>
      <c r="O293" s="49" t="str">
        <f t="shared" ca="1" si="14"/>
        <v/>
      </c>
      <c r="P293" s="38" t="str">
        <f>IF(E293&lt;&gt;"",RANK(E293,$E$3:$E$2298)+COUNTIF($E$3:E293,E293)-1,"")</f>
        <v/>
      </c>
      <c r="Q293" s="8"/>
      <c r="R293" s="64"/>
      <c r="Z293" s="8"/>
    </row>
    <row r="294" spans="4:26" x14ac:dyDescent="0.25">
      <c r="D294" s="36" t="str" cm="1">
        <f t="array" aca="1" ref="D294" ca="1">IFERROR(IF(INDIRECT("'"&amp;F294&amp;"'!$C$5")&gt;0,DATE(YEAR(Dashboard!$AL$2),Dashboard!$AU$4,INDIRECT("'"&amp;F294&amp;"'!$C$5")),""),"")</f>
        <v/>
      </c>
      <c r="G294" s="38" t="str" cm="1">
        <f t="array" aca="1" ref="G294" ca="1">IF(F294="",
    "",
    IFERROR(
        IF(INDIRECT("'"&amp;F294&amp;"'!$B$2")="Credit Limit",
            "Credit Accounts",
            IF(INDIRECT("'"&amp;F294&amp;"'!$E$2")="Location",
                "Cash Accounts",
                IF(INDIRECT("'"&amp;F294&amp;"'!$B$2")="Amount",
                    "Investments",
                    "Bill Accounts"
                )
            )
        ),
    "")
)</f>
        <v/>
      </c>
      <c r="I294" s="46" t="str" cm="1">
        <f t="array" aca="1" ref="I294" ca="1">IF(F294&lt;&gt;"",IF(OR(G294="Bill Accounts",G294="Investments", G294="Cash Accounts"),INDIRECT("'"&amp;F294&amp;"'!$C$10"),INDIRECT("'"&amp;F294&amp;"'!$C$8")),"")</f>
        <v/>
      </c>
      <c r="K294" s="48">
        <f t="shared" si="15"/>
        <v>300</v>
      </c>
      <c r="L294" s="114" t="str" cm="1">
        <f t="array" aca="1" ref="L294" ca="1">IF(F294&lt;&gt;"",INDIRECT("'"&amp;F294&amp;"'!$F$17"),"")</f>
        <v/>
      </c>
      <c r="M294" s="116" t="str">
        <f t="shared" ca="1" si="13"/>
        <v/>
      </c>
      <c r="O294" s="49" t="str">
        <f t="shared" ca="1" si="14"/>
        <v/>
      </c>
      <c r="P294" s="38" t="str">
        <f>IF(E294&lt;&gt;"",RANK(E294,$E$3:$E$2298)+COUNTIF($E$3:E294,E294)-1,"")</f>
        <v/>
      </c>
      <c r="Q294" s="8"/>
      <c r="R294" s="64"/>
      <c r="Z294" s="8"/>
    </row>
    <row r="295" spans="4:26" x14ac:dyDescent="0.25">
      <c r="D295" s="36" t="str" cm="1">
        <f t="array" aca="1" ref="D295" ca="1">IFERROR(IF(INDIRECT("'"&amp;F295&amp;"'!$C$5")&gt;0,DATE(YEAR(Dashboard!$AL$2),Dashboard!$AU$4,INDIRECT("'"&amp;F295&amp;"'!$C$5")),""),"")</f>
        <v/>
      </c>
      <c r="G295" s="38" t="str" cm="1">
        <f t="array" aca="1" ref="G295" ca="1">IF(F295="",
    "",
    IFERROR(
        IF(INDIRECT("'"&amp;F295&amp;"'!$B$2")="Credit Limit",
            "Credit Accounts",
            IF(INDIRECT("'"&amp;F295&amp;"'!$E$2")="Location",
                "Cash Accounts",
                IF(INDIRECT("'"&amp;F295&amp;"'!$B$2")="Amount",
                    "Investments",
                    "Bill Accounts"
                )
            )
        ),
    "")
)</f>
        <v/>
      </c>
      <c r="I295" s="46" t="str" cm="1">
        <f t="array" aca="1" ref="I295" ca="1">IF(F295&lt;&gt;"",IF(OR(G295="Bill Accounts",G295="Investments", G295="Cash Accounts"),INDIRECT("'"&amp;F295&amp;"'!$C$10"),INDIRECT("'"&amp;F295&amp;"'!$C$8")),"")</f>
        <v/>
      </c>
      <c r="K295" s="48">
        <f t="shared" si="15"/>
        <v>301</v>
      </c>
      <c r="L295" s="114" t="str" cm="1">
        <f t="array" aca="1" ref="L295" ca="1">IF(F295&lt;&gt;"",INDIRECT("'"&amp;F295&amp;"'!$F$17"),"")</f>
        <v/>
      </c>
      <c r="M295" s="116" t="str">
        <f t="shared" ca="1" si="13"/>
        <v/>
      </c>
      <c r="O295" s="49" t="str">
        <f t="shared" ca="1" si="14"/>
        <v/>
      </c>
      <c r="P295" s="38" t="str">
        <f>IF(E295&lt;&gt;"",RANK(E295,$E$3:$E$2298)+COUNTIF($E$3:E295,E295)-1,"")</f>
        <v/>
      </c>
      <c r="Q295" s="8"/>
      <c r="R295" s="64"/>
      <c r="Z295" s="8"/>
    </row>
    <row r="296" spans="4:26" x14ac:dyDescent="0.25">
      <c r="D296" s="36" t="str" cm="1">
        <f t="array" aca="1" ref="D296" ca="1">IFERROR(IF(INDIRECT("'"&amp;F296&amp;"'!$C$5")&gt;0,DATE(YEAR(Dashboard!$AL$2),Dashboard!$AU$4,INDIRECT("'"&amp;F296&amp;"'!$C$5")),""),"")</f>
        <v/>
      </c>
      <c r="G296" s="38" t="str" cm="1">
        <f t="array" aca="1" ref="G296" ca="1">IF(F296="",
    "",
    IFERROR(
        IF(INDIRECT("'"&amp;F296&amp;"'!$B$2")="Credit Limit",
            "Credit Accounts",
            IF(INDIRECT("'"&amp;F296&amp;"'!$E$2")="Location",
                "Cash Accounts",
                IF(INDIRECT("'"&amp;F296&amp;"'!$B$2")="Amount",
                    "Investments",
                    "Bill Accounts"
                )
            )
        ),
    "")
)</f>
        <v/>
      </c>
      <c r="I296" s="46" t="str" cm="1">
        <f t="array" aca="1" ref="I296" ca="1">IF(F296&lt;&gt;"",IF(OR(G296="Bill Accounts",G296="Investments", G296="Cash Accounts"),INDIRECT("'"&amp;F296&amp;"'!$C$10"),INDIRECT("'"&amp;F296&amp;"'!$C$8")),"")</f>
        <v/>
      </c>
      <c r="K296" s="48">
        <f t="shared" si="15"/>
        <v>302</v>
      </c>
      <c r="L296" s="114" t="str" cm="1">
        <f t="array" aca="1" ref="L296" ca="1">IF(F296&lt;&gt;"",INDIRECT("'"&amp;F296&amp;"'!$F$17"),"")</f>
        <v/>
      </c>
      <c r="M296" s="116" t="str">
        <f t="shared" ca="1" si="13"/>
        <v/>
      </c>
      <c r="O296" s="49" t="str">
        <f t="shared" ca="1" si="14"/>
        <v/>
      </c>
      <c r="P296" s="38" t="str">
        <f>IF(E296&lt;&gt;"",RANK(E296,$E$3:$E$2298)+COUNTIF($E$3:E296,E296)-1,"")</f>
        <v/>
      </c>
      <c r="Q296" s="8"/>
      <c r="R296" s="64"/>
      <c r="Z296" s="8"/>
    </row>
    <row r="297" spans="4:26" x14ac:dyDescent="0.25">
      <c r="D297" s="36" t="str" cm="1">
        <f t="array" aca="1" ref="D297" ca="1">IFERROR(IF(INDIRECT("'"&amp;F297&amp;"'!$C$5")&gt;0,DATE(YEAR(Dashboard!$AL$2),Dashboard!$AU$4,INDIRECT("'"&amp;F297&amp;"'!$C$5")),""),"")</f>
        <v/>
      </c>
      <c r="G297" s="38" t="str" cm="1">
        <f t="array" aca="1" ref="G297" ca="1">IF(F297="",
    "",
    IFERROR(
        IF(INDIRECT("'"&amp;F297&amp;"'!$B$2")="Credit Limit",
            "Credit Accounts",
            IF(INDIRECT("'"&amp;F297&amp;"'!$E$2")="Location",
                "Cash Accounts",
                IF(INDIRECT("'"&amp;F297&amp;"'!$B$2")="Amount",
                    "Investments",
                    "Bill Accounts"
                )
            )
        ),
    "")
)</f>
        <v/>
      </c>
      <c r="I297" s="46" t="str" cm="1">
        <f t="array" aca="1" ref="I297" ca="1">IF(F297&lt;&gt;"",IF(OR(G297="Bill Accounts",G297="Investments", G297="Cash Accounts"),INDIRECT("'"&amp;F297&amp;"'!$C$10"),INDIRECT("'"&amp;F297&amp;"'!$C$8")),"")</f>
        <v/>
      </c>
      <c r="K297" s="48">
        <f t="shared" si="15"/>
        <v>303</v>
      </c>
      <c r="L297" s="114" t="str" cm="1">
        <f t="array" aca="1" ref="L297" ca="1">IF(F297&lt;&gt;"",INDIRECT("'"&amp;F297&amp;"'!$F$17"),"")</f>
        <v/>
      </c>
      <c r="M297" s="116" t="str">
        <f t="shared" ca="1" si="13"/>
        <v/>
      </c>
      <c r="O297" s="49" t="str">
        <f t="shared" ca="1" si="14"/>
        <v/>
      </c>
      <c r="P297" s="38" t="str">
        <f>IF(E297&lt;&gt;"",RANK(E297,$E$3:$E$2298)+COUNTIF($E$3:E297,E297)-1,"")</f>
        <v/>
      </c>
      <c r="Q297" s="8"/>
      <c r="R297" s="64"/>
      <c r="Z297" s="8"/>
    </row>
    <row r="298" spans="4:26" x14ac:dyDescent="0.25">
      <c r="D298" s="36" t="str" cm="1">
        <f t="array" aca="1" ref="D298" ca="1">IFERROR(IF(INDIRECT("'"&amp;F298&amp;"'!$C$5")&gt;0,DATE(YEAR(Dashboard!$AL$2),Dashboard!$AU$4,INDIRECT("'"&amp;F298&amp;"'!$C$5")),""),"")</f>
        <v/>
      </c>
      <c r="G298" s="38" t="str" cm="1">
        <f t="array" aca="1" ref="G298" ca="1">IF(F298="",
    "",
    IFERROR(
        IF(INDIRECT("'"&amp;F298&amp;"'!$B$2")="Credit Limit",
            "Credit Accounts",
            IF(INDIRECT("'"&amp;F298&amp;"'!$E$2")="Location",
                "Cash Accounts",
                IF(INDIRECT("'"&amp;F298&amp;"'!$B$2")="Amount",
                    "Investments",
                    "Bill Accounts"
                )
            )
        ),
    "")
)</f>
        <v/>
      </c>
      <c r="I298" s="46" t="str" cm="1">
        <f t="array" aca="1" ref="I298" ca="1">IF(F298&lt;&gt;"",IF(OR(G298="Bill Accounts",G298="Investments", G298="Cash Accounts"),INDIRECT("'"&amp;F298&amp;"'!$C$10"),INDIRECT("'"&amp;F298&amp;"'!$C$8")),"")</f>
        <v/>
      </c>
      <c r="K298" s="48">
        <f t="shared" si="15"/>
        <v>304</v>
      </c>
      <c r="L298" s="114" t="str" cm="1">
        <f t="array" aca="1" ref="L298" ca="1">IF(F298&lt;&gt;"",INDIRECT("'"&amp;F298&amp;"'!$F$17"),"")</f>
        <v/>
      </c>
      <c r="M298" s="116" t="str">
        <f t="shared" ca="1" si="13"/>
        <v/>
      </c>
      <c r="O298" s="49" t="str">
        <f t="shared" ca="1" si="14"/>
        <v/>
      </c>
      <c r="P298" s="38" t="str">
        <f>IF(E298&lt;&gt;"",RANK(E298,$E$3:$E$2298)+COUNTIF($E$3:E298,E298)-1,"")</f>
        <v/>
      </c>
      <c r="Q298" s="8"/>
      <c r="R298" s="64"/>
      <c r="Z298" s="8"/>
    </row>
    <row r="299" spans="4:26" x14ac:dyDescent="0.25">
      <c r="D299" s="36" t="str" cm="1">
        <f t="array" aca="1" ref="D299" ca="1">IFERROR(IF(INDIRECT("'"&amp;F299&amp;"'!$C$5")&gt;0,DATE(YEAR(Dashboard!$AL$2),Dashboard!$AU$4,INDIRECT("'"&amp;F299&amp;"'!$C$5")),""),"")</f>
        <v/>
      </c>
      <c r="G299" s="38" t="str" cm="1">
        <f t="array" aca="1" ref="G299" ca="1">IF(F299="",
    "",
    IFERROR(
        IF(INDIRECT("'"&amp;F299&amp;"'!$B$2")="Credit Limit",
            "Credit Accounts",
            IF(INDIRECT("'"&amp;F299&amp;"'!$E$2")="Location",
                "Cash Accounts",
                IF(INDIRECT("'"&amp;F299&amp;"'!$B$2")="Amount",
                    "Investments",
                    "Bill Accounts"
                )
            )
        ),
    "")
)</f>
        <v/>
      </c>
      <c r="I299" s="46" t="str" cm="1">
        <f t="array" aca="1" ref="I299" ca="1">IF(F299&lt;&gt;"",IF(OR(G299="Bill Accounts",G299="Investments", G299="Cash Accounts"),INDIRECT("'"&amp;F299&amp;"'!$C$10"),INDIRECT("'"&amp;F299&amp;"'!$C$8")),"")</f>
        <v/>
      </c>
      <c r="K299" s="48">
        <f t="shared" si="15"/>
        <v>305</v>
      </c>
      <c r="L299" s="114" t="str" cm="1">
        <f t="array" aca="1" ref="L299" ca="1">IF(F299&lt;&gt;"",INDIRECT("'"&amp;F299&amp;"'!$F$17"),"")</f>
        <v/>
      </c>
      <c r="M299" s="116" t="str">
        <f t="shared" ca="1" si="13"/>
        <v/>
      </c>
      <c r="O299" s="49" t="str">
        <f t="shared" ca="1" si="14"/>
        <v/>
      </c>
      <c r="P299" s="38" t="str">
        <f>IF(E299&lt;&gt;"",RANK(E299,$E$3:$E$2298)+COUNTIF($E$3:E299,E299)-1,"")</f>
        <v/>
      </c>
      <c r="Q299" s="8"/>
      <c r="R299" s="64"/>
      <c r="Z299" s="8"/>
    </row>
    <row r="300" spans="4:26" x14ac:dyDescent="0.25">
      <c r="D300" s="36" t="str" cm="1">
        <f t="array" aca="1" ref="D300" ca="1">IFERROR(IF(INDIRECT("'"&amp;F300&amp;"'!$C$5")&gt;0,DATE(YEAR(Dashboard!$AL$2),Dashboard!$AU$4,INDIRECT("'"&amp;F300&amp;"'!$C$5")),""),"")</f>
        <v/>
      </c>
      <c r="G300" s="38" t="str" cm="1">
        <f t="array" aca="1" ref="G300" ca="1">IF(F300="",
    "",
    IFERROR(
        IF(INDIRECT("'"&amp;F300&amp;"'!$B$2")="Credit Limit",
            "Credit Accounts",
            IF(INDIRECT("'"&amp;F300&amp;"'!$E$2")="Location",
                "Cash Accounts",
                IF(INDIRECT("'"&amp;F300&amp;"'!$B$2")="Amount",
                    "Investments",
                    "Bill Accounts"
                )
            )
        ),
    "")
)</f>
        <v/>
      </c>
      <c r="I300" s="46" t="str" cm="1">
        <f t="array" aca="1" ref="I300" ca="1">IF(F300&lt;&gt;"",IF(OR(G300="Bill Accounts",G300="Investments", G300="Cash Accounts"),INDIRECT("'"&amp;F300&amp;"'!$C$10"),INDIRECT("'"&amp;F300&amp;"'!$C$8")),"")</f>
        <v/>
      </c>
      <c r="K300" s="48">
        <f t="shared" si="15"/>
        <v>306</v>
      </c>
      <c r="L300" s="114" t="str" cm="1">
        <f t="array" aca="1" ref="L300" ca="1">IF(F300&lt;&gt;"",INDIRECT("'"&amp;F300&amp;"'!$F$17"),"")</f>
        <v/>
      </c>
      <c r="M300" s="116" t="str">
        <f t="shared" ca="1" si="13"/>
        <v/>
      </c>
      <c r="O300" s="49" t="str">
        <f t="shared" ca="1" si="14"/>
        <v/>
      </c>
      <c r="P300" s="38" t="str">
        <f>IF(E300&lt;&gt;"",RANK(E300,$E$3:$E$2298)+COUNTIF($E$3:E300,E300)-1,"")</f>
        <v/>
      </c>
      <c r="Q300" s="8"/>
      <c r="R300" s="64"/>
      <c r="Z300" s="8"/>
    </row>
    <row r="301" spans="4:26" x14ac:dyDescent="0.25">
      <c r="D301" s="36" t="str" cm="1">
        <f t="array" aca="1" ref="D301" ca="1">IFERROR(IF(INDIRECT("'"&amp;F301&amp;"'!$C$5")&gt;0,DATE(YEAR(Dashboard!$AL$2),Dashboard!$AU$4,INDIRECT("'"&amp;F301&amp;"'!$C$5")),""),"")</f>
        <v/>
      </c>
      <c r="G301" s="38" t="str" cm="1">
        <f t="array" aca="1" ref="G301" ca="1">IF(F301="",
    "",
    IFERROR(
        IF(INDIRECT("'"&amp;F301&amp;"'!$B$2")="Credit Limit",
            "Credit Accounts",
            IF(INDIRECT("'"&amp;F301&amp;"'!$E$2")="Location",
                "Cash Accounts",
                IF(INDIRECT("'"&amp;F301&amp;"'!$B$2")="Amount",
                    "Investments",
                    "Bill Accounts"
                )
            )
        ),
    "")
)</f>
        <v/>
      </c>
      <c r="I301" s="46" t="str" cm="1">
        <f t="array" aca="1" ref="I301" ca="1">IF(F301&lt;&gt;"",IF(OR(G301="Bill Accounts",G301="Investments", G301="Cash Accounts"),INDIRECT("'"&amp;F301&amp;"'!$C$10"),INDIRECT("'"&amp;F301&amp;"'!$C$8")),"")</f>
        <v/>
      </c>
      <c r="K301" s="48">
        <f t="shared" si="15"/>
        <v>307</v>
      </c>
      <c r="L301" s="114" t="str" cm="1">
        <f t="array" aca="1" ref="L301" ca="1">IF(F301&lt;&gt;"",INDIRECT("'"&amp;F301&amp;"'!$F$17"),"")</f>
        <v/>
      </c>
      <c r="M301" s="116" t="str">
        <f t="shared" ca="1" si="13"/>
        <v/>
      </c>
      <c r="O301" s="49" t="str">
        <f t="shared" ca="1" si="14"/>
        <v/>
      </c>
      <c r="P301" s="38" t="str">
        <f>IF(E301&lt;&gt;"",RANK(E301,$E$3:$E$2298)+COUNTIF($E$3:E301,E301)-1,"")</f>
        <v/>
      </c>
      <c r="Q301" s="8"/>
      <c r="R301" s="64"/>
      <c r="Z301" s="8"/>
    </row>
    <row r="302" spans="4:26" x14ac:dyDescent="0.25">
      <c r="D302" s="36" t="str" cm="1">
        <f t="array" aca="1" ref="D302" ca="1">IFERROR(IF(INDIRECT("'"&amp;F302&amp;"'!$C$5")&gt;0,DATE(YEAR(Dashboard!$AL$2),Dashboard!$AU$4,INDIRECT("'"&amp;F302&amp;"'!$C$5")),""),"")</f>
        <v/>
      </c>
      <c r="G302" s="38" t="str" cm="1">
        <f t="array" aca="1" ref="G302" ca="1">IF(F302="",
    "",
    IFERROR(
        IF(INDIRECT("'"&amp;F302&amp;"'!$B$2")="Credit Limit",
            "Credit Accounts",
            IF(INDIRECT("'"&amp;F302&amp;"'!$E$2")="Location",
                "Cash Accounts",
                IF(INDIRECT("'"&amp;F302&amp;"'!$B$2")="Amount",
                    "Investments",
                    "Bill Accounts"
                )
            )
        ),
    "")
)</f>
        <v/>
      </c>
      <c r="I302" s="46" t="str" cm="1">
        <f t="array" aca="1" ref="I302" ca="1">IF(F302&lt;&gt;"",IF(OR(G302="Bill Accounts",G302="Investments", G302="Cash Accounts"),INDIRECT("'"&amp;F302&amp;"'!$C$10"),INDIRECT("'"&amp;F302&amp;"'!$C$8")),"")</f>
        <v/>
      </c>
      <c r="K302" s="48">
        <f t="shared" si="15"/>
        <v>308</v>
      </c>
      <c r="L302" s="114" t="str" cm="1">
        <f t="array" aca="1" ref="L302" ca="1">IF(F302&lt;&gt;"",INDIRECT("'"&amp;F302&amp;"'!$F$17"),"")</f>
        <v/>
      </c>
      <c r="M302" s="116" t="str">
        <f t="shared" ca="1" si="13"/>
        <v/>
      </c>
      <c r="O302" s="49" t="str">
        <f t="shared" ca="1" si="14"/>
        <v/>
      </c>
      <c r="P302" s="38" t="str">
        <f>IF(E302&lt;&gt;"",RANK(E302,$E$3:$E$2298)+COUNTIF($E$3:E302,E302)-1,"")</f>
        <v/>
      </c>
      <c r="Q302" s="8"/>
      <c r="R302" s="64"/>
      <c r="Z302" s="8"/>
    </row>
    <row r="303" spans="4:26" x14ac:dyDescent="0.25">
      <c r="D303" s="36" t="str" cm="1">
        <f t="array" aca="1" ref="D303" ca="1">IFERROR(IF(INDIRECT("'"&amp;F303&amp;"'!$C$5")&gt;0,DATE(YEAR(Dashboard!$AL$2),Dashboard!$AU$4,INDIRECT("'"&amp;F303&amp;"'!$C$5")),""),"")</f>
        <v/>
      </c>
      <c r="G303" s="38" t="str" cm="1">
        <f t="array" aca="1" ref="G303" ca="1">IF(F303="",
    "",
    IFERROR(
        IF(INDIRECT("'"&amp;F303&amp;"'!$B$2")="Credit Limit",
            "Credit Accounts",
            IF(INDIRECT("'"&amp;F303&amp;"'!$E$2")="Location",
                "Cash Accounts",
                IF(INDIRECT("'"&amp;F303&amp;"'!$B$2")="Amount",
                    "Investments",
                    "Bill Accounts"
                )
            )
        ),
    "")
)</f>
        <v/>
      </c>
      <c r="I303" s="46" t="str" cm="1">
        <f t="array" aca="1" ref="I303" ca="1">IF(F303&lt;&gt;"",IF(OR(G303="Bill Accounts",G303="Investments", G303="Cash Accounts"),INDIRECT("'"&amp;F303&amp;"'!$C$10"),INDIRECT("'"&amp;F303&amp;"'!$C$8")),"")</f>
        <v/>
      </c>
      <c r="K303" s="48">
        <f t="shared" si="15"/>
        <v>309</v>
      </c>
      <c r="L303" s="114" t="str" cm="1">
        <f t="array" aca="1" ref="L303" ca="1">IF(F303&lt;&gt;"",INDIRECT("'"&amp;F303&amp;"'!$F$17"),"")</f>
        <v/>
      </c>
      <c r="M303" s="116" t="str">
        <f t="shared" ca="1" si="13"/>
        <v/>
      </c>
      <c r="O303" s="49" t="str">
        <f t="shared" ca="1" si="14"/>
        <v/>
      </c>
      <c r="P303" s="38" t="str">
        <f>IF(E303&lt;&gt;"",RANK(E303,$E$3:$E$2298)+COUNTIF($E$3:E303,E303)-1,"")</f>
        <v/>
      </c>
      <c r="Q303" s="8"/>
      <c r="R303" s="64"/>
      <c r="Z303" s="8"/>
    </row>
    <row r="304" spans="4:26" x14ac:dyDescent="0.25">
      <c r="D304" s="36" t="str" cm="1">
        <f t="array" aca="1" ref="D304" ca="1">IFERROR(IF(INDIRECT("'"&amp;F304&amp;"'!$C$5")&gt;0,DATE(YEAR(Dashboard!$AL$2),Dashboard!$AU$4,INDIRECT("'"&amp;F304&amp;"'!$C$5")),""),"")</f>
        <v/>
      </c>
      <c r="G304" s="38" t="str" cm="1">
        <f t="array" aca="1" ref="G304" ca="1">IF(F304="",
    "",
    IFERROR(
        IF(INDIRECT("'"&amp;F304&amp;"'!$B$2")="Credit Limit",
            "Credit Accounts",
            IF(INDIRECT("'"&amp;F304&amp;"'!$E$2")="Location",
                "Cash Accounts",
                IF(INDIRECT("'"&amp;F304&amp;"'!$B$2")="Amount",
                    "Investments",
                    "Bill Accounts"
                )
            )
        ),
    "")
)</f>
        <v/>
      </c>
      <c r="I304" s="46" t="str" cm="1">
        <f t="array" aca="1" ref="I304" ca="1">IF(F304&lt;&gt;"",IF(OR(G304="Bill Accounts",G304="Investments", G304="Cash Accounts"),INDIRECT("'"&amp;F304&amp;"'!$C$10"),INDIRECT("'"&amp;F304&amp;"'!$C$8")),"")</f>
        <v/>
      </c>
      <c r="K304" s="48">
        <f t="shared" si="15"/>
        <v>310</v>
      </c>
      <c r="L304" s="114" t="str" cm="1">
        <f t="array" aca="1" ref="L304" ca="1">IF(F304&lt;&gt;"",INDIRECT("'"&amp;F304&amp;"'!$F$17"),"")</f>
        <v/>
      </c>
      <c r="M304" s="116" t="str">
        <f t="shared" ca="1" si="13"/>
        <v/>
      </c>
      <c r="O304" s="49" t="str">
        <f t="shared" ca="1" si="14"/>
        <v/>
      </c>
      <c r="P304" s="38" t="str">
        <f>IF(E304&lt;&gt;"",RANK(E304,$E$3:$E$2298)+COUNTIF($E$3:E304,E304)-1,"")</f>
        <v/>
      </c>
      <c r="Q304" s="8"/>
      <c r="R304" s="64"/>
      <c r="Z304" s="8"/>
    </row>
    <row r="305" spans="4:26" x14ac:dyDescent="0.25">
      <c r="D305" s="36" t="str" cm="1">
        <f t="array" aca="1" ref="D305" ca="1">IFERROR(IF(INDIRECT("'"&amp;F305&amp;"'!$C$5")&gt;0,DATE(YEAR(Dashboard!$AL$2),Dashboard!$AU$4,INDIRECT("'"&amp;F305&amp;"'!$C$5")),""),"")</f>
        <v/>
      </c>
      <c r="G305" s="38" t="str" cm="1">
        <f t="array" aca="1" ref="G305" ca="1">IF(F305="",
    "",
    IFERROR(
        IF(INDIRECT("'"&amp;F305&amp;"'!$B$2")="Credit Limit",
            "Credit Accounts",
            IF(INDIRECT("'"&amp;F305&amp;"'!$E$2")="Location",
                "Cash Accounts",
                IF(INDIRECT("'"&amp;F305&amp;"'!$B$2")="Amount",
                    "Investments",
                    "Bill Accounts"
                )
            )
        ),
    "")
)</f>
        <v/>
      </c>
      <c r="I305" s="46" t="str" cm="1">
        <f t="array" aca="1" ref="I305" ca="1">IF(F305&lt;&gt;"",IF(OR(G305="Bill Accounts",G305="Investments", G305="Cash Accounts"),INDIRECT("'"&amp;F305&amp;"'!$C$10"),INDIRECT("'"&amp;F305&amp;"'!$C$8")),"")</f>
        <v/>
      </c>
      <c r="K305" s="48">
        <f t="shared" si="15"/>
        <v>311</v>
      </c>
      <c r="L305" s="114" t="str" cm="1">
        <f t="array" aca="1" ref="L305" ca="1">IF(F305&lt;&gt;"",INDIRECT("'"&amp;F305&amp;"'!$F$17"),"")</f>
        <v/>
      </c>
      <c r="M305" s="116" t="str">
        <f t="shared" ca="1" si="13"/>
        <v/>
      </c>
      <c r="O305" s="49" t="str">
        <f t="shared" ca="1" si="14"/>
        <v/>
      </c>
      <c r="P305" s="38" t="str">
        <f>IF(E305&lt;&gt;"",RANK(E305,$E$3:$E$2298)+COUNTIF($E$3:E305,E305)-1,"")</f>
        <v/>
      </c>
      <c r="Q305" s="8"/>
      <c r="R305" s="64"/>
      <c r="Z305" s="8"/>
    </row>
    <row r="306" spans="4:26" x14ac:dyDescent="0.25">
      <c r="D306" s="36" t="str" cm="1">
        <f t="array" aca="1" ref="D306" ca="1">IFERROR(IF(INDIRECT("'"&amp;F306&amp;"'!$C$5")&gt;0,DATE(YEAR(Dashboard!$AL$2),Dashboard!$AU$4,INDIRECT("'"&amp;F306&amp;"'!$C$5")),""),"")</f>
        <v/>
      </c>
      <c r="G306" s="38" t="str" cm="1">
        <f t="array" aca="1" ref="G306" ca="1">IF(F306="",
    "",
    IFERROR(
        IF(INDIRECT("'"&amp;F306&amp;"'!$B$2")="Credit Limit",
            "Credit Accounts",
            IF(INDIRECT("'"&amp;F306&amp;"'!$E$2")="Location",
                "Cash Accounts",
                IF(INDIRECT("'"&amp;F306&amp;"'!$B$2")="Amount",
                    "Investments",
                    "Bill Accounts"
                )
            )
        ),
    "")
)</f>
        <v/>
      </c>
      <c r="I306" s="46" t="str" cm="1">
        <f t="array" aca="1" ref="I306" ca="1">IF(F306&lt;&gt;"",IF(OR(G306="Bill Accounts",G306="Investments", G306="Cash Accounts"),INDIRECT("'"&amp;F306&amp;"'!$C$10"),INDIRECT("'"&amp;F306&amp;"'!$C$8")),"")</f>
        <v/>
      </c>
      <c r="K306" s="48">
        <f t="shared" si="15"/>
        <v>312</v>
      </c>
      <c r="L306" s="114" t="str" cm="1">
        <f t="array" aca="1" ref="L306" ca="1">IF(F306&lt;&gt;"",INDIRECT("'"&amp;F306&amp;"'!$F$17"),"")</f>
        <v/>
      </c>
      <c r="M306" s="116" t="str">
        <f t="shared" ca="1" si="13"/>
        <v/>
      </c>
      <c r="O306" s="49" t="str">
        <f t="shared" ca="1" si="14"/>
        <v/>
      </c>
      <c r="P306" s="38" t="str">
        <f>IF(E306&lt;&gt;"",RANK(E306,$E$3:$E$2298)+COUNTIF($E$3:E306,E306)-1,"")</f>
        <v/>
      </c>
      <c r="Q306" s="8"/>
      <c r="R306" s="64"/>
      <c r="Z306" s="8"/>
    </row>
    <row r="307" spans="4:26" x14ac:dyDescent="0.25">
      <c r="D307" s="36" t="str" cm="1">
        <f t="array" aca="1" ref="D307" ca="1">IFERROR(IF(INDIRECT("'"&amp;F307&amp;"'!$C$5")&gt;0,DATE(YEAR(Dashboard!$AL$2),Dashboard!$AU$4,INDIRECT("'"&amp;F307&amp;"'!$C$5")),""),"")</f>
        <v/>
      </c>
      <c r="G307" s="38" t="str" cm="1">
        <f t="array" aca="1" ref="G307" ca="1">IF(F307="",
    "",
    IFERROR(
        IF(INDIRECT("'"&amp;F307&amp;"'!$B$2")="Credit Limit",
            "Credit Accounts",
            IF(INDIRECT("'"&amp;F307&amp;"'!$E$2")="Location",
                "Cash Accounts",
                IF(INDIRECT("'"&amp;F307&amp;"'!$B$2")="Amount",
                    "Investments",
                    "Bill Accounts"
                )
            )
        ),
    "")
)</f>
        <v/>
      </c>
      <c r="I307" s="46" t="str" cm="1">
        <f t="array" aca="1" ref="I307" ca="1">IF(F307&lt;&gt;"",IF(OR(G307="Bill Accounts",G307="Investments", G307="Cash Accounts"),INDIRECT("'"&amp;F307&amp;"'!$C$10"),INDIRECT("'"&amp;F307&amp;"'!$C$8")),"")</f>
        <v/>
      </c>
      <c r="K307" s="48">
        <f t="shared" si="15"/>
        <v>313</v>
      </c>
      <c r="L307" s="114" t="str" cm="1">
        <f t="array" aca="1" ref="L307" ca="1">IF(F307&lt;&gt;"",INDIRECT("'"&amp;F307&amp;"'!$F$17"),"")</f>
        <v/>
      </c>
      <c r="M307" s="116" t="str">
        <f t="shared" ca="1" si="13"/>
        <v/>
      </c>
      <c r="O307" s="49" t="str">
        <f t="shared" ca="1" si="14"/>
        <v/>
      </c>
      <c r="P307" s="38" t="str">
        <f>IF(E307&lt;&gt;"",RANK(E307,$E$3:$E$2298)+COUNTIF($E$3:E307,E307)-1,"")</f>
        <v/>
      </c>
      <c r="Q307" s="8"/>
      <c r="R307" s="64"/>
      <c r="Z307" s="8"/>
    </row>
    <row r="308" spans="4:26" x14ac:dyDescent="0.25">
      <c r="D308" s="36" t="str" cm="1">
        <f t="array" aca="1" ref="D308" ca="1">IFERROR(IF(INDIRECT("'"&amp;F308&amp;"'!$C$5")&gt;0,DATE(YEAR(Dashboard!$AL$2),Dashboard!$AU$4,INDIRECT("'"&amp;F308&amp;"'!$C$5")),""),"")</f>
        <v/>
      </c>
      <c r="G308" s="38" t="str" cm="1">
        <f t="array" aca="1" ref="G308" ca="1">IF(F308="",
    "",
    IFERROR(
        IF(INDIRECT("'"&amp;F308&amp;"'!$B$2")="Credit Limit",
            "Credit Accounts",
            IF(INDIRECT("'"&amp;F308&amp;"'!$E$2")="Location",
                "Cash Accounts",
                IF(INDIRECT("'"&amp;F308&amp;"'!$B$2")="Amount",
                    "Investments",
                    "Bill Accounts"
                )
            )
        ),
    "")
)</f>
        <v/>
      </c>
      <c r="I308" s="46" t="str" cm="1">
        <f t="array" aca="1" ref="I308" ca="1">IF(F308&lt;&gt;"",IF(OR(G308="Bill Accounts",G308="Investments", G308="Cash Accounts"),INDIRECT("'"&amp;F308&amp;"'!$C$10"),INDIRECT("'"&amp;F308&amp;"'!$C$8")),"")</f>
        <v/>
      </c>
      <c r="K308" s="48">
        <f t="shared" si="15"/>
        <v>314</v>
      </c>
      <c r="L308" s="114" t="str" cm="1">
        <f t="array" aca="1" ref="L308" ca="1">IF(F308&lt;&gt;"",INDIRECT("'"&amp;F308&amp;"'!$F$17"),"")</f>
        <v/>
      </c>
      <c r="M308" s="116" t="str">
        <f t="shared" ca="1" si="13"/>
        <v/>
      </c>
      <c r="O308" s="49" t="str">
        <f t="shared" ca="1" si="14"/>
        <v/>
      </c>
      <c r="P308" s="38" t="str">
        <f>IF(E308&lt;&gt;"",RANK(E308,$E$3:$E$2298)+COUNTIF($E$3:E308,E308)-1,"")</f>
        <v/>
      </c>
      <c r="Q308" s="8"/>
      <c r="R308" s="64"/>
      <c r="Z308" s="8"/>
    </row>
    <row r="309" spans="4:26" x14ac:dyDescent="0.25">
      <c r="D309" s="36" t="str" cm="1">
        <f t="array" aca="1" ref="D309" ca="1">IFERROR(IF(INDIRECT("'"&amp;F309&amp;"'!$C$5")&gt;0,DATE(YEAR(Dashboard!$AL$2),Dashboard!$AU$4,INDIRECT("'"&amp;F309&amp;"'!$C$5")),""),"")</f>
        <v/>
      </c>
      <c r="G309" s="38" t="str" cm="1">
        <f t="array" aca="1" ref="G309" ca="1">IF(F309="",
    "",
    IFERROR(
        IF(INDIRECT("'"&amp;F309&amp;"'!$B$2")="Credit Limit",
            "Credit Accounts",
            IF(INDIRECT("'"&amp;F309&amp;"'!$E$2")="Location",
                "Cash Accounts",
                IF(INDIRECT("'"&amp;F309&amp;"'!$B$2")="Amount",
                    "Investments",
                    "Bill Accounts"
                )
            )
        ),
    "")
)</f>
        <v/>
      </c>
      <c r="I309" s="46" t="str" cm="1">
        <f t="array" aca="1" ref="I309" ca="1">IF(F309&lt;&gt;"",IF(OR(G309="Bill Accounts",G309="Investments", G309="Cash Accounts"),INDIRECT("'"&amp;F309&amp;"'!$C$10"),INDIRECT("'"&amp;F309&amp;"'!$C$8")),"")</f>
        <v/>
      </c>
      <c r="K309" s="48">
        <f t="shared" si="15"/>
        <v>315</v>
      </c>
      <c r="L309" s="114" t="str" cm="1">
        <f t="array" aca="1" ref="L309" ca="1">IF(F309&lt;&gt;"",INDIRECT("'"&amp;F309&amp;"'!$F$17"),"")</f>
        <v/>
      </c>
      <c r="M309" s="116" t="str">
        <f t="shared" ca="1" si="13"/>
        <v/>
      </c>
      <c r="O309" s="49" t="str">
        <f t="shared" ca="1" si="14"/>
        <v/>
      </c>
      <c r="P309" s="38" t="str">
        <f>IF(E309&lt;&gt;"",RANK(E309,$E$3:$E$2298)+COUNTIF($E$3:E309,E309)-1,"")</f>
        <v/>
      </c>
      <c r="Q309" s="8"/>
      <c r="R309" s="64"/>
      <c r="Z309" s="8"/>
    </row>
    <row r="310" spans="4:26" x14ac:dyDescent="0.25">
      <c r="D310" s="36" t="str" cm="1">
        <f t="array" aca="1" ref="D310" ca="1">IFERROR(IF(INDIRECT("'"&amp;F310&amp;"'!$C$5")&gt;0,DATE(YEAR(Dashboard!$AL$2),Dashboard!$AU$4,INDIRECT("'"&amp;F310&amp;"'!$C$5")),""),"")</f>
        <v/>
      </c>
      <c r="G310" s="38" t="str" cm="1">
        <f t="array" aca="1" ref="G310" ca="1">IF(F310="",
    "",
    IFERROR(
        IF(INDIRECT("'"&amp;F310&amp;"'!$B$2")="Credit Limit",
            "Credit Accounts",
            IF(INDIRECT("'"&amp;F310&amp;"'!$E$2")="Location",
                "Cash Accounts",
                IF(INDIRECT("'"&amp;F310&amp;"'!$B$2")="Amount",
                    "Investments",
                    "Bill Accounts"
                )
            )
        ),
    "")
)</f>
        <v/>
      </c>
      <c r="I310" s="46" t="str" cm="1">
        <f t="array" aca="1" ref="I310" ca="1">IF(F310&lt;&gt;"",IF(OR(G310="Bill Accounts",G310="Investments", G310="Cash Accounts"),INDIRECT("'"&amp;F310&amp;"'!$C$10"),INDIRECT("'"&amp;F310&amp;"'!$C$8")),"")</f>
        <v/>
      </c>
      <c r="K310" s="48">
        <f t="shared" si="15"/>
        <v>316</v>
      </c>
      <c r="L310" s="114" t="str" cm="1">
        <f t="array" aca="1" ref="L310" ca="1">IF(F310&lt;&gt;"",INDIRECT("'"&amp;F310&amp;"'!$F$17"),"")</f>
        <v/>
      </c>
      <c r="M310" s="116" t="str">
        <f t="shared" ca="1" si="13"/>
        <v/>
      </c>
      <c r="O310" s="49" t="str">
        <f t="shared" ca="1" si="14"/>
        <v/>
      </c>
      <c r="P310" s="38" t="str">
        <f>IF(E310&lt;&gt;"",RANK(E310,$E$3:$E$2298)+COUNTIF($E$3:E310,E310)-1,"")</f>
        <v/>
      </c>
      <c r="Q310" s="8"/>
      <c r="R310" s="64"/>
      <c r="Z310" s="8"/>
    </row>
    <row r="311" spans="4:26" x14ac:dyDescent="0.25">
      <c r="D311" s="36" t="str" cm="1">
        <f t="array" aca="1" ref="D311" ca="1">IFERROR(IF(INDIRECT("'"&amp;F311&amp;"'!$C$5")&gt;0,DATE(YEAR(Dashboard!$AL$2),Dashboard!$AU$4,INDIRECT("'"&amp;F311&amp;"'!$C$5")),""),"")</f>
        <v/>
      </c>
      <c r="G311" s="38" t="str" cm="1">
        <f t="array" aca="1" ref="G311" ca="1">IF(F311="",
    "",
    IFERROR(
        IF(INDIRECT("'"&amp;F311&amp;"'!$B$2")="Credit Limit",
            "Credit Accounts",
            IF(INDIRECT("'"&amp;F311&amp;"'!$E$2")="Location",
                "Cash Accounts",
                IF(INDIRECT("'"&amp;F311&amp;"'!$B$2")="Amount",
                    "Investments",
                    "Bill Accounts"
                )
            )
        ),
    "")
)</f>
        <v/>
      </c>
      <c r="I311" s="46" t="str" cm="1">
        <f t="array" aca="1" ref="I311" ca="1">IF(F311&lt;&gt;"",IF(OR(G311="Bill Accounts",G311="Investments", G311="Cash Accounts"),INDIRECT("'"&amp;F311&amp;"'!$C$10"),INDIRECT("'"&amp;F311&amp;"'!$C$8")),"")</f>
        <v/>
      </c>
      <c r="K311" s="48">
        <f t="shared" si="15"/>
        <v>317</v>
      </c>
      <c r="L311" s="114" t="str" cm="1">
        <f t="array" aca="1" ref="L311" ca="1">IF(F311&lt;&gt;"",INDIRECT("'"&amp;F311&amp;"'!$F$17"),"")</f>
        <v/>
      </c>
      <c r="M311" s="116" t="str">
        <f t="shared" ca="1" si="13"/>
        <v/>
      </c>
      <c r="O311" s="49" t="str">
        <f t="shared" ca="1" si="14"/>
        <v/>
      </c>
      <c r="P311" s="38" t="str">
        <f>IF(E311&lt;&gt;"",RANK(E311,$E$3:$E$2298)+COUNTIF($E$3:E311,E311)-1,"")</f>
        <v/>
      </c>
      <c r="Q311" s="8"/>
      <c r="R311" s="64"/>
      <c r="Z311" s="8"/>
    </row>
    <row r="312" spans="4:26" x14ac:dyDescent="0.25">
      <c r="D312" s="36" t="str" cm="1">
        <f t="array" aca="1" ref="D312" ca="1">IFERROR(IF(INDIRECT("'"&amp;F312&amp;"'!$C$5")&gt;0,DATE(YEAR(Dashboard!$AL$2),Dashboard!$AU$4,INDIRECT("'"&amp;F312&amp;"'!$C$5")),""),"")</f>
        <v/>
      </c>
      <c r="G312" s="38" t="str" cm="1">
        <f t="array" aca="1" ref="G312" ca="1">IF(F312="",
    "",
    IFERROR(
        IF(INDIRECT("'"&amp;F312&amp;"'!$B$2")="Credit Limit",
            "Credit Accounts",
            IF(INDIRECT("'"&amp;F312&amp;"'!$E$2")="Location",
                "Cash Accounts",
                IF(INDIRECT("'"&amp;F312&amp;"'!$B$2")="Amount",
                    "Investments",
                    "Bill Accounts"
                )
            )
        ),
    "")
)</f>
        <v/>
      </c>
      <c r="I312" s="46" t="str" cm="1">
        <f t="array" aca="1" ref="I312" ca="1">IF(F312&lt;&gt;"",IF(OR(G312="Bill Accounts",G312="Investments", G312="Cash Accounts"),INDIRECT("'"&amp;F312&amp;"'!$C$10"),INDIRECT("'"&amp;F312&amp;"'!$C$8")),"")</f>
        <v/>
      </c>
      <c r="K312" s="48">
        <f t="shared" si="15"/>
        <v>318</v>
      </c>
      <c r="L312" s="114" t="str" cm="1">
        <f t="array" aca="1" ref="L312" ca="1">IF(F312&lt;&gt;"",INDIRECT("'"&amp;F312&amp;"'!$F$17"),"")</f>
        <v/>
      </c>
      <c r="M312" s="116" t="str">
        <f t="shared" ca="1" si="13"/>
        <v/>
      </c>
      <c r="O312" s="49" t="str">
        <f t="shared" ca="1" si="14"/>
        <v/>
      </c>
      <c r="P312" s="38" t="str">
        <f>IF(E312&lt;&gt;"",RANK(E312,$E$3:$E$2298)+COUNTIF($E$3:E312,E312)-1,"")</f>
        <v/>
      </c>
      <c r="Q312" s="8"/>
      <c r="R312" s="64"/>
      <c r="Z312" s="8"/>
    </row>
    <row r="313" spans="4:26" x14ac:dyDescent="0.25">
      <c r="D313" s="36" t="str" cm="1">
        <f t="array" aca="1" ref="D313" ca="1">IFERROR(IF(INDIRECT("'"&amp;F313&amp;"'!$C$5")&gt;0,DATE(YEAR(Dashboard!$AL$2),Dashboard!$AU$4,INDIRECT("'"&amp;F313&amp;"'!$C$5")),""),"")</f>
        <v/>
      </c>
      <c r="G313" s="38" t="str" cm="1">
        <f t="array" aca="1" ref="G313" ca="1">IF(F313="",
    "",
    IFERROR(
        IF(INDIRECT("'"&amp;F313&amp;"'!$B$2")="Credit Limit",
            "Credit Accounts",
            IF(INDIRECT("'"&amp;F313&amp;"'!$E$2")="Location",
                "Cash Accounts",
                IF(INDIRECT("'"&amp;F313&amp;"'!$B$2")="Amount",
                    "Investments",
                    "Bill Accounts"
                )
            )
        ),
    "")
)</f>
        <v/>
      </c>
      <c r="I313" s="46" t="str" cm="1">
        <f t="array" aca="1" ref="I313" ca="1">IF(F313&lt;&gt;"",IF(OR(G313="Bill Accounts",G313="Investments", G313="Cash Accounts"),INDIRECT("'"&amp;F313&amp;"'!$C$10"),INDIRECT("'"&amp;F313&amp;"'!$C$8")),"")</f>
        <v/>
      </c>
      <c r="K313" s="48">
        <f t="shared" si="15"/>
        <v>319</v>
      </c>
      <c r="L313" s="114" t="str" cm="1">
        <f t="array" aca="1" ref="L313" ca="1">IF(F313&lt;&gt;"",INDIRECT("'"&amp;F313&amp;"'!$F$17"),"")</f>
        <v/>
      </c>
      <c r="M313" s="116" t="str">
        <f t="shared" ca="1" si="13"/>
        <v/>
      </c>
      <c r="O313" s="49" t="str">
        <f t="shared" ca="1" si="14"/>
        <v/>
      </c>
      <c r="P313" s="38" t="str">
        <f>IF(E313&lt;&gt;"",RANK(E313,$E$3:$E$2298)+COUNTIF($E$3:E313,E313)-1,"")</f>
        <v/>
      </c>
      <c r="Q313" s="8"/>
      <c r="R313" s="64"/>
      <c r="Z313" s="8"/>
    </row>
    <row r="314" spans="4:26" x14ac:dyDescent="0.25">
      <c r="D314" s="36" t="str" cm="1">
        <f t="array" aca="1" ref="D314" ca="1">IFERROR(IF(INDIRECT("'"&amp;F314&amp;"'!$C$5")&gt;0,DATE(YEAR(Dashboard!$AL$2),Dashboard!$AU$4,INDIRECT("'"&amp;F314&amp;"'!$C$5")),""),"")</f>
        <v/>
      </c>
      <c r="G314" s="38" t="str" cm="1">
        <f t="array" aca="1" ref="G314" ca="1">IF(F314="",
    "",
    IFERROR(
        IF(INDIRECT("'"&amp;F314&amp;"'!$B$2")="Credit Limit",
            "Credit Accounts",
            IF(INDIRECT("'"&amp;F314&amp;"'!$E$2")="Location",
                "Cash Accounts",
                IF(INDIRECT("'"&amp;F314&amp;"'!$B$2")="Amount",
                    "Investments",
                    "Bill Accounts"
                )
            )
        ),
    "")
)</f>
        <v/>
      </c>
      <c r="I314" s="46" t="str" cm="1">
        <f t="array" aca="1" ref="I314" ca="1">IF(F314&lt;&gt;"",IF(OR(G314="Bill Accounts",G314="Investments", G314="Cash Accounts"),INDIRECT("'"&amp;F314&amp;"'!$C$10"),INDIRECT("'"&amp;F314&amp;"'!$C$8")),"")</f>
        <v/>
      </c>
      <c r="K314" s="48">
        <f t="shared" si="15"/>
        <v>320</v>
      </c>
      <c r="L314" s="114" t="str" cm="1">
        <f t="array" aca="1" ref="L314" ca="1">IF(F314&lt;&gt;"",INDIRECT("'"&amp;F314&amp;"'!$F$17"),"")</f>
        <v/>
      </c>
      <c r="M314" s="116" t="str">
        <f t="shared" ca="1" si="13"/>
        <v/>
      </c>
      <c r="O314" s="49" t="str">
        <f t="shared" ca="1" si="14"/>
        <v/>
      </c>
      <c r="P314" s="38" t="str">
        <f>IF(E314&lt;&gt;"",RANK(E314,$E$3:$E$2298)+COUNTIF($E$3:E314,E314)-1,"")</f>
        <v/>
      </c>
      <c r="Q314" s="8"/>
      <c r="R314" s="64"/>
      <c r="Z314" s="8"/>
    </row>
    <row r="315" spans="4:26" x14ac:dyDescent="0.25">
      <c r="D315" s="36" t="str" cm="1">
        <f t="array" aca="1" ref="D315" ca="1">IFERROR(IF(INDIRECT("'"&amp;F315&amp;"'!$C$5")&gt;0,DATE(YEAR(Dashboard!$AL$2),Dashboard!$AU$4,INDIRECT("'"&amp;F315&amp;"'!$C$5")),""),"")</f>
        <v/>
      </c>
      <c r="G315" s="38" t="str" cm="1">
        <f t="array" aca="1" ref="G315" ca="1">IF(F315="",
    "",
    IFERROR(
        IF(INDIRECT("'"&amp;F315&amp;"'!$B$2")="Credit Limit",
            "Credit Accounts",
            IF(INDIRECT("'"&amp;F315&amp;"'!$E$2")="Location",
                "Cash Accounts",
                IF(INDIRECT("'"&amp;F315&amp;"'!$B$2")="Amount",
                    "Investments",
                    "Bill Accounts"
                )
            )
        ),
    "")
)</f>
        <v/>
      </c>
      <c r="I315" s="46" t="str" cm="1">
        <f t="array" aca="1" ref="I315" ca="1">IF(F315&lt;&gt;"",IF(OR(G315="Bill Accounts",G315="Investments", G315="Cash Accounts"),INDIRECT("'"&amp;F315&amp;"'!$C$10"),INDIRECT("'"&amp;F315&amp;"'!$C$8")),"")</f>
        <v/>
      </c>
      <c r="K315" s="48">
        <f t="shared" si="15"/>
        <v>321</v>
      </c>
      <c r="L315" s="114" t="str" cm="1">
        <f t="array" aca="1" ref="L315" ca="1">IF(F315&lt;&gt;"",INDIRECT("'"&amp;F315&amp;"'!$F$17"),"")</f>
        <v/>
      </c>
      <c r="M315" s="116" t="str">
        <f t="shared" ca="1" si="13"/>
        <v/>
      </c>
      <c r="O315" s="49" t="str">
        <f t="shared" ca="1" si="14"/>
        <v/>
      </c>
      <c r="P315" s="38" t="str">
        <f>IF(E315&lt;&gt;"",RANK(E315,$E$3:$E$2298)+COUNTIF($E$3:E315,E315)-1,"")</f>
        <v/>
      </c>
      <c r="Q315" s="8"/>
      <c r="R315" s="64"/>
      <c r="Z315" s="8"/>
    </row>
    <row r="316" spans="4:26" x14ac:dyDescent="0.25">
      <c r="D316" s="36" t="str" cm="1">
        <f t="array" aca="1" ref="D316" ca="1">IFERROR(IF(INDIRECT("'"&amp;F316&amp;"'!$C$5")&gt;0,DATE(YEAR(Dashboard!$AL$2),Dashboard!$AU$4,INDIRECT("'"&amp;F316&amp;"'!$C$5")),""),"")</f>
        <v/>
      </c>
      <c r="G316" s="38" t="str" cm="1">
        <f t="array" aca="1" ref="G316" ca="1">IF(F316="",
    "",
    IFERROR(
        IF(INDIRECT("'"&amp;F316&amp;"'!$B$2")="Credit Limit",
            "Credit Accounts",
            IF(INDIRECT("'"&amp;F316&amp;"'!$E$2")="Location",
                "Cash Accounts",
                IF(INDIRECT("'"&amp;F316&amp;"'!$B$2")="Amount",
                    "Investments",
                    "Bill Accounts"
                )
            )
        ),
    "")
)</f>
        <v/>
      </c>
      <c r="I316" s="46" t="str" cm="1">
        <f t="array" aca="1" ref="I316" ca="1">IF(F316&lt;&gt;"",IF(OR(G316="Bill Accounts",G316="Investments", G316="Cash Accounts"),INDIRECT("'"&amp;F316&amp;"'!$C$10"),INDIRECT("'"&amp;F316&amp;"'!$C$8")),"")</f>
        <v/>
      </c>
      <c r="K316" s="48">
        <f t="shared" si="15"/>
        <v>322</v>
      </c>
      <c r="L316" s="114" t="str" cm="1">
        <f t="array" aca="1" ref="L316" ca="1">IF(F316&lt;&gt;"",INDIRECT("'"&amp;F316&amp;"'!$F$17"),"")</f>
        <v/>
      </c>
      <c r="M316" s="116" t="str">
        <f t="shared" ca="1" si="13"/>
        <v/>
      </c>
      <c r="O316" s="49" t="str">
        <f t="shared" ca="1" si="14"/>
        <v/>
      </c>
      <c r="P316" s="38" t="str">
        <f>IF(E316&lt;&gt;"",RANK(E316,$E$3:$E$2298)+COUNTIF($E$3:E316,E316)-1,"")</f>
        <v/>
      </c>
      <c r="Q316" s="8"/>
      <c r="R316" s="64"/>
      <c r="Z316" s="8"/>
    </row>
    <row r="317" spans="4:26" x14ac:dyDescent="0.25">
      <c r="D317" s="36" t="str" cm="1">
        <f t="array" aca="1" ref="D317" ca="1">IFERROR(IF(INDIRECT("'"&amp;F317&amp;"'!$C$5")&gt;0,DATE(YEAR(Dashboard!$AL$2),Dashboard!$AU$4,INDIRECT("'"&amp;F317&amp;"'!$C$5")),""),"")</f>
        <v/>
      </c>
      <c r="G317" s="38" t="str" cm="1">
        <f t="array" aca="1" ref="G317" ca="1">IF(F317="",
    "",
    IFERROR(
        IF(INDIRECT("'"&amp;F317&amp;"'!$B$2")="Credit Limit",
            "Credit Accounts",
            IF(INDIRECT("'"&amp;F317&amp;"'!$E$2")="Location",
                "Cash Accounts",
                IF(INDIRECT("'"&amp;F317&amp;"'!$B$2")="Amount",
                    "Investments",
                    "Bill Accounts"
                )
            )
        ),
    "")
)</f>
        <v/>
      </c>
      <c r="I317" s="46" t="str" cm="1">
        <f t="array" aca="1" ref="I317" ca="1">IF(F317&lt;&gt;"",IF(OR(G317="Bill Accounts",G317="Investments", G317="Cash Accounts"),INDIRECT("'"&amp;F317&amp;"'!$C$10"),INDIRECT("'"&amp;F317&amp;"'!$C$8")),"")</f>
        <v/>
      </c>
      <c r="K317" s="48">
        <f t="shared" si="15"/>
        <v>323</v>
      </c>
      <c r="L317" s="114" t="str" cm="1">
        <f t="array" aca="1" ref="L317" ca="1">IF(F317&lt;&gt;"",INDIRECT("'"&amp;F317&amp;"'!$F$17"),"")</f>
        <v/>
      </c>
      <c r="M317" s="116" t="str">
        <f t="shared" ca="1" si="13"/>
        <v/>
      </c>
      <c r="O317" s="49" t="str">
        <f t="shared" ca="1" si="14"/>
        <v/>
      </c>
      <c r="P317" s="38" t="str">
        <f>IF(E317&lt;&gt;"",RANK(E317,$E$3:$E$2298)+COUNTIF($E$3:E317,E317)-1,"")</f>
        <v/>
      </c>
      <c r="Q317" s="8"/>
      <c r="R317" s="64"/>
    </row>
    <row r="318" spans="4:26" x14ac:dyDescent="0.25">
      <c r="D318" s="36" t="str" cm="1">
        <f t="array" aca="1" ref="D318" ca="1">IFERROR(IF(INDIRECT("'"&amp;F318&amp;"'!$C$5")&gt;0,DATE(YEAR(Dashboard!$AL$2),Dashboard!$AU$4,INDIRECT("'"&amp;F318&amp;"'!$C$5")),""),"")</f>
        <v/>
      </c>
      <c r="G318" s="38" t="str" cm="1">
        <f t="array" aca="1" ref="G318" ca="1">IF(F318="",
    "",
    IFERROR(
        IF(INDIRECT("'"&amp;F318&amp;"'!$B$2")="Credit Limit",
            "Credit Accounts",
            IF(INDIRECT("'"&amp;F318&amp;"'!$E$2")="Location",
                "Cash Accounts",
                IF(INDIRECT("'"&amp;F318&amp;"'!$B$2")="Amount",
                    "Investments",
                    "Bill Accounts"
                )
            )
        ),
    "")
)</f>
        <v/>
      </c>
      <c r="I318" s="46" t="str" cm="1">
        <f t="array" aca="1" ref="I318" ca="1">IF(F318&lt;&gt;"",IF(OR(G318="Bill Accounts",G318="Investments", G318="Cash Accounts"),INDIRECT("'"&amp;F318&amp;"'!$C$10"),INDIRECT("'"&amp;F318&amp;"'!$C$8")),"")</f>
        <v/>
      </c>
      <c r="K318" s="48">
        <f t="shared" si="15"/>
        <v>324</v>
      </c>
      <c r="L318" s="114" t="str" cm="1">
        <f t="array" aca="1" ref="L318" ca="1">IF(F318&lt;&gt;"",INDIRECT("'"&amp;F318&amp;"'!$F$17"),"")</f>
        <v/>
      </c>
      <c r="M318" s="116" t="str">
        <f t="shared" ca="1" si="13"/>
        <v/>
      </c>
      <c r="O318" s="49" t="str">
        <f t="shared" ca="1" si="14"/>
        <v/>
      </c>
      <c r="P318" s="38" t="str">
        <f>IF(E318&lt;&gt;"",RANK(E318,$E$3:$E$2298)+COUNTIF($E$3:E318,E318)-1,"")</f>
        <v/>
      </c>
      <c r="Q318" s="8"/>
      <c r="R318" s="64"/>
    </row>
    <row r="319" spans="4:26" x14ac:dyDescent="0.25">
      <c r="D319" s="36" t="str" cm="1">
        <f t="array" aca="1" ref="D319" ca="1">IFERROR(IF(INDIRECT("'"&amp;F319&amp;"'!$C$5")&gt;0,DATE(YEAR(Dashboard!$AL$2),Dashboard!$AU$4,INDIRECT("'"&amp;F319&amp;"'!$C$5")),""),"")</f>
        <v/>
      </c>
      <c r="G319" s="38" t="str" cm="1">
        <f t="array" aca="1" ref="G319" ca="1">IF(F319="",
    "",
    IFERROR(
        IF(INDIRECT("'"&amp;F319&amp;"'!$B$2")="Credit Limit",
            "Credit Accounts",
            IF(INDIRECT("'"&amp;F319&amp;"'!$E$2")="Location",
                "Cash Accounts",
                IF(INDIRECT("'"&amp;F319&amp;"'!$B$2")="Amount",
                    "Investments",
                    "Bill Accounts"
                )
            )
        ),
    "")
)</f>
        <v/>
      </c>
      <c r="I319" s="46" t="str" cm="1">
        <f t="array" aca="1" ref="I319" ca="1">IF(F319&lt;&gt;"",IF(OR(G319="Bill Accounts",G319="Investments", G319="Cash Accounts"),INDIRECT("'"&amp;F319&amp;"'!$C$10"),INDIRECT("'"&amp;F319&amp;"'!$C$8")),"")</f>
        <v/>
      </c>
      <c r="K319" s="48">
        <f t="shared" si="15"/>
        <v>325</v>
      </c>
      <c r="L319" s="114" t="str" cm="1">
        <f t="array" aca="1" ref="L319" ca="1">IF(F319&lt;&gt;"",INDIRECT("'"&amp;F319&amp;"'!$F$17"),"")</f>
        <v/>
      </c>
      <c r="M319" s="116" t="str">
        <f t="shared" ca="1" si="13"/>
        <v/>
      </c>
      <c r="O319" s="49" t="str">
        <f t="shared" ca="1" si="14"/>
        <v/>
      </c>
      <c r="P319" s="38" t="str">
        <f>IF(E319&lt;&gt;"",RANK(E319,$E$3:$E$2298)+COUNTIF($E$3:E319,E319)-1,"")</f>
        <v/>
      </c>
      <c r="Q319" s="8"/>
      <c r="R319" s="64"/>
    </row>
    <row r="320" spans="4:26" x14ac:dyDescent="0.25">
      <c r="D320" s="36" t="str" cm="1">
        <f t="array" aca="1" ref="D320" ca="1">IFERROR(IF(INDIRECT("'"&amp;F320&amp;"'!$C$5")&gt;0,DATE(YEAR(Dashboard!$AL$2),Dashboard!$AU$4,INDIRECT("'"&amp;F320&amp;"'!$C$5")),""),"")</f>
        <v/>
      </c>
      <c r="G320" s="38" t="str" cm="1">
        <f t="array" aca="1" ref="G320" ca="1">IF(F320="",
    "",
    IFERROR(
        IF(INDIRECT("'"&amp;F320&amp;"'!$B$2")="Credit Limit",
            "Credit Accounts",
            IF(INDIRECT("'"&amp;F320&amp;"'!$E$2")="Location",
                "Cash Accounts",
                IF(INDIRECT("'"&amp;F320&amp;"'!$B$2")="Amount",
                    "Investments",
                    "Bill Accounts"
                )
            )
        ),
    "")
)</f>
        <v/>
      </c>
      <c r="I320" s="46" t="str" cm="1">
        <f t="array" aca="1" ref="I320" ca="1">IF(F320&lt;&gt;"",IF(OR(G320="Bill Accounts",G320="Investments", G320="Cash Accounts"),INDIRECT("'"&amp;F320&amp;"'!$C$10"),INDIRECT("'"&amp;F320&amp;"'!$C$8")),"")</f>
        <v/>
      </c>
      <c r="K320" s="48">
        <f t="shared" si="15"/>
        <v>326</v>
      </c>
      <c r="L320" s="114" t="str" cm="1">
        <f t="array" aca="1" ref="L320" ca="1">IF(F320&lt;&gt;"",INDIRECT("'"&amp;F320&amp;"'!$F$17"),"")</f>
        <v/>
      </c>
      <c r="M320" s="116" t="str">
        <f t="shared" ca="1" si="13"/>
        <v/>
      </c>
      <c r="O320" s="49" t="str">
        <f t="shared" ca="1" si="14"/>
        <v/>
      </c>
      <c r="P320" s="38" t="str">
        <f>IF(E320&lt;&gt;"",RANK(E320,$E$3:$E$2298)+COUNTIF($E$3:E320,E320)-1,"")</f>
        <v/>
      </c>
      <c r="Q320" s="8"/>
      <c r="R320" s="64"/>
    </row>
    <row r="321" spans="4:18" x14ac:dyDescent="0.25">
      <c r="D321" s="36" t="str" cm="1">
        <f t="array" aca="1" ref="D321" ca="1">IFERROR(IF(INDIRECT("'"&amp;F321&amp;"'!$C$5")&gt;0,DATE(YEAR(Dashboard!$AL$2),Dashboard!$AU$4,INDIRECT("'"&amp;F321&amp;"'!$C$5")),""),"")</f>
        <v/>
      </c>
      <c r="G321" s="38" t="str" cm="1">
        <f t="array" aca="1" ref="G321" ca="1">IF(F321="",
    "",
    IFERROR(
        IF(INDIRECT("'"&amp;F321&amp;"'!$B$2")="Credit Limit",
            "Credit Accounts",
            IF(INDIRECT("'"&amp;F321&amp;"'!$E$2")="Location",
                "Cash Accounts",
                IF(INDIRECT("'"&amp;F321&amp;"'!$B$2")="Amount",
                    "Investments",
                    "Bill Accounts"
                )
            )
        ),
    "")
)</f>
        <v/>
      </c>
      <c r="I321" s="46" t="str" cm="1">
        <f t="array" aca="1" ref="I321" ca="1">IF(F321&lt;&gt;"",IF(OR(G321="Bill Accounts",G321="Investments", G321="Cash Accounts"),INDIRECT("'"&amp;F321&amp;"'!$C$10"),INDIRECT("'"&amp;F321&amp;"'!$C$8")),"")</f>
        <v/>
      </c>
      <c r="K321" s="48">
        <f t="shared" si="15"/>
        <v>327</v>
      </c>
      <c r="L321" s="114" t="str" cm="1">
        <f t="array" aca="1" ref="L321" ca="1">IF(F321&lt;&gt;"",INDIRECT("'"&amp;F321&amp;"'!$F$17"),"")</f>
        <v/>
      </c>
      <c r="M321" s="116" t="str">
        <f t="shared" ca="1" si="13"/>
        <v/>
      </c>
      <c r="O321" s="49" t="str">
        <f t="shared" ca="1" si="14"/>
        <v/>
      </c>
      <c r="P321" s="38" t="str">
        <f>IF(E321&lt;&gt;"",RANK(E321,$E$3:$E$2298)+COUNTIF($E$3:E321,E321)-1,"")</f>
        <v/>
      </c>
      <c r="Q321" s="8"/>
      <c r="R321" s="64"/>
    </row>
    <row r="322" spans="4:18" x14ac:dyDescent="0.25">
      <c r="D322" s="36" t="str" cm="1">
        <f t="array" aca="1" ref="D322" ca="1">IFERROR(IF(INDIRECT("'"&amp;F322&amp;"'!$C$5")&gt;0,DATE(YEAR(Dashboard!$AL$2),Dashboard!$AU$4,INDIRECT("'"&amp;F322&amp;"'!$C$5")),""),"")</f>
        <v/>
      </c>
      <c r="G322" s="38" t="str" cm="1">
        <f t="array" aca="1" ref="G322" ca="1">IF(F322="",
    "",
    IFERROR(
        IF(INDIRECT("'"&amp;F322&amp;"'!$B$2")="Credit Limit",
            "Credit Accounts",
            IF(INDIRECT("'"&amp;F322&amp;"'!$E$2")="Location",
                "Cash Accounts",
                IF(INDIRECT("'"&amp;F322&amp;"'!$B$2")="Amount",
                    "Investments",
                    "Bill Accounts"
                )
            )
        ),
    "")
)</f>
        <v/>
      </c>
      <c r="I322" s="46" t="str" cm="1">
        <f t="array" aca="1" ref="I322" ca="1">IF(F322&lt;&gt;"",IF(OR(G322="Bill Accounts",G322="Investments", G322="Cash Accounts"),INDIRECT("'"&amp;F322&amp;"'!$C$10"),INDIRECT("'"&amp;F322&amp;"'!$C$8")),"")</f>
        <v/>
      </c>
      <c r="K322" s="48">
        <f t="shared" si="15"/>
        <v>328</v>
      </c>
      <c r="L322" s="114" t="str" cm="1">
        <f t="array" aca="1" ref="L322" ca="1">IF(F322&lt;&gt;"",INDIRECT("'"&amp;F322&amp;"'!$F$17"),"")</f>
        <v/>
      </c>
      <c r="M322" s="116" t="str">
        <f t="shared" ca="1" si="13"/>
        <v/>
      </c>
      <c r="O322" s="49" t="str">
        <f t="shared" ca="1" si="14"/>
        <v/>
      </c>
      <c r="P322" s="38" t="str">
        <f>IF(E322&lt;&gt;"",RANK(E322,$E$3:$E$2298)+COUNTIF($E$3:E322,E322)-1,"")</f>
        <v/>
      </c>
      <c r="Q322" s="8"/>
      <c r="R322" s="64"/>
    </row>
    <row r="323" spans="4:18" x14ac:dyDescent="0.25">
      <c r="D323" s="36" t="str" cm="1">
        <f t="array" aca="1" ref="D323" ca="1">IFERROR(IF(INDIRECT("'"&amp;F323&amp;"'!$C$5")&gt;0,DATE(YEAR(Dashboard!$AL$2),Dashboard!$AU$4,INDIRECT("'"&amp;F323&amp;"'!$C$5")),""),"")</f>
        <v/>
      </c>
      <c r="G323" s="38" t="str" cm="1">
        <f t="array" aca="1" ref="G323" ca="1">IF(F323="",
    "",
    IFERROR(
        IF(INDIRECT("'"&amp;F323&amp;"'!$B$2")="Credit Limit",
            "Credit Accounts",
            IF(INDIRECT("'"&amp;F323&amp;"'!$E$2")="Location",
                "Cash Accounts",
                IF(INDIRECT("'"&amp;F323&amp;"'!$B$2")="Amount",
                    "Investments",
                    "Bill Accounts"
                )
            )
        ),
    "")
)</f>
        <v/>
      </c>
      <c r="I323" s="46" t="str" cm="1">
        <f t="array" aca="1" ref="I323" ca="1">IF(F323&lt;&gt;"",IF(OR(G323="Bill Accounts",G323="Investments", G323="Cash Accounts"),INDIRECT("'"&amp;F323&amp;"'!$C$10"),INDIRECT("'"&amp;F323&amp;"'!$C$8")),"")</f>
        <v/>
      </c>
      <c r="K323" s="48">
        <f t="shared" si="15"/>
        <v>329</v>
      </c>
      <c r="L323" s="114" t="str" cm="1">
        <f t="array" aca="1" ref="L323" ca="1">IF(F323&lt;&gt;"",INDIRECT("'"&amp;F323&amp;"'!$F$17"),"")</f>
        <v/>
      </c>
      <c r="M323" s="116" t="str">
        <f t="shared" ca="1" si="13"/>
        <v/>
      </c>
      <c r="O323" s="49" t="str">
        <f t="shared" ca="1" si="14"/>
        <v/>
      </c>
      <c r="P323" s="38" t="str">
        <f>IF(E323&lt;&gt;"",RANK(E323,$E$3:$E$2298)+COUNTIF($E$3:E323,E323)-1,"")</f>
        <v/>
      </c>
      <c r="Q323" s="8"/>
      <c r="R323" s="64"/>
    </row>
    <row r="324" spans="4:18" x14ac:dyDescent="0.25">
      <c r="D324" s="36" t="str" cm="1">
        <f t="array" aca="1" ref="D324" ca="1">IFERROR(IF(INDIRECT("'"&amp;F324&amp;"'!$C$5")&gt;0,DATE(YEAR(Dashboard!$AL$2),Dashboard!$AU$4,INDIRECT("'"&amp;F324&amp;"'!$C$5")),""),"")</f>
        <v/>
      </c>
      <c r="G324" s="38" t="str" cm="1">
        <f t="array" aca="1" ref="G324" ca="1">IF(F324="",
    "",
    IFERROR(
        IF(INDIRECT("'"&amp;F324&amp;"'!$B$2")="Credit Limit",
            "Credit Accounts",
            IF(INDIRECT("'"&amp;F324&amp;"'!$E$2")="Location",
                "Cash Accounts",
                IF(INDIRECT("'"&amp;F324&amp;"'!$B$2")="Amount",
                    "Investments",
                    "Bill Accounts"
                )
            )
        ),
    "")
)</f>
        <v/>
      </c>
      <c r="I324" s="46" t="str" cm="1">
        <f t="array" aca="1" ref="I324" ca="1">IF(F324&lt;&gt;"",IF(OR(G324="Bill Accounts",G324="Investments", G324="Cash Accounts"),INDIRECT("'"&amp;F324&amp;"'!$C$10"),INDIRECT("'"&amp;F324&amp;"'!$C$8")),"")</f>
        <v/>
      </c>
      <c r="K324" s="48">
        <f t="shared" si="15"/>
        <v>330</v>
      </c>
      <c r="L324" s="114" t="str" cm="1">
        <f t="array" aca="1" ref="L324" ca="1">IF(F324&lt;&gt;"",INDIRECT("'"&amp;F324&amp;"'!$F$17"),"")</f>
        <v/>
      </c>
      <c r="M324" s="116" t="str">
        <f t="shared" ref="M324:M387" ca="1" si="16">IF(G324="Credit Accounts",EDATE(TODAY(),INDIRECT("'"&amp;F324&amp;"'!$C$14")),"")</f>
        <v/>
      </c>
      <c r="O324" s="49" t="str">
        <f t="shared" ref="O324:O387" ca="1" si="17">IF(D324&lt;&gt;"",DAY(D324),"")</f>
        <v/>
      </c>
      <c r="P324" s="38" t="str">
        <f>IF(E324&lt;&gt;"",RANK(E324,$E$3:$E$2298)+COUNTIF($E$3:E324,E324)-1,"")</f>
        <v/>
      </c>
      <c r="Q324" s="8"/>
      <c r="R324" s="64"/>
    </row>
    <row r="325" spans="4:18" x14ac:dyDescent="0.25">
      <c r="D325" s="36" t="str" cm="1">
        <f t="array" aca="1" ref="D325" ca="1">IFERROR(IF(INDIRECT("'"&amp;F325&amp;"'!$C$5")&gt;0,DATE(YEAR(Dashboard!$AL$2),Dashboard!$AU$4,INDIRECT("'"&amp;F325&amp;"'!$C$5")),""),"")</f>
        <v/>
      </c>
      <c r="G325" s="38" t="str" cm="1">
        <f t="array" aca="1" ref="G325" ca="1">IF(F325="",
    "",
    IFERROR(
        IF(INDIRECT("'"&amp;F325&amp;"'!$B$2")="Credit Limit",
            "Credit Accounts",
            IF(INDIRECT("'"&amp;F325&amp;"'!$E$2")="Location",
                "Cash Accounts",
                IF(INDIRECT("'"&amp;F325&amp;"'!$B$2")="Amount",
                    "Investments",
                    "Bill Accounts"
                )
            )
        ),
    "")
)</f>
        <v/>
      </c>
      <c r="I325" s="46" t="str" cm="1">
        <f t="array" aca="1" ref="I325" ca="1">IF(F325&lt;&gt;"",IF(OR(G325="Bill Accounts",G325="Investments", G325="Cash Accounts"),INDIRECT("'"&amp;F325&amp;"'!$C$10"),INDIRECT("'"&amp;F325&amp;"'!$C$8")),"")</f>
        <v/>
      </c>
      <c r="K325" s="48">
        <f t="shared" si="15"/>
        <v>331</v>
      </c>
      <c r="L325" s="114" t="str" cm="1">
        <f t="array" aca="1" ref="L325" ca="1">IF(F325&lt;&gt;"",INDIRECT("'"&amp;F325&amp;"'!$F$17"),"")</f>
        <v/>
      </c>
      <c r="M325" s="116" t="str">
        <f t="shared" ca="1" si="16"/>
        <v/>
      </c>
      <c r="O325" s="49" t="str">
        <f t="shared" ca="1" si="17"/>
        <v/>
      </c>
      <c r="P325" s="38" t="str">
        <f>IF(E325&lt;&gt;"",RANK(E325,$E$3:$E$2298)+COUNTIF($E$3:E325,E325)-1,"")</f>
        <v/>
      </c>
      <c r="Q325" s="8"/>
      <c r="R325" s="64"/>
    </row>
    <row r="326" spans="4:18" x14ac:dyDescent="0.25">
      <c r="D326" s="36" t="str" cm="1">
        <f t="array" aca="1" ref="D326" ca="1">IFERROR(IF(INDIRECT("'"&amp;F326&amp;"'!$C$5")&gt;0,DATE(YEAR(Dashboard!$AL$2),Dashboard!$AU$4,INDIRECT("'"&amp;F326&amp;"'!$C$5")),""),"")</f>
        <v/>
      </c>
      <c r="G326" s="38" t="str" cm="1">
        <f t="array" aca="1" ref="G326" ca="1">IF(F326="",
    "",
    IFERROR(
        IF(INDIRECT("'"&amp;F326&amp;"'!$B$2")="Credit Limit",
            "Credit Accounts",
            IF(INDIRECT("'"&amp;F326&amp;"'!$E$2")="Location",
                "Cash Accounts",
                IF(INDIRECT("'"&amp;F326&amp;"'!$B$2")="Amount",
                    "Investments",
                    "Bill Accounts"
                )
            )
        ),
    "")
)</f>
        <v/>
      </c>
      <c r="I326" s="46" t="str" cm="1">
        <f t="array" aca="1" ref="I326" ca="1">IF(F326&lt;&gt;"",IF(OR(G326="Bill Accounts",G326="Investments", G326="Cash Accounts"),INDIRECT("'"&amp;F326&amp;"'!$C$10"),INDIRECT("'"&amp;F326&amp;"'!$C$8")),"")</f>
        <v/>
      </c>
      <c r="K326" s="48">
        <f t="shared" si="15"/>
        <v>332</v>
      </c>
      <c r="L326" s="114" t="str" cm="1">
        <f t="array" aca="1" ref="L326" ca="1">IF(F326&lt;&gt;"",INDIRECT("'"&amp;F326&amp;"'!$F$17"),"")</f>
        <v/>
      </c>
      <c r="M326" s="116" t="str">
        <f t="shared" ca="1" si="16"/>
        <v/>
      </c>
      <c r="O326" s="49" t="str">
        <f t="shared" ca="1" si="17"/>
        <v/>
      </c>
      <c r="P326" s="38" t="str">
        <f>IF(E326&lt;&gt;"",RANK(E326,$E$3:$E$2298)+COUNTIF($E$3:E326,E326)-1,"")</f>
        <v/>
      </c>
      <c r="Q326" s="8"/>
      <c r="R326" s="64"/>
    </row>
    <row r="327" spans="4:18" x14ac:dyDescent="0.25">
      <c r="D327" s="36" t="str" cm="1">
        <f t="array" aca="1" ref="D327" ca="1">IFERROR(IF(INDIRECT("'"&amp;F327&amp;"'!$C$5")&gt;0,DATE(YEAR(Dashboard!$AL$2),Dashboard!$AU$4,INDIRECT("'"&amp;F327&amp;"'!$C$5")),""),"")</f>
        <v/>
      </c>
      <c r="G327" s="38" t="str" cm="1">
        <f t="array" aca="1" ref="G327" ca="1">IF(F327="",
    "",
    IFERROR(
        IF(INDIRECT("'"&amp;F327&amp;"'!$B$2")="Credit Limit",
            "Credit Accounts",
            IF(INDIRECT("'"&amp;F327&amp;"'!$E$2")="Location",
                "Cash Accounts",
                IF(INDIRECT("'"&amp;F327&amp;"'!$B$2")="Amount",
                    "Investments",
                    "Bill Accounts"
                )
            )
        ),
    "")
)</f>
        <v/>
      </c>
      <c r="I327" s="46" t="str" cm="1">
        <f t="array" aca="1" ref="I327" ca="1">IF(F327&lt;&gt;"",IF(OR(G327="Bill Accounts",G327="Investments", G327="Cash Accounts"),INDIRECT("'"&amp;F327&amp;"'!$C$10"),INDIRECT("'"&amp;F327&amp;"'!$C$8")),"")</f>
        <v/>
      </c>
      <c r="K327" s="48">
        <f t="shared" si="15"/>
        <v>333</v>
      </c>
      <c r="L327" s="114" t="str" cm="1">
        <f t="array" aca="1" ref="L327" ca="1">IF(F327&lt;&gt;"",INDIRECT("'"&amp;F327&amp;"'!$F$17"),"")</f>
        <v/>
      </c>
      <c r="M327" s="116" t="str">
        <f t="shared" ca="1" si="16"/>
        <v/>
      </c>
      <c r="O327" s="49" t="str">
        <f t="shared" ca="1" si="17"/>
        <v/>
      </c>
      <c r="P327" s="38" t="str">
        <f>IF(E327&lt;&gt;"",RANK(E327,$E$3:$E$2298)+COUNTIF($E$3:E327,E327)-1,"")</f>
        <v/>
      </c>
      <c r="Q327" s="8"/>
      <c r="R327" s="64"/>
    </row>
    <row r="328" spans="4:18" x14ac:dyDescent="0.25">
      <c r="D328" s="36" t="str" cm="1">
        <f t="array" aca="1" ref="D328" ca="1">IFERROR(IF(INDIRECT("'"&amp;F328&amp;"'!$C$5")&gt;0,DATE(YEAR(Dashboard!$AL$2),Dashboard!$AU$4,INDIRECT("'"&amp;F328&amp;"'!$C$5")),""),"")</f>
        <v/>
      </c>
      <c r="G328" s="38" t="str" cm="1">
        <f t="array" aca="1" ref="G328" ca="1">IF(F328="",
    "",
    IFERROR(
        IF(INDIRECT("'"&amp;F328&amp;"'!$B$2")="Credit Limit",
            "Credit Accounts",
            IF(INDIRECT("'"&amp;F328&amp;"'!$E$2")="Location",
                "Cash Accounts",
                IF(INDIRECT("'"&amp;F328&amp;"'!$B$2")="Amount",
                    "Investments",
                    "Bill Accounts"
                )
            )
        ),
    "")
)</f>
        <v/>
      </c>
      <c r="I328" s="46" t="str" cm="1">
        <f t="array" aca="1" ref="I328" ca="1">IF(F328&lt;&gt;"",IF(OR(G328="Bill Accounts",G328="Investments", G328="Cash Accounts"),INDIRECT("'"&amp;F328&amp;"'!$C$10"),INDIRECT("'"&amp;F328&amp;"'!$C$8")),"")</f>
        <v/>
      </c>
      <c r="K328" s="48">
        <f t="shared" ref="K328:K391" si="18">SUM(K327+1)</f>
        <v>334</v>
      </c>
      <c r="L328" s="114" t="str" cm="1">
        <f t="array" aca="1" ref="L328" ca="1">IF(F328&lt;&gt;"",INDIRECT("'"&amp;F328&amp;"'!$F$17"),"")</f>
        <v/>
      </c>
      <c r="M328" s="116" t="str">
        <f t="shared" ca="1" si="16"/>
        <v/>
      </c>
      <c r="O328" s="49" t="str">
        <f t="shared" ca="1" si="17"/>
        <v/>
      </c>
      <c r="P328" s="38" t="str">
        <f>IF(E328&lt;&gt;"",RANK(E328,$E$3:$E$2298)+COUNTIF($E$3:E328,E328)-1,"")</f>
        <v/>
      </c>
      <c r="Q328" s="8"/>
      <c r="R328" s="64"/>
    </row>
    <row r="329" spans="4:18" x14ac:dyDescent="0.25">
      <c r="D329" s="36" t="str" cm="1">
        <f t="array" aca="1" ref="D329" ca="1">IFERROR(IF(INDIRECT("'"&amp;F329&amp;"'!$C$5")&gt;0,DATE(YEAR(Dashboard!$AL$2),Dashboard!$AU$4,INDIRECT("'"&amp;F329&amp;"'!$C$5")),""),"")</f>
        <v/>
      </c>
      <c r="G329" s="38" t="str" cm="1">
        <f t="array" aca="1" ref="G329" ca="1">IF(F329="",
    "",
    IFERROR(
        IF(INDIRECT("'"&amp;F329&amp;"'!$B$2")="Credit Limit",
            "Credit Accounts",
            IF(INDIRECT("'"&amp;F329&amp;"'!$E$2")="Location",
                "Cash Accounts",
                IF(INDIRECT("'"&amp;F329&amp;"'!$B$2")="Amount",
                    "Investments",
                    "Bill Accounts"
                )
            )
        ),
    "")
)</f>
        <v/>
      </c>
      <c r="I329" s="46" t="str" cm="1">
        <f t="array" aca="1" ref="I329" ca="1">IF(F329&lt;&gt;"",IF(OR(G329="Bill Accounts",G329="Investments", G329="Cash Accounts"),INDIRECT("'"&amp;F329&amp;"'!$C$10"),INDIRECT("'"&amp;F329&amp;"'!$C$8")),"")</f>
        <v/>
      </c>
      <c r="K329" s="48">
        <f t="shared" si="18"/>
        <v>335</v>
      </c>
      <c r="L329" s="114" t="str" cm="1">
        <f t="array" aca="1" ref="L329" ca="1">IF(F329&lt;&gt;"",INDIRECT("'"&amp;F329&amp;"'!$F$17"),"")</f>
        <v/>
      </c>
      <c r="M329" s="116" t="str">
        <f t="shared" ca="1" si="16"/>
        <v/>
      </c>
      <c r="O329" s="49" t="str">
        <f t="shared" ca="1" si="17"/>
        <v/>
      </c>
      <c r="P329" s="38" t="str">
        <f>IF(E329&lt;&gt;"",RANK(E329,$E$3:$E$2298)+COUNTIF($E$3:E329,E329)-1,"")</f>
        <v/>
      </c>
      <c r="Q329" s="8"/>
      <c r="R329" s="64"/>
    </row>
    <row r="330" spans="4:18" x14ac:dyDescent="0.25">
      <c r="D330" s="36" t="str" cm="1">
        <f t="array" aca="1" ref="D330" ca="1">IFERROR(IF(INDIRECT("'"&amp;F330&amp;"'!$C$5")&gt;0,DATE(YEAR(Dashboard!$AL$2),Dashboard!$AU$4,INDIRECT("'"&amp;F330&amp;"'!$C$5")),""),"")</f>
        <v/>
      </c>
      <c r="G330" s="38" t="str" cm="1">
        <f t="array" aca="1" ref="G330" ca="1">IF(F330="",
    "",
    IFERROR(
        IF(INDIRECT("'"&amp;F330&amp;"'!$B$2")="Credit Limit",
            "Credit Accounts",
            IF(INDIRECT("'"&amp;F330&amp;"'!$E$2")="Location",
                "Cash Accounts",
                IF(INDIRECT("'"&amp;F330&amp;"'!$B$2")="Amount",
                    "Investments",
                    "Bill Accounts"
                )
            )
        ),
    "")
)</f>
        <v/>
      </c>
      <c r="I330" s="46" t="str" cm="1">
        <f t="array" aca="1" ref="I330" ca="1">IF(F330&lt;&gt;"",IF(OR(G330="Bill Accounts",G330="Investments", G330="Cash Accounts"),INDIRECT("'"&amp;F330&amp;"'!$C$10"),INDIRECT("'"&amp;F330&amp;"'!$C$8")),"")</f>
        <v/>
      </c>
      <c r="K330" s="48">
        <f t="shared" si="18"/>
        <v>336</v>
      </c>
      <c r="L330" s="114" t="str" cm="1">
        <f t="array" aca="1" ref="L330" ca="1">IF(F330&lt;&gt;"",INDIRECT("'"&amp;F330&amp;"'!$F$17"),"")</f>
        <v/>
      </c>
      <c r="M330" s="116" t="str">
        <f t="shared" ca="1" si="16"/>
        <v/>
      </c>
      <c r="O330" s="49" t="str">
        <f t="shared" ca="1" si="17"/>
        <v/>
      </c>
      <c r="P330" s="38" t="str">
        <f>IF(E330&lt;&gt;"",RANK(E330,$E$3:$E$2298)+COUNTIF($E$3:E330,E330)-1,"")</f>
        <v/>
      </c>
      <c r="Q330" s="8"/>
      <c r="R330" s="64"/>
    </row>
    <row r="331" spans="4:18" x14ac:dyDescent="0.25">
      <c r="D331" s="36" t="str" cm="1">
        <f t="array" aca="1" ref="D331" ca="1">IFERROR(IF(INDIRECT("'"&amp;F331&amp;"'!$C$5")&gt;0,DATE(YEAR(Dashboard!$AL$2),Dashboard!$AU$4,INDIRECT("'"&amp;F331&amp;"'!$C$5")),""),"")</f>
        <v/>
      </c>
      <c r="G331" s="38" t="str" cm="1">
        <f t="array" aca="1" ref="G331" ca="1">IF(F331="",
    "",
    IFERROR(
        IF(INDIRECT("'"&amp;F331&amp;"'!$B$2")="Credit Limit",
            "Credit Accounts",
            IF(INDIRECT("'"&amp;F331&amp;"'!$E$2")="Location",
                "Cash Accounts",
                IF(INDIRECT("'"&amp;F331&amp;"'!$B$2")="Amount",
                    "Investments",
                    "Bill Accounts"
                )
            )
        ),
    "")
)</f>
        <v/>
      </c>
      <c r="I331" s="46" t="str" cm="1">
        <f t="array" aca="1" ref="I331" ca="1">IF(F331&lt;&gt;"",IF(OR(G331="Bill Accounts",G331="Investments", G331="Cash Accounts"),INDIRECT("'"&amp;F331&amp;"'!$C$10"),INDIRECT("'"&amp;F331&amp;"'!$C$8")),"")</f>
        <v/>
      </c>
      <c r="K331" s="48">
        <f t="shared" si="18"/>
        <v>337</v>
      </c>
      <c r="L331" s="114" t="str" cm="1">
        <f t="array" aca="1" ref="L331" ca="1">IF(F331&lt;&gt;"",INDIRECT("'"&amp;F331&amp;"'!$F$17"),"")</f>
        <v/>
      </c>
      <c r="M331" s="116" t="str">
        <f t="shared" ca="1" si="16"/>
        <v/>
      </c>
      <c r="O331" s="49" t="str">
        <f t="shared" ca="1" si="17"/>
        <v/>
      </c>
      <c r="P331" s="38" t="str">
        <f>IF(E331&lt;&gt;"",RANK(E331,$E$3:$E$2298)+COUNTIF($E$3:E331,E331)-1,"")</f>
        <v/>
      </c>
      <c r="Q331" s="8"/>
      <c r="R331" s="64"/>
    </row>
    <row r="332" spans="4:18" x14ac:dyDescent="0.25">
      <c r="D332" s="36" t="str" cm="1">
        <f t="array" aca="1" ref="D332" ca="1">IFERROR(IF(INDIRECT("'"&amp;F332&amp;"'!$C$5")&gt;0,DATE(YEAR(Dashboard!$AL$2),Dashboard!$AU$4,INDIRECT("'"&amp;F332&amp;"'!$C$5")),""),"")</f>
        <v/>
      </c>
      <c r="G332" s="38" t="str" cm="1">
        <f t="array" aca="1" ref="G332" ca="1">IF(F332="",
    "",
    IFERROR(
        IF(INDIRECT("'"&amp;F332&amp;"'!$B$2")="Credit Limit",
            "Credit Accounts",
            IF(INDIRECT("'"&amp;F332&amp;"'!$E$2")="Location",
                "Cash Accounts",
                IF(INDIRECT("'"&amp;F332&amp;"'!$B$2")="Amount",
                    "Investments",
                    "Bill Accounts"
                )
            )
        ),
    "")
)</f>
        <v/>
      </c>
      <c r="I332" s="46" t="str" cm="1">
        <f t="array" aca="1" ref="I332" ca="1">IF(F332&lt;&gt;"",IF(OR(G332="Bill Accounts",G332="Investments", G332="Cash Accounts"),INDIRECT("'"&amp;F332&amp;"'!$C$10"),INDIRECT("'"&amp;F332&amp;"'!$C$8")),"")</f>
        <v/>
      </c>
      <c r="K332" s="48">
        <f t="shared" si="18"/>
        <v>338</v>
      </c>
      <c r="L332" s="114" t="str" cm="1">
        <f t="array" aca="1" ref="L332" ca="1">IF(F332&lt;&gt;"",INDIRECT("'"&amp;F332&amp;"'!$F$17"),"")</f>
        <v/>
      </c>
      <c r="M332" s="116" t="str">
        <f t="shared" ca="1" si="16"/>
        <v/>
      </c>
      <c r="O332" s="49" t="str">
        <f t="shared" ca="1" si="17"/>
        <v/>
      </c>
      <c r="P332" s="38" t="str">
        <f>IF(E332&lt;&gt;"",RANK(E332,$E$3:$E$2298)+COUNTIF($E$3:E332,E332)-1,"")</f>
        <v/>
      </c>
      <c r="Q332" s="8"/>
      <c r="R332" s="64"/>
    </row>
    <row r="333" spans="4:18" x14ac:dyDescent="0.25">
      <c r="D333" s="36" t="str" cm="1">
        <f t="array" aca="1" ref="D333" ca="1">IFERROR(IF(INDIRECT("'"&amp;F333&amp;"'!$C$5")&gt;0,DATE(YEAR(Dashboard!$AL$2),Dashboard!$AU$4,INDIRECT("'"&amp;F333&amp;"'!$C$5")),""),"")</f>
        <v/>
      </c>
      <c r="G333" s="38" t="str" cm="1">
        <f t="array" aca="1" ref="G333" ca="1">IF(F333="",
    "",
    IFERROR(
        IF(INDIRECT("'"&amp;F333&amp;"'!$B$2")="Credit Limit",
            "Credit Accounts",
            IF(INDIRECT("'"&amp;F333&amp;"'!$E$2")="Location",
                "Cash Accounts",
                IF(INDIRECT("'"&amp;F333&amp;"'!$B$2")="Amount",
                    "Investments",
                    "Bill Accounts"
                )
            )
        ),
    "")
)</f>
        <v/>
      </c>
      <c r="I333" s="46" t="str" cm="1">
        <f t="array" aca="1" ref="I333" ca="1">IF(F333&lt;&gt;"",IF(OR(G333="Bill Accounts",G333="Investments", G333="Cash Accounts"),INDIRECT("'"&amp;F333&amp;"'!$C$10"),INDIRECT("'"&amp;F333&amp;"'!$C$8")),"")</f>
        <v/>
      </c>
      <c r="K333" s="48">
        <f t="shared" si="18"/>
        <v>339</v>
      </c>
      <c r="L333" s="114" t="str" cm="1">
        <f t="array" aca="1" ref="L333" ca="1">IF(F333&lt;&gt;"",INDIRECT("'"&amp;F333&amp;"'!$F$17"),"")</f>
        <v/>
      </c>
      <c r="M333" s="116" t="str">
        <f t="shared" ca="1" si="16"/>
        <v/>
      </c>
      <c r="O333" s="49" t="str">
        <f t="shared" ca="1" si="17"/>
        <v/>
      </c>
      <c r="P333" s="38" t="str">
        <f>IF(E333&lt;&gt;"",RANK(E333,$E$3:$E$2298)+COUNTIF($E$3:E333,E333)-1,"")</f>
        <v/>
      </c>
      <c r="Q333" s="8"/>
      <c r="R333" s="64"/>
    </row>
    <row r="334" spans="4:18" x14ac:dyDescent="0.25">
      <c r="D334" s="36" t="str" cm="1">
        <f t="array" aca="1" ref="D334" ca="1">IFERROR(IF(INDIRECT("'"&amp;F334&amp;"'!$C$5")&gt;0,DATE(YEAR(Dashboard!$AL$2),Dashboard!$AU$4,INDIRECT("'"&amp;F334&amp;"'!$C$5")),""),"")</f>
        <v/>
      </c>
      <c r="G334" s="38" t="str" cm="1">
        <f t="array" aca="1" ref="G334" ca="1">IF(F334="",
    "",
    IFERROR(
        IF(INDIRECT("'"&amp;F334&amp;"'!$B$2")="Credit Limit",
            "Credit Accounts",
            IF(INDIRECT("'"&amp;F334&amp;"'!$E$2")="Location",
                "Cash Accounts",
                IF(INDIRECT("'"&amp;F334&amp;"'!$B$2")="Amount",
                    "Investments",
                    "Bill Accounts"
                )
            )
        ),
    "")
)</f>
        <v/>
      </c>
      <c r="I334" s="46" t="str" cm="1">
        <f t="array" aca="1" ref="I334" ca="1">IF(F334&lt;&gt;"",IF(OR(G334="Bill Accounts",G334="Investments", G334="Cash Accounts"),INDIRECT("'"&amp;F334&amp;"'!$C$10"),INDIRECT("'"&amp;F334&amp;"'!$C$8")),"")</f>
        <v/>
      </c>
      <c r="K334" s="48">
        <f t="shared" si="18"/>
        <v>340</v>
      </c>
      <c r="L334" s="114" t="str" cm="1">
        <f t="array" aca="1" ref="L334" ca="1">IF(F334&lt;&gt;"",INDIRECT("'"&amp;F334&amp;"'!$F$17"),"")</f>
        <v/>
      </c>
      <c r="M334" s="116" t="str">
        <f t="shared" ca="1" si="16"/>
        <v/>
      </c>
      <c r="O334" s="49" t="str">
        <f t="shared" ca="1" si="17"/>
        <v/>
      </c>
      <c r="P334" s="38" t="str">
        <f>IF(E334&lt;&gt;"",RANK(E334,$E$3:$E$2298)+COUNTIF($E$3:E334,E334)-1,"")</f>
        <v/>
      </c>
      <c r="Q334" s="8"/>
      <c r="R334" s="64"/>
    </row>
    <row r="335" spans="4:18" x14ac:dyDescent="0.25">
      <c r="D335" s="36" t="str" cm="1">
        <f t="array" aca="1" ref="D335" ca="1">IFERROR(IF(INDIRECT("'"&amp;F335&amp;"'!$C$5")&gt;0,DATE(YEAR(Dashboard!$AL$2),Dashboard!$AU$4,INDIRECT("'"&amp;F335&amp;"'!$C$5")),""),"")</f>
        <v/>
      </c>
      <c r="G335" s="38" t="str" cm="1">
        <f t="array" aca="1" ref="G335" ca="1">IF(F335="",
    "",
    IFERROR(
        IF(INDIRECT("'"&amp;F335&amp;"'!$B$2")="Credit Limit",
            "Credit Accounts",
            IF(INDIRECT("'"&amp;F335&amp;"'!$E$2")="Location",
                "Cash Accounts",
                IF(INDIRECT("'"&amp;F335&amp;"'!$B$2")="Amount",
                    "Investments",
                    "Bill Accounts"
                )
            )
        ),
    "")
)</f>
        <v/>
      </c>
      <c r="I335" s="46" t="str" cm="1">
        <f t="array" aca="1" ref="I335" ca="1">IF(F335&lt;&gt;"",IF(OR(G335="Bill Accounts",G335="Investments", G335="Cash Accounts"),INDIRECT("'"&amp;F335&amp;"'!$C$10"),INDIRECT("'"&amp;F335&amp;"'!$C$8")),"")</f>
        <v/>
      </c>
      <c r="K335" s="48">
        <f t="shared" si="18"/>
        <v>341</v>
      </c>
      <c r="L335" s="114" t="str" cm="1">
        <f t="array" aca="1" ref="L335" ca="1">IF(F335&lt;&gt;"",INDIRECT("'"&amp;F335&amp;"'!$F$17"),"")</f>
        <v/>
      </c>
      <c r="M335" s="116" t="str">
        <f t="shared" ca="1" si="16"/>
        <v/>
      </c>
      <c r="O335" s="49" t="str">
        <f t="shared" ca="1" si="17"/>
        <v/>
      </c>
      <c r="P335" s="38" t="str">
        <f>IF(E335&lt;&gt;"",RANK(E335,$E$3:$E$2298)+COUNTIF($E$3:E335,E335)-1,"")</f>
        <v/>
      </c>
      <c r="Q335" s="8"/>
      <c r="R335" s="64"/>
    </row>
    <row r="336" spans="4:18" x14ac:dyDescent="0.25">
      <c r="D336" s="36" t="str" cm="1">
        <f t="array" aca="1" ref="D336" ca="1">IFERROR(IF(INDIRECT("'"&amp;F336&amp;"'!$C$5")&gt;0,DATE(YEAR(Dashboard!$AL$2),Dashboard!$AU$4,INDIRECT("'"&amp;F336&amp;"'!$C$5")),""),"")</f>
        <v/>
      </c>
      <c r="G336" s="38" t="str" cm="1">
        <f t="array" aca="1" ref="G336" ca="1">IF(F336="",
    "",
    IFERROR(
        IF(INDIRECT("'"&amp;F336&amp;"'!$B$2")="Credit Limit",
            "Credit Accounts",
            IF(INDIRECT("'"&amp;F336&amp;"'!$E$2")="Location",
                "Cash Accounts",
                IF(INDIRECT("'"&amp;F336&amp;"'!$B$2")="Amount",
                    "Investments",
                    "Bill Accounts"
                )
            )
        ),
    "")
)</f>
        <v/>
      </c>
      <c r="I336" s="46" t="str" cm="1">
        <f t="array" aca="1" ref="I336" ca="1">IF(F336&lt;&gt;"",IF(OR(G336="Bill Accounts",G336="Investments", G336="Cash Accounts"),INDIRECT("'"&amp;F336&amp;"'!$C$10"),INDIRECT("'"&amp;F336&amp;"'!$C$8")),"")</f>
        <v/>
      </c>
      <c r="K336" s="48">
        <f t="shared" si="18"/>
        <v>342</v>
      </c>
      <c r="L336" s="114" t="str" cm="1">
        <f t="array" aca="1" ref="L336" ca="1">IF(F336&lt;&gt;"",INDIRECT("'"&amp;F336&amp;"'!$F$17"),"")</f>
        <v/>
      </c>
      <c r="M336" s="116" t="str">
        <f t="shared" ca="1" si="16"/>
        <v/>
      </c>
      <c r="O336" s="49" t="str">
        <f t="shared" ca="1" si="17"/>
        <v/>
      </c>
      <c r="P336" s="38" t="str">
        <f>IF(E336&lt;&gt;"",RANK(E336,$E$3:$E$2298)+COUNTIF($E$3:E336,E336)-1,"")</f>
        <v/>
      </c>
      <c r="Q336" s="8"/>
      <c r="R336" s="64"/>
    </row>
    <row r="337" spans="4:18" x14ac:dyDescent="0.25">
      <c r="D337" s="36" t="str" cm="1">
        <f t="array" aca="1" ref="D337" ca="1">IFERROR(IF(INDIRECT("'"&amp;F337&amp;"'!$C$5")&gt;0,DATE(YEAR(Dashboard!$AL$2),Dashboard!$AU$4,INDIRECT("'"&amp;F337&amp;"'!$C$5")),""),"")</f>
        <v/>
      </c>
      <c r="G337" s="38" t="str" cm="1">
        <f t="array" aca="1" ref="G337" ca="1">IF(F337="",
    "",
    IFERROR(
        IF(INDIRECT("'"&amp;F337&amp;"'!$B$2")="Credit Limit",
            "Credit Accounts",
            IF(INDIRECT("'"&amp;F337&amp;"'!$E$2")="Location",
                "Cash Accounts",
                IF(INDIRECT("'"&amp;F337&amp;"'!$B$2")="Amount",
                    "Investments",
                    "Bill Accounts"
                )
            )
        ),
    "")
)</f>
        <v/>
      </c>
      <c r="I337" s="46" t="str" cm="1">
        <f t="array" aca="1" ref="I337" ca="1">IF(F337&lt;&gt;"",IF(OR(G337="Bill Accounts",G337="Investments", G337="Cash Accounts"),INDIRECT("'"&amp;F337&amp;"'!$C$10"),INDIRECT("'"&amp;F337&amp;"'!$C$8")),"")</f>
        <v/>
      </c>
      <c r="K337" s="48">
        <f t="shared" si="18"/>
        <v>343</v>
      </c>
      <c r="L337" s="114" t="str" cm="1">
        <f t="array" aca="1" ref="L337" ca="1">IF(F337&lt;&gt;"",INDIRECT("'"&amp;F337&amp;"'!$F$17"),"")</f>
        <v/>
      </c>
      <c r="M337" s="116" t="str">
        <f t="shared" ca="1" si="16"/>
        <v/>
      </c>
      <c r="O337" s="49" t="str">
        <f t="shared" ca="1" si="17"/>
        <v/>
      </c>
      <c r="P337" s="38" t="str">
        <f>IF(E337&lt;&gt;"",RANK(E337,$E$3:$E$2298)+COUNTIF($E$3:E337,E337)-1,"")</f>
        <v/>
      </c>
      <c r="Q337" s="8"/>
      <c r="R337" s="64"/>
    </row>
    <row r="338" spans="4:18" x14ac:dyDescent="0.25">
      <c r="D338" s="36" t="str" cm="1">
        <f t="array" aca="1" ref="D338" ca="1">IFERROR(IF(INDIRECT("'"&amp;F338&amp;"'!$C$5")&gt;0,DATE(YEAR(Dashboard!$AL$2),Dashboard!$AU$4,INDIRECT("'"&amp;F338&amp;"'!$C$5")),""),"")</f>
        <v/>
      </c>
      <c r="G338" s="38" t="str" cm="1">
        <f t="array" aca="1" ref="G338" ca="1">IF(F338="",
    "",
    IFERROR(
        IF(INDIRECT("'"&amp;F338&amp;"'!$B$2")="Credit Limit",
            "Credit Accounts",
            IF(INDIRECT("'"&amp;F338&amp;"'!$E$2")="Location",
                "Cash Accounts",
                IF(INDIRECT("'"&amp;F338&amp;"'!$B$2")="Amount",
                    "Investments",
                    "Bill Accounts"
                )
            )
        ),
    "")
)</f>
        <v/>
      </c>
      <c r="I338" s="46" t="str" cm="1">
        <f t="array" aca="1" ref="I338" ca="1">IF(F338&lt;&gt;"",IF(OR(G338="Bill Accounts",G338="Investments", G338="Cash Accounts"),INDIRECT("'"&amp;F338&amp;"'!$C$10"),INDIRECT("'"&amp;F338&amp;"'!$C$8")),"")</f>
        <v/>
      </c>
      <c r="K338" s="48">
        <f t="shared" si="18"/>
        <v>344</v>
      </c>
      <c r="L338" s="114" t="str" cm="1">
        <f t="array" aca="1" ref="L338" ca="1">IF(F338&lt;&gt;"",INDIRECT("'"&amp;F338&amp;"'!$F$17"),"")</f>
        <v/>
      </c>
      <c r="M338" s="116" t="str">
        <f t="shared" ca="1" si="16"/>
        <v/>
      </c>
      <c r="O338" s="49" t="str">
        <f t="shared" ca="1" si="17"/>
        <v/>
      </c>
      <c r="P338" s="38" t="str">
        <f>IF(E338&lt;&gt;"",RANK(E338,$E$3:$E$2298)+COUNTIF($E$3:E338,E338)-1,"")</f>
        <v/>
      </c>
      <c r="Q338" s="8"/>
      <c r="R338" s="64"/>
    </row>
    <row r="339" spans="4:18" x14ac:dyDescent="0.25">
      <c r="D339" s="36" t="str" cm="1">
        <f t="array" aca="1" ref="D339" ca="1">IFERROR(IF(INDIRECT("'"&amp;F339&amp;"'!$C$5")&gt;0,DATE(YEAR(Dashboard!$AL$2),Dashboard!$AU$4,INDIRECT("'"&amp;F339&amp;"'!$C$5")),""),"")</f>
        <v/>
      </c>
      <c r="G339" s="38" t="str" cm="1">
        <f t="array" aca="1" ref="G339" ca="1">IF(F339="",
    "",
    IFERROR(
        IF(INDIRECT("'"&amp;F339&amp;"'!$B$2")="Credit Limit",
            "Credit Accounts",
            IF(INDIRECT("'"&amp;F339&amp;"'!$E$2")="Location",
                "Cash Accounts",
                IF(INDIRECT("'"&amp;F339&amp;"'!$B$2")="Amount",
                    "Investments",
                    "Bill Accounts"
                )
            )
        ),
    "")
)</f>
        <v/>
      </c>
      <c r="I339" s="46" t="str" cm="1">
        <f t="array" aca="1" ref="I339" ca="1">IF(F339&lt;&gt;"",IF(OR(G339="Bill Accounts",G339="Investments", G339="Cash Accounts"),INDIRECT("'"&amp;F339&amp;"'!$C$10"),INDIRECT("'"&amp;F339&amp;"'!$C$8")),"")</f>
        <v/>
      </c>
      <c r="K339" s="48">
        <f t="shared" si="18"/>
        <v>345</v>
      </c>
      <c r="L339" s="114" t="str" cm="1">
        <f t="array" aca="1" ref="L339" ca="1">IF(F339&lt;&gt;"",INDIRECT("'"&amp;F339&amp;"'!$F$17"),"")</f>
        <v/>
      </c>
      <c r="M339" s="116" t="str">
        <f t="shared" ca="1" si="16"/>
        <v/>
      </c>
      <c r="O339" s="49" t="str">
        <f t="shared" ca="1" si="17"/>
        <v/>
      </c>
      <c r="P339" s="38" t="str">
        <f>IF(E339&lt;&gt;"",RANK(E339,$E$3:$E$2298)+COUNTIF($E$3:E339,E339)-1,"")</f>
        <v/>
      </c>
      <c r="Q339" s="8"/>
      <c r="R339" s="64"/>
    </row>
    <row r="340" spans="4:18" x14ac:dyDescent="0.25">
      <c r="D340" s="36" t="str" cm="1">
        <f t="array" aca="1" ref="D340" ca="1">IFERROR(IF(INDIRECT("'"&amp;F340&amp;"'!$C$5")&gt;0,DATE(YEAR(Dashboard!$AL$2),Dashboard!$AU$4,INDIRECT("'"&amp;F340&amp;"'!$C$5")),""),"")</f>
        <v/>
      </c>
      <c r="G340" s="38" t="str" cm="1">
        <f t="array" aca="1" ref="G340" ca="1">IF(F340="",
    "",
    IFERROR(
        IF(INDIRECT("'"&amp;F340&amp;"'!$B$2")="Credit Limit",
            "Credit Accounts",
            IF(INDIRECT("'"&amp;F340&amp;"'!$E$2")="Location",
                "Cash Accounts",
                IF(INDIRECT("'"&amp;F340&amp;"'!$B$2")="Amount",
                    "Investments",
                    "Bill Accounts"
                )
            )
        ),
    "")
)</f>
        <v/>
      </c>
      <c r="I340" s="46" t="str" cm="1">
        <f t="array" aca="1" ref="I340" ca="1">IF(F340&lt;&gt;"",IF(OR(G340="Bill Accounts",G340="Investments", G340="Cash Accounts"),INDIRECT("'"&amp;F340&amp;"'!$C$10"),INDIRECT("'"&amp;F340&amp;"'!$C$8")),"")</f>
        <v/>
      </c>
      <c r="K340" s="48">
        <f t="shared" si="18"/>
        <v>346</v>
      </c>
      <c r="L340" s="114" t="str" cm="1">
        <f t="array" aca="1" ref="L340" ca="1">IF(F340&lt;&gt;"",INDIRECT("'"&amp;F340&amp;"'!$F$17"),"")</f>
        <v/>
      </c>
      <c r="M340" s="116" t="str">
        <f t="shared" ca="1" si="16"/>
        <v/>
      </c>
      <c r="O340" s="49" t="str">
        <f t="shared" ca="1" si="17"/>
        <v/>
      </c>
      <c r="P340" s="38" t="str">
        <f>IF(E340&lt;&gt;"",RANK(E340,$E$3:$E$2298)+COUNTIF($E$3:E340,E340)-1,"")</f>
        <v/>
      </c>
      <c r="Q340" s="8"/>
      <c r="R340" s="64"/>
    </row>
    <row r="341" spans="4:18" x14ac:dyDescent="0.25">
      <c r="D341" s="36" t="str" cm="1">
        <f t="array" aca="1" ref="D341" ca="1">IFERROR(IF(INDIRECT("'"&amp;F341&amp;"'!$C$5")&gt;0,DATE(YEAR(Dashboard!$AL$2),Dashboard!$AU$4,INDIRECT("'"&amp;F341&amp;"'!$C$5")),""),"")</f>
        <v/>
      </c>
      <c r="G341" s="38" t="str" cm="1">
        <f t="array" aca="1" ref="G341" ca="1">IF(F341="",
    "",
    IFERROR(
        IF(INDIRECT("'"&amp;F341&amp;"'!$B$2")="Credit Limit",
            "Credit Accounts",
            IF(INDIRECT("'"&amp;F341&amp;"'!$E$2")="Location",
                "Cash Accounts",
                IF(INDIRECT("'"&amp;F341&amp;"'!$B$2")="Amount",
                    "Investments",
                    "Bill Accounts"
                )
            )
        ),
    "")
)</f>
        <v/>
      </c>
      <c r="I341" s="46" t="str" cm="1">
        <f t="array" aca="1" ref="I341" ca="1">IF(F341&lt;&gt;"",IF(OR(G341="Bill Accounts",G341="Investments", G341="Cash Accounts"),INDIRECT("'"&amp;F341&amp;"'!$C$10"),INDIRECT("'"&amp;F341&amp;"'!$C$8")),"")</f>
        <v/>
      </c>
      <c r="K341" s="48">
        <f t="shared" si="18"/>
        <v>347</v>
      </c>
      <c r="L341" s="114" t="str" cm="1">
        <f t="array" aca="1" ref="L341" ca="1">IF(F341&lt;&gt;"",INDIRECT("'"&amp;F341&amp;"'!$F$17"),"")</f>
        <v/>
      </c>
      <c r="M341" s="116" t="str">
        <f t="shared" ca="1" si="16"/>
        <v/>
      </c>
      <c r="O341" s="49" t="str">
        <f t="shared" ca="1" si="17"/>
        <v/>
      </c>
      <c r="P341" s="38" t="str">
        <f>IF(E341&lt;&gt;"",RANK(E341,$E$3:$E$2298)+COUNTIF($E$3:E341,E341)-1,"")</f>
        <v/>
      </c>
      <c r="Q341" s="8"/>
      <c r="R341" s="64"/>
    </row>
    <row r="342" spans="4:18" x14ac:dyDescent="0.25">
      <c r="D342" s="36" t="str" cm="1">
        <f t="array" aca="1" ref="D342" ca="1">IFERROR(IF(INDIRECT("'"&amp;F342&amp;"'!$C$5")&gt;0,DATE(YEAR(Dashboard!$AL$2),Dashboard!$AU$4,INDIRECT("'"&amp;F342&amp;"'!$C$5")),""),"")</f>
        <v/>
      </c>
      <c r="G342" s="38" t="str" cm="1">
        <f t="array" aca="1" ref="G342" ca="1">IF(F342="",
    "",
    IFERROR(
        IF(INDIRECT("'"&amp;F342&amp;"'!$B$2")="Credit Limit",
            "Credit Accounts",
            IF(INDIRECT("'"&amp;F342&amp;"'!$E$2")="Location",
                "Cash Accounts",
                IF(INDIRECT("'"&amp;F342&amp;"'!$B$2")="Amount",
                    "Investments",
                    "Bill Accounts"
                )
            )
        ),
    "")
)</f>
        <v/>
      </c>
      <c r="I342" s="46" t="str" cm="1">
        <f t="array" aca="1" ref="I342" ca="1">IF(F342&lt;&gt;"",IF(OR(G342="Bill Accounts",G342="Investments", G342="Cash Accounts"),INDIRECT("'"&amp;F342&amp;"'!$C$10"),INDIRECT("'"&amp;F342&amp;"'!$C$8")),"")</f>
        <v/>
      </c>
      <c r="K342" s="48">
        <f t="shared" si="18"/>
        <v>348</v>
      </c>
      <c r="L342" s="114" t="str" cm="1">
        <f t="array" aca="1" ref="L342" ca="1">IF(F342&lt;&gt;"",INDIRECT("'"&amp;F342&amp;"'!$F$17"),"")</f>
        <v/>
      </c>
      <c r="M342" s="116" t="str">
        <f t="shared" ca="1" si="16"/>
        <v/>
      </c>
      <c r="O342" s="49" t="str">
        <f t="shared" ca="1" si="17"/>
        <v/>
      </c>
      <c r="P342" s="38" t="str">
        <f>IF(E342&lt;&gt;"",RANK(E342,$E$3:$E$2298)+COUNTIF($E$3:E342,E342)-1,"")</f>
        <v/>
      </c>
      <c r="Q342" s="8"/>
      <c r="R342" s="64"/>
    </row>
    <row r="343" spans="4:18" x14ac:dyDescent="0.25">
      <c r="D343" s="36" t="str" cm="1">
        <f t="array" aca="1" ref="D343" ca="1">IFERROR(IF(INDIRECT("'"&amp;F343&amp;"'!$C$5")&gt;0,DATE(YEAR(Dashboard!$AL$2),Dashboard!$AU$4,INDIRECT("'"&amp;F343&amp;"'!$C$5")),""),"")</f>
        <v/>
      </c>
      <c r="G343" s="38" t="str" cm="1">
        <f t="array" aca="1" ref="G343" ca="1">IF(F343="",
    "",
    IFERROR(
        IF(INDIRECT("'"&amp;F343&amp;"'!$B$2")="Credit Limit",
            "Credit Accounts",
            IF(INDIRECT("'"&amp;F343&amp;"'!$E$2")="Location",
                "Cash Accounts",
                IF(INDIRECT("'"&amp;F343&amp;"'!$B$2")="Amount",
                    "Investments",
                    "Bill Accounts"
                )
            )
        ),
    "")
)</f>
        <v/>
      </c>
      <c r="I343" s="46" t="str" cm="1">
        <f t="array" aca="1" ref="I343" ca="1">IF(F343&lt;&gt;"",IF(OR(G343="Bill Accounts",G343="Investments", G343="Cash Accounts"),INDIRECT("'"&amp;F343&amp;"'!$C$10"),INDIRECT("'"&amp;F343&amp;"'!$C$8")),"")</f>
        <v/>
      </c>
      <c r="K343" s="48">
        <f t="shared" si="18"/>
        <v>349</v>
      </c>
      <c r="L343" s="114" t="str" cm="1">
        <f t="array" aca="1" ref="L343" ca="1">IF(F343&lt;&gt;"",INDIRECT("'"&amp;F343&amp;"'!$F$17"),"")</f>
        <v/>
      </c>
      <c r="M343" s="116" t="str">
        <f t="shared" ca="1" si="16"/>
        <v/>
      </c>
      <c r="O343" s="49" t="str">
        <f t="shared" ca="1" si="17"/>
        <v/>
      </c>
      <c r="P343" s="38" t="str">
        <f>IF(E343&lt;&gt;"",RANK(E343,$E$3:$E$2298)+COUNTIF($E$3:E343,E343)-1,"")</f>
        <v/>
      </c>
      <c r="Q343" s="8"/>
      <c r="R343" s="64"/>
    </row>
    <row r="344" spans="4:18" x14ac:dyDescent="0.25">
      <c r="D344" s="36" t="str" cm="1">
        <f t="array" aca="1" ref="D344" ca="1">IFERROR(IF(INDIRECT("'"&amp;F344&amp;"'!$C$5")&gt;0,DATE(YEAR(Dashboard!$AL$2),Dashboard!$AU$4,INDIRECT("'"&amp;F344&amp;"'!$C$5")),""),"")</f>
        <v/>
      </c>
      <c r="G344" s="38" t="str" cm="1">
        <f t="array" aca="1" ref="G344" ca="1">IF(F344="",
    "",
    IFERROR(
        IF(INDIRECT("'"&amp;F344&amp;"'!$B$2")="Credit Limit",
            "Credit Accounts",
            IF(INDIRECT("'"&amp;F344&amp;"'!$E$2")="Location",
                "Cash Accounts",
                IF(INDIRECT("'"&amp;F344&amp;"'!$B$2")="Amount",
                    "Investments",
                    "Bill Accounts"
                )
            )
        ),
    "")
)</f>
        <v/>
      </c>
      <c r="I344" s="46" t="str" cm="1">
        <f t="array" aca="1" ref="I344" ca="1">IF(F344&lt;&gt;"",IF(OR(G344="Bill Accounts",G344="Investments", G344="Cash Accounts"),INDIRECT("'"&amp;F344&amp;"'!$C$10"),INDIRECT("'"&amp;F344&amp;"'!$C$8")),"")</f>
        <v/>
      </c>
      <c r="K344" s="48">
        <f t="shared" si="18"/>
        <v>350</v>
      </c>
      <c r="L344" s="114" t="str" cm="1">
        <f t="array" aca="1" ref="L344" ca="1">IF(F344&lt;&gt;"",INDIRECT("'"&amp;F344&amp;"'!$F$17"),"")</f>
        <v/>
      </c>
      <c r="M344" s="116" t="str">
        <f t="shared" ca="1" si="16"/>
        <v/>
      </c>
      <c r="O344" s="49" t="str">
        <f t="shared" ca="1" si="17"/>
        <v/>
      </c>
      <c r="P344" s="38" t="str">
        <f>IF(E344&lt;&gt;"",RANK(E344,$E$3:$E$2298)+COUNTIF($E$3:E344,E344)-1,"")</f>
        <v/>
      </c>
      <c r="Q344" s="8"/>
      <c r="R344" s="64"/>
    </row>
    <row r="345" spans="4:18" x14ac:dyDescent="0.25">
      <c r="D345" s="36" t="str" cm="1">
        <f t="array" aca="1" ref="D345" ca="1">IFERROR(IF(INDIRECT("'"&amp;F345&amp;"'!$C$5")&gt;0,DATE(YEAR(Dashboard!$AL$2),Dashboard!$AU$4,INDIRECT("'"&amp;F345&amp;"'!$C$5")),""),"")</f>
        <v/>
      </c>
      <c r="G345" s="38" t="str" cm="1">
        <f t="array" aca="1" ref="G345" ca="1">IF(F345="",
    "",
    IFERROR(
        IF(INDIRECT("'"&amp;F345&amp;"'!$B$2")="Credit Limit",
            "Credit Accounts",
            IF(INDIRECT("'"&amp;F345&amp;"'!$E$2")="Location",
                "Cash Accounts",
                IF(INDIRECT("'"&amp;F345&amp;"'!$B$2")="Amount",
                    "Investments",
                    "Bill Accounts"
                )
            )
        ),
    "")
)</f>
        <v/>
      </c>
      <c r="I345" s="46" t="str" cm="1">
        <f t="array" aca="1" ref="I345" ca="1">IF(F345&lt;&gt;"",IF(OR(G345="Bill Accounts",G345="Investments", G345="Cash Accounts"),INDIRECT("'"&amp;F345&amp;"'!$C$10"),INDIRECT("'"&amp;F345&amp;"'!$C$8")),"")</f>
        <v/>
      </c>
      <c r="K345" s="48">
        <f t="shared" si="18"/>
        <v>351</v>
      </c>
      <c r="L345" s="114" t="str" cm="1">
        <f t="array" aca="1" ref="L345" ca="1">IF(F345&lt;&gt;"",INDIRECT("'"&amp;F345&amp;"'!$F$17"),"")</f>
        <v/>
      </c>
      <c r="M345" s="116" t="str">
        <f t="shared" ca="1" si="16"/>
        <v/>
      </c>
      <c r="O345" s="49" t="str">
        <f t="shared" ca="1" si="17"/>
        <v/>
      </c>
      <c r="P345" s="38" t="str">
        <f>IF(E345&lt;&gt;"",RANK(E345,$E$3:$E$2298)+COUNTIF($E$3:E345,E345)-1,"")</f>
        <v/>
      </c>
      <c r="Q345" s="8"/>
      <c r="R345" s="64"/>
    </row>
    <row r="346" spans="4:18" x14ac:dyDescent="0.25">
      <c r="D346" s="36" t="str" cm="1">
        <f t="array" aca="1" ref="D346" ca="1">IFERROR(IF(INDIRECT("'"&amp;F346&amp;"'!$C$5")&gt;0,DATE(YEAR(Dashboard!$AL$2),Dashboard!$AU$4,INDIRECT("'"&amp;F346&amp;"'!$C$5")),""),"")</f>
        <v/>
      </c>
      <c r="G346" s="38" t="str" cm="1">
        <f t="array" aca="1" ref="G346" ca="1">IF(F346="",
    "",
    IFERROR(
        IF(INDIRECT("'"&amp;F346&amp;"'!$B$2")="Credit Limit",
            "Credit Accounts",
            IF(INDIRECT("'"&amp;F346&amp;"'!$E$2")="Location",
                "Cash Accounts",
                IF(INDIRECT("'"&amp;F346&amp;"'!$B$2")="Amount",
                    "Investments",
                    "Bill Accounts"
                )
            )
        ),
    "")
)</f>
        <v/>
      </c>
      <c r="I346" s="46" t="str" cm="1">
        <f t="array" aca="1" ref="I346" ca="1">IF(F346&lt;&gt;"",IF(OR(G346="Bill Accounts",G346="Investments", G346="Cash Accounts"),INDIRECT("'"&amp;F346&amp;"'!$C$10"),INDIRECT("'"&amp;F346&amp;"'!$C$8")),"")</f>
        <v/>
      </c>
      <c r="K346" s="48">
        <f t="shared" si="18"/>
        <v>352</v>
      </c>
      <c r="L346" s="114" t="str" cm="1">
        <f t="array" aca="1" ref="L346" ca="1">IF(F346&lt;&gt;"",INDIRECT("'"&amp;F346&amp;"'!$F$17"),"")</f>
        <v/>
      </c>
      <c r="M346" s="116" t="str">
        <f t="shared" ca="1" si="16"/>
        <v/>
      </c>
      <c r="O346" s="49" t="str">
        <f t="shared" ca="1" si="17"/>
        <v/>
      </c>
      <c r="P346" s="38" t="str">
        <f>IF(E346&lt;&gt;"",RANK(E346,$E$3:$E$2298)+COUNTIF($E$3:E346,E346)-1,"")</f>
        <v/>
      </c>
      <c r="Q346" s="8"/>
      <c r="R346" s="64"/>
    </row>
    <row r="347" spans="4:18" x14ac:dyDescent="0.25">
      <c r="D347" s="36" t="str" cm="1">
        <f t="array" aca="1" ref="D347" ca="1">IFERROR(IF(INDIRECT("'"&amp;F347&amp;"'!$C$5")&gt;0,DATE(YEAR(Dashboard!$AL$2),Dashboard!$AU$4,INDIRECT("'"&amp;F347&amp;"'!$C$5")),""),"")</f>
        <v/>
      </c>
      <c r="G347" s="38" t="str" cm="1">
        <f t="array" aca="1" ref="G347" ca="1">IF(F347="",
    "",
    IFERROR(
        IF(INDIRECT("'"&amp;F347&amp;"'!$B$2")="Credit Limit",
            "Credit Accounts",
            IF(INDIRECT("'"&amp;F347&amp;"'!$E$2")="Location",
                "Cash Accounts",
                IF(INDIRECT("'"&amp;F347&amp;"'!$B$2")="Amount",
                    "Investments",
                    "Bill Accounts"
                )
            )
        ),
    "")
)</f>
        <v/>
      </c>
      <c r="I347" s="46" t="str" cm="1">
        <f t="array" aca="1" ref="I347" ca="1">IF(F347&lt;&gt;"",IF(OR(G347="Bill Accounts",G347="Investments", G347="Cash Accounts"),INDIRECT("'"&amp;F347&amp;"'!$C$10"),INDIRECT("'"&amp;F347&amp;"'!$C$8")),"")</f>
        <v/>
      </c>
      <c r="K347" s="48">
        <f t="shared" si="18"/>
        <v>353</v>
      </c>
      <c r="L347" s="114" t="str" cm="1">
        <f t="array" aca="1" ref="L347" ca="1">IF(F347&lt;&gt;"",INDIRECT("'"&amp;F347&amp;"'!$F$17"),"")</f>
        <v/>
      </c>
      <c r="M347" s="116" t="str">
        <f t="shared" ca="1" si="16"/>
        <v/>
      </c>
      <c r="O347" s="49" t="str">
        <f t="shared" ca="1" si="17"/>
        <v/>
      </c>
      <c r="P347" s="38" t="str">
        <f>IF(E347&lt;&gt;"",RANK(E347,$E$3:$E$2298)+COUNTIF($E$3:E347,E347)-1,"")</f>
        <v/>
      </c>
      <c r="Q347" s="8"/>
      <c r="R347" s="64"/>
    </row>
    <row r="348" spans="4:18" x14ac:dyDescent="0.25">
      <c r="D348" s="36" t="str" cm="1">
        <f t="array" aca="1" ref="D348" ca="1">IFERROR(IF(INDIRECT("'"&amp;F348&amp;"'!$C$5")&gt;0,DATE(YEAR(Dashboard!$AL$2),Dashboard!$AU$4,INDIRECT("'"&amp;F348&amp;"'!$C$5")),""),"")</f>
        <v/>
      </c>
      <c r="G348" s="38" t="str" cm="1">
        <f t="array" aca="1" ref="G348" ca="1">IF(F348="",
    "",
    IFERROR(
        IF(INDIRECT("'"&amp;F348&amp;"'!$B$2")="Credit Limit",
            "Credit Accounts",
            IF(INDIRECT("'"&amp;F348&amp;"'!$E$2")="Location",
                "Cash Accounts",
                IF(INDIRECT("'"&amp;F348&amp;"'!$B$2")="Amount",
                    "Investments",
                    "Bill Accounts"
                )
            )
        ),
    "")
)</f>
        <v/>
      </c>
      <c r="I348" s="46" t="str" cm="1">
        <f t="array" aca="1" ref="I348" ca="1">IF(F348&lt;&gt;"",IF(OR(G348="Bill Accounts",G348="Investments", G348="Cash Accounts"),INDIRECT("'"&amp;F348&amp;"'!$C$10"),INDIRECT("'"&amp;F348&amp;"'!$C$8")),"")</f>
        <v/>
      </c>
      <c r="K348" s="48">
        <f t="shared" si="18"/>
        <v>354</v>
      </c>
      <c r="L348" s="114" t="str" cm="1">
        <f t="array" aca="1" ref="L348" ca="1">IF(F348&lt;&gt;"",INDIRECT("'"&amp;F348&amp;"'!$F$17"),"")</f>
        <v/>
      </c>
      <c r="M348" s="116" t="str">
        <f t="shared" ca="1" si="16"/>
        <v/>
      </c>
      <c r="O348" s="49" t="str">
        <f t="shared" ca="1" si="17"/>
        <v/>
      </c>
      <c r="P348" s="38" t="str">
        <f>IF(E348&lt;&gt;"",RANK(E348,$E$3:$E$2298)+COUNTIF($E$3:E348,E348)-1,"")</f>
        <v/>
      </c>
      <c r="Q348" s="8"/>
      <c r="R348" s="64"/>
    </row>
    <row r="349" spans="4:18" x14ac:dyDescent="0.25">
      <c r="D349" s="36" t="str" cm="1">
        <f t="array" aca="1" ref="D349" ca="1">IFERROR(IF(INDIRECT("'"&amp;F349&amp;"'!$C$5")&gt;0,DATE(YEAR(Dashboard!$AL$2),Dashboard!$AU$4,INDIRECT("'"&amp;F349&amp;"'!$C$5")),""),"")</f>
        <v/>
      </c>
      <c r="G349" s="38" t="str" cm="1">
        <f t="array" aca="1" ref="G349" ca="1">IF(F349="",
    "",
    IFERROR(
        IF(INDIRECT("'"&amp;F349&amp;"'!$B$2")="Credit Limit",
            "Credit Accounts",
            IF(INDIRECT("'"&amp;F349&amp;"'!$E$2")="Location",
                "Cash Accounts",
                IF(INDIRECT("'"&amp;F349&amp;"'!$B$2")="Amount",
                    "Investments",
                    "Bill Accounts"
                )
            )
        ),
    "")
)</f>
        <v/>
      </c>
      <c r="I349" s="46" t="str" cm="1">
        <f t="array" aca="1" ref="I349" ca="1">IF(F349&lt;&gt;"",IF(OR(G349="Bill Accounts",G349="Investments", G349="Cash Accounts"),INDIRECT("'"&amp;F349&amp;"'!$C$10"),INDIRECT("'"&amp;F349&amp;"'!$C$8")),"")</f>
        <v/>
      </c>
      <c r="K349" s="48">
        <f t="shared" si="18"/>
        <v>355</v>
      </c>
      <c r="L349" s="114" t="str" cm="1">
        <f t="array" aca="1" ref="L349" ca="1">IF(F349&lt;&gt;"",INDIRECT("'"&amp;F349&amp;"'!$F$17"),"")</f>
        <v/>
      </c>
      <c r="M349" s="116" t="str">
        <f t="shared" ca="1" si="16"/>
        <v/>
      </c>
      <c r="O349" s="49" t="str">
        <f t="shared" ca="1" si="17"/>
        <v/>
      </c>
      <c r="P349" s="38" t="str">
        <f>IF(E349&lt;&gt;"",RANK(E349,$E$3:$E$2298)+COUNTIF($E$3:E349,E349)-1,"")</f>
        <v/>
      </c>
      <c r="Q349" s="8"/>
      <c r="R349" s="64"/>
    </row>
    <row r="350" spans="4:18" x14ac:dyDescent="0.25">
      <c r="D350" s="36" t="str" cm="1">
        <f t="array" aca="1" ref="D350" ca="1">IFERROR(IF(INDIRECT("'"&amp;F350&amp;"'!$C$5")&gt;0,DATE(YEAR(Dashboard!$AL$2),Dashboard!$AU$4,INDIRECT("'"&amp;F350&amp;"'!$C$5")),""),"")</f>
        <v/>
      </c>
      <c r="G350" s="38" t="str" cm="1">
        <f t="array" aca="1" ref="G350" ca="1">IF(F350="",
    "",
    IFERROR(
        IF(INDIRECT("'"&amp;F350&amp;"'!$B$2")="Credit Limit",
            "Credit Accounts",
            IF(INDIRECT("'"&amp;F350&amp;"'!$E$2")="Location",
                "Cash Accounts",
                IF(INDIRECT("'"&amp;F350&amp;"'!$B$2")="Amount",
                    "Investments",
                    "Bill Accounts"
                )
            )
        ),
    "")
)</f>
        <v/>
      </c>
      <c r="I350" s="46" t="str" cm="1">
        <f t="array" aca="1" ref="I350" ca="1">IF(F350&lt;&gt;"",IF(OR(G350="Bill Accounts",G350="Investments", G350="Cash Accounts"),INDIRECT("'"&amp;F350&amp;"'!$C$10"),INDIRECT("'"&amp;F350&amp;"'!$C$8")),"")</f>
        <v/>
      </c>
      <c r="K350" s="48">
        <f t="shared" si="18"/>
        <v>356</v>
      </c>
      <c r="L350" s="114" t="str" cm="1">
        <f t="array" aca="1" ref="L350" ca="1">IF(F350&lt;&gt;"",INDIRECT("'"&amp;F350&amp;"'!$F$17"),"")</f>
        <v/>
      </c>
      <c r="M350" s="116" t="str">
        <f t="shared" ca="1" si="16"/>
        <v/>
      </c>
      <c r="O350" s="49" t="str">
        <f t="shared" ca="1" si="17"/>
        <v/>
      </c>
      <c r="P350" s="38" t="str">
        <f>IF(E350&lt;&gt;"",RANK(E350,$E$3:$E$2298)+COUNTIF($E$3:E350,E350)-1,"")</f>
        <v/>
      </c>
      <c r="Q350" s="8"/>
      <c r="R350" s="64"/>
    </row>
    <row r="351" spans="4:18" x14ac:dyDescent="0.25">
      <c r="D351" s="36" t="str" cm="1">
        <f t="array" aca="1" ref="D351" ca="1">IFERROR(IF(INDIRECT("'"&amp;F351&amp;"'!$C$5")&gt;0,DATE(YEAR(Dashboard!$AL$2),Dashboard!$AU$4,INDIRECT("'"&amp;F351&amp;"'!$C$5")),""),"")</f>
        <v/>
      </c>
      <c r="G351" s="38" t="str" cm="1">
        <f t="array" aca="1" ref="G351" ca="1">IF(F351="",
    "",
    IFERROR(
        IF(INDIRECT("'"&amp;F351&amp;"'!$B$2")="Credit Limit",
            "Credit Accounts",
            IF(INDIRECT("'"&amp;F351&amp;"'!$E$2")="Location",
                "Cash Accounts",
                IF(INDIRECT("'"&amp;F351&amp;"'!$B$2")="Amount",
                    "Investments",
                    "Bill Accounts"
                )
            )
        ),
    "")
)</f>
        <v/>
      </c>
      <c r="I351" s="46" t="str" cm="1">
        <f t="array" aca="1" ref="I351" ca="1">IF(F351&lt;&gt;"",IF(OR(G351="Bill Accounts",G351="Investments", G351="Cash Accounts"),INDIRECT("'"&amp;F351&amp;"'!$C$10"),INDIRECT("'"&amp;F351&amp;"'!$C$8")),"")</f>
        <v/>
      </c>
      <c r="K351" s="48">
        <f t="shared" si="18"/>
        <v>357</v>
      </c>
      <c r="L351" s="114" t="str" cm="1">
        <f t="array" aca="1" ref="L351" ca="1">IF(F351&lt;&gt;"",INDIRECT("'"&amp;F351&amp;"'!$F$17"),"")</f>
        <v/>
      </c>
      <c r="M351" s="116" t="str">
        <f t="shared" ca="1" si="16"/>
        <v/>
      </c>
      <c r="O351" s="49" t="str">
        <f t="shared" ca="1" si="17"/>
        <v/>
      </c>
      <c r="P351" s="38" t="str">
        <f>IF(E351&lt;&gt;"",RANK(E351,$E$3:$E$2298)+COUNTIF($E$3:E351,E351)-1,"")</f>
        <v/>
      </c>
      <c r="Q351" s="8"/>
      <c r="R351" s="64"/>
    </row>
    <row r="352" spans="4:18" x14ac:dyDescent="0.25">
      <c r="D352" s="36" t="str" cm="1">
        <f t="array" aca="1" ref="D352" ca="1">IFERROR(IF(INDIRECT("'"&amp;F352&amp;"'!$C$5")&gt;0,DATE(YEAR(Dashboard!$AL$2),Dashboard!$AU$4,INDIRECT("'"&amp;F352&amp;"'!$C$5")),""),"")</f>
        <v/>
      </c>
      <c r="G352" s="38" t="str" cm="1">
        <f t="array" aca="1" ref="G352" ca="1">IF(F352="",
    "",
    IFERROR(
        IF(INDIRECT("'"&amp;F352&amp;"'!$B$2")="Credit Limit",
            "Credit Accounts",
            IF(INDIRECT("'"&amp;F352&amp;"'!$E$2")="Location",
                "Cash Accounts",
                IF(INDIRECT("'"&amp;F352&amp;"'!$B$2")="Amount",
                    "Investments",
                    "Bill Accounts"
                )
            )
        ),
    "")
)</f>
        <v/>
      </c>
      <c r="I352" s="46" t="str" cm="1">
        <f t="array" aca="1" ref="I352" ca="1">IF(F352&lt;&gt;"",IF(OR(G352="Bill Accounts",G352="Investments", G352="Cash Accounts"),INDIRECT("'"&amp;F352&amp;"'!$C$10"),INDIRECT("'"&amp;F352&amp;"'!$C$8")),"")</f>
        <v/>
      </c>
      <c r="K352" s="48">
        <f t="shared" si="18"/>
        <v>358</v>
      </c>
      <c r="L352" s="114" t="str" cm="1">
        <f t="array" aca="1" ref="L352" ca="1">IF(F352&lt;&gt;"",INDIRECT("'"&amp;F352&amp;"'!$F$17"),"")</f>
        <v/>
      </c>
      <c r="M352" s="116" t="str">
        <f t="shared" ca="1" si="16"/>
        <v/>
      </c>
      <c r="O352" s="49" t="str">
        <f t="shared" ca="1" si="17"/>
        <v/>
      </c>
      <c r="P352" s="38" t="str">
        <f>IF(E352&lt;&gt;"",RANK(E352,$E$3:$E$2298)+COUNTIF($E$3:E352,E352)-1,"")</f>
        <v/>
      </c>
      <c r="Q352" s="8"/>
      <c r="R352" s="64"/>
    </row>
    <row r="353" spans="4:18" x14ac:dyDescent="0.25">
      <c r="D353" s="36" t="str" cm="1">
        <f t="array" aca="1" ref="D353" ca="1">IFERROR(IF(INDIRECT("'"&amp;F353&amp;"'!$C$5")&gt;0,DATE(YEAR(Dashboard!$AL$2),Dashboard!$AU$4,INDIRECT("'"&amp;F353&amp;"'!$C$5")),""),"")</f>
        <v/>
      </c>
      <c r="G353" s="38" t="str" cm="1">
        <f t="array" aca="1" ref="G353" ca="1">IF(F353="",
    "",
    IFERROR(
        IF(INDIRECT("'"&amp;F353&amp;"'!$B$2")="Credit Limit",
            "Credit Accounts",
            IF(INDIRECT("'"&amp;F353&amp;"'!$E$2")="Location",
                "Cash Accounts",
                IF(INDIRECT("'"&amp;F353&amp;"'!$B$2")="Amount",
                    "Investments",
                    "Bill Accounts"
                )
            )
        ),
    "")
)</f>
        <v/>
      </c>
      <c r="I353" s="46" t="str" cm="1">
        <f t="array" aca="1" ref="I353" ca="1">IF(F353&lt;&gt;"",IF(OR(G353="Bill Accounts",G353="Investments", G353="Cash Accounts"),INDIRECT("'"&amp;F353&amp;"'!$C$10"),INDIRECT("'"&amp;F353&amp;"'!$C$8")),"")</f>
        <v/>
      </c>
      <c r="K353" s="48">
        <f t="shared" si="18"/>
        <v>359</v>
      </c>
      <c r="L353" s="114" t="str" cm="1">
        <f t="array" aca="1" ref="L353" ca="1">IF(F353&lt;&gt;"",INDIRECT("'"&amp;F353&amp;"'!$F$17"),"")</f>
        <v/>
      </c>
      <c r="M353" s="116" t="str">
        <f t="shared" ca="1" si="16"/>
        <v/>
      </c>
      <c r="O353" s="49" t="str">
        <f t="shared" ca="1" si="17"/>
        <v/>
      </c>
      <c r="P353" s="38" t="str">
        <f>IF(E353&lt;&gt;"",RANK(E353,$E$3:$E$2298)+COUNTIF($E$3:E353,E353)-1,"")</f>
        <v/>
      </c>
      <c r="Q353" s="8"/>
      <c r="R353" s="64"/>
    </row>
    <row r="354" spans="4:18" x14ac:dyDescent="0.25">
      <c r="D354" s="36" t="str" cm="1">
        <f t="array" aca="1" ref="D354" ca="1">IFERROR(IF(INDIRECT("'"&amp;F354&amp;"'!$C$5")&gt;0,DATE(YEAR(Dashboard!$AL$2),Dashboard!$AU$4,INDIRECT("'"&amp;F354&amp;"'!$C$5")),""),"")</f>
        <v/>
      </c>
      <c r="G354" s="38" t="str" cm="1">
        <f t="array" aca="1" ref="G354" ca="1">IF(F354="",
    "",
    IFERROR(
        IF(INDIRECT("'"&amp;F354&amp;"'!$B$2")="Credit Limit",
            "Credit Accounts",
            IF(INDIRECT("'"&amp;F354&amp;"'!$E$2")="Location",
                "Cash Accounts",
                IF(INDIRECT("'"&amp;F354&amp;"'!$B$2")="Amount",
                    "Investments",
                    "Bill Accounts"
                )
            )
        ),
    "")
)</f>
        <v/>
      </c>
      <c r="I354" s="46" t="str" cm="1">
        <f t="array" aca="1" ref="I354" ca="1">IF(F354&lt;&gt;"",IF(OR(G354="Bill Accounts",G354="Investments", G354="Cash Accounts"),INDIRECT("'"&amp;F354&amp;"'!$C$10"),INDIRECT("'"&amp;F354&amp;"'!$C$8")),"")</f>
        <v/>
      </c>
      <c r="K354" s="48">
        <f t="shared" si="18"/>
        <v>360</v>
      </c>
      <c r="L354" s="114" t="str" cm="1">
        <f t="array" aca="1" ref="L354" ca="1">IF(F354&lt;&gt;"",INDIRECT("'"&amp;F354&amp;"'!$F$17"),"")</f>
        <v/>
      </c>
      <c r="M354" s="116" t="str">
        <f t="shared" ca="1" si="16"/>
        <v/>
      </c>
      <c r="O354" s="49" t="str">
        <f t="shared" ca="1" si="17"/>
        <v/>
      </c>
      <c r="P354" s="38" t="str">
        <f>IF(E354&lt;&gt;"",RANK(E354,$E$3:$E$2298)+COUNTIF($E$3:E354,E354)-1,"")</f>
        <v/>
      </c>
      <c r="Q354" s="8"/>
      <c r="R354" s="64"/>
    </row>
    <row r="355" spans="4:18" x14ac:dyDescent="0.25">
      <c r="D355" s="36" t="str" cm="1">
        <f t="array" aca="1" ref="D355" ca="1">IFERROR(IF(INDIRECT("'"&amp;F355&amp;"'!$C$5")&gt;0,DATE(YEAR(Dashboard!$AL$2),Dashboard!$AU$4,INDIRECT("'"&amp;F355&amp;"'!$C$5")),""),"")</f>
        <v/>
      </c>
      <c r="G355" s="38" t="str" cm="1">
        <f t="array" aca="1" ref="G355" ca="1">IF(F355="",
    "",
    IFERROR(
        IF(INDIRECT("'"&amp;F355&amp;"'!$B$2")="Credit Limit",
            "Credit Accounts",
            IF(INDIRECT("'"&amp;F355&amp;"'!$E$2")="Location",
                "Cash Accounts",
                IF(INDIRECT("'"&amp;F355&amp;"'!$B$2")="Amount",
                    "Investments",
                    "Bill Accounts"
                )
            )
        ),
    "")
)</f>
        <v/>
      </c>
      <c r="I355" s="46" t="str" cm="1">
        <f t="array" aca="1" ref="I355" ca="1">IF(F355&lt;&gt;"",IF(OR(G355="Bill Accounts",G355="Investments", G355="Cash Accounts"),INDIRECT("'"&amp;F355&amp;"'!$C$10"),INDIRECT("'"&amp;F355&amp;"'!$C$8")),"")</f>
        <v/>
      </c>
      <c r="K355" s="48">
        <f t="shared" si="18"/>
        <v>361</v>
      </c>
      <c r="L355" s="114" t="str" cm="1">
        <f t="array" aca="1" ref="L355" ca="1">IF(F355&lt;&gt;"",INDIRECT("'"&amp;F355&amp;"'!$F$17"),"")</f>
        <v/>
      </c>
      <c r="M355" s="116" t="str">
        <f t="shared" ca="1" si="16"/>
        <v/>
      </c>
      <c r="O355" s="49" t="str">
        <f t="shared" ca="1" si="17"/>
        <v/>
      </c>
      <c r="P355" s="38" t="str">
        <f>IF(E355&lt;&gt;"",RANK(E355,$E$3:$E$2298)+COUNTIF($E$3:E355,E355)-1,"")</f>
        <v/>
      </c>
      <c r="Q355" s="8"/>
      <c r="R355" s="64"/>
    </row>
    <row r="356" spans="4:18" x14ac:dyDescent="0.25">
      <c r="D356" s="36" t="str" cm="1">
        <f t="array" aca="1" ref="D356" ca="1">IFERROR(IF(INDIRECT("'"&amp;F356&amp;"'!$C$5")&gt;0,DATE(YEAR(Dashboard!$AL$2),Dashboard!$AU$4,INDIRECT("'"&amp;F356&amp;"'!$C$5")),""),"")</f>
        <v/>
      </c>
      <c r="G356" s="38" t="str" cm="1">
        <f t="array" aca="1" ref="G356" ca="1">IF(F356="",
    "",
    IFERROR(
        IF(INDIRECT("'"&amp;F356&amp;"'!$B$2")="Credit Limit",
            "Credit Accounts",
            IF(INDIRECT("'"&amp;F356&amp;"'!$E$2")="Location",
                "Cash Accounts",
                IF(INDIRECT("'"&amp;F356&amp;"'!$B$2")="Amount",
                    "Investments",
                    "Bill Accounts"
                )
            )
        ),
    "")
)</f>
        <v/>
      </c>
      <c r="I356" s="46" t="str" cm="1">
        <f t="array" aca="1" ref="I356" ca="1">IF(F356&lt;&gt;"",IF(OR(G356="Bill Accounts",G356="Investments", G356="Cash Accounts"),INDIRECT("'"&amp;F356&amp;"'!$C$10"),INDIRECT("'"&amp;F356&amp;"'!$C$8")),"")</f>
        <v/>
      </c>
      <c r="K356" s="48">
        <f t="shared" si="18"/>
        <v>362</v>
      </c>
      <c r="L356" s="114" t="str" cm="1">
        <f t="array" aca="1" ref="L356" ca="1">IF(F356&lt;&gt;"",INDIRECT("'"&amp;F356&amp;"'!$F$17"),"")</f>
        <v/>
      </c>
      <c r="M356" s="116" t="str">
        <f t="shared" ca="1" si="16"/>
        <v/>
      </c>
      <c r="O356" s="49" t="str">
        <f t="shared" ca="1" si="17"/>
        <v/>
      </c>
      <c r="P356" s="38" t="str">
        <f>IF(E356&lt;&gt;"",RANK(E356,$E$3:$E$2298)+COUNTIF($E$3:E356,E356)-1,"")</f>
        <v/>
      </c>
      <c r="Q356" s="8"/>
      <c r="R356" s="64"/>
    </row>
    <row r="357" spans="4:18" x14ac:dyDescent="0.25">
      <c r="D357" s="36" t="str" cm="1">
        <f t="array" aca="1" ref="D357" ca="1">IFERROR(IF(INDIRECT("'"&amp;F357&amp;"'!$C$5")&gt;0,DATE(YEAR(Dashboard!$AL$2),Dashboard!$AU$4,INDIRECT("'"&amp;F357&amp;"'!$C$5")),""),"")</f>
        <v/>
      </c>
      <c r="G357" s="38" t="str" cm="1">
        <f t="array" aca="1" ref="G357" ca="1">IF(F357="",
    "",
    IFERROR(
        IF(INDIRECT("'"&amp;F357&amp;"'!$B$2")="Credit Limit",
            "Credit Accounts",
            IF(INDIRECT("'"&amp;F357&amp;"'!$E$2")="Location",
                "Cash Accounts",
                IF(INDIRECT("'"&amp;F357&amp;"'!$B$2")="Amount",
                    "Investments",
                    "Bill Accounts"
                )
            )
        ),
    "")
)</f>
        <v/>
      </c>
      <c r="I357" s="46" t="str" cm="1">
        <f t="array" aca="1" ref="I357" ca="1">IF(F357&lt;&gt;"",IF(OR(G357="Bill Accounts",G357="Investments", G357="Cash Accounts"),INDIRECT("'"&amp;F357&amp;"'!$C$10"),INDIRECT("'"&amp;F357&amp;"'!$C$8")),"")</f>
        <v/>
      </c>
      <c r="K357" s="48">
        <f t="shared" si="18"/>
        <v>363</v>
      </c>
      <c r="L357" s="114" t="str" cm="1">
        <f t="array" aca="1" ref="L357" ca="1">IF(F357&lt;&gt;"",INDIRECT("'"&amp;F357&amp;"'!$F$17"),"")</f>
        <v/>
      </c>
      <c r="M357" s="116" t="str">
        <f t="shared" ca="1" si="16"/>
        <v/>
      </c>
      <c r="O357" s="49" t="str">
        <f t="shared" ca="1" si="17"/>
        <v/>
      </c>
      <c r="P357" s="38" t="str">
        <f>IF(E357&lt;&gt;"",RANK(E357,$E$3:$E$2298)+COUNTIF($E$3:E357,E357)-1,"")</f>
        <v/>
      </c>
      <c r="Q357" s="8"/>
      <c r="R357" s="64"/>
    </row>
    <row r="358" spans="4:18" x14ac:dyDescent="0.25">
      <c r="D358" s="36" t="str" cm="1">
        <f t="array" aca="1" ref="D358" ca="1">IFERROR(IF(INDIRECT("'"&amp;F358&amp;"'!$C$5")&gt;0,DATE(YEAR(Dashboard!$AL$2),Dashboard!$AU$4,INDIRECT("'"&amp;F358&amp;"'!$C$5")),""),"")</f>
        <v/>
      </c>
      <c r="G358" s="38" t="str" cm="1">
        <f t="array" aca="1" ref="G358" ca="1">IF(F358="",
    "",
    IFERROR(
        IF(INDIRECT("'"&amp;F358&amp;"'!$B$2")="Credit Limit",
            "Credit Accounts",
            IF(INDIRECT("'"&amp;F358&amp;"'!$E$2")="Location",
                "Cash Accounts",
                IF(INDIRECT("'"&amp;F358&amp;"'!$B$2")="Amount",
                    "Investments",
                    "Bill Accounts"
                )
            )
        ),
    "")
)</f>
        <v/>
      </c>
      <c r="I358" s="46" t="str" cm="1">
        <f t="array" aca="1" ref="I358" ca="1">IF(F358&lt;&gt;"",IF(OR(G358="Bill Accounts",G358="Investments", G358="Cash Accounts"),INDIRECT("'"&amp;F358&amp;"'!$C$10"),INDIRECT("'"&amp;F358&amp;"'!$C$8")),"")</f>
        <v/>
      </c>
      <c r="K358" s="48">
        <f t="shared" si="18"/>
        <v>364</v>
      </c>
      <c r="L358" s="114" t="str" cm="1">
        <f t="array" aca="1" ref="L358" ca="1">IF(F358&lt;&gt;"",INDIRECT("'"&amp;F358&amp;"'!$F$17"),"")</f>
        <v/>
      </c>
      <c r="M358" s="116" t="str">
        <f t="shared" ca="1" si="16"/>
        <v/>
      </c>
      <c r="O358" s="49" t="str">
        <f t="shared" ca="1" si="17"/>
        <v/>
      </c>
      <c r="P358" s="38" t="str">
        <f>IF(E358&lt;&gt;"",RANK(E358,$E$3:$E$2298)+COUNTIF($E$3:E358,E358)-1,"")</f>
        <v/>
      </c>
      <c r="Q358" s="8"/>
      <c r="R358" s="64"/>
    </row>
    <row r="359" spans="4:18" x14ac:dyDescent="0.25">
      <c r="D359" s="36" t="str" cm="1">
        <f t="array" aca="1" ref="D359" ca="1">IFERROR(IF(INDIRECT("'"&amp;F359&amp;"'!$C$5")&gt;0,DATE(YEAR(Dashboard!$AL$2),Dashboard!$AU$4,INDIRECT("'"&amp;F359&amp;"'!$C$5")),""),"")</f>
        <v/>
      </c>
      <c r="G359" s="38" t="str" cm="1">
        <f t="array" aca="1" ref="G359" ca="1">IF(F359="",
    "",
    IFERROR(
        IF(INDIRECT("'"&amp;F359&amp;"'!$B$2")="Credit Limit",
            "Credit Accounts",
            IF(INDIRECT("'"&amp;F359&amp;"'!$E$2")="Location",
                "Cash Accounts",
                IF(INDIRECT("'"&amp;F359&amp;"'!$B$2")="Amount",
                    "Investments",
                    "Bill Accounts"
                )
            )
        ),
    "")
)</f>
        <v/>
      </c>
      <c r="I359" s="46" t="str" cm="1">
        <f t="array" aca="1" ref="I359" ca="1">IF(F359&lt;&gt;"",IF(OR(G359="Bill Accounts",G359="Investments", G359="Cash Accounts"),INDIRECT("'"&amp;F359&amp;"'!$C$10"),INDIRECT("'"&amp;F359&amp;"'!$C$8")),"")</f>
        <v/>
      </c>
      <c r="K359" s="48">
        <f t="shared" si="18"/>
        <v>365</v>
      </c>
      <c r="L359" s="114" t="str" cm="1">
        <f t="array" aca="1" ref="L359" ca="1">IF(F359&lt;&gt;"",INDIRECT("'"&amp;F359&amp;"'!$F$17"),"")</f>
        <v/>
      </c>
      <c r="M359" s="116" t="str">
        <f t="shared" ca="1" si="16"/>
        <v/>
      </c>
      <c r="O359" s="49" t="str">
        <f t="shared" ca="1" si="17"/>
        <v/>
      </c>
      <c r="P359" s="38" t="str">
        <f>IF(E359&lt;&gt;"",RANK(E359,$E$3:$E$2298)+COUNTIF($E$3:E359,E359)-1,"")</f>
        <v/>
      </c>
      <c r="Q359" s="8"/>
      <c r="R359" s="64"/>
    </row>
    <row r="360" spans="4:18" x14ac:dyDescent="0.25">
      <c r="D360" s="36" t="str" cm="1">
        <f t="array" aca="1" ref="D360" ca="1">IFERROR(IF(INDIRECT("'"&amp;F360&amp;"'!$C$5")&gt;0,DATE(YEAR(Dashboard!$AL$2),Dashboard!$AU$4,INDIRECT("'"&amp;F360&amp;"'!$C$5")),""),"")</f>
        <v/>
      </c>
      <c r="G360" s="38" t="str" cm="1">
        <f t="array" aca="1" ref="G360" ca="1">IF(F360="",
    "",
    IFERROR(
        IF(INDIRECT("'"&amp;F360&amp;"'!$B$2")="Credit Limit",
            "Credit Accounts",
            IF(INDIRECT("'"&amp;F360&amp;"'!$E$2")="Location",
                "Cash Accounts",
                IF(INDIRECT("'"&amp;F360&amp;"'!$B$2")="Amount",
                    "Investments",
                    "Bill Accounts"
                )
            )
        ),
    "")
)</f>
        <v/>
      </c>
      <c r="I360" s="46" t="str" cm="1">
        <f t="array" aca="1" ref="I360" ca="1">IF(F360&lt;&gt;"",IF(OR(G360="Bill Accounts",G360="Investments", G360="Cash Accounts"),INDIRECT("'"&amp;F360&amp;"'!$C$10"),INDIRECT("'"&amp;F360&amp;"'!$C$8")),"")</f>
        <v/>
      </c>
      <c r="K360" s="48">
        <f t="shared" si="18"/>
        <v>366</v>
      </c>
      <c r="L360" s="114" t="str" cm="1">
        <f t="array" aca="1" ref="L360" ca="1">IF(F360&lt;&gt;"",INDIRECT("'"&amp;F360&amp;"'!$F$17"),"")</f>
        <v/>
      </c>
      <c r="M360" s="116" t="str">
        <f t="shared" ca="1" si="16"/>
        <v/>
      </c>
      <c r="O360" s="49" t="str">
        <f t="shared" ca="1" si="17"/>
        <v/>
      </c>
      <c r="P360" s="38" t="str">
        <f>IF(E360&lt;&gt;"",RANK(E360,$E$3:$E$2298)+COUNTIF($E$3:E360,E360)-1,"")</f>
        <v/>
      </c>
      <c r="Q360" s="8"/>
      <c r="R360" s="64"/>
    </row>
    <row r="361" spans="4:18" x14ac:dyDescent="0.25">
      <c r="D361" s="36" t="str" cm="1">
        <f t="array" aca="1" ref="D361" ca="1">IFERROR(IF(INDIRECT("'"&amp;F361&amp;"'!$C$5")&gt;0,DATE(YEAR(Dashboard!$AL$2),Dashboard!$AU$4,INDIRECT("'"&amp;F361&amp;"'!$C$5")),""),"")</f>
        <v/>
      </c>
      <c r="G361" s="38" t="str" cm="1">
        <f t="array" aca="1" ref="G361" ca="1">IF(F361="",
    "",
    IFERROR(
        IF(INDIRECT("'"&amp;F361&amp;"'!$B$2")="Credit Limit",
            "Credit Accounts",
            IF(INDIRECT("'"&amp;F361&amp;"'!$E$2")="Location",
                "Cash Accounts",
                IF(INDIRECT("'"&amp;F361&amp;"'!$B$2")="Amount",
                    "Investments",
                    "Bill Accounts"
                )
            )
        ),
    "")
)</f>
        <v/>
      </c>
      <c r="I361" s="46" t="str" cm="1">
        <f t="array" aca="1" ref="I361" ca="1">IF(F361&lt;&gt;"",IF(OR(G361="Bill Accounts",G361="Investments", G361="Cash Accounts"),INDIRECT("'"&amp;F361&amp;"'!$C$10"),INDIRECT("'"&amp;F361&amp;"'!$C$8")),"")</f>
        <v/>
      </c>
      <c r="K361" s="48">
        <f t="shared" si="18"/>
        <v>367</v>
      </c>
      <c r="L361" s="114" t="str" cm="1">
        <f t="array" aca="1" ref="L361" ca="1">IF(F361&lt;&gt;"",INDIRECT("'"&amp;F361&amp;"'!$F$17"),"")</f>
        <v/>
      </c>
      <c r="M361" s="116" t="str">
        <f t="shared" ca="1" si="16"/>
        <v/>
      </c>
      <c r="O361" s="49" t="str">
        <f t="shared" ca="1" si="17"/>
        <v/>
      </c>
      <c r="P361" s="38" t="str">
        <f>IF(E361&lt;&gt;"",RANK(E361,$E$3:$E$2298)+COUNTIF($E$3:E361,E361)-1,"")</f>
        <v/>
      </c>
      <c r="Q361" s="8"/>
      <c r="R361" s="64"/>
    </row>
    <row r="362" spans="4:18" x14ac:dyDescent="0.25">
      <c r="D362" s="36" t="str" cm="1">
        <f t="array" aca="1" ref="D362" ca="1">IFERROR(IF(INDIRECT("'"&amp;F362&amp;"'!$C$5")&gt;0,DATE(YEAR(Dashboard!$AL$2),Dashboard!$AU$4,INDIRECT("'"&amp;F362&amp;"'!$C$5")),""),"")</f>
        <v/>
      </c>
      <c r="G362" s="38" t="str" cm="1">
        <f t="array" aca="1" ref="G362" ca="1">IF(F362="",
    "",
    IFERROR(
        IF(INDIRECT("'"&amp;F362&amp;"'!$B$2")="Credit Limit",
            "Credit Accounts",
            IF(INDIRECT("'"&amp;F362&amp;"'!$E$2")="Location",
                "Cash Accounts",
                IF(INDIRECT("'"&amp;F362&amp;"'!$B$2")="Amount",
                    "Investments",
                    "Bill Accounts"
                )
            )
        ),
    "")
)</f>
        <v/>
      </c>
      <c r="I362" s="46" t="str" cm="1">
        <f t="array" aca="1" ref="I362" ca="1">IF(F362&lt;&gt;"",IF(OR(G362="Bill Accounts",G362="Investments", G362="Cash Accounts"),INDIRECT("'"&amp;F362&amp;"'!$C$10"),INDIRECT("'"&amp;F362&amp;"'!$C$8")),"")</f>
        <v/>
      </c>
      <c r="K362" s="48">
        <f t="shared" si="18"/>
        <v>368</v>
      </c>
      <c r="L362" s="114" t="str" cm="1">
        <f t="array" aca="1" ref="L362" ca="1">IF(F362&lt;&gt;"",INDIRECT("'"&amp;F362&amp;"'!$F$17"),"")</f>
        <v/>
      </c>
      <c r="M362" s="116" t="str">
        <f t="shared" ca="1" si="16"/>
        <v/>
      </c>
      <c r="O362" s="49" t="str">
        <f t="shared" ca="1" si="17"/>
        <v/>
      </c>
      <c r="P362" s="38" t="str">
        <f>IF(E362&lt;&gt;"",RANK(E362,$E$3:$E$2298)+COUNTIF($E$3:E362,E362)-1,"")</f>
        <v/>
      </c>
      <c r="Q362" s="8"/>
      <c r="R362" s="64"/>
    </row>
    <row r="363" spans="4:18" x14ac:dyDescent="0.25">
      <c r="D363" s="36" t="str" cm="1">
        <f t="array" aca="1" ref="D363" ca="1">IFERROR(IF(INDIRECT("'"&amp;F363&amp;"'!$C$5")&gt;0,DATE(YEAR(Dashboard!$AL$2),Dashboard!$AU$4,INDIRECT("'"&amp;F363&amp;"'!$C$5")),""),"")</f>
        <v/>
      </c>
      <c r="G363" s="38" t="str" cm="1">
        <f t="array" aca="1" ref="G363" ca="1">IF(F363="",
    "",
    IFERROR(
        IF(INDIRECT("'"&amp;F363&amp;"'!$B$2")="Credit Limit",
            "Credit Accounts",
            IF(INDIRECT("'"&amp;F363&amp;"'!$E$2")="Location",
                "Cash Accounts",
                IF(INDIRECT("'"&amp;F363&amp;"'!$B$2")="Amount",
                    "Investments",
                    "Bill Accounts"
                )
            )
        ),
    "")
)</f>
        <v/>
      </c>
      <c r="I363" s="46" t="str" cm="1">
        <f t="array" aca="1" ref="I363" ca="1">IF(F363&lt;&gt;"",IF(OR(G363="Bill Accounts",G363="Investments", G363="Cash Accounts"),INDIRECT("'"&amp;F363&amp;"'!$C$10"),INDIRECT("'"&amp;F363&amp;"'!$C$8")),"")</f>
        <v/>
      </c>
      <c r="K363" s="48">
        <f t="shared" si="18"/>
        <v>369</v>
      </c>
      <c r="L363" s="114" t="str" cm="1">
        <f t="array" aca="1" ref="L363" ca="1">IF(F363&lt;&gt;"",INDIRECT("'"&amp;F363&amp;"'!$F$17"),"")</f>
        <v/>
      </c>
      <c r="M363" s="116" t="str">
        <f t="shared" ca="1" si="16"/>
        <v/>
      </c>
      <c r="O363" s="49" t="str">
        <f t="shared" ca="1" si="17"/>
        <v/>
      </c>
      <c r="P363" s="38" t="str">
        <f>IF(E363&lt;&gt;"",RANK(E363,$E$3:$E$2298)+COUNTIF($E$3:E363,E363)-1,"")</f>
        <v/>
      </c>
      <c r="Q363" s="8"/>
      <c r="R363" s="64"/>
    </row>
    <row r="364" spans="4:18" x14ac:dyDescent="0.25">
      <c r="D364" s="36" t="str" cm="1">
        <f t="array" aca="1" ref="D364" ca="1">IFERROR(IF(INDIRECT("'"&amp;F364&amp;"'!$C$5")&gt;0,DATE(YEAR(Dashboard!$AL$2),Dashboard!$AU$4,INDIRECT("'"&amp;F364&amp;"'!$C$5")),""),"")</f>
        <v/>
      </c>
      <c r="G364" s="38" t="str" cm="1">
        <f t="array" aca="1" ref="G364" ca="1">IF(F364="",
    "",
    IFERROR(
        IF(INDIRECT("'"&amp;F364&amp;"'!$B$2")="Credit Limit",
            "Credit Accounts",
            IF(INDIRECT("'"&amp;F364&amp;"'!$E$2")="Location",
                "Cash Accounts",
                IF(INDIRECT("'"&amp;F364&amp;"'!$B$2")="Amount",
                    "Investments",
                    "Bill Accounts"
                )
            )
        ),
    "")
)</f>
        <v/>
      </c>
      <c r="I364" s="46" t="str" cm="1">
        <f t="array" aca="1" ref="I364" ca="1">IF(F364&lt;&gt;"",IF(OR(G364="Bill Accounts",G364="Investments", G364="Cash Accounts"),INDIRECT("'"&amp;F364&amp;"'!$C$10"),INDIRECT("'"&amp;F364&amp;"'!$C$8")),"")</f>
        <v/>
      </c>
      <c r="K364" s="48">
        <f t="shared" si="18"/>
        <v>370</v>
      </c>
      <c r="L364" s="114" t="str" cm="1">
        <f t="array" aca="1" ref="L364" ca="1">IF(F364&lt;&gt;"",INDIRECT("'"&amp;F364&amp;"'!$F$17"),"")</f>
        <v/>
      </c>
      <c r="M364" s="116" t="str">
        <f t="shared" ca="1" si="16"/>
        <v/>
      </c>
      <c r="O364" s="49" t="str">
        <f t="shared" ca="1" si="17"/>
        <v/>
      </c>
      <c r="P364" s="38" t="str">
        <f>IF(E364&lt;&gt;"",RANK(E364,$E$3:$E$2298)+COUNTIF($E$3:E364,E364)-1,"")</f>
        <v/>
      </c>
      <c r="Q364" s="8"/>
      <c r="R364" s="64"/>
    </row>
    <row r="365" spans="4:18" x14ac:dyDescent="0.25">
      <c r="D365" s="36" t="str" cm="1">
        <f t="array" aca="1" ref="D365" ca="1">IFERROR(IF(INDIRECT("'"&amp;F365&amp;"'!$C$5")&gt;0,DATE(YEAR(Dashboard!$AL$2),Dashboard!$AU$4,INDIRECT("'"&amp;F365&amp;"'!$C$5")),""),"")</f>
        <v/>
      </c>
      <c r="G365" s="38" t="str" cm="1">
        <f t="array" aca="1" ref="G365" ca="1">IF(F365="",
    "",
    IFERROR(
        IF(INDIRECT("'"&amp;F365&amp;"'!$B$2")="Credit Limit",
            "Credit Accounts",
            IF(INDIRECT("'"&amp;F365&amp;"'!$E$2")="Location",
                "Cash Accounts",
                IF(INDIRECT("'"&amp;F365&amp;"'!$B$2")="Amount",
                    "Investments",
                    "Bill Accounts"
                )
            )
        ),
    "")
)</f>
        <v/>
      </c>
      <c r="I365" s="46" t="str" cm="1">
        <f t="array" aca="1" ref="I365" ca="1">IF(F365&lt;&gt;"",IF(OR(G365="Bill Accounts",G365="Investments", G365="Cash Accounts"),INDIRECT("'"&amp;F365&amp;"'!$C$10"),INDIRECT("'"&amp;F365&amp;"'!$C$8")),"")</f>
        <v/>
      </c>
      <c r="K365" s="48">
        <f t="shared" si="18"/>
        <v>371</v>
      </c>
      <c r="L365" s="114" t="str" cm="1">
        <f t="array" aca="1" ref="L365" ca="1">IF(F365&lt;&gt;"",INDIRECT("'"&amp;F365&amp;"'!$F$17"),"")</f>
        <v/>
      </c>
      <c r="M365" s="116" t="str">
        <f t="shared" ca="1" si="16"/>
        <v/>
      </c>
      <c r="O365" s="49" t="str">
        <f t="shared" ca="1" si="17"/>
        <v/>
      </c>
      <c r="P365" s="38" t="str">
        <f>IF(E365&lt;&gt;"",RANK(E365,$E$3:$E$2298)+COUNTIF($E$3:E365,E365)-1,"")</f>
        <v/>
      </c>
      <c r="Q365" s="8"/>
      <c r="R365" s="64"/>
    </row>
    <row r="366" spans="4:18" x14ac:dyDescent="0.25">
      <c r="D366" s="36" t="str" cm="1">
        <f t="array" aca="1" ref="D366" ca="1">IFERROR(IF(INDIRECT("'"&amp;F366&amp;"'!$C$5")&gt;0,DATE(YEAR(Dashboard!$AL$2),Dashboard!$AU$4,INDIRECT("'"&amp;F366&amp;"'!$C$5")),""),"")</f>
        <v/>
      </c>
      <c r="G366" s="38" t="str" cm="1">
        <f t="array" aca="1" ref="G366" ca="1">IF(F366="",
    "",
    IFERROR(
        IF(INDIRECT("'"&amp;F366&amp;"'!$B$2")="Credit Limit",
            "Credit Accounts",
            IF(INDIRECT("'"&amp;F366&amp;"'!$E$2")="Location",
                "Cash Accounts",
                IF(INDIRECT("'"&amp;F366&amp;"'!$B$2")="Amount",
                    "Investments",
                    "Bill Accounts"
                )
            )
        ),
    "")
)</f>
        <v/>
      </c>
      <c r="I366" s="46" t="str" cm="1">
        <f t="array" aca="1" ref="I366" ca="1">IF(F366&lt;&gt;"",IF(OR(G366="Bill Accounts",G366="Investments", G366="Cash Accounts"),INDIRECT("'"&amp;F366&amp;"'!$C$10"),INDIRECT("'"&amp;F366&amp;"'!$C$8")),"")</f>
        <v/>
      </c>
      <c r="K366" s="48">
        <f t="shared" si="18"/>
        <v>372</v>
      </c>
      <c r="L366" s="114" t="str" cm="1">
        <f t="array" aca="1" ref="L366" ca="1">IF(F366&lt;&gt;"",INDIRECT("'"&amp;F366&amp;"'!$F$17"),"")</f>
        <v/>
      </c>
      <c r="M366" s="116" t="str">
        <f t="shared" ca="1" si="16"/>
        <v/>
      </c>
      <c r="O366" s="49" t="str">
        <f t="shared" ca="1" si="17"/>
        <v/>
      </c>
      <c r="P366" s="38" t="str">
        <f>IF(E366&lt;&gt;"",RANK(E366,$E$3:$E$2298)+COUNTIF($E$3:E366,E366)-1,"")</f>
        <v/>
      </c>
      <c r="Q366" s="8"/>
      <c r="R366" s="64"/>
    </row>
    <row r="367" spans="4:18" x14ac:dyDescent="0.25">
      <c r="D367" s="36" t="str" cm="1">
        <f t="array" aca="1" ref="D367" ca="1">IFERROR(IF(INDIRECT("'"&amp;F367&amp;"'!$C$5")&gt;0,DATE(YEAR(Dashboard!$AL$2),Dashboard!$AU$4,INDIRECT("'"&amp;F367&amp;"'!$C$5")),""),"")</f>
        <v/>
      </c>
      <c r="G367" s="38" t="str" cm="1">
        <f t="array" aca="1" ref="G367" ca="1">IF(F367="",
    "",
    IFERROR(
        IF(INDIRECT("'"&amp;F367&amp;"'!$B$2")="Credit Limit",
            "Credit Accounts",
            IF(INDIRECT("'"&amp;F367&amp;"'!$E$2")="Location",
                "Cash Accounts",
                IF(INDIRECT("'"&amp;F367&amp;"'!$B$2")="Amount",
                    "Investments",
                    "Bill Accounts"
                )
            )
        ),
    "")
)</f>
        <v/>
      </c>
      <c r="I367" s="46" t="str" cm="1">
        <f t="array" aca="1" ref="I367" ca="1">IF(F367&lt;&gt;"",IF(OR(G367="Bill Accounts",G367="Investments", G367="Cash Accounts"),INDIRECT("'"&amp;F367&amp;"'!$C$10"),INDIRECT("'"&amp;F367&amp;"'!$C$8")),"")</f>
        <v/>
      </c>
      <c r="K367" s="48">
        <f t="shared" si="18"/>
        <v>373</v>
      </c>
      <c r="L367" s="114" t="str" cm="1">
        <f t="array" aca="1" ref="L367" ca="1">IF(F367&lt;&gt;"",INDIRECT("'"&amp;F367&amp;"'!$F$17"),"")</f>
        <v/>
      </c>
      <c r="M367" s="116" t="str">
        <f t="shared" ca="1" si="16"/>
        <v/>
      </c>
      <c r="O367" s="49" t="str">
        <f t="shared" ca="1" si="17"/>
        <v/>
      </c>
      <c r="P367" s="38" t="str">
        <f>IF(E367&lt;&gt;"",RANK(E367,$E$3:$E$2298)+COUNTIF($E$3:E367,E367)-1,"")</f>
        <v/>
      </c>
      <c r="Q367" s="8"/>
      <c r="R367" s="64"/>
    </row>
    <row r="368" spans="4:18" x14ac:dyDescent="0.25">
      <c r="D368" s="36" t="str" cm="1">
        <f t="array" aca="1" ref="D368" ca="1">IFERROR(IF(INDIRECT("'"&amp;F368&amp;"'!$C$5")&gt;0,DATE(YEAR(Dashboard!$AL$2),Dashboard!$AU$4,INDIRECT("'"&amp;F368&amp;"'!$C$5")),""),"")</f>
        <v/>
      </c>
      <c r="G368" s="38" t="str" cm="1">
        <f t="array" aca="1" ref="G368" ca="1">IF(F368="",
    "",
    IFERROR(
        IF(INDIRECT("'"&amp;F368&amp;"'!$B$2")="Credit Limit",
            "Credit Accounts",
            IF(INDIRECT("'"&amp;F368&amp;"'!$E$2")="Location",
                "Cash Accounts",
                IF(INDIRECT("'"&amp;F368&amp;"'!$B$2")="Amount",
                    "Investments",
                    "Bill Accounts"
                )
            )
        ),
    "")
)</f>
        <v/>
      </c>
      <c r="I368" s="46" t="str" cm="1">
        <f t="array" aca="1" ref="I368" ca="1">IF(F368&lt;&gt;"",IF(OR(G368="Bill Accounts",G368="Investments", G368="Cash Accounts"),INDIRECT("'"&amp;F368&amp;"'!$C$10"),INDIRECT("'"&amp;F368&amp;"'!$C$8")),"")</f>
        <v/>
      </c>
      <c r="K368" s="48">
        <f t="shared" si="18"/>
        <v>374</v>
      </c>
      <c r="L368" s="114" t="str" cm="1">
        <f t="array" aca="1" ref="L368" ca="1">IF(F368&lt;&gt;"",INDIRECT("'"&amp;F368&amp;"'!$F$17"),"")</f>
        <v/>
      </c>
      <c r="M368" s="116" t="str">
        <f t="shared" ca="1" si="16"/>
        <v/>
      </c>
      <c r="O368" s="49" t="str">
        <f t="shared" ca="1" si="17"/>
        <v/>
      </c>
      <c r="P368" s="38" t="str">
        <f>IF(E368&lt;&gt;"",RANK(E368,$E$3:$E$2298)+COUNTIF($E$3:E368,E368)-1,"")</f>
        <v/>
      </c>
      <c r="Q368" s="8"/>
      <c r="R368" s="64"/>
    </row>
    <row r="369" spans="4:18" x14ac:dyDescent="0.25">
      <c r="D369" s="36" t="str" cm="1">
        <f t="array" aca="1" ref="D369" ca="1">IFERROR(IF(INDIRECT("'"&amp;F369&amp;"'!$C$5")&gt;0,DATE(YEAR(Dashboard!$AL$2),Dashboard!$AU$4,INDIRECT("'"&amp;F369&amp;"'!$C$5")),""),"")</f>
        <v/>
      </c>
      <c r="G369" s="38" t="str" cm="1">
        <f t="array" aca="1" ref="G369" ca="1">IF(F369="",
    "",
    IFERROR(
        IF(INDIRECT("'"&amp;F369&amp;"'!$B$2")="Credit Limit",
            "Credit Accounts",
            IF(INDIRECT("'"&amp;F369&amp;"'!$E$2")="Location",
                "Cash Accounts",
                IF(INDIRECT("'"&amp;F369&amp;"'!$B$2")="Amount",
                    "Investments",
                    "Bill Accounts"
                )
            )
        ),
    "")
)</f>
        <v/>
      </c>
      <c r="I369" s="46" t="str" cm="1">
        <f t="array" aca="1" ref="I369" ca="1">IF(F369&lt;&gt;"",IF(OR(G369="Bill Accounts",G369="Investments", G369="Cash Accounts"),INDIRECT("'"&amp;F369&amp;"'!$C$10"),INDIRECT("'"&amp;F369&amp;"'!$C$8")),"")</f>
        <v/>
      </c>
      <c r="K369" s="48">
        <f t="shared" si="18"/>
        <v>375</v>
      </c>
      <c r="L369" s="114" t="str" cm="1">
        <f t="array" aca="1" ref="L369" ca="1">IF(F369&lt;&gt;"",INDIRECT("'"&amp;F369&amp;"'!$F$17"),"")</f>
        <v/>
      </c>
      <c r="M369" s="116" t="str">
        <f t="shared" ca="1" si="16"/>
        <v/>
      </c>
      <c r="O369" s="49" t="str">
        <f t="shared" ca="1" si="17"/>
        <v/>
      </c>
      <c r="P369" s="38" t="str">
        <f>IF(E369&lt;&gt;"",RANK(E369,$E$3:$E$2298)+COUNTIF($E$3:E369,E369)-1,"")</f>
        <v/>
      </c>
      <c r="Q369" s="8"/>
      <c r="R369" s="64"/>
    </row>
    <row r="370" spans="4:18" x14ac:dyDescent="0.25">
      <c r="D370" s="36" t="str" cm="1">
        <f t="array" aca="1" ref="D370" ca="1">IFERROR(IF(INDIRECT("'"&amp;F370&amp;"'!$C$5")&gt;0,DATE(YEAR(Dashboard!$AL$2),Dashboard!$AU$4,INDIRECT("'"&amp;F370&amp;"'!$C$5")),""),"")</f>
        <v/>
      </c>
      <c r="G370" s="38" t="str" cm="1">
        <f t="array" aca="1" ref="G370" ca="1">IF(F370="",
    "",
    IFERROR(
        IF(INDIRECT("'"&amp;F370&amp;"'!$B$2")="Credit Limit",
            "Credit Accounts",
            IF(INDIRECT("'"&amp;F370&amp;"'!$E$2")="Location",
                "Cash Accounts",
                IF(INDIRECT("'"&amp;F370&amp;"'!$B$2")="Amount",
                    "Investments",
                    "Bill Accounts"
                )
            )
        ),
    "")
)</f>
        <v/>
      </c>
      <c r="I370" s="46" t="str" cm="1">
        <f t="array" aca="1" ref="I370" ca="1">IF(F370&lt;&gt;"",IF(OR(G370="Bill Accounts",G370="Investments", G370="Cash Accounts"),INDIRECT("'"&amp;F370&amp;"'!$C$10"),INDIRECT("'"&amp;F370&amp;"'!$C$8")),"")</f>
        <v/>
      </c>
      <c r="K370" s="48">
        <f t="shared" si="18"/>
        <v>376</v>
      </c>
      <c r="L370" s="114" t="str" cm="1">
        <f t="array" aca="1" ref="L370" ca="1">IF(F370&lt;&gt;"",INDIRECT("'"&amp;F370&amp;"'!$F$17"),"")</f>
        <v/>
      </c>
      <c r="M370" s="116" t="str">
        <f t="shared" ca="1" si="16"/>
        <v/>
      </c>
      <c r="O370" s="49" t="str">
        <f t="shared" ca="1" si="17"/>
        <v/>
      </c>
      <c r="P370" s="38" t="str">
        <f>IF(E370&lt;&gt;"",RANK(E370,$E$3:$E$2298)+COUNTIF($E$3:E370,E370)-1,"")</f>
        <v/>
      </c>
      <c r="Q370" s="8"/>
      <c r="R370" s="64"/>
    </row>
    <row r="371" spans="4:18" x14ac:dyDescent="0.25">
      <c r="D371" s="36" t="str" cm="1">
        <f t="array" aca="1" ref="D371" ca="1">IFERROR(IF(INDIRECT("'"&amp;F371&amp;"'!$C$5")&gt;0,DATE(YEAR(Dashboard!$AL$2),Dashboard!$AU$4,INDIRECT("'"&amp;F371&amp;"'!$C$5")),""),"")</f>
        <v/>
      </c>
      <c r="G371" s="38" t="str" cm="1">
        <f t="array" aca="1" ref="G371" ca="1">IF(F371="",
    "",
    IFERROR(
        IF(INDIRECT("'"&amp;F371&amp;"'!$B$2")="Credit Limit",
            "Credit Accounts",
            IF(INDIRECT("'"&amp;F371&amp;"'!$E$2")="Location",
                "Cash Accounts",
                IF(INDIRECT("'"&amp;F371&amp;"'!$B$2")="Amount",
                    "Investments",
                    "Bill Accounts"
                )
            )
        ),
    "")
)</f>
        <v/>
      </c>
      <c r="I371" s="46" t="str" cm="1">
        <f t="array" aca="1" ref="I371" ca="1">IF(F371&lt;&gt;"",IF(OR(G371="Bill Accounts",G371="Investments", G371="Cash Accounts"),INDIRECT("'"&amp;F371&amp;"'!$C$10"),INDIRECT("'"&amp;F371&amp;"'!$C$8")),"")</f>
        <v/>
      </c>
      <c r="K371" s="48">
        <f t="shared" si="18"/>
        <v>377</v>
      </c>
      <c r="L371" s="114" t="str" cm="1">
        <f t="array" aca="1" ref="L371" ca="1">IF(F371&lt;&gt;"",INDIRECT("'"&amp;F371&amp;"'!$F$17"),"")</f>
        <v/>
      </c>
      <c r="M371" s="116" t="str">
        <f t="shared" ca="1" si="16"/>
        <v/>
      </c>
      <c r="O371" s="49" t="str">
        <f t="shared" ca="1" si="17"/>
        <v/>
      </c>
      <c r="P371" s="38" t="str">
        <f>IF(E371&lt;&gt;"",RANK(E371,$E$3:$E$2298)+COUNTIF($E$3:E371,E371)-1,"")</f>
        <v/>
      </c>
      <c r="Q371" s="8"/>
      <c r="R371" s="64"/>
    </row>
    <row r="372" spans="4:18" x14ac:dyDescent="0.25">
      <c r="D372" s="36" t="str" cm="1">
        <f t="array" aca="1" ref="D372" ca="1">IFERROR(IF(INDIRECT("'"&amp;F372&amp;"'!$C$5")&gt;0,DATE(YEAR(Dashboard!$AL$2),Dashboard!$AU$4,INDIRECT("'"&amp;F372&amp;"'!$C$5")),""),"")</f>
        <v/>
      </c>
      <c r="G372" s="38" t="str" cm="1">
        <f t="array" aca="1" ref="G372" ca="1">IF(F372="",
    "",
    IFERROR(
        IF(INDIRECT("'"&amp;F372&amp;"'!$B$2")="Credit Limit",
            "Credit Accounts",
            IF(INDIRECT("'"&amp;F372&amp;"'!$E$2")="Location",
                "Cash Accounts",
                IF(INDIRECT("'"&amp;F372&amp;"'!$B$2")="Amount",
                    "Investments",
                    "Bill Accounts"
                )
            )
        ),
    "")
)</f>
        <v/>
      </c>
      <c r="I372" s="46" t="str" cm="1">
        <f t="array" aca="1" ref="I372" ca="1">IF(F372&lt;&gt;"",IF(OR(G372="Bill Accounts",G372="Investments", G372="Cash Accounts"),INDIRECT("'"&amp;F372&amp;"'!$C$10"),INDIRECT("'"&amp;F372&amp;"'!$C$8")),"")</f>
        <v/>
      </c>
      <c r="K372" s="48">
        <f t="shared" si="18"/>
        <v>378</v>
      </c>
      <c r="L372" s="114" t="str" cm="1">
        <f t="array" aca="1" ref="L372" ca="1">IF(F372&lt;&gt;"",INDIRECT("'"&amp;F372&amp;"'!$F$17"),"")</f>
        <v/>
      </c>
      <c r="M372" s="116" t="str">
        <f t="shared" ca="1" si="16"/>
        <v/>
      </c>
      <c r="O372" s="49" t="str">
        <f t="shared" ca="1" si="17"/>
        <v/>
      </c>
      <c r="P372" s="38" t="str">
        <f>IF(E372&lt;&gt;"",RANK(E372,$E$3:$E$2298)+COUNTIF($E$3:E372,E372)-1,"")</f>
        <v/>
      </c>
      <c r="Q372" s="8"/>
      <c r="R372" s="64"/>
    </row>
    <row r="373" spans="4:18" x14ac:dyDescent="0.25">
      <c r="D373" s="36" t="str" cm="1">
        <f t="array" aca="1" ref="D373" ca="1">IFERROR(IF(INDIRECT("'"&amp;F373&amp;"'!$C$5")&gt;0,DATE(YEAR(Dashboard!$AL$2),Dashboard!$AU$4,INDIRECT("'"&amp;F373&amp;"'!$C$5")),""),"")</f>
        <v/>
      </c>
      <c r="G373" s="38" t="str" cm="1">
        <f t="array" aca="1" ref="G373" ca="1">IF(F373="",
    "",
    IFERROR(
        IF(INDIRECT("'"&amp;F373&amp;"'!$B$2")="Credit Limit",
            "Credit Accounts",
            IF(INDIRECT("'"&amp;F373&amp;"'!$E$2")="Location",
                "Cash Accounts",
                IF(INDIRECT("'"&amp;F373&amp;"'!$B$2")="Amount",
                    "Investments",
                    "Bill Accounts"
                )
            )
        ),
    "")
)</f>
        <v/>
      </c>
      <c r="I373" s="46" t="str" cm="1">
        <f t="array" aca="1" ref="I373" ca="1">IF(F373&lt;&gt;"",IF(OR(G373="Bill Accounts",G373="Investments", G373="Cash Accounts"),INDIRECT("'"&amp;F373&amp;"'!$C$10"),INDIRECT("'"&amp;F373&amp;"'!$C$8")),"")</f>
        <v/>
      </c>
      <c r="K373" s="48">
        <f t="shared" si="18"/>
        <v>379</v>
      </c>
      <c r="L373" s="114" t="str" cm="1">
        <f t="array" aca="1" ref="L373" ca="1">IF(F373&lt;&gt;"",INDIRECT("'"&amp;F373&amp;"'!$F$17"),"")</f>
        <v/>
      </c>
      <c r="M373" s="116" t="str">
        <f t="shared" ca="1" si="16"/>
        <v/>
      </c>
      <c r="O373" s="49" t="str">
        <f t="shared" ca="1" si="17"/>
        <v/>
      </c>
      <c r="P373" s="38" t="str">
        <f>IF(E373&lt;&gt;"",RANK(E373,$E$3:$E$2298)+COUNTIF($E$3:E373,E373)-1,"")</f>
        <v/>
      </c>
      <c r="Q373" s="8"/>
      <c r="R373" s="64"/>
    </row>
    <row r="374" spans="4:18" x14ac:dyDescent="0.25">
      <c r="D374" s="36" t="str" cm="1">
        <f t="array" aca="1" ref="D374" ca="1">IFERROR(IF(INDIRECT("'"&amp;F374&amp;"'!$C$5")&gt;0,DATE(YEAR(Dashboard!$AL$2),Dashboard!$AU$4,INDIRECT("'"&amp;F374&amp;"'!$C$5")),""),"")</f>
        <v/>
      </c>
      <c r="G374" s="38" t="str" cm="1">
        <f t="array" aca="1" ref="G374" ca="1">IF(F374="",
    "",
    IFERROR(
        IF(INDIRECT("'"&amp;F374&amp;"'!$B$2")="Credit Limit",
            "Credit Accounts",
            IF(INDIRECT("'"&amp;F374&amp;"'!$E$2")="Location",
                "Cash Accounts",
                IF(INDIRECT("'"&amp;F374&amp;"'!$B$2")="Amount",
                    "Investments",
                    "Bill Accounts"
                )
            )
        ),
    "")
)</f>
        <v/>
      </c>
      <c r="I374" s="46" t="str" cm="1">
        <f t="array" aca="1" ref="I374" ca="1">IF(F374&lt;&gt;"",IF(OR(G374="Bill Accounts",G374="Investments", G374="Cash Accounts"),INDIRECT("'"&amp;F374&amp;"'!$C$10"),INDIRECT("'"&amp;F374&amp;"'!$C$8")),"")</f>
        <v/>
      </c>
      <c r="K374" s="48">
        <f t="shared" si="18"/>
        <v>380</v>
      </c>
      <c r="L374" s="114" t="str" cm="1">
        <f t="array" aca="1" ref="L374" ca="1">IF(F374&lt;&gt;"",INDIRECT("'"&amp;F374&amp;"'!$F$17"),"")</f>
        <v/>
      </c>
      <c r="M374" s="116" t="str">
        <f t="shared" ca="1" si="16"/>
        <v/>
      </c>
      <c r="O374" s="49" t="str">
        <f t="shared" ca="1" si="17"/>
        <v/>
      </c>
      <c r="P374" s="38" t="str">
        <f>IF(E374&lt;&gt;"",RANK(E374,$E$3:$E$2298)+COUNTIF($E$3:E374,E374)-1,"")</f>
        <v/>
      </c>
      <c r="Q374" s="8"/>
      <c r="R374" s="64"/>
    </row>
    <row r="375" spans="4:18" x14ac:dyDescent="0.25">
      <c r="D375" s="36" t="str" cm="1">
        <f t="array" aca="1" ref="D375" ca="1">IFERROR(IF(INDIRECT("'"&amp;F375&amp;"'!$C$5")&gt;0,DATE(YEAR(Dashboard!$AL$2),Dashboard!$AU$4,INDIRECT("'"&amp;F375&amp;"'!$C$5")),""),"")</f>
        <v/>
      </c>
      <c r="G375" s="38" t="str" cm="1">
        <f t="array" aca="1" ref="G375" ca="1">IF(F375="",
    "",
    IFERROR(
        IF(INDIRECT("'"&amp;F375&amp;"'!$B$2")="Credit Limit",
            "Credit Accounts",
            IF(INDIRECT("'"&amp;F375&amp;"'!$E$2")="Location",
                "Cash Accounts",
                IF(INDIRECT("'"&amp;F375&amp;"'!$B$2")="Amount",
                    "Investments",
                    "Bill Accounts"
                )
            )
        ),
    "")
)</f>
        <v/>
      </c>
      <c r="I375" s="46" t="str" cm="1">
        <f t="array" aca="1" ref="I375" ca="1">IF(F375&lt;&gt;"",IF(OR(G375="Bill Accounts",G375="Investments", G375="Cash Accounts"),INDIRECT("'"&amp;F375&amp;"'!$C$10"),INDIRECT("'"&amp;F375&amp;"'!$C$8")),"")</f>
        <v/>
      </c>
      <c r="K375" s="48">
        <f t="shared" si="18"/>
        <v>381</v>
      </c>
      <c r="L375" s="114" t="str" cm="1">
        <f t="array" aca="1" ref="L375" ca="1">IF(F375&lt;&gt;"",INDIRECT("'"&amp;F375&amp;"'!$F$17"),"")</f>
        <v/>
      </c>
      <c r="M375" s="116" t="str">
        <f t="shared" ca="1" si="16"/>
        <v/>
      </c>
      <c r="O375" s="49" t="str">
        <f t="shared" ca="1" si="17"/>
        <v/>
      </c>
      <c r="P375" s="38" t="str">
        <f>IF(E375&lt;&gt;"",RANK(E375,$E$3:$E$2298)+COUNTIF($E$3:E375,E375)-1,"")</f>
        <v/>
      </c>
      <c r="Q375" s="8"/>
      <c r="R375" s="64"/>
    </row>
    <row r="376" spans="4:18" x14ac:dyDescent="0.25">
      <c r="D376" s="36" t="str" cm="1">
        <f t="array" aca="1" ref="D376" ca="1">IFERROR(IF(INDIRECT("'"&amp;F376&amp;"'!$C$5")&gt;0,DATE(YEAR(Dashboard!$AL$2),Dashboard!$AU$4,INDIRECT("'"&amp;F376&amp;"'!$C$5")),""),"")</f>
        <v/>
      </c>
      <c r="G376" s="38" t="str" cm="1">
        <f t="array" aca="1" ref="G376" ca="1">IF(F376="",
    "",
    IFERROR(
        IF(INDIRECT("'"&amp;F376&amp;"'!$B$2")="Credit Limit",
            "Credit Accounts",
            IF(INDIRECT("'"&amp;F376&amp;"'!$E$2")="Location",
                "Cash Accounts",
                IF(INDIRECT("'"&amp;F376&amp;"'!$B$2")="Amount",
                    "Investments",
                    "Bill Accounts"
                )
            )
        ),
    "")
)</f>
        <v/>
      </c>
      <c r="I376" s="46" t="str" cm="1">
        <f t="array" aca="1" ref="I376" ca="1">IF(F376&lt;&gt;"",IF(OR(G376="Bill Accounts",G376="Investments", G376="Cash Accounts"),INDIRECT("'"&amp;F376&amp;"'!$C$10"),INDIRECT("'"&amp;F376&amp;"'!$C$8")),"")</f>
        <v/>
      </c>
      <c r="K376" s="48">
        <f t="shared" si="18"/>
        <v>382</v>
      </c>
      <c r="L376" s="114" t="str" cm="1">
        <f t="array" aca="1" ref="L376" ca="1">IF(F376&lt;&gt;"",INDIRECT("'"&amp;F376&amp;"'!$F$17"),"")</f>
        <v/>
      </c>
      <c r="M376" s="116" t="str">
        <f t="shared" ca="1" si="16"/>
        <v/>
      </c>
      <c r="O376" s="49" t="str">
        <f t="shared" ca="1" si="17"/>
        <v/>
      </c>
      <c r="P376" s="38" t="str">
        <f>IF(E376&lt;&gt;"",RANK(E376,$E$3:$E$2298)+COUNTIF($E$3:E376,E376)-1,"")</f>
        <v/>
      </c>
      <c r="Q376" s="8"/>
      <c r="R376" s="64"/>
    </row>
    <row r="377" spans="4:18" x14ac:dyDescent="0.25">
      <c r="D377" s="36" t="str" cm="1">
        <f t="array" aca="1" ref="D377" ca="1">IFERROR(IF(INDIRECT("'"&amp;F377&amp;"'!$C$5")&gt;0,DATE(YEAR(Dashboard!$AL$2),Dashboard!$AU$4,INDIRECT("'"&amp;F377&amp;"'!$C$5")),""),"")</f>
        <v/>
      </c>
      <c r="G377" s="38" t="str" cm="1">
        <f t="array" aca="1" ref="G377" ca="1">IF(F377="",
    "",
    IFERROR(
        IF(INDIRECT("'"&amp;F377&amp;"'!$B$2")="Credit Limit",
            "Credit Accounts",
            IF(INDIRECT("'"&amp;F377&amp;"'!$E$2")="Location",
                "Cash Accounts",
                IF(INDIRECT("'"&amp;F377&amp;"'!$B$2")="Amount",
                    "Investments",
                    "Bill Accounts"
                )
            )
        ),
    "")
)</f>
        <v/>
      </c>
      <c r="I377" s="46" t="str" cm="1">
        <f t="array" aca="1" ref="I377" ca="1">IF(F377&lt;&gt;"",IF(OR(G377="Bill Accounts",G377="Investments", G377="Cash Accounts"),INDIRECT("'"&amp;F377&amp;"'!$C$10"),INDIRECT("'"&amp;F377&amp;"'!$C$8")),"")</f>
        <v/>
      </c>
      <c r="K377" s="48">
        <f t="shared" si="18"/>
        <v>383</v>
      </c>
      <c r="L377" s="114" t="str" cm="1">
        <f t="array" aca="1" ref="L377" ca="1">IF(F377&lt;&gt;"",INDIRECT("'"&amp;F377&amp;"'!$F$17"),"")</f>
        <v/>
      </c>
      <c r="M377" s="116" t="str">
        <f t="shared" ca="1" si="16"/>
        <v/>
      </c>
      <c r="O377" s="49" t="str">
        <f t="shared" ca="1" si="17"/>
        <v/>
      </c>
      <c r="P377" s="38" t="str">
        <f>IF(E377&lt;&gt;"",RANK(E377,$E$3:$E$2298)+COUNTIF($E$3:E377,E377)-1,"")</f>
        <v/>
      </c>
      <c r="Q377" s="8"/>
      <c r="R377" s="64"/>
    </row>
    <row r="378" spans="4:18" x14ac:dyDescent="0.25">
      <c r="D378" s="36" t="str" cm="1">
        <f t="array" aca="1" ref="D378" ca="1">IFERROR(IF(INDIRECT("'"&amp;F378&amp;"'!$C$5")&gt;0,DATE(YEAR(Dashboard!$AL$2),Dashboard!$AU$4,INDIRECT("'"&amp;F378&amp;"'!$C$5")),""),"")</f>
        <v/>
      </c>
      <c r="G378" s="38" t="str" cm="1">
        <f t="array" aca="1" ref="G378" ca="1">IF(F378="",
    "",
    IFERROR(
        IF(INDIRECT("'"&amp;F378&amp;"'!$B$2")="Credit Limit",
            "Credit Accounts",
            IF(INDIRECT("'"&amp;F378&amp;"'!$E$2")="Location",
                "Cash Accounts",
                IF(INDIRECT("'"&amp;F378&amp;"'!$B$2")="Amount",
                    "Investments",
                    "Bill Accounts"
                )
            )
        ),
    "")
)</f>
        <v/>
      </c>
      <c r="I378" s="46" t="str" cm="1">
        <f t="array" aca="1" ref="I378" ca="1">IF(F378&lt;&gt;"",IF(OR(G378="Bill Accounts",G378="Investments", G378="Cash Accounts"),INDIRECT("'"&amp;F378&amp;"'!$C$10"),INDIRECT("'"&amp;F378&amp;"'!$C$8")),"")</f>
        <v/>
      </c>
      <c r="K378" s="48">
        <f t="shared" si="18"/>
        <v>384</v>
      </c>
      <c r="L378" s="114" t="str" cm="1">
        <f t="array" aca="1" ref="L378" ca="1">IF(F378&lt;&gt;"",INDIRECT("'"&amp;F378&amp;"'!$F$17"),"")</f>
        <v/>
      </c>
      <c r="M378" s="116" t="str">
        <f t="shared" ca="1" si="16"/>
        <v/>
      </c>
      <c r="O378" s="49" t="str">
        <f t="shared" ca="1" si="17"/>
        <v/>
      </c>
      <c r="P378" s="38" t="str">
        <f>IF(E378&lt;&gt;"",RANK(E378,$E$3:$E$2298)+COUNTIF($E$3:E378,E378)-1,"")</f>
        <v/>
      </c>
      <c r="Q378" s="8"/>
      <c r="R378" s="64"/>
    </row>
    <row r="379" spans="4:18" x14ac:dyDescent="0.25">
      <c r="D379" s="36" t="str" cm="1">
        <f t="array" aca="1" ref="D379" ca="1">IFERROR(IF(INDIRECT("'"&amp;F379&amp;"'!$C$5")&gt;0,DATE(YEAR(Dashboard!$AL$2),Dashboard!$AU$4,INDIRECT("'"&amp;F379&amp;"'!$C$5")),""),"")</f>
        <v/>
      </c>
      <c r="G379" s="38" t="str" cm="1">
        <f t="array" aca="1" ref="G379" ca="1">IF(F379="",
    "",
    IFERROR(
        IF(INDIRECT("'"&amp;F379&amp;"'!$B$2")="Credit Limit",
            "Credit Accounts",
            IF(INDIRECT("'"&amp;F379&amp;"'!$E$2")="Location",
                "Cash Accounts",
                IF(INDIRECT("'"&amp;F379&amp;"'!$B$2")="Amount",
                    "Investments",
                    "Bill Accounts"
                )
            )
        ),
    "")
)</f>
        <v/>
      </c>
      <c r="I379" s="46" t="str" cm="1">
        <f t="array" aca="1" ref="I379" ca="1">IF(F379&lt;&gt;"",IF(OR(G379="Bill Accounts",G379="Investments", G379="Cash Accounts"),INDIRECT("'"&amp;F379&amp;"'!$C$10"),INDIRECT("'"&amp;F379&amp;"'!$C$8")),"")</f>
        <v/>
      </c>
      <c r="K379" s="48">
        <f t="shared" si="18"/>
        <v>385</v>
      </c>
      <c r="L379" s="114" t="str" cm="1">
        <f t="array" aca="1" ref="L379" ca="1">IF(F379&lt;&gt;"",INDIRECT("'"&amp;F379&amp;"'!$F$17"),"")</f>
        <v/>
      </c>
      <c r="M379" s="116" t="str">
        <f t="shared" ca="1" si="16"/>
        <v/>
      </c>
      <c r="O379" s="49" t="str">
        <f t="shared" ca="1" si="17"/>
        <v/>
      </c>
      <c r="P379" s="38" t="str">
        <f>IF(E379&lt;&gt;"",RANK(E379,$E$3:$E$2298)+COUNTIF($E$3:E379,E379)-1,"")</f>
        <v/>
      </c>
      <c r="Q379" s="8"/>
      <c r="R379" s="64"/>
    </row>
    <row r="380" spans="4:18" x14ac:dyDescent="0.25">
      <c r="D380" s="36" t="str" cm="1">
        <f t="array" aca="1" ref="D380" ca="1">IFERROR(IF(INDIRECT("'"&amp;F380&amp;"'!$C$5")&gt;0,DATE(YEAR(Dashboard!$AL$2),Dashboard!$AU$4,INDIRECT("'"&amp;F380&amp;"'!$C$5")),""),"")</f>
        <v/>
      </c>
      <c r="G380" s="38" t="str" cm="1">
        <f t="array" aca="1" ref="G380" ca="1">IF(F380="",
    "",
    IFERROR(
        IF(INDIRECT("'"&amp;F380&amp;"'!$B$2")="Credit Limit",
            "Credit Accounts",
            IF(INDIRECT("'"&amp;F380&amp;"'!$E$2")="Location",
                "Cash Accounts",
                IF(INDIRECT("'"&amp;F380&amp;"'!$B$2")="Amount",
                    "Investments",
                    "Bill Accounts"
                )
            )
        ),
    "")
)</f>
        <v/>
      </c>
      <c r="I380" s="46" t="str" cm="1">
        <f t="array" aca="1" ref="I380" ca="1">IF(F380&lt;&gt;"",IF(OR(G380="Bill Accounts",G380="Investments", G380="Cash Accounts"),INDIRECT("'"&amp;F380&amp;"'!$C$10"),INDIRECT("'"&amp;F380&amp;"'!$C$8")),"")</f>
        <v/>
      </c>
      <c r="K380" s="48">
        <f t="shared" si="18"/>
        <v>386</v>
      </c>
      <c r="L380" s="114" t="str" cm="1">
        <f t="array" aca="1" ref="L380" ca="1">IF(F380&lt;&gt;"",INDIRECT("'"&amp;F380&amp;"'!$F$17"),"")</f>
        <v/>
      </c>
      <c r="M380" s="116" t="str">
        <f t="shared" ca="1" si="16"/>
        <v/>
      </c>
      <c r="O380" s="49" t="str">
        <f t="shared" ca="1" si="17"/>
        <v/>
      </c>
      <c r="P380" s="38" t="str">
        <f>IF(E380&lt;&gt;"",RANK(E380,$E$3:$E$2298)+COUNTIF($E$3:E380,E380)-1,"")</f>
        <v/>
      </c>
      <c r="Q380" s="8"/>
      <c r="R380" s="64"/>
    </row>
    <row r="381" spans="4:18" x14ac:dyDescent="0.25">
      <c r="D381" s="36" t="str" cm="1">
        <f t="array" aca="1" ref="D381" ca="1">IFERROR(IF(INDIRECT("'"&amp;F381&amp;"'!$C$5")&gt;0,DATE(YEAR(Dashboard!$AL$2),Dashboard!$AU$4,INDIRECT("'"&amp;F381&amp;"'!$C$5")),""),"")</f>
        <v/>
      </c>
      <c r="G381" s="38" t="str" cm="1">
        <f t="array" aca="1" ref="G381" ca="1">IF(F381="",
    "",
    IFERROR(
        IF(INDIRECT("'"&amp;F381&amp;"'!$B$2")="Credit Limit",
            "Credit Accounts",
            IF(INDIRECT("'"&amp;F381&amp;"'!$E$2")="Location",
                "Cash Accounts",
                IF(INDIRECT("'"&amp;F381&amp;"'!$B$2")="Amount",
                    "Investments",
                    "Bill Accounts"
                )
            )
        ),
    "")
)</f>
        <v/>
      </c>
      <c r="I381" s="46" t="str" cm="1">
        <f t="array" aca="1" ref="I381" ca="1">IF(F381&lt;&gt;"",IF(OR(G381="Bill Accounts",G381="Investments", G381="Cash Accounts"),INDIRECT("'"&amp;F381&amp;"'!$C$10"),INDIRECT("'"&amp;F381&amp;"'!$C$8")),"")</f>
        <v/>
      </c>
      <c r="K381" s="48">
        <f t="shared" si="18"/>
        <v>387</v>
      </c>
      <c r="L381" s="114" t="str" cm="1">
        <f t="array" aca="1" ref="L381" ca="1">IF(F381&lt;&gt;"",INDIRECT("'"&amp;F381&amp;"'!$F$17"),"")</f>
        <v/>
      </c>
      <c r="M381" s="116" t="str">
        <f t="shared" ca="1" si="16"/>
        <v/>
      </c>
      <c r="O381" s="49" t="str">
        <f t="shared" ca="1" si="17"/>
        <v/>
      </c>
      <c r="P381" s="38" t="str">
        <f>IF(E381&lt;&gt;"",RANK(E381,$E$3:$E$2298)+COUNTIF($E$3:E381,E381)-1,"")</f>
        <v/>
      </c>
      <c r="Q381" s="8"/>
      <c r="R381" s="64"/>
    </row>
    <row r="382" spans="4:18" x14ac:dyDescent="0.25">
      <c r="D382" s="36" t="str" cm="1">
        <f t="array" aca="1" ref="D382" ca="1">IFERROR(IF(INDIRECT("'"&amp;F382&amp;"'!$C$5")&gt;0,DATE(YEAR(Dashboard!$AL$2),Dashboard!$AU$4,INDIRECT("'"&amp;F382&amp;"'!$C$5")),""),"")</f>
        <v/>
      </c>
      <c r="G382" s="38" t="str" cm="1">
        <f t="array" aca="1" ref="G382" ca="1">IF(F382="",
    "",
    IFERROR(
        IF(INDIRECT("'"&amp;F382&amp;"'!$B$2")="Credit Limit",
            "Credit Accounts",
            IF(INDIRECT("'"&amp;F382&amp;"'!$E$2")="Location",
                "Cash Accounts",
                IF(INDIRECT("'"&amp;F382&amp;"'!$B$2")="Amount",
                    "Investments",
                    "Bill Accounts"
                )
            )
        ),
    "")
)</f>
        <v/>
      </c>
      <c r="I382" s="46" t="str" cm="1">
        <f t="array" aca="1" ref="I382" ca="1">IF(F382&lt;&gt;"",IF(OR(G382="Bill Accounts",G382="Investments", G382="Cash Accounts"),INDIRECT("'"&amp;F382&amp;"'!$C$10"),INDIRECT("'"&amp;F382&amp;"'!$C$8")),"")</f>
        <v/>
      </c>
      <c r="K382" s="48">
        <f t="shared" si="18"/>
        <v>388</v>
      </c>
      <c r="L382" s="114" t="str" cm="1">
        <f t="array" aca="1" ref="L382" ca="1">IF(F382&lt;&gt;"",INDIRECT("'"&amp;F382&amp;"'!$F$17"),"")</f>
        <v/>
      </c>
      <c r="M382" s="116" t="str">
        <f t="shared" ca="1" si="16"/>
        <v/>
      </c>
      <c r="O382" s="49" t="str">
        <f t="shared" ca="1" si="17"/>
        <v/>
      </c>
      <c r="P382" s="38" t="str">
        <f>IF(E382&lt;&gt;"",RANK(E382,$E$3:$E$2298)+COUNTIF($E$3:E382,E382)-1,"")</f>
        <v/>
      </c>
      <c r="R382" s="64"/>
    </row>
    <row r="383" spans="4:18" x14ac:dyDescent="0.25">
      <c r="D383" s="36" t="str" cm="1">
        <f t="array" aca="1" ref="D383" ca="1">IFERROR(IF(INDIRECT("'"&amp;F383&amp;"'!$C$5")&gt;0,DATE(YEAR(Dashboard!$AL$2),Dashboard!$AU$4,INDIRECT("'"&amp;F383&amp;"'!$C$5")),""),"")</f>
        <v/>
      </c>
      <c r="G383" s="38" t="str" cm="1">
        <f t="array" aca="1" ref="G383" ca="1">IF(F383="",
    "",
    IFERROR(
        IF(INDIRECT("'"&amp;F383&amp;"'!$B$2")="Credit Limit",
            "Credit Accounts",
            IF(INDIRECT("'"&amp;F383&amp;"'!$E$2")="Location",
                "Cash Accounts",
                IF(INDIRECT("'"&amp;F383&amp;"'!$B$2")="Amount",
                    "Investments",
                    "Bill Accounts"
                )
            )
        ),
    "")
)</f>
        <v/>
      </c>
      <c r="I383" s="46" t="str" cm="1">
        <f t="array" aca="1" ref="I383" ca="1">IF(F383&lt;&gt;"",IF(OR(G383="Bill Accounts",G383="Investments", G383="Cash Accounts"),INDIRECT("'"&amp;F383&amp;"'!$C$10"),INDIRECT("'"&amp;F383&amp;"'!$C$8")),"")</f>
        <v/>
      </c>
      <c r="K383" s="48">
        <f t="shared" si="18"/>
        <v>389</v>
      </c>
      <c r="L383" s="114" t="str" cm="1">
        <f t="array" aca="1" ref="L383" ca="1">IF(F383&lt;&gt;"",INDIRECT("'"&amp;F383&amp;"'!$F$17"),"")</f>
        <v/>
      </c>
      <c r="M383" s="116" t="str">
        <f t="shared" ca="1" si="16"/>
        <v/>
      </c>
      <c r="O383" s="49" t="str">
        <f t="shared" ca="1" si="17"/>
        <v/>
      </c>
      <c r="P383" s="38" t="str">
        <f>IF(E383&lt;&gt;"",RANK(E383,$E$3:$E$2298)+COUNTIF($E$3:E383,E383)-1,"")</f>
        <v/>
      </c>
      <c r="R383" s="64"/>
    </row>
    <row r="384" spans="4:18" x14ac:dyDescent="0.25">
      <c r="D384" s="36" t="str" cm="1">
        <f t="array" aca="1" ref="D384" ca="1">IFERROR(IF(INDIRECT("'"&amp;F384&amp;"'!$C$5")&gt;0,DATE(YEAR(Dashboard!$AL$2),Dashboard!$AU$4,INDIRECT("'"&amp;F384&amp;"'!$C$5")),""),"")</f>
        <v/>
      </c>
      <c r="G384" s="38" t="str" cm="1">
        <f t="array" aca="1" ref="G384" ca="1">IF(F384="",
    "",
    IFERROR(
        IF(INDIRECT("'"&amp;F384&amp;"'!$B$2")="Credit Limit",
            "Credit Accounts",
            IF(INDIRECT("'"&amp;F384&amp;"'!$E$2")="Location",
                "Cash Accounts",
                IF(INDIRECT("'"&amp;F384&amp;"'!$B$2")="Amount",
                    "Investments",
                    "Bill Accounts"
                )
            )
        ),
    "")
)</f>
        <v/>
      </c>
      <c r="I384" s="46" t="str" cm="1">
        <f t="array" aca="1" ref="I384" ca="1">IF(F384&lt;&gt;"",IF(OR(G384="Bill Accounts",G384="Investments", G384="Cash Accounts"),INDIRECT("'"&amp;F384&amp;"'!$C$10"),INDIRECT("'"&amp;F384&amp;"'!$C$8")),"")</f>
        <v/>
      </c>
      <c r="K384" s="48">
        <f t="shared" si="18"/>
        <v>390</v>
      </c>
      <c r="L384" s="114" t="str" cm="1">
        <f t="array" aca="1" ref="L384" ca="1">IF(F384&lt;&gt;"",INDIRECT("'"&amp;F384&amp;"'!$F$17"),"")</f>
        <v/>
      </c>
      <c r="M384" s="116" t="str">
        <f t="shared" ca="1" si="16"/>
        <v/>
      </c>
      <c r="O384" s="49" t="str">
        <f t="shared" ca="1" si="17"/>
        <v/>
      </c>
      <c r="P384" s="38" t="str">
        <f>IF(E384&lt;&gt;"",RANK(E384,$E$3:$E$2298)+COUNTIF($E$3:E384,E384)-1,"")</f>
        <v/>
      </c>
      <c r="R384" s="64"/>
    </row>
    <row r="385" spans="4:18" x14ac:dyDescent="0.25">
      <c r="D385" s="36" t="str" cm="1">
        <f t="array" aca="1" ref="D385" ca="1">IFERROR(IF(INDIRECT("'"&amp;F385&amp;"'!$C$5")&gt;0,DATE(YEAR(Dashboard!$AL$2),Dashboard!$AU$4,INDIRECT("'"&amp;F385&amp;"'!$C$5")),""),"")</f>
        <v/>
      </c>
      <c r="G385" s="38" t="str" cm="1">
        <f t="array" aca="1" ref="G385" ca="1">IF(F385="",
    "",
    IFERROR(
        IF(INDIRECT("'"&amp;F385&amp;"'!$B$2")="Credit Limit",
            "Credit Accounts",
            IF(INDIRECT("'"&amp;F385&amp;"'!$E$2")="Location",
                "Cash Accounts",
                IF(INDIRECT("'"&amp;F385&amp;"'!$B$2")="Amount",
                    "Investments",
                    "Bill Accounts"
                )
            )
        ),
    "")
)</f>
        <v/>
      </c>
      <c r="I385" s="46" t="str" cm="1">
        <f t="array" aca="1" ref="I385" ca="1">IF(F385&lt;&gt;"",IF(OR(G385="Bill Accounts",G385="Investments", G385="Cash Accounts"),INDIRECT("'"&amp;F385&amp;"'!$C$10"),INDIRECT("'"&amp;F385&amp;"'!$C$8")),"")</f>
        <v/>
      </c>
      <c r="K385" s="48">
        <f t="shared" si="18"/>
        <v>391</v>
      </c>
      <c r="L385" s="114" t="str" cm="1">
        <f t="array" aca="1" ref="L385" ca="1">IF(F385&lt;&gt;"",INDIRECT("'"&amp;F385&amp;"'!$F$17"),"")</f>
        <v/>
      </c>
      <c r="M385" s="116" t="str">
        <f t="shared" ca="1" si="16"/>
        <v/>
      </c>
      <c r="O385" s="49" t="str">
        <f t="shared" ca="1" si="17"/>
        <v/>
      </c>
      <c r="P385" s="38" t="str">
        <f>IF(E385&lt;&gt;"",RANK(E385,$E$3:$E$2298)+COUNTIF($E$3:E385,E385)-1,"")</f>
        <v/>
      </c>
      <c r="R385" s="64"/>
    </row>
    <row r="386" spans="4:18" x14ac:dyDescent="0.25">
      <c r="D386" s="36" t="str" cm="1">
        <f t="array" aca="1" ref="D386" ca="1">IFERROR(IF(INDIRECT("'"&amp;F386&amp;"'!$C$5")&gt;0,DATE(YEAR(Dashboard!$AL$2),Dashboard!$AU$4,INDIRECT("'"&amp;F386&amp;"'!$C$5")),""),"")</f>
        <v/>
      </c>
      <c r="G386" s="38" t="str" cm="1">
        <f t="array" aca="1" ref="G386" ca="1">IF(F386="",
    "",
    IFERROR(
        IF(INDIRECT("'"&amp;F386&amp;"'!$B$2")="Credit Limit",
            "Credit Accounts",
            IF(INDIRECT("'"&amp;F386&amp;"'!$E$2")="Location",
                "Cash Accounts",
                IF(INDIRECT("'"&amp;F386&amp;"'!$B$2")="Amount",
                    "Investments",
                    "Bill Accounts"
                )
            )
        ),
    "")
)</f>
        <v/>
      </c>
      <c r="I386" s="46" t="str" cm="1">
        <f t="array" aca="1" ref="I386" ca="1">IF(F386&lt;&gt;"",IF(OR(G386="Bill Accounts",G386="Investments", G386="Cash Accounts"),INDIRECT("'"&amp;F386&amp;"'!$C$10"),INDIRECT("'"&amp;F386&amp;"'!$C$8")),"")</f>
        <v/>
      </c>
      <c r="K386" s="48">
        <f t="shared" si="18"/>
        <v>392</v>
      </c>
      <c r="L386" s="114" t="str" cm="1">
        <f t="array" aca="1" ref="L386" ca="1">IF(F386&lt;&gt;"",INDIRECT("'"&amp;F386&amp;"'!$F$17"),"")</f>
        <v/>
      </c>
      <c r="M386" s="116" t="str">
        <f t="shared" ca="1" si="16"/>
        <v/>
      </c>
      <c r="O386" s="49" t="str">
        <f t="shared" ca="1" si="17"/>
        <v/>
      </c>
      <c r="P386" s="38" t="str">
        <f>IF(E386&lt;&gt;"",RANK(E386,$E$3:$E$2298)+COUNTIF($E$3:E386,E386)-1,"")</f>
        <v/>
      </c>
      <c r="R386" s="64"/>
    </row>
    <row r="387" spans="4:18" x14ac:dyDescent="0.25">
      <c r="D387" s="36" t="str" cm="1">
        <f t="array" aca="1" ref="D387" ca="1">IFERROR(IF(INDIRECT("'"&amp;F387&amp;"'!$C$5")&gt;0,DATE(YEAR(Dashboard!$AL$2),Dashboard!$AU$4,INDIRECT("'"&amp;F387&amp;"'!$C$5")),""),"")</f>
        <v/>
      </c>
      <c r="G387" s="38" t="str" cm="1">
        <f t="array" aca="1" ref="G387" ca="1">IF(F387="",
    "",
    IFERROR(
        IF(INDIRECT("'"&amp;F387&amp;"'!$B$2")="Credit Limit",
            "Credit Accounts",
            IF(INDIRECT("'"&amp;F387&amp;"'!$E$2")="Location",
                "Cash Accounts",
                IF(INDIRECT("'"&amp;F387&amp;"'!$B$2")="Amount",
                    "Investments",
                    "Bill Accounts"
                )
            )
        ),
    "")
)</f>
        <v/>
      </c>
      <c r="I387" s="46" t="str" cm="1">
        <f t="array" aca="1" ref="I387" ca="1">IF(F387&lt;&gt;"",IF(OR(G387="Bill Accounts",G387="Investments", G387="Cash Accounts"),INDIRECT("'"&amp;F387&amp;"'!$C$10"),INDIRECT("'"&amp;F387&amp;"'!$C$8")),"")</f>
        <v/>
      </c>
      <c r="K387" s="48">
        <f t="shared" si="18"/>
        <v>393</v>
      </c>
      <c r="L387" s="114" t="str" cm="1">
        <f t="array" aca="1" ref="L387" ca="1">IF(F387&lt;&gt;"",INDIRECT("'"&amp;F387&amp;"'!$F$17"),"")</f>
        <v/>
      </c>
      <c r="M387" s="116" t="str">
        <f t="shared" ca="1" si="16"/>
        <v/>
      </c>
      <c r="O387" s="49" t="str">
        <f t="shared" ca="1" si="17"/>
        <v/>
      </c>
      <c r="P387" s="38" t="str">
        <f>IF(E387&lt;&gt;"",RANK(E387,$E$3:$E$2298)+COUNTIF($E$3:E387,E387)-1,"")</f>
        <v/>
      </c>
      <c r="R387" s="64"/>
    </row>
    <row r="388" spans="4:18" x14ac:dyDescent="0.25">
      <c r="D388" s="36" t="str" cm="1">
        <f t="array" aca="1" ref="D388" ca="1">IFERROR(IF(INDIRECT("'"&amp;F388&amp;"'!$C$5")&gt;0,DATE(YEAR(Dashboard!$AL$2),Dashboard!$AU$4,INDIRECT("'"&amp;F388&amp;"'!$C$5")),""),"")</f>
        <v/>
      </c>
      <c r="G388" s="38" t="str" cm="1">
        <f t="array" aca="1" ref="G388" ca="1">IF(F388="",
    "",
    IFERROR(
        IF(INDIRECT("'"&amp;F388&amp;"'!$B$2")="Credit Limit",
            "Credit Accounts",
            IF(INDIRECT("'"&amp;F388&amp;"'!$E$2")="Location",
                "Cash Accounts",
                IF(INDIRECT("'"&amp;F388&amp;"'!$B$2")="Amount",
                    "Investments",
                    "Bill Accounts"
                )
            )
        ),
    "")
)</f>
        <v/>
      </c>
      <c r="I388" s="46" t="str" cm="1">
        <f t="array" aca="1" ref="I388" ca="1">IF(F388&lt;&gt;"",IF(OR(G388="Bill Accounts",G388="Investments", G388="Cash Accounts"),INDIRECT("'"&amp;F388&amp;"'!$C$10"),INDIRECT("'"&amp;F388&amp;"'!$C$8")),"")</f>
        <v/>
      </c>
      <c r="K388" s="48">
        <f t="shared" si="18"/>
        <v>394</v>
      </c>
      <c r="L388" s="114" t="str" cm="1">
        <f t="array" aca="1" ref="L388" ca="1">IF(F388&lt;&gt;"",INDIRECT("'"&amp;F388&amp;"'!$F$17"),"")</f>
        <v/>
      </c>
      <c r="M388" s="116" t="str">
        <f t="shared" ref="M388:M451" ca="1" si="19">IF(G388="Credit Accounts",EDATE(TODAY(),INDIRECT("'"&amp;F388&amp;"'!$C$14")),"")</f>
        <v/>
      </c>
      <c r="O388" s="49" t="str">
        <f t="shared" ref="O388:O451" ca="1" si="20">IF(D388&lt;&gt;"",DAY(D388),"")</f>
        <v/>
      </c>
      <c r="P388" s="38" t="str">
        <f>IF(E388&lt;&gt;"",RANK(E388,$E$3:$E$2298)+COUNTIF($E$3:E388,E388)-1,"")</f>
        <v/>
      </c>
      <c r="R388" s="64"/>
    </row>
    <row r="389" spans="4:18" x14ac:dyDescent="0.25">
      <c r="D389" s="36" t="str" cm="1">
        <f t="array" aca="1" ref="D389" ca="1">IFERROR(IF(INDIRECT("'"&amp;F389&amp;"'!$C$5")&gt;0,DATE(YEAR(Dashboard!$AL$2),Dashboard!$AU$4,INDIRECT("'"&amp;F389&amp;"'!$C$5")),""),"")</f>
        <v/>
      </c>
      <c r="G389" s="38" t="str" cm="1">
        <f t="array" aca="1" ref="G389" ca="1">IF(F389="",
    "",
    IFERROR(
        IF(INDIRECT("'"&amp;F389&amp;"'!$B$2")="Credit Limit",
            "Credit Accounts",
            IF(INDIRECT("'"&amp;F389&amp;"'!$E$2")="Location",
                "Cash Accounts",
                IF(INDIRECT("'"&amp;F389&amp;"'!$B$2")="Amount",
                    "Investments",
                    "Bill Accounts"
                )
            )
        ),
    "")
)</f>
        <v/>
      </c>
      <c r="I389" s="46" t="str" cm="1">
        <f t="array" aca="1" ref="I389" ca="1">IF(F389&lt;&gt;"",IF(OR(G389="Bill Accounts",G389="Investments", G389="Cash Accounts"),INDIRECT("'"&amp;F389&amp;"'!$C$10"),INDIRECT("'"&amp;F389&amp;"'!$C$8")),"")</f>
        <v/>
      </c>
      <c r="K389" s="48">
        <f t="shared" si="18"/>
        <v>395</v>
      </c>
      <c r="L389" s="114" t="str" cm="1">
        <f t="array" aca="1" ref="L389" ca="1">IF(F389&lt;&gt;"",INDIRECT("'"&amp;F389&amp;"'!$F$17"),"")</f>
        <v/>
      </c>
      <c r="M389" s="116" t="str">
        <f t="shared" ca="1" si="19"/>
        <v/>
      </c>
      <c r="O389" s="49" t="str">
        <f t="shared" ca="1" si="20"/>
        <v/>
      </c>
      <c r="P389" s="38" t="str">
        <f>IF(E389&lt;&gt;"",RANK(E389,$E$3:$E$2298)+COUNTIF($E$3:E389,E389)-1,"")</f>
        <v/>
      </c>
      <c r="R389" s="64"/>
    </row>
    <row r="390" spans="4:18" x14ac:dyDescent="0.25">
      <c r="D390" s="36" t="str" cm="1">
        <f t="array" aca="1" ref="D390" ca="1">IFERROR(IF(INDIRECT("'"&amp;F390&amp;"'!$C$5")&gt;0,DATE(YEAR(Dashboard!$AL$2),Dashboard!$AU$4,INDIRECT("'"&amp;F390&amp;"'!$C$5")),""),"")</f>
        <v/>
      </c>
      <c r="G390" s="38" t="str" cm="1">
        <f t="array" aca="1" ref="G390" ca="1">IF(F390="",
    "",
    IFERROR(
        IF(INDIRECT("'"&amp;F390&amp;"'!$B$2")="Credit Limit",
            "Credit Accounts",
            IF(INDIRECT("'"&amp;F390&amp;"'!$E$2")="Location",
                "Cash Accounts",
                IF(INDIRECT("'"&amp;F390&amp;"'!$B$2")="Amount",
                    "Investments",
                    "Bill Accounts"
                )
            )
        ),
    "")
)</f>
        <v/>
      </c>
      <c r="I390" s="46" t="str" cm="1">
        <f t="array" aca="1" ref="I390" ca="1">IF(F390&lt;&gt;"",IF(OR(G390="Bill Accounts",G390="Investments", G390="Cash Accounts"),INDIRECT("'"&amp;F390&amp;"'!$C$10"),INDIRECT("'"&amp;F390&amp;"'!$C$8")),"")</f>
        <v/>
      </c>
      <c r="K390" s="48">
        <f t="shared" si="18"/>
        <v>396</v>
      </c>
      <c r="L390" s="114" t="str" cm="1">
        <f t="array" aca="1" ref="L390" ca="1">IF(F390&lt;&gt;"",INDIRECT("'"&amp;F390&amp;"'!$F$17"),"")</f>
        <v/>
      </c>
      <c r="M390" s="116" t="str">
        <f t="shared" ca="1" si="19"/>
        <v/>
      </c>
      <c r="O390" s="49" t="str">
        <f t="shared" ca="1" si="20"/>
        <v/>
      </c>
      <c r="P390" s="38" t="str">
        <f>IF(E390&lt;&gt;"",RANK(E390,$E$3:$E$2298)+COUNTIF($E$3:E390,E390)-1,"")</f>
        <v/>
      </c>
      <c r="R390" s="64"/>
    </row>
    <row r="391" spans="4:18" x14ac:dyDescent="0.25">
      <c r="D391" s="36" t="str" cm="1">
        <f t="array" aca="1" ref="D391" ca="1">IFERROR(IF(INDIRECT("'"&amp;F391&amp;"'!$C$5")&gt;0,DATE(YEAR(Dashboard!$AL$2),Dashboard!$AU$4,INDIRECT("'"&amp;F391&amp;"'!$C$5")),""),"")</f>
        <v/>
      </c>
      <c r="G391" s="38" t="str" cm="1">
        <f t="array" aca="1" ref="G391" ca="1">IF(F391="",
    "",
    IFERROR(
        IF(INDIRECT("'"&amp;F391&amp;"'!$B$2")="Credit Limit",
            "Credit Accounts",
            IF(INDIRECT("'"&amp;F391&amp;"'!$E$2")="Location",
                "Cash Accounts",
                IF(INDIRECT("'"&amp;F391&amp;"'!$B$2")="Amount",
                    "Investments",
                    "Bill Accounts"
                )
            )
        ),
    "")
)</f>
        <v/>
      </c>
      <c r="I391" s="46" t="str" cm="1">
        <f t="array" aca="1" ref="I391" ca="1">IF(F391&lt;&gt;"",IF(OR(G391="Bill Accounts",G391="Investments", G391="Cash Accounts"),INDIRECT("'"&amp;F391&amp;"'!$C$10"),INDIRECT("'"&amp;F391&amp;"'!$C$8")),"")</f>
        <v/>
      </c>
      <c r="K391" s="48">
        <f t="shared" si="18"/>
        <v>397</v>
      </c>
      <c r="L391" s="114" t="str" cm="1">
        <f t="array" aca="1" ref="L391" ca="1">IF(F391&lt;&gt;"",INDIRECT("'"&amp;F391&amp;"'!$F$17"),"")</f>
        <v/>
      </c>
      <c r="M391" s="116" t="str">
        <f t="shared" ca="1" si="19"/>
        <v/>
      </c>
      <c r="O391" s="49" t="str">
        <f t="shared" ca="1" si="20"/>
        <v/>
      </c>
      <c r="P391" s="38" t="str">
        <f>IF(E391&lt;&gt;"",RANK(E391,$E$3:$E$2298)+COUNTIF($E$3:E391,E391)-1,"")</f>
        <v/>
      </c>
      <c r="R391" s="64"/>
    </row>
    <row r="392" spans="4:18" x14ac:dyDescent="0.25">
      <c r="D392" s="36" t="str" cm="1">
        <f t="array" aca="1" ref="D392" ca="1">IFERROR(IF(INDIRECT("'"&amp;F392&amp;"'!$C$5")&gt;0,DATE(YEAR(Dashboard!$AL$2),Dashboard!$AU$4,INDIRECT("'"&amp;F392&amp;"'!$C$5")),""),"")</f>
        <v/>
      </c>
      <c r="G392" s="38" t="str" cm="1">
        <f t="array" aca="1" ref="G392" ca="1">IF(F392="",
    "",
    IFERROR(
        IF(INDIRECT("'"&amp;F392&amp;"'!$B$2")="Credit Limit",
            "Credit Accounts",
            IF(INDIRECT("'"&amp;F392&amp;"'!$E$2")="Location",
                "Cash Accounts",
                IF(INDIRECT("'"&amp;F392&amp;"'!$B$2")="Amount",
                    "Investments",
                    "Bill Accounts"
                )
            )
        ),
    "")
)</f>
        <v/>
      </c>
      <c r="I392" s="46" t="str" cm="1">
        <f t="array" aca="1" ref="I392" ca="1">IF(F392&lt;&gt;"",IF(OR(G392="Bill Accounts",G392="Investments", G392="Cash Accounts"),INDIRECT("'"&amp;F392&amp;"'!$C$10"),INDIRECT("'"&amp;F392&amp;"'!$C$8")),"")</f>
        <v/>
      </c>
      <c r="K392" s="48">
        <f t="shared" ref="K392:K455" si="21">SUM(K391+1)</f>
        <v>398</v>
      </c>
      <c r="L392" s="114" t="str" cm="1">
        <f t="array" aca="1" ref="L392" ca="1">IF(F392&lt;&gt;"",INDIRECT("'"&amp;F392&amp;"'!$F$17"),"")</f>
        <v/>
      </c>
      <c r="M392" s="116" t="str">
        <f t="shared" ca="1" si="19"/>
        <v/>
      </c>
      <c r="O392" s="49" t="str">
        <f t="shared" ca="1" si="20"/>
        <v/>
      </c>
      <c r="P392" s="38" t="str">
        <f>IF(E392&lt;&gt;"",RANK(E392,$E$3:$E$2298)+COUNTIF($E$3:E392,E392)-1,"")</f>
        <v/>
      </c>
      <c r="R392" s="64"/>
    </row>
    <row r="393" spans="4:18" x14ac:dyDescent="0.25">
      <c r="D393" s="36" t="str" cm="1">
        <f t="array" aca="1" ref="D393" ca="1">IFERROR(IF(INDIRECT("'"&amp;F393&amp;"'!$C$5")&gt;0,DATE(YEAR(Dashboard!$AL$2),Dashboard!$AU$4,INDIRECT("'"&amp;F393&amp;"'!$C$5")),""),"")</f>
        <v/>
      </c>
      <c r="G393" s="38" t="str" cm="1">
        <f t="array" aca="1" ref="G393" ca="1">IF(F393="",
    "",
    IFERROR(
        IF(INDIRECT("'"&amp;F393&amp;"'!$B$2")="Credit Limit",
            "Credit Accounts",
            IF(INDIRECT("'"&amp;F393&amp;"'!$E$2")="Location",
                "Cash Accounts",
                IF(INDIRECT("'"&amp;F393&amp;"'!$B$2")="Amount",
                    "Investments",
                    "Bill Accounts"
                )
            )
        ),
    "")
)</f>
        <v/>
      </c>
      <c r="I393" s="46" t="str" cm="1">
        <f t="array" aca="1" ref="I393" ca="1">IF(F393&lt;&gt;"",IF(OR(G393="Bill Accounts",G393="Investments", G393="Cash Accounts"),INDIRECT("'"&amp;F393&amp;"'!$C$10"),INDIRECT("'"&amp;F393&amp;"'!$C$8")),"")</f>
        <v/>
      </c>
      <c r="K393" s="48">
        <f t="shared" si="21"/>
        <v>399</v>
      </c>
      <c r="L393" s="114" t="str" cm="1">
        <f t="array" aca="1" ref="L393" ca="1">IF(F393&lt;&gt;"",INDIRECT("'"&amp;F393&amp;"'!$F$17"),"")</f>
        <v/>
      </c>
      <c r="M393" s="116" t="str">
        <f t="shared" ca="1" si="19"/>
        <v/>
      </c>
      <c r="O393" s="49" t="str">
        <f t="shared" ca="1" si="20"/>
        <v/>
      </c>
      <c r="P393" s="38" t="str">
        <f>IF(E393&lt;&gt;"",RANK(E393,$E$3:$E$2298)+COUNTIF($E$3:E393,E393)-1,"")</f>
        <v/>
      </c>
      <c r="R393" s="64"/>
    </row>
    <row r="394" spans="4:18" x14ac:dyDescent="0.25">
      <c r="D394" s="36" t="str" cm="1">
        <f t="array" aca="1" ref="D394" ca="1">IFERROR(IF(INDIRECT("'"&amp;F394&amp;"'!$C$5")&gt;0,DATE(YEAR(Dashboard!$AL$2),Dashboard!$AU$4,INDIRECT("'"&amp;F394&amp;"'!$C$5")),""),"")</f>
        <v/>
      </c>
      <c r="G394" s="38" t="str" cm="1">
        <f t="array" aca="1" ref="G394" ca="1">IF(F394="",
    "",
    IFERROR(
        IF(INDIRECT("'"&amp;F394&amp;"'!$B$2")="Credit Limit",
            "Credit Accounts",
            IF(INDIRECT("'"&amp;F394&amp;"'!$E$2")="Location",
                "Cash Accounts",
                IF(INDIRECT("'"&amp;F394&amp;"'!$B$2")="Amount",
                    "Investments",
                    "Bill Accounts"
                )
            )
        ),
    "")
)</f>
        <v/>
      </c>
      <c r="I394" s="46" t="str" cm="1">
        <f t="array" aca="1" ref="I394" ca="1">IF(F394&lt;&gt;"",IF(OR(G394="Bill Accounts",G394="Investments", G394="Cash Accounts"),INDIRECT("'"&amp;F394&amp;"'!$C$10"),INDIRECT("'"&amp;F394&amp;"'!$C$8")),"")</f>
        <v/>
      </c>
      <c r="K394" s="48">
        <f t="shared" si="21"/>
        <v>400</v>
      </c>
      <c r="L394" s="114" t="str" cm="1">
        <f t="array" aca="1" ref="L394" ca="1">IF(F394&lt;&gt;"",INDIRECT("'"&amp;F394&amp;"'!$F$17"),"")</f>
        <v/>
      </c>
      <c r="M394" s="116" t="str">
        <f t="shared" ca="1" si="19"/>
        <v/>
      </c>
      <c r="O394" s="49" t="str">
        <f t="shared" ca="1" si="20"/>
        <v/>
      </c>
      <c r="P394" s="38" t="str">
        <f>IF(E394&lt;&gt;"",RANK(E394,$E$3:$E$2298)+COUNTIF($E$3:E394,E394)-1,"")</f>
        <v/>
      </c>
      <c r="R394" s="64"/>
    </row>
    <row r="395" spans="4:18" x14ac:dyDescent="0.25">
      <c r="D395" s="36" t="str" cm="1">
        <f t="array" aca="1" ref="D395" ca="1">IFERROR(IF(INDIRECT("'"&amp;F395&amp;"'!$C$5")&gt;0,DATE(YEAR(Dashboard!$AL$2),Dashboard!$AU$4,INDIRECT("'"&amp;F395&amp;"'!$C$5")),""),"")</f>
        <v/>
      </c>
      <c r="G395" s="38" t="str" cm="1">
        <f t="array" aca="1" ref="G395" ca="1">IF(F395="",
    "",
    IFERROR(
        IF(INDIRECT("'"&amp;F395&amp;"'!$B$2")="Credit Limit",
            "Credit Accounts",
            IF(INDIRECT("'"&amp;F395&amp;"'!$E$2")="Location",
                "Cash Accounts",
                IF(INDIRECT("'"&amp;F395&amp;"'!$B$2")="Amount",
                    "Investments",
                    "Bill Accounts"
                )
            )
        ),
    "")
)</f>
        <v/>
      </c>
      <c r="I395" s="46" t="str" cm="1">
        <f t="array" aca="1" ref="I395" ca="1">IF(F395&lt;&gt;"",IF(OR(G395="Bill Accounts",G395="Investments", G395="Cash Accounts"),INDIRECT("'"&amp;F395&amp;"'!$C$10"),INDIRECT("'"&amp;F395&amp;"'!$C$8")),"")</f>
        <v/>
      </c>
      <c r="K395" s="48">
        <f t="shared" si="21"/>
        <v>401</v>
      </c>
      <c r="L395" s="114" t="str" cm="1">
        <f t="array" aca="1" ref="L395" ca="1">IF(F395&lt;&gt;"",INDIRECT("'"&amp;F395&amp;"'!$F$17"),"")</f>
        <v/>
      </c>
      <c r="M395" s="116" t="str">
        <f t="shared" ca="1" si="19"/>
        <v/>
      </c>
      <c r="O395" s="49" t="str">
        <f t="shared" ca="1" si="20"/>
        <v/>
      </c>
      <c r="P395" s="38" t="str">
        <f>IF(E395&lt;&gt;"",RANK(E395,$E$3:$E$2298)+COUNTIF($E$3:E395,E395)-1,"")</f>
        <v/>
      </c>
      <c r="R395" s="64"/>
    </row>
    <row r="396" spans="4:18" x14ac:dyDescent="0.25">
      <c r="D396" s="36" t="str" cm="1">
        <f t="array" aca="1" ref="D396" ca="1">IFERROR(IF(INDIRECT("'"&amp;F396&amp;"'!$C$5")&gt;0,DATE(YEAR(Dashboard!$AL$2),Dashboard!$AU$4,INDIRECT("'"&amp;F396&amp;"'!$C$5")),""),"")</f>
        <v/>
      </c>
      <c r="G396" s="38" t="str" cm="1">
        <f t="array" aca="1" ref="G396" ca="1">IF(F396="",
    "",
    IFERROR(
        IF(INDIRECT("'"&amp;F396&amp;"'!$B$2")="Credit Limit",
            "Credit Accounts",
            IF(INDIRECT("'"&amp;F396&amp;"'!$E$2")="Location",
                "Cash Accounts",
                IF(INDIRECT("'"&amp;F396&amp;"'!$B$2")="Amount",
                    "Investments",
                    "Bill Accounts"
                )
            )
        ),
    "")
)</f>
        <v/>
      </c>
      <c r="I396" s="46" t="str" cm="1">
        <f t="array" aca="1" ref="I396" ca="1">IF(F396&lt;&gt;"",IF(OR(G396="Bill Accounts",G396="Investments", G396="Cash Accounts"),INDIRECT("'"&amp;F396&amp;"'!$C$10"),INDIRECT("'"&amp;F396&amp;"'!$C$8")),"")</f>
        <v/>
      </c>
      <c r="K396" s="48">
        <f t="shared" si="21"/>
        <v>402</v>
      </c>
      <c r="L396" s="114" t="str" cm="1">
        <f t="array" aca="1" ref="L396" ca="1">IF(F396&lt;&gt;"",INDIRECT("'"&amp;F396&amp;"'!$F$17"),"")</f>
        <v/>
      </c>
      <c r="M396" s="116" t="str">
        <f t="shared" ca="1" si="19"/>
        <v/>
      </c>
      <c r="O396" s="49" t="str">
        <f t="shared" ca="1" si="20"/>
        <v/>
      </c>
      <c r="P396" s="38" t="str">
        <f>IF(E396&lt;&gt;"",RANK(E396,$E$3:$E$2298)+COUNTIF($E$3:E396,E396)-1,"")</f>
        <v/>
      </c>
      <c r="R396" s="64"/>
    </row>
    <row r="397" spans="4:18" x14ac:dyDescent="0.25">
      <c r="D397" s="36" t="str" cm="1">
        <f t="array" aca="1" ref="D397" ca="1">IFERROR(IF(INDIRECT("'"&amp;F397&amp;"'!$C$5")&gt;0,DATE(YEAR(Dashboard!$AL$2),Dashboard!$AU$4,INDIRECT("'"&amp;F397&amp;"'!$C$5")),""),"")</f>
        <v/>
      </c>
      <c r="G397" s="38" t="str" cm="1">
        <f t="array" aca="1" ref="G397" ca="1">IF(F397="",
    "",
    IFERROR(
        IF(INDIRECT("'"&amp;F397&amp;"'!$B$2")="Credit Limit",
            "Credit Accounts",
            IF(INDIRECT("'"&amp;F397&amp;"'!$E$2")="Location",
                "Cash Accounts",
                IF(INDIRECT("'"&amp;F397&amp;"'!$B$2")="Amount",
                    "Investments",
                    "Bill Accounts"
                )
            )
        ),
    "")
)</f>
        <v/>
      </c>
      <c r="I397" s="46" t="str" cm="1">
        <f t="array" aca="1" ref="I397" ca="1">IF(F397&lt;&gt;"",IF(OR(G397="Bill Accounts",G397="Investments", G397="Cash Accounts"),INDIRECT("'"&amp;F397&amp;"'!$C$10"),INDIRECT("'"&amp;F397&amp;"'!$C$8")),"")</f>
        <v/>
      </c>
      <c r="K397" s="48">
        <f t="shared" si="21"/>
        <v>403</v>
      </c>
      <c r="L397" s="114" t="str" cm="1">
        <f t="array" aca="1" ref="L397" ca="1">IF(F397&lt;&gt;"",INDIRECT("'"&amp;F397&amp;"'!$F$17"),"")</f>
        <v/>
      </c>
      <c r="M397" s="116" t="str">
        <f t="shared" ca="1" si="19"/>
        <v/>
      </c>
      <c r="O397" s="49" t="str">
        <f t="shared" ca="1" si="20"/>
        <v/>
      </c>
      <c r="P397" s="38" t="str">
        <f>IF(E397&lt;&gt;"",RANK(E397,$E$3:$E$2298)+COUNTIF($E$3:E397,E397)-1,"")</f>
        <v/>
      </c>
      <c r="R397" s="64"/>
    </row>
    <row r="398" spans="4:18" x14ac:dyDescent="0.25">
      <c r="D398" s="36" t="str" cm="1">
        <f t="array" aca="1" ref="D398" ca="1">IFERROR(IF(INDIRECT("'"&amp;F398&amp;"'!$C$5")&gt;0,DATE(YEAR(Dashboard!$AL$2),Dashboard!$AU$4,INDIRECT("'"&amp;F398&amp;"'!$C$5")),""),"")</f>
        <v/>
      </c>
      <c r="G398" s="38" t="str" cm="1">
        <f t="array" aca="1" ref="G398" ca="1">IF(F398="",
    "",
    IFERROR(
        IF(INDIRECT("'"&amp;F398&amp;"'!$B$2")="Credit Limit",
            "Credit Accounts",
            IF(INDIRECT("'"&amp;F398&amp;"'!$E$2")="Location",
                "Cash Accounts",
                IF(INDIRECT("'"&amp;F398&amp;"'!$B$2")="Amount",
                    "Investments",
                    "Bill Accounts"
                )
            )
        ),
    "")
)</f>
        <v/>
      </c>
      <c r="I398" s="46" t="str" cm="1">
        <f t="array" aca="1" ref="I398" ca="1">IF(F398&lt;&gt;"",IF(OR(G398="Bill Accounts",G398="Investments", G398="Cash Accounts"),INDIRECT("'"&amp;F398&amp;"'!$C$10"),INDIRECT("'"&amp;F398&amp;"'!$C$8")),"")</f>
        <v/>
      </c>
      <c r="K398" s="48">
        <f t="shared" si="21"/>
        <v>404</v>
      </c>
      <c r="L398" s="114" t="str" cm="1">
        <f t="array" aca="1" ref="L398" ca="1">IF(F398&lt;&gt;"",INDIRECT("'"&amp;F398&amp;"'!$F$17"),"")</f>
        <v/>
      </c>
      <c r="M398" s="116" t="str">
        <f t="shared" ca="1" si="19"/>
        <v/>
      </c>
      <c r="O398" s="49" t="str">
        <f t="shared" ca="1" si="20"/>
        <v/>
      </c>
      <c r="P398" s="38" t="str">
        <f>IF(E398&lt;&gt;"",RANK(E398,$E$3:$E$2298)+COUNTIF($E$3:E398,E398)-1,"")</f>
        <v/>
      </c>
      <c r="R398" s="64"/>
    </row>
    <row r="399" spans="4:18" x14ac:dyDescent="0.25">
      <c r="D399" s="36" t="str" cm="1">
        <f t="array" aca="1" ref="D399" ca="1">IFERROR(IF(INDIRECT("'"&amp;F399&amp;"'!$C$5")&gt;0,DATE(YEAR(Dashboard!$AL$2),Dashboard!$AU$4,INDIRECT("'"&amp;F399&amp;"'!$C$5")),""),"")</f>
        <v/>
      </c>
      <c r="G399" s="38" t="str" cm="1">
        <f t="array" aca="1" ref="G399" ca="1">IF(F399="",
    "",
    IFERROR(
        IF(INDIRECT("'"&amp;F399&amp;"'!$B$2")="Credit Limit",
            "Credit Accounts",
            IF(INDIRECT("'"&amp;F399&amp;"'!$E$2")="Location",
                "Cash Accounts",
                IF(INDIRECT("'"&amp;F399&amp;"'!$B$2")="Amount",
                    "Investments",
                    "Bill Accounts"
                )
            )
        ),
    "")
)</f>
        <v/>
      </c>
      <c r="I399" s="46" t="str" cm="1">
        <f t="array" aca="1" ref="I399" ca="1">IF(F399&lt;&gt;"",IF(OR(G399="Bill Accounts",G399="Investments", G399="Cash Accounts"),INDIRECT("'"&amp;F399&amp;"'!$C$10"),INDIRECT("'"&amp;F399&amp;"'!$C$8")),"")</f>
        <v/>
      </c>
      <c r="K399" s="48">
        <f t="shared" si="21"/>
        <v>405</v>
      </c>
      <c r="L399" s="114" t="str" cm="1">
        <f t="array" aca="1" ref="L399" ca="1">IF(F399&lt;&gt;"",INDIRECT("'"&amp;F399&amp;"'!$F$17"),"")</f>
        <v/>
      </c>
      <c r="M399" s="116" t="str">
        <f t="shared" ca="1" si="19"/>
        <v/>
      </c>
      <c r="O399" s="49" t="str">
        <f t="shared" ca="1" si="20"/>
        <v/>
      </c>
      <c r="P399" s="38" t="str">
        <f>IF(E399&lt;&gt;"",RANK(E399,$E$3:$E$2298)+COUNTIF($E$3:E399,E399)-1,"")</f>
        <v/>
      </c>
      <c r="R399" s="64"/>
    </row>
    <row r="400" spans="4:18" x14ac:dyDescent="0.25">
      <c r="D400" s="36" t="str" cm="1">
        <f t="array" aca="1" ref="D400" ca="1">IFERROR(IF(INDIRECT("'"&amp;F400&amp;"'!$C$5")&gt;0,DATE(YEAR(Dashboard!$AL$2),Dashboard!$AU$4,INDIRECT("'"&amp;F400&amp;"'!$C$5")),""),"")</f>
        <v/>
      </c>
      <c r="G400" s="38" t="str" cm="1">
        <f t="array" aca="1" ref="G400" ca="1">IF(F400="",
    "",
    IFERROR(
        IF(INDIRECT("'"&amp;F400&amp;"'!$B$2")="Credit Limit",
            "Credit Accounts",
            IF(INDIRECT("'"&amp;F400&amp;"'!$E$2")="Location",
                "Cash Accounts",
                IF(INDIRECT("'"&amp;F400&amp;"'!$B$2")="Amount",
                    "Investments",
                    "Bill Accounts"
                )
            )
        ),
    "")
)</f>
        <v/>
      </c>
      <c r="I400" s="46" t="str" cm="1">
        <f t="array" aca="1" ref="I400" ca="1">IF(F400&lt;&gt;"",IF(OR(G400="Bill Accounts",G400="Investments", G400="Cash Accounts"),INDIRECT("'"&amp;F400&amp;"'!$C$10"),INDIRECT("'"&amp;F400&amp;"'!$C$8")),"")</f>
        <v/>
      </c>
      <c r="K400" s="48">
        <f t="shared" si="21"/>
        <v>406</v>
      </c>
      <c r="L400" s="114" t="str" cm="1">
        <f t="array" aca="1" ref="L400" ca="1">IF(F400&lt;&gt;"",INDIRECT("'"&amp;F400&amp;"'!$F$17"),"")</f>
        <v/>
      </c>
      <c r="M400" s="116" t="str">
        <f t="shared" ca="1" si="19"/>
        <v/>
      </c>
      <c r="O400" s="49" t="str">
        <f t="shared" ca="1" si="20"/>
        <v/>
      </c>
      <c r="P400" s="38" t="str">
        <f>IF(E400&lt;&gt;"",RANK(E400,$E$3:$E$2298)+COUNTIF($E$3:E400,E400)-1,"")</f>
        <v/>
      </c>
      <c r="R400" s="64"/>
    </row>
    <row r="401" spans="4:18" x14ac:dyDescent="0.25">
      <c r="D401" s="36" t="str" cm="1">
        <f t="array" aca="1" ref="D401" ca="1">IFERROR(IF(INDIRECT("'"&amp;F401&amp;"'!$C$5")&gt;0,DATE(YEAR(Dashboard!$AL$2),Dashboard!$AU$4,INDIRECT("'"&amp;F401&amp;"'!$C$5")),""),"")</f>
        <v/>
      </c>
      <c r="G401" s="38" t="str" cm="1">
        <f t="array" aca="1" ref="G401" ca="1">IF(F401="",
    "",
    IFERROR(
        IF(INDIRECT("'"&amp;F401&amp;"'!$B$2")="Credit Limit",
            "Credit Accounts",
            IF(INDIRECT("'"&amp;F401&amp;"'!$E$2")="Location",
                "Cash Accounts",
                IF(INDIRECT("'"&amp;F401&amp;"'!$B$2")="Amount",
                    "Investments",
                    "Bill Accounts"
                )
            )
        ),
    "")
)</f>
        <v/>
      </c>
      <c r="I401" s="46" t="str" cm="1">
        <f t="array" aca="1" ref="I401" ca="1">IF(F401&lt;&gt;"",IF(OR(G401="Bill Accounts",G401="Investments", G401="Cash Accounts"),INDIRECT("'"&amp;F401&amp;"'!$C$10"),INDIRECT("'"&amp;F401&amp;"'!$C$8")),"")</f>
        <v/>
      </c>
      <c r="K401" s="48">
        <f t="shared" si="21"/>
        <v>407</v>
      </c>
      <c r="L401" s="114" t="str" cm="1">
        <f t="array" aca="1" ref="L401" ca="1">IF(F401&lt;&gt;"",INDIRECT("'"&amp;F401&amp;"'!$F$17"),"")</f>
        <v/>
      </c>
      <c r="M401" s="116" t="str">
        <f t="shared" ca="1" si="19"/>
        <v/>
      </c>
      <c r="O401" s="49" t="str">
        <f t="shared" ca="1" si="20"/>
        <v/>
      </c>
      <c r="P401" s="38" t="str">
        <f>IF(E401&lt;&gt;"",RANK(E401,$E$3:$E$2298)+COUNTIF($E$3:E401,E401)-1,"")</f>
        <v/>
      </c>
      <c r="R401" s="64"/>
    </row>
    <row r="402" spans="4:18" x14ac:dyDescent="0.25">
      <c r="D402" s="36" t="str" cm="1">
        <f t="array" aca="1" ref="D402" ca="1">IFERROR(IF(INDIRECT("'"&amp;F402&amp;"'!$C$5")&gt;0,DATE(YEAR(Dashboard!$AL$2),Dashboard!$AU$4,INDIRECT("'"&amp;F402&amp;"'!$C$5")),""),"")</f>
        <v/>
      </c>
      <c r="G402" s="38" t="str" cm="1">
        <f t="array" aca="1" ref="G402" ca="1">IF(F402="",
    "",
    IFERROR(
        IF(INDIRECT("'"&amp;F402&amp;"'!$B$2")="Credit Limit",
            "Credit Accounts",
            IF(INDIRECT("'"&amp;F402&amp;"'!$E$2")="Location",
                "Cash Accounts",
                IF(INDIRECT("'"&amp;F402&amp;"'!$B$2")="Amount",
                    "Investments",
                    "Bill Accounts"
                )
            )
        ),
    "")
)</f>
        <v/>
      </c>
      <c r="I402" s="46" t="str" cm="1">
        <f t="array" aca="1" ref="I402" ca="1">IF(F402&lt;&gt;"",IF(OR(G402="Bill Accounts",G402="Investments", G402="Cash Accounts"),INDIRECT("'"&amp;F402&amp;"'!$C$10"),INDIRECT("'"&amp;F402&amp;"'!$C$8")),"")</f>
        <v/>
      </c>
      <c r="K402" s="48">
        <f t="shared" si="21"/>
        <v>408</v>
      </c>
      <c r="L402" s="114" t="str" cm="1">
        <f t="array" aca="1" ref="L402" ca="1">IF(F402&lt;&gt;"",INDIRECT("'"&amp;F402&amp;"'!$F$17"),"")</f>
        <v/>
      </c>
      <c r="M402" s="116" t="str">
        <f t="shared" ca="1" si="19"/>
        <v/>
      </c>
      <c r="O402" s="49" t="str">
        <f t="shared" ca="1" si="20"/>
        <v/>
      </c>
      <c r="P402" s="38" t="str">
        <f>IF(E402&lt;&gt;"",RANK(E402,$E$3:$E$2298)+COUNTIF($E$3:E402,E402)-1,"")</f>
        <v/>
      </c>
      <c r="R402" s="64"/>
    </row>
    <row r="403" spans="4:18" x14ac:dyDescent="0.25">
      <c r="D403" s="36" t="str" cm="1">
        <f t="array" aca="1" ref="D403" ca="1">IFERROR(IF(INDIRECT("'"&amp;F403&amp;"'!$C$5")&gt;0,DATE(YEAR(Dashboard!$AL$2),Dashboard!$AU$4,INDIRECT("'"&amp;F403&amp;"'!$C$5")),""),"")</f>
        <v/>
      </c>
      <c r="G403" s="38" t="str" cm="1">
        <f t="array" aca="1" ref="G403" ca="1">IF(F403="",
    "",
    IFERROR(
        IF(INDIRECT("'"&amp;F403&amp;"'!$B$2")="Credit Limit",
            "Credit Accounts",
            IF(INDIRECT("'"&amp;F403&amp;"'!$E$2")="Location",
                "Cash Accounts",
                IF(INDIRECT("'"&amp;F403&amp;"'!$B$2")="Amount",
                    "Investments",
                    "Bill Accounts"
                )
            )
        ),
    "")
)</f>
        <v/>
      </c>
      <c r="I403" s="46" t="str" cm="1">
        <f t="array" aca="1" ref="I403" ca="1">IF(F403&lt;&gt;"",IF(OR(G403="Bill Accounts",G403="Investments", G403="Cash Accounts"),INDIRECT("'"&amp;F403&amp;"'!$C$10"),INDIRECT("'"&amp;F403&amp;"'!$C$8")),"")</f>
        <v/>
      </c>
      <c r="K403" s="48">
        <f t="shared" si="21"/>
        <v>409</v>
      </c>
      <c r="L403" s="114" t="str" cm="1">
        <f t="array" aca="1" ref="L403" ca="1">IF(F403&lt;&gt;"",INDIRECT("'"&amp;F403&amp;"'!$F$17"),"")</f>
        <v/>
      </c>
      <c r="M403" s="116" t="str">
        <f t="shared" ca="1" si="19"/>
        <v/>
      </c>
      <c r="O403" s="49" t="str">
        <f t="shared" ca="1" si="20"/>
        <v/>
      </c>
      <c r="P403" s="38" t="str">
        <f>IF(E403&lt;&gt;"",RANK(E403,$E$3:$E$2298)+COUNTIF($E$3:E403,E403)-1,"")</f>
        <v/>
      </c>
      <c r="R403" s="64"/>
    </row>
    <row r="404" spans="4:18" x14ac:dyDescent="0.25">
      <c r="D404" s="36" t="str" cm="1">
        <f t="array" aca="1" ref="D404" ca="1">IFERROR(IF(INDIRECT("'"&amp;F404&amp;"'!$C$5")&gt;0,DATE(YEAR(Dashboard!$AL$2),Dashboard!$AU$4,INDIRECT("'"&amp;F404&amp;"'!$C$5")),""),"")</f>
        <v/>
      </c>
      <c r="G404" s="38" t="str" cm="1">
        <f t="array" aca="1" ref="G404" ca="1">IF(F404="",
    "",
    IFERROR(
        IF(INDIRECT("'"&amp;F404&amp;"'!$B$2")="Credit Limit",
            "Credit Accounts",
            IF(INDIRECT("'"&amp;F404&amp;"'!$E$2")="Location",
                "Cash Accounts",
                IF(INDIRECT("'"&amp;F404&amp;"'!$B$2")="Amount",
                    "Investments",
                    "Bill Accounts"
                )
            )
        ),
    "")
)</f>
        <v/>
      </c>
      <c r="I404" s="46" t="str" cm="1">
        <f t="array" aca="1" ref="I404" ca="1">IF(F404&lt;&gt;"",IF(OR(G404="Bill Accounts",G404="Investments", G404="Cash Accounts"),INDIRECT("'"&amp;F404&amp;"'!$C$10"),INDIRECT("'"&amp;F404&amp;"'!$C$8")),"")</f>
        <v/>
      </c>
      <c r="K404" s="48">
        <f t="shared" si="21"/>
        <v>410</v>
      </c>
      <c r="L404" s="114" t="str" cm="1">
        <f t="array" aca="1" ref="L404" ca="1">IF(F404&lt;&gt;"",INDIRECT("'"&amp;F404&amp;"'!$F$17"),"")</f>
        <v/>
      </c>
      <c r="M404" s="116" t="str">
        <f t="shared" ca="1" si="19"/>
        <v/>
      </c>
      <c r="O404" s="49" t="str">
        <f t="shared" ca="1" si="20"/>
        <v/>
      </c>
      <c r="P404" s="38" t="str">
        <f>IF(E404&lt;&gt;"",RANK(E404,$E$3:$E$2298)+COUNTIF($E$3:E404,E404)-1,"")</f>
        <v/>
      </c>
      <c r="R404" s="64"/>
    </row>
    <row r="405" spans="4:18" x14ac:dyDescent="0.25">
      <c r="D405" s="36" t="str" cm="1">
        <f t="array" aca="1" ref="D405" ca="1">IFERROR(IF(INDIRECT("'"&amp;F405&amp;"'!$C$5")&gt;0,DATE(YEAR(Dashboard!$AL$2),Dashboard!$AU$4,INDIRECT("'"&amp;F405&amp;"'!$C$5")),""),"")</f>
        <v/>
      </c>
      <c r="G405" s="38" t="str" cm="1">
        <f t="array" aca="1" ref="G405" ca="1">IF(F405="",
    "",
    IFERROR(
        IF(INDIRECT("'"&amp;F405&amp;"'!$B$2")="Credit Limit",
            "Credit Accounts",
            IF(INDIRECT("'"&amp;F405&amp;"'!$E$2")="Location",
                "Cash Accounts",
                IF(INDIRECT("'"&amp;F405&amp;"'!$B$2")="Amount",
                    "Investments",
                    "Bill Accounts"
                )
            )
        ),
    "")
)</f>
        <v/>
      </c>
      <c r="I405" s="46" t="str" cm="1">
        <f t="array" aca="1" ref="I405" ca="1">IF(F405&lt;&gt;"",IF(OR(G405="Bill Accounts",G405="Investments", G405="Cash Accounts"),INDIRECT("'"&amp;F405&amp;"'!$C$10"),INDIRECT("'"&amp;F405&amp;"'!$C$8")),"")</f>
        <v/>
      </c>
      <c r="K405" s="48">
        <f t="shared" si="21"/>
        <v>411</v>
      </c>
      <c r="L405" s="114" t="str" cm="1">
        <f t="array" aca="1" ref="L405" ca="1">IF(F405&lt;&gt;"",INDIRECT("'"&amp;F405&amp;"'!$F$17"),"")</f>
        <v/>
      </c>
      <c r="M405" s="116" t="str">
        <f t="shared" ca="1" si="19"/>
        <v/>
      </c>
      <c r="O405" s="49" t="str">
        <f t="shared" ca="1" si="20"/>
        <v/>
      </c>
      <c r="P405" s="38" t="str">
        <f>IF(E405&lt;&gt;"",RANK(E405,$E$3:$E$2298)+COUNTIF($E$3:E405,E405)-1,"")</f>
        <v/>
      </c>
      <c r="R405" s="64"/>
    </row>
    <row r="406" spans="4:18" x14ac:dyDescent="0.25">
      <c r="D406" s="36" t="str" cm="1">
        <f t="array" aca="1" ref="D406" ca="1">IFERROR(IF(INDIRECT("'"&amp;F406&amp;"'!$C$5")&gt;0,DATE(YEAR(Dashboard!$AL$2),Dashboard!$AU$4,INDIRECT("'"&amp;F406&amp;"'!$C$5")),""),"")</f>
        <v/>
      </c>
      <c r="G406" s="38" t="str" cm="1">
        <f t="array" aca="1" ref="G406" ca="1">IF(F406="",
    "",
    IFERROR(
        IF(INDIRECT("'"&amp;F406&amp;"'!$B$2")="Credit Limit",
            "Credit Accounts",
            IF(INDIRECT("'"&amp;F406&amp;"'!$E$2")="Location",
                "Cash Accounts",
                IF(INDIRECT("'"&amp;F406&amp;"'!$B$2")="Amount",
                    "Investments",
                    "Bill Accounts"
                )
            )
        ),
    "")
)</f>
        <v/>
      </c>
      <c r="I406" s="46" t="str" cm="1">
        <f t="array" aca="1" ref="I406" ca="1">IF(F406&lt;&gt;"",IF(OR(G406="Bill Accounts",G406="Investments", G406="Cash Accounts"),INDIRECT("'"&amp;F406&amp;"'!$C$10"),INDIRECT("'"&amp;F406&amp;"'!$C$8")),"")</f>
        <v/>
      </c>
      <c r="K406" s="48">
        <f t="shared" si="21"/>
        <v>412</v>
      </c>
      <c r="L406" s="114" t="str" cm="1">
        <f t="array" aca="1" ref="L406" ca="1">IF(F406&lt;&gt;"",INDIRECT("'"&amp;F406&amp;"'!$F$17"),"")</f>
        <v/>
      </c>
      <c r="M406" s="116" t="str">
        <f t="shared" ca="1" si="19"/>
        <v/>
      </c>
      <c r="O406" s="49" t="str">
        <f t="shared" ca="1" si="20"/>
        <v/>
      </c>
      <c r="P406" s="38" t="str">
        <f>IF(E406&lt;&gt;"",RANK(E406,$E$3:$E$2298)+COUNTIF($E$3:E406,E406)-1,"")</f>
        <v/>
      </c>
      <c r="R406" s="64"/>
    </row>
    <row r="407" spans="4:18" x14ac:dyDescent="0.25">
      <c r="D407" s="36" t="str" cm="1">
        <f t="array" aca="1" ref="D407" ca="1">IFERROR(IF(INDIRECT("'"&amp;F407&amp;"'!$C$5")&gt;0,DATE(YEAR(Dashboard!$AL$2),Dashboard!$AU$4,INDIRECT("'"&amp;F407&amp;"'!$C$5")),""),"")</f>
        <v/>
      </c>
      <c r="G407" s="38" t="str" cm="1">
        <f t="array" aca="1" ref="G407" ca="1">IF(F407="",
    "",
    IFERROR(
        IF(INDIRECT("'"&amp;F407&amp;"'!$B$2")="Credit Limit",
            "Credit Accounts",
            IF(INDIRECT("'"&amp;F407&amp;"'!$E$2")="Location",
                "Cash Accounts",
                IF(INDIRECT("'"&amp;F407&amp;"'!$B$2")="Amount",
                    "Investments",
                    "Bill Accounts"
                )
            )
        ),
    "")
)</f>
        <v/>
      </c>
      <c r="I407" s="46" t="str" cm="1">
        <f t="array" aca="1" ref="I407" ca="1">IF(F407&lt;&gt;"",IF(OR(G407="Bill Accounts",G407="Investments", G407="Cash Accounts"),INDIRECT("'"&amp;F407&amp;"'!$C$10"),INDIRECT("'"&amp;F407&amp;"'!$C$8")),"")</f>
        <v/>
      </c>
      <c r="K407" s="48">
        <f t="shared" si="21"/>
        <v>413</v>
      </c>
      <c r="L407" s="114" t="str" cm="1">
        <f t="array" aca="1" ref="L407" ca="1">IF(F407&lt;&gt;"",INDIRECT("'"&amp;F407&amp;"'!$F$17"),"")</f>
        <v/>
      </c>
      <c r="M407" s="116" t="str">
        <f t="shared" ca="1" si="19"/>
        <v/>
      </c>
      <c r="O407" s="49" t="str">
        <f t="shared" ca="1" si="20"/>
        <v/>
      </c>
      <c r="P407" s="38" t="str">
        <f>IF(E407&lt;&gt;"",RANK(E407,$E$3:$E$2298)+COUNTIF($E$3:E407,E407)-1,"")</f>
        <v/>
      </c>
      <c r="R407" s="64"/>
    </row>
    <row r="408" spans="4:18" x14ac:dyDescent="0.25">
      <c r="D408" s="36" t="str" cm="1">
        <f t="array" aca="1" ref="D408" ca="1">IFERROR(IF(INDIRECT("'"&amp;F408&amp;"'!$C$5")&gt;0,DATE(YEAR(Dashboard!$AL$2),Dashboard!$AU$4,INDIRECT("'"&amp;F408&amp;"'!$C$5")),""),"")</f>
        <v/>
      </c>
      <c r="G408" s="38" t="str" cm="1">
        <f t="array" aca="1" ref="G408" ca="1">IF(F408="",
    "",
    IFERROR(
        IF(INDIRECT("'"&amp;F408&amp;"'!$B$2")="Credit Limit",
            "Credit Accounts",
            IF(INDIRECT("'"&amp;F408&amp;"'!$E$2")="Location",
                "Cash Accounts",
                IF(INDIRECT("'"&amp;F408&amp;"'!$B$2")="Amount",
                    "Investments",
                    "Bill Accounts"
                )
            )
        ),
    "")
)</f>
        <v/>
      </c>
      <c r="I408" s="46" t="str" cm="1">
        <f t="array" aca="1" ref="I408" ca="1">IF(F408&lt;&gt;"",IF(OR(G408="Bill Accounts",G408="Investments", G408="Cash Accounts"),INDIRECT("'"&amp;F408&amp;"'!$C$10"),INDIRECT("'"&amp;F408&amp;"'!$C$8")),"")</f>
        <v/>
      </c>
      <c r="K408" s="48">
        <f t="shared" si="21"/>
        <v>414</v>
      </c>
      <c r="L408" s="114" t="str" cm="1">
        <f t="array" aca="1" ref="L408" ca="1">IF(F408&lt;&gt;"",INDIRECT("'"&amp;F408&amp;"'!$F$17"),"")</f>
        <v/>
      </c>
      <c r="M408" s="116" t="str">
        <f t="shared" ca="1" si="19"/>
        <v/>
      </c>
      <c r="O408" s="49" t="str">
        <f t="shared" ca="1" si="20"/>
        <v/>
      </c>
      <c r="P408" s="38" t="str">
        <f>IF(E408&lt;&gt;"",RANK(E408,$E$3:$E$2298)+COUNTIF($E$3:E408,E408)-1,"")</f>
        <v/>
      </c>
      <c r="R408" s="64"/>
    </row>
    <row r="409" spans="4:18" x14ac:dyDescent="0.25">
      <c r="D409" s="36" t="str" cm="1">
        <f t="array" aca="1" ref="D409" ca="1">IFERROR(IF(INDIRECT("'"&amp;F409&amp;"'!$C$5")&gt;0,DATE(YEAR(Dashboard!$AL$2),Dashboard!$AU$4,INDIRECT("'"&amp;F409&amp;"'!$C$5")),""),"")</f>
        <v/>
      </c>
      <c r="G409" s="38" t="str" cm="1">
        <f t="array" aca="1" ref="G409" ca="1">IF(F409="",
    "",
    IFERROR(
        IF(INDIRECT("'"&amp;F409&amp;"'!$B$2")="Credit Limit",
            "Credit Accounts",
            IF(INDIRECT("'"&amp;F409&amp;"'!$E$2")="Location",
                "Cash Accounts",
                IF(INDIRECT("'"&amp;F409&amp;"'!$B$2")="Amount",
                    "Investments",
                    "Bill Accounts"
                )
            )
        ),
    "")
)</f>
        <v/>
      </c>
      <c r="I409" s="46" t="str" cm="1">
        <f t="array" aca="1" ref="I409" ca="1">IF(F409&lt;&gt;"",IF(OR(G409="Bill Accounts",G409="Investments", G409="Cash Accounts"),INDIRECT("'"&amp;F409&amp;"'!$C$10"),INDIRECT("'"&amp;F409&amp;"'!$C$8")),"")</f>
        <v/>
      </c>
      <c r="K409" s="48">
        <f t="shared" si="21"/>
        <v>415</v>
      </c>
      <c r="L409" s="114" t="str" cm="1">
        <f t="array" aca="1" ref="L409" ca="1">IF(F409&lt;&gt;"",INDIRECT("'"&amp;F409&amp;"'!$F$17"),"")</f>
        <v/>
      </c>
      <c r="M409" s="116" t="str">
        <f t="shared" ca="1" si="19"/>
        <v/>
      </c>
      <c r="O409" s="49" t="str">
        <f t="shared" ca="1" si="20"/>
        <v/>
      </c>
      <c r="P409" s="38" t="str">
        <f>IF(E409&lt;&gt;"",RANK(E409,$E$3:$E$2298)+COUNTIF($E$3:E409,E409)-1,"")</f>
        <v/>
      </c>
      <c r="R409" s="64"/>
    </row>
    <row r="410" spans="4:18" x14ac:dyDescent="0.25">
      <c r="D410" s="36" t="str" cm="1">
        <f t="array" aca="1" ref="D410" ca="1">IFERROR(IF(INDIRECT("'"&amp;F410&amp;"'!$C$5")&gt;0,DATE(YEAR(Dashboard!$AL$2),Dashboard!$AU$4,INDIRECT("'"&amp;F410&amp;"'!$C$5")),""),"")</f>
        <v/>
      </c>
      <c r="G410" s="38" t="str" cm="1">
        <f t="array" aca="1" ref="G410" ca="1">IF(F410="",
    "",
    IFERROR(
        IF(INDIRECT("'"&amp;F410&amp;"'!$B$2")="Credit Limit",
            "Credit Accounts",
            IF(INDIRECT("'"&amp;F410&amp;"'!$E$2")="Location",
                "Cash Accounts",
                IF(INDIRECT("'"&amp;F410&amp;"'!$B$2")="Amount",
                    "Investments",
                    "Bill Accounts"
                )
            )
        ),
    "")
)</f>
        <v/>
      </c>
      <c r="I410" s="46" t="str" cm="1">
        <f t="array" aca="1" ref="I410" ca="1">IF(F410&lt;&gt;"",IF(OR(G410="Bill Accounts",G410="Investments", G410="Cash Accounts"),INDIRECT("'"&amp;F410&amp;"'!$C$10"),INDIRECT("'"&amp;F410&amp;"'!$C$8")),"")</f>
        <v/>
      </c>
      <c r="K410" s="48">
        <f t="shared" si="21"/>
        <v>416</v>
      </c>
      <c r="L410" s="114" t="str" cm="1">
        <f t="array" aca="1" ref="L410" ca="1">IF(F410&lt;&gt;"",INDIRECT("'"&amp;F410&amp;"'!$F$17"),"")</f>
        <v/>
      </c>
      <c r="M410" s="116" t="str">
        <f t="shared" ca="1" si="19"/>
        <v/>
      </c>
      <c r="O410" s="49" t="str">
        <f t="shared" ca="1" si="20"/>
        <v/>
      </c>
      <c r="P410" s="38" t="str">
        <f>IF(E410&lt;&gt;"",RANK(E410,$E$3:$E$2298)+COUNTIF($E$3:E410,E410)-1,"")</f>
        <v/>
      </c>
      <c r="R410" s="64"/>
    </row>
    <row r="411" spans="4:18" x14ac:dyDescent="0.25">
      <c r="D411" s="36" t="str" cm="1">
        <f t="array" aca="1" ref="D411" ca="1">IFERROR(IF(INDIRECT("'"&amp;F411&amp;"'!$C$5")&gt;0,DATE(YEAR(Dashboard!$AL$2),Dashboard!$AU$4,INDIRECT("'"&amp;F411&amp;"'!$C$5")),""),"")</f>
        <v/>
      </c>
      <c r="G411" s="38" t="str" cm="1">
        <f t="array" aca="1" ref="G411" ca="1">IF(F411="",
    "",
    IFERROR(
        IF(INDIRECT("'"&amp;F411&amp;"'!$B$2")="Credit Limit",
            "Credit Accounts",
            IF(INDIRECT("'"&amp;F411&amp;"'!$E$2")="Location",
                "Cash Accounts",
                IF(INDIRECT("'"&amp;F411&amp;"'!$B$2")="Amount",
                    "Investments",
                    "Bill Accounts"
                )
            )
        ),
    "")
)</f>
        <v/>
      </c>
      <c r="I411" s="46" t="str" cm="1">
        <f t="array" aca="1" ref="I411" ca="1">IF(F411&lt;&gt;"",IF(OR(G411="Bill Accounts",G411="Investments", G411="Cash Accounts"),INDIRECT("'"&amp;F411&amp;"'!$C$10"),INDIRECT("'"&amp;F411&amp;"'!$C$8")),"")</f>
        <v/>
      </c>
      <c r="K411" s="48">
        <f t="shared" si="21"/>
        <v>417</v>
      </c>
      <c r="L411" s="114" t="str" cm="1">
        <f t="array" aca="1" ref="L411" ca="1">IF(F411&lt;&gt;"",INDIRECT("'"&amp;F411&amp;"'!$F$17"),"")</f>
        <v/>
      </c>
      <c r="M411" s="116" t="str">
        <f t="shared" ca="1" si="19"/>
        <v/>
      </c>
      <c r="O411" s="49" t="str">
        <f t="shared" ca="1" si="20"/>
        <v/>
      </c>
      <c r="P411" s="38" t="str">
        <f>IF(E411&lt;&gt;"",RANK(E411,$E$3:$E$2298)+COUNTIF($E$3:E411,E411)-1,"")</f>
        <v/>
      </c>
      <c r="R411" s="64"/>
    </row>
    <row r="412" spans="4:18" x14ac:dyDescent="0.25">
      <c r="D412" s="36" t="str" cm="1">
        <f t="array" aca="1" ref="D412" ca="1">IFERROR(IF(INDIRECT("'"&amp;F412&amp;"'!$C$5")&gt;0,DATE(YEAR(Dashboard!$AL$2),Dashboard!$AU$4,INDIRECT("'"&amp;F412&amp;"'!$C$5")),""),"")</f>
        <v/>
      </c>
      <c r="G412" s="38" t="str" cm="1">
        <f t="array" aca="1" ref="G412" ca="1">IF(F412="",
    "",
    IFERROR(
        IF(INDIRECT("'"&amp;F412&amp;"'!$B$2")="Credit Limit",
            "Credit Accounts",
            IF(INDIRECT("'"&amp;F412&amp;"'!$E$2")="Location",
                "Cash Accounts",
                IF(INDIRECT("'"&amp;F412&amp;"'!$B$2")="Amount",
                    "Investments",
                    "Bill Accounts"
                )
            )
        ),
    "")
)</f>
        <v/>
      </c>
      <c r="I412" s="46" t="str" cm="1">
        <f t="array" aca="1" ref="I412" ca="1">IF(F412&lt;&gt;"",IF(OR(G412="Bill Accounts",G412="Investments", G412="Cash Accounts"),INDIRECT("'"&amp;F412&amp;"'!$C$10"),INDIRECT("'"&amp;F412&amp;"'!$C$8")),"")</f>
        <v/>
      </c>
      <c r="K412" s="48">
        <f t="shared" si="21"/>
        <v>418</v>
      </c>
      <c r="L412" s="114" t="str" cm="1">
        <f t="array" aca="1" ref="L412" ca="1">IF(F412&lt;&gt;"",INDIRECT("'"&amp;F412&amp;"'!$F$17"),"")</f>
        <v/>
      </c>
      <c r="M412" s="116" t="str">
        <f t="shared" ca="1" si="19"/>
        <v/>
      </c>
      <c r="O412" s="49" t="str">
        <f t="shared" ca="1" si="20"/>
        <v/>
      </c>
      <c r="P412" s="38" t="str">
        <f>IF(E412&lt;&gt;"",RANK(E412,$E$3:$E$2298)+COUNTIF($E$3:E412,E412)-1,"")</f>
        <v/>
      </c>
      <c r="R412" s="64"/>
    </row>
    <row r="413" spans="4:18" x14ac:dyDescent="0.25">
      <c r="D413" s="36" t="str" cm="1">
        <f t="array" aca="1" ref="D413" ca="1">IFERROR(IF(INDIRECT("'"&amp;F413&amp;"'!$C$5")&gt;0,DATE(YEAR(Dashboard!$AL$2),Dashboard!$AU$4,INDIRECT("'"&amp;F413&amp;"'!$C$5")),""),"")</f>
        <v/>
      </c>
      <c r="G413" s="38" t="str" cm="1">
        <f t="array" aca="1" ref="G413" ca="1">IF(F413="",
    "",
    IFERROR(
        IF(INDIRECT("'"&amp;F413&amp;"'!$B$2")="Credit Limit",
            "Credit Accounts",
            IF(INDIRECT("'"&amp;F413&amp;"'!$E$2")="Location",
                "Cash Accounts",
                IF(INDIRECT("'"&amp;F413&amp;"'!$B$2")="Amount",
                    "Investments",
                    "Bill Accounts"
                )
            )
        ),
    "")
)</f>
        <v/>
      </c>
      <c r="I413" s="46" t="str" cm="1">
        <f t="array" aca="1" ref="I413" ca="1">IF(F413&lt;&gt;"",IF(OR(G413="Bill Accounts",G413="Investments", G413="Cash Accounts"),INDIRECT("'"&amp;F413&amp;"'!$C$10"),INDIRECT("'"&amp;F413&amp;"'!$C$8")),"")</f>
        <v/>
      </c>
      <c r="K413" s="48">
        <f t="shared" si="21"/>
        <v>419</v>
      </c>
      <c r="L413" s="114" t="str" cm="1">
        <f t="array" aca="1" ref="L413" ca="1">IF(F413&lt;&gt;"",INDIRECT("'"&amp;F413&amp;"'!$F$17"),"")</f>
        <v/>
      </c>
      <c r="M413" s="116" t="str">
        <f t="shared" ca="1" si="19"/>
        <v/>
      </c>
      <c r="O413" s="49" t="str">
        <f t="shared" ca="1" si="20"/>
        <v/>
      </c>
      <c r="P413" s="38" t="str">
        <f>IF(E413&lt;&gt;"",RANK(E413,$E$3:$E$2298)+COUNTIF($E$3:E413,E413)-1,"")</f>
        <v/>
      </c>
      <c r="R413" s="64"/>
    </row>
    <row r="414" spans="4:18" x14ac:dyDescent="0.25">
      <c r="D414" s="36" t="str" cm="1">
        <f t="array" aca="1" ref="D414" ca="1">IFERROR(IF(INDIRECT("'"&amp;F414&amp;"'!$C$5")&gt;0,DATE(YEAR(Dashboard!$AL$2),Dashboard!$AU$4,INDIRECT("'"&amp;F414&amp;"'!$C$5")),""),"")</f>
        <v/>
      </c>
      <c r="G414" s="38" t="str" cm="1">
        <f t="array" aca="1" ref="G414" ca="1">IF(F414="",
    "",
    IFERROR(
        IF(INDIRECT("'"&amp;F414&amp;"'!$B$2")="Credit Limit",
            "Credit Accounts",
            IF(INDIRECT("'"&amp;F414&amp;"'!$E$2")="Location",
                "Cash Accounts",
                IF(INDIRECT("'"&amp;F414&amp;"'!$B$2")="Amount",
                    "Investments",
                    "Bill Accounts"
                )
            )
        ),
    "")
)</f>
        <v/>
      </c>
      <c r="I414" s="46" t="str" cm="1">
        <f t="array" aca="1" ref="I414" ca="1">IF(F414&lt;&gt;"",IF(OR(G414="Bill Accounts",G414="Investments", G414="Cash Accounts"),INDIRECT("'"&amp;F414&amp;"'!$C$10"),INDIRECT("'"&amp;F414&amp;"'!$C$8")),"")</f>
        <v/>
      </c>
      <c r="K414" s="48">
        <f t="shared" si="21"/>
        <v>420</v>
      </c>
      <c r="L414" s="114" t="str" cm="1">
        <f t="array" aca="1" ref="L414" ca="1">IF(F414&lt;&gt;"",INDIRECT("'"&amp;F414&amp;"'!$F$17"),"")</f>
        <v/>
      </c>
      <c r="M414" s="116" t="str">
        <f t="shared" ca="1" si="19"/>
        <v/>
      </c>
      <c r="O414" s="49" t="str">
        <f t="shared" ca="1" si="20"/>
        <v/>
      </c>
      <c r="P414" s="38" t="str">
        <f>IF(E414&lt;&gt;"",RANK(E414,$E$3:$E$2298)+COUNTIF($E$3:E414,E414)-1,"")</f>
        <v/>
      </c>
      <c r="R414" s="64"/>
    </row>
    <row r="415" spans="4:18" x14ac:dyDescent="0.25">
      <c r="D415" s="36" t="str" cm="1">
        <f t="array" aca="1" ref="D415" ca="1">IFERROR(IF(INDIRECT("'"&amp;F415&amp;"'!$C$5")&gt;0,DATE(YEAR(Dashboard!$AL$2),Dashboard!$AU$4,INDIRECT("'"&amp;F415&amp;"'!$C$5")),""),"")</f>
        <v/>
      </c>
      <c r="G415" s="38" t="str" cm="1">
        <f t="array" aca="1" ref="G415" ca="1">IF(F415="",
    "",
    IFERROR(
        IF(INDIRECT("'"&amp;F415&amp;"'!$B$2")="Credit Limit",
            "Credit Accounts",
            IF(INDIRECT("'"&amp;F415&amp;"'!$E$2")="Location",
                "Cash Accounts",
                IF(INDIRECT("'"&amp;F415&amp;"'!$B$2")="Amount",
                    "Investments",
                    "Bill Accounts"
                )
            )
        ),
    "")
)</f>
        <v/>
      </c>
      <c r="I415" s="46" t="str" cm="1">
        <f t="array" aca="1" ref="I415" ca="1">IF(F415&lt;&gt;"",IF(OR(G415="Bill Accounts",G415="Investments", G415="Cash Accounts"),INDIRECT("'"&amp;F415&amp;"'!$C$10"),INDIRECT("'"&amp;F415&amp;"'!$C$8")),"")</f>
        <v/>
      </c>
      <c r="K415" s="48">
        <f t="shared" si="21"/>
        <v>421</v>
      </c>
      <c r="L415" s="114" t="str" cm="1">
        <f t="array" aca="1" ref="L415" ca="1">IF(F415&lt;&gt;"",INDIRECT("'"&amp;F415&amp;"'!$F$17"),"")</f>
        <v/>
      </c>
      <c r="M415" s="116" t="str">
        <f t="shared" ca="1" si="19"/>
        <v/>
      </c>
      <c r="O415" s="49" t="str">
        <f t="shared" ca="1" si="20"/>
        <v/>
      </c>
      <c r="P415" s="38" t="str">
        <f>IF(E415&lt;&gt;"",RANK(E415,$E$3:$E$2298)+COUNTIF($E$3:E415,E415)-1,"")</f>
        <v/>
      </c>
      <c r="R415" s="64"/>
    </row>
    <row r="416" spans="4:18" x14ac:dyDescent="0.25">
      <c r="D416" s="36" t="str" cm="1">
        <f t="array" aca="1" ref="D416" ca="1">IFERROR(IF(INDIRECT("'"&amp;F416&amp;"'!$C$5")&gt;0,DATE(YEAR(Dashboard!$AL$2),Dashboard!$AU$4,INDIRECT("'"&amp;F416&amp;"'!$C$5")),""),"")</f>
        <v/>
      </c>
      <c r="G416" s="38" t="str" cm="1">
        <f t="array" aca="1" ref="G416" ca="1">IF(F416="",
    "",
    IFERROR(
        IF(INDIRECT("'"&amp;F416&amp;"'!$B$2")="Credit Limit",
            "Credit Accounts",
            IF(INDIRECT("'"&amp;F416&amp;"'!$E$2")="Location",
                "Cash Accounts",
                IF(INDIRECT("'"&amp;F416&amp;"'!$B$2")="Amount",
                    "Investments",
                    "Bill Accounts"
                )
            )
        ),
    "")
)</f>
        <v/>
      </c>
      <c r="I416" s="46" t="str" cm="1">
        <f t="array" aca="1" ref="I416" ca="1">IF(F416&lt;&gt;"",IF(OR(G416="Bill Accounts",G416="Investments", G416="Cash Accounts"),INDIRECT("'"&amp;F416&amp;"'!$C$10"),INDIRECT("'"&amp;F416&amp;"'!$C$8")),"")</f>
        <v/>
      </c>
      <c r="K416" s="48">
        <f t="shared" si="21"/>
        <v>422</v>
      </c>
      <c r="L416" s="114" t="str" cm="1">
        <f t="array" aca="1" ref="L416" ca="1">IF(F416&lt;&gt;"",INDIRECT("'"&amp;F416&amp;"'!$F$17"),"")</f>
        <v/>
      </c>
      <c r="M416" s="116" t="str">
        <f t="shared" ca="1" si="19"/>
        <v/>
      </c>
      <c r="O416" s="49" t="str">
        <f t="shared" ca="1" si="20"/>
        <v/>
      </c>
      <c r="P416" s="38" t="str">
        <f>IF(E416&lt;&gt;"",RANK(E416,$E$3:$E$2298)+COUNTIF($E$3:E416,E416)-1,"")</f>
        <v/>
      </c>
      <c r="R416" s="64"/>
    </row>
    <row r="417" spans="4:18" x14ac:dyDescent="0.25">
      <c r="D417" s="36" t="str" cm="1">
        <f t="array" aca="1" ref="D417" ca="1">IFERROR(IF(INDIRECT("'"&amp;F417&amp;"'!$C$5")&gt;0,DATE(YEAR(Dashboard!$AL$2),Dashboard!$AU$4,INDIRECT("'"&amp;F417&amp;"'!$C$5")),""),"")</f>
        <v/>
      </c>
      <c r="G417" s="38" t="str" cm="1">
        <f t="array" aca="1" ref="G417" ca="1">IF(F417="",
    "",
    IFERROR(
        IF(INDIRECT("'"&amp;F417&amp;"'!$B$2")="Credit Limit",
            "Credit Accounts",
            IF(INDIRECT("'"&amp;F417&amp;"'!$E$2")="Location",
                "Cash Accounts",
                IF(INDIRECT("'"&amp;F417&amp;"'!$B$2")="Amount",
                    "Investments",
                    "Bill Accounts"
                )
            )
        ),
    "")
)</f>
        <v/>
      </c>
      <c r="I417" s="46" t="str" cm="1">
        <f t="array" aca="1" ref="I417" ca="1">IF(F417&lt;&gt;"",IF(OR(G417="Bill Accounts",G417="Investments", G417="Cash Accounts"),INDIRECT("'"&amp;F417&amp;"'!$C$10"),INDIRECT("'"&amp;F417&amp;"'!$C$8")),"")</f>
        <v/>
      </c>
      <c r="K417" s="48">
        <f t="shared" si="21"/>
        <v>423</v>
      </c>
      <c r="L417" s="114" t="str" cm="1">
        <f t="array" aca="1" ref="L417" ca="1">IF(F417&lt;&gt;"",INDIRECT("'"&amp;F417&amp;"'!$F$17"),"")</f>
        <v/>
      </c>
      <c r="M417" s="116" t="str">
        <f t="shared" ca="1" si="19"/>
        <v/>
      </c>
      <c r="O417" s="49" t="str">
        <f t="shared" ca="1" si="20"/>
        <v/>
      </c>
      <c r="P417" s="38" t="str">
        <f>IF(E417&lt;&gt;"",RANK(E417,$E$3:$E$2298)+COUNTIF($E$3:E417,E417)-1,"")</f>
        <v/>
      </c>
      <c r="R417" s="64"/>
    </row>
    <row r="418" spans="4:18" x14ac:dyDescent="0.25">
      <c r="D418" s="36" t="str" cm="1">
        <f t="array" aca="1" ref="D418" ca="1">IFERROR(IF(INDIRECT("'"&amp;F418&amp;"'!$C$5")&gt;0,DATE(YEAR(Dashboard!$AL$2),Dashboard!$AU$4,INDIRECT("'"&amp;F418&amp;"'!$C$5")),""),"")</f>
        <v/>
      </c>
      <c r="G418" s="38" t="str" cm="1">
        <f t="array" aca="1" ref="G418" ca="1">IF(F418="",
    "",
    IFERROR(
        IF(INDIRECT("'"&amp;F418&amp;"'!$B$2")="Credit Limit",
            "Credit Accounts",
            IF(INDIRECT("'"&amp;F418&amp;"'!$E$2")="Location",
                "Cash Accounts",
                IF(INDIRECT("'"&amp;F418&amp;"'!$B$2")="Amount",
                    "Investments",
                    "Bill Accounts"
                )
            )
        ),
    "")
)</f>
        <v/>
      </c>
      <c r="I418" s="46" t="str" cm="1">
        <f t="array" aca="1" ref="I418" ca="1">IF(F418&lt;&gt;"",IF(OR(G418="Bill Accounts",G418="Investments", G418="Cash Accounts"),INDIRECT("'"&amp;F418&amp;"'!$C$10"),INDIRECT("'"&amp;F418&amp;"'!$C$8")),"")</f>
        <v/>
      </c>
      <c r="K418" s="48">
        <f t="shared" si="21"/>
        <v>424</v>
      </c>
      <c r="L418" s="114" t="str" cm="1">
        <f t="array" aca="1" ref="L418" ca="1">IF(F418&lt;&gt;"",INDIRECT("'"&amp;F418&amp;"'!$F$17"),"")</f>
        <v/>
      </c>
      <c r="M418" s="116" t="str">
        <f t="shared" ca="1" si="19"/>
        <v/>
      </c>
      <c r="O418" s="49" t="str">
        <f t="shared" ca="1" si="20"/>
        <v/>
      </c>
      <c r="P418" s="38" t="str">
        <f>IF(E418&lt;&gt;"",RANK(E418,$E$3:$E$2298)+COUNTIF($E$3:E418,E418)-1,"")</f>
        <v/>
      </c>
      <c r="R418" s="64"/>
    </row>
    <row r="419" spans="4:18" x14ac:dyDescent="0.25">
      <c r="D419" s="36" t="str" cm="1">
        <f t="array" aca="1" ref="D419" ca="1">IFERROR(IF(INDIRECT("'"&amp;F419&amp;"'!$C$5")&gt;0,DATE(YEAR(Dashboard!$AL$2),Dashboard!$AU$4,INDIRECT("'"&amp;F419&amp;"'!$C$5")),""),"")</f>
        <v/>
      </c>
      <c r="G419" s="38" t="str" cm="1">
        <f t="array" aca="1" ref="G419" ca="1">IF(F419="",
    "",
    IFERROR(
        IF(INDIRECT("'"&amp;F419&amp;"'!$B$2")="Credit Limit",
            "Credit Accounts",
            IF(INDIRECT("'"&amp;F419&amp;"'!$E$2")="Location",
                "Cash Accounts",
                IF(INDIRECT("'"&amp;F419&amp;"'!$B$2")="Amount",
                    "Investments",
                    "Bill Accounts"
                )
            )
        ),
    "")
)</f>
        <v/>
      </c>
      <c r="I419" s="46" t="str" cm="1">
        <f t="array" aca="1" ref="I419" ca="1">IF(F419&lt;&gt;"",IF(OR(G419="Bill Accounts",G419="Investments", G419="Cash Accounts"),INDIRECT("'"&amp;F419&amp;"'!$C$10"),INDIRECT("'"&amp;F419&amp;"'!$C$8")),"")</f>
        <v/>
      </c>
      <c r="K419" s="48">
        <f t="shared" si="21"/>
        <v>425</v>
      </c>
      <c r="L419" s="114" t="str" cm="1">
        <f t="array" aca="1" ref="L419" ca="1">IF(F419&lt;&gt;"",INDIRECT("'"&amp;F419&amp;"'!$F$17"),"")</f>
        <v/>
      </c>
      <c r="M419" s="116" t="str">
        <f t="shared" ca="1" si="19"/>
        <v/>
      </c>
      <c r="O419" s="49" t="str">
        <f t="shared" ca="1" si="20"/>
        <v/>
      </c>
      <c r="P419" s="38" t="str">
        <f>IF(E419&lt;&gt;"",RANK(E419,$E$3:$E$2298)+COUNTIF($E$3:E419,E419)-1,"")</f>
        <v/>
      </c>
      <c r="R419" s="64"/>
    </row>
    <row r="420" spans="4:18" x14ac:dyDescent="0.25">
      <c r="D420" s="36" t="str" cm="1">
        <f t="array" aca="1" ref="D420" ca="1">IFERROR(IF(INDIRECT("'"&amp;F420&amp;"'!$C$5")&gt;0,DATE(YEAR(Dashboard!$AL$2),Dashboard!$AU$4,INDIRECT("'"&amp;F420&amp;"'!$C$5")),""),"")</f>
        <v/>
      </c>
      <c r="G420" s="38" t="str" cm="1">
        <f t="array" aca="1" ref="G420" ca="1">IF(F420="",
    "",
    IFERROR(
        IF(INDIRECT("'"&amp;F420&amp;"'!$B$2")="Credit Limit",
            "Credit Accounts",
            IF(INDIRECT("'"&amp;F420&amp;"'!$E$2")="Location",
                "Cash Accounts",
                IF(INDIRECT("'"&amp;F420&amp;"'!$B$2")="Amount",
                    "Investments",
                    "Bill Accounts"
                )
            )
        ),
    "")
)</f>
        <v/>
      </c>
      <c r="I420" s="46" t="str" cm="1">
        <f t="array" aca="1" ref="I420" ca="1">IF(F420&lt;&gt;"",IF(OR(G420="Bill Accounts",G420="Investments", G420="Cash Accounts"),INDIRECT("'"&amp;F420&amp;"'!$C$10"),INDIRECT("'"&amp;F420&amp;"'!$C$8")),"")</f>
        <v/>
      </c>
      <c r="K420" s="48">
        <f t="shared" si="21"/>
        <v>426</v>
      </c>
      <c r="L420" s="114" t="str" cm="1">
        <f t="array" aca="1" ref="L420" ca="1">IF(F420&lt;&gt;"",INDIRECT("'"&amp;F420&amp;"'!$F$17"),"")</f>
        <v/>
      </c>
      <c r="M420" s="116" t="str">
        <f t="shared" ca="1" si="19"/>
        <v/>
      </c>
      <c r="O420" s="49" t="str">
        <f t="shared" ca="1" si="20"/>
        <v/>
      </c>
      <c r="P420" s="38" t="str">
        <f>IF(E420&lt;&gt;"",RANK(E420,$E$3:$E$2298)+COUNTIF($E$3:E420,E420)-1,"")</f>
        <v/>
      </c>
      <c r="R420" s="64"/>
    </row>
    <row r="421" spans="4:18" x14ac:dyDescent="0.25">
      <c r="D421" s="36" t="str" cm="1">
        <f t="array" aca="1" ref="D421" ca="1">IFERROR(IF(INDIRECT("'"&amp;F421&amp;"'!$C$5")&gt;0,DATE(YEAR(Dashboard!$AL$2),Dashboard!$AU$4,INDIRECT("'"&amp;F421&amp;"'!$C$5")),""),"")</f>
        <v/>
      </c>
      <c r="G421" s="38" t="str" cm="1">
        <f t="array" aca="1" ref="G421" ca="1">IF(F421="",
    "",
    IFERROR(
        IF(INDIRECT("'"&amp;F421&amp;"'!$B$2")="Credit Limit",
            "Credit Accounts",
            IF(INDIRECT("'"&amp;F421&amp;"'!$E$2")="Location",
                "Cash Accounts",
                IF(INDIRECT("'"&amp;F421&amp;"'!$B$2")="Amount",
                    "Investments",
                    "Bill Accounts"
                )
            )
        ),
    "")
)</f>
        <v/>
      </c>
      <c r="I421" s="46" t="str" cm="1">
        <f t="array" aca="1" ref="I421" ca="1">IF(F421&lt;&gt;"",IF(OR(G421="Bill Accounts",G421="Investments", G421="Cash Accounts"),INDIRECT("'"&amp;F421&amp;"'!$C$10"),INDIRECT("'"&amp;F421&amp;"'!$C$8")),"")</f>
        <v/>
      </c>
      <c r="K421" s="48">
        <f t="shared" si="21"/>
        <v>427</v>
      </c>
      <c r="L421" s="114" t="str" cm="1">
        <f t="array" aca="1" ref="L421" ca="1">IF(F421&lt;&gt;"",INDIRECT("'"&amp;F421&amp;"'!$F$17"),"")</f>
        <v/>
      </c>
      <c r="M421" s="116" t="str">
        <f t="shared" ca="1" si="19"/>
        <v/>
      </c>
      <c r="O421" s="49" t="str">
        <f t="shared" ca="1" si="20"/>
        <v/>
      </c>
      <c r="P421" s="38" t="str">
        <f>IF(E421&lt;&gt;"",RANK(E421,$E$3:$E$2298)+COUNTIF($E$3:E421,E421)-1,"")</f>
        <v/>
      </c>
      <c r="R421" s="64"/>
    </row>
    <row r="422" spans="4:18" x14ac:dyDescent="0.25">
      <c r="D422" s="36" t="str" cm="1">
        <f t="array" aca="1" ref="D422" ca="1">IFERROR(IF(INDIRECT("'"&amp;F422&amp;"'!$C$5")&gt;0,DATE(YEAR(Dashboard!$AL$2),Dashboard!$AU$4,INDIRECT("'"&amp;F422&amp;"'!$C$5")),""),"")</f>
        <v/>
      </c>
      <c r="G422" s="38" t="str" cm="1">
        <f t="array" aca="1" ref="G422" ca="1">IF(F422="",
    "",
    IFERROR(
        IF(INDIRECT("'"&amp;F422&amp;"'!$B$2")="Credit Limit",
            "Credit Accounts",
            IF(INDIRECT("'"&amp;F422&amp;"'!$E$2")="Location",
                "Cash Accounts",
                IF(INDIRECT("'"&amp;F422&amp;"'!$B$2")="Amount",
                    "Investments",
                    "Bill Accounts"
                )
            )
        ),
    "")
)</f>
        <v/>
      </c>
      <c r="I422" s="46" t="str" cm="1">
        <f t="array" aca="1" ref="I422" ca="1">IF(F422&lt;&gt;"",IF(OR(G422="Bill Accounts",G422="Investments", G422="Cash Accounts"),INDIRECT("'"&amp;F422&amp;"'!$C$10"),INDIRECT("'"&amp;F422&amp;"'!$C$8")),"")</f>
        <v/>
      </c>
      <c r="K422" s="48">
        <f t="shared" si="21"/>
        <v>428</v>
      </c>
      <c r="L422" s="114" t="str" cm="1">
        <f t="array" aca="1" ref="L422" ca="1">IF(F422&lt;&gt;"",INDIRECT("'"&amp;F422&amp;"'!$F$17"),"")</f>
        <v/>
      </c>
      <c r="M422" s="116" t="str">
        <f t="shared" ca="1" si="19"/>
        <v/>
      </c>
      <c r="O422" s="49" t="str">
        <f t="shared" ca="1" si="20"/>
        <v/>
      </c>
      <c r="P422" s="38" t="str">
        <f>IF(E422&lt;&gt;"",RANK(E422,$E$3:$E$2298)+COUNTIF($E$3:E422,E422)-1,"")</f>
        <v/>
      </c>
      <c r="R422" s="64"/>
    </row>
    <row r="423" spans="4:18" x14ac:dyDescent="0.25">
      <c r="D423" s="36" t="str" cm="1">
        <f t="array" aca="1" ref="D423" ca="1">IFERROR(IF(INDIRECT("'"&amp;F423&amp;"'!$C$5")&gt;0,DATE(YEAR(Dashboard!$AL$2),Dashboard!$AU$4,INDIRECT("'"&amp;F423&amp;"'!$C$5")),""),"")</f>
        <v/>
      </c>
      <c r="G423" s="38" t="str" cm="1">
        <f t="array" aca="1" ref="G423" ca="1">IF(F423="",
    "",
    IFERROR(
        IF(INDIRECT("'"&amp;F423&amp;"'!$B$2")="Credit Limit",
            "Credit Accounts",
            IF(INDIRECT("'"&amp;F423&amp;"'!$E$2")="Location",
                "Cash Accounts",
                IF(INDIRECT("'"&amp;F423&amp;"'!$B$2")="Amount",
                    "Investments",
                    "Bill Accounts"
                )
            )
        ),
    "")
)</f>
        <v/>
      </c>
      <c r="I423" s="46" t="str" cm="1">
        <f t="array" aca="1" ref="I423" ca="1">IF(F423&lt;&gt;"",IF(OR(G423="Bill Accounts",G423="Investments", G423="Cash Accounts"),INDIRECT("'"&amp;F423&amp;"'!$C$10"),INDIRECT("'"&amp;F423&amp;"'!$C$8")),"")</f>
        <v/>
      </c>
      <c r="K423" s="48">
        <f t="shared" si="21"/>
        <v>429</v>
      </c>
      <c r="L423" s="114" t="str" cm="1">
        <f t="array" aca="1" ref="L423" ca="1">IF(F423&lt;&gt;"",INDIRECT("'"&amp;F423&amp;"'!$F$17"),"")</f>
        <v/>
      </c>
      <c r="M423" s="116" t="str">
        <f t="shared" ca="1" si="19"/>
        <v/>
      </c>
      <c r="O423" s="49" t="str">
        <f t="shared" ca="1" si="20"/>
        <v/>
      </c>
      <c r="P423" s="38" t="str">
        <f>IF(E423&lt;&gt;"",RANK(E423,$E$3:$E$2298)+COUNTIF($E$3:E423,E423)-1,"")</f>
        <v/>
      </c>
      <c r="R423" s="64"/>
    </row>
    <row r="424" spans="4:18" x14ac:dyDescent="0.25">
      <c r="D424" s="36" t="str" cm="1">
        <f t="array" aca="1" ref="D424" ca="1">IFERROR(IF(INDIRECT("'"&amp;F424&amp;"'!$C$5")&gt;0,DATE(YEAR(Dashboard!$AL$2),Dashboard!$AU$4,INDIRECT("'"&amp;F424&amp;"'!$C$5")),""),"")</f>
        <v/>
      </c>
      <c r="G424" s="38" t="str" cm="1">
        <f t="array" aca="1" ref="G424" ca="1">IF(F424="",
    "",
    IFERROR(
        IF(INDIRECT("'"&amp;F424&amp;"'!$B$2")="Credit Limit",
            "Credit Accounts",
            IF(INDIRECT("'"&amp;F424&amp;"'!$E$2")="Location",
                "Cash Accounts",
                IF(INDIRECT("'"&amp;F424&amp;"'!$B$2")="Amount",
                    "Investments",
                    "Bill Accounts"
                )
            )
        ),
    "")
)</f>
        <v/>
      </c>
      <c r="I424" s="46" t="str" cm="1">
        <f t="array" aca="1" ref="I424" ca="1">IF(F424&lt;&gt;"",IF(OR(G424="Bill Accounts",G424="Investments", G424="Cash Accounts"),INDIRECT("'"&amp;F424&amp;"'!$C$10"),INDIRECT("'"&amp;F424&amp;"'!$C$8")),"")</f>
        <v/>
      </c>
      <c r="K424" s="48">
        <f t="shared" si="21"/>
        <v>430</v>
      </c>
      <c r="L424" s="114" t="str" cm="1">
        <f t="array" aca="1" ref="L424" ca="1">IF(F424&lt;&gt;"",INDIRECT("'"&amp;F424&amp;"'!$F$17"),"")</f>
        <v/>
      </c>
      <c r="M424" s="116" t="str">
        <f t="shared" ca="1" si="19"/>
        <v/>
      </c>
      <c r="O424" s="49" t="str">
        <f t="shared" ca="1" si="20"/>
        <v/>
      </c>
      <c r="P424" s="38" t="str">
        <f>IF(E424&lt;&gt;"",RANK(E424,$E$3:$E$2298)+COUNTIF($E$3:E424,E424)-1,"")</f>
        <v/>
      </c>
      <c r="R424" s="64"/>
    </row>
    <row r="425" spans="4:18" x14ac:dyDescent="0.25">
      <c r="D425" s="36" t="str" cm="1">
        <f t="array" aca="1" ref="D425" ca="1">IFERROR(IF(INDIRECT("'"&amp;F425&amp;"'!$C$5")&gt;0,DATE(YEAR(Dashboard!$AL$2),Dashboard!$AU$4,INDIRECT("'"&amp;F425&amp;"'!$C$5")),""),"")</f>
        <v/>
      </c>
      <c r="G425" s="38" t="str" cm="1">
        <f t="array" aca="1" ref="G425" ca="1">IF(F425="",
    "",
    IFERROR(
        IF(INDIRECT("'"&amp;F425&amp;"'!$B$2")="Credit Limit",
            "Credit Accounts",
            IF(INDIRECT("'"&amp;F425&amp;"'!$E$2")="Location",
                "Cash Accounts",
                IF(INDIRECT("'"&amp;F425&amp;"'!$B$2")="Amount",
                    "Investments",
                    "Bill Accounts"
                )
            )
        ),
    "")
)</f>
        <v/>
      </c>
      <c r="I425" s="46" t="str" cm="1">
        <f t="array" aca="1" ref="I425" ca="1">IF(F425&lt;&gt;"",IF(OR(G425="Bill Accounts",G425="Investments", G425="Cash Accounts"),INDIRECT("'"&amp;F425&amp;"'!$C$10"),INDIRECT("'"&amp;F425&amp;"'!$C$8")),"")</f>
        <v/>
      </c>
      <c r="K425" s="48">
        <f t="shared" si="21"/>
        <v>431</v>
      </c>
      <c r="L425" s="114" t="str" cm="1">
        <f t="array" aca="1" ref="L425" ca="1">IF(F425&lt;&gt;"",INDIRECT("'"&amp;F425&amp;"'!$F$17"),"")</f>
        <v/>
      </c>
      <c r="M425" s="116" t="str">
        <f t="shared" ca="1" si="19"/>
        <v/>
      </c>
      <c r="O425" s="49" t="str">
        <f t="shared" ca="1" si="20"/>
        <v/>
      </c>
      <c r="P425" s="38" t="str">
        <f>IF(E425&lt;&gt;"",RANK(E425,$E$3:$E$2298)+COUNTIF($E$3:E425,E425)-1,"")</f>
        <v/>
      </c>
      <c r="R425" s="64"/>
    </row>
    <row r="426" spans="4:18" x14ac:dyDescent="0.25">
      <c r="D426" s="36" t="str" cm="1">
        <f t="array" aca="1" ref="D426" ca="1">IFERROR(IF(INDIRECT("'"&amp;F426&amp;"'!$C$5")&gt;0,DATE(YEAR(Dashboard!$AL$2),Dashboard!$AU$4,INDIRECT("'"&amp;F426&amp;"'!$C$5")),""),"")</f>
        <v/>
      </c>
      <c r="G426" s="38" t="str" cm="1">
        <f t="array" aca="1" ref="G426" ca="1">IF(F426="",
    "",
    IFERROR(
        IF(INDIRECT("'"&amp;F426&amp;"'!$B$2")="Credit Limit",
            "Credit Accounts",
            IF(INDIRECT("'"&amp;F426&amp;"'!$E$2")="Location",
                "Cash Accounts",
                IF(INDIRECT("'"&amp;F426&amp;"'!$B$2")="Amount",
                    "Investments",
                    "Bill Accounts"
                )
            )
        ),
    "")
)</f>
        <v/>
      </c>
      <c r="I426" s="46" t="str" cm="1">
        <f t="array" aca="1" ref="I426" ca="1">IF(F426&lt;&gt;"",IF(OR(G426="Bill Accounts",G426="Investments", G426="Cash Accounts"),INDIRECT("'"&amp;F426&amp;"'!$C$10"),INDIRECT("'"&amp;F426&amp;"'!$C$8")),"")</f>
        <v/>
      </c>
      <c r="K426" s="48">
        <f t="shared" si="21"/>
        <v>432</v>
      </c>
      <c r="L426" s="114" t="str" cm="1">
        <f t="array" aca="1" ref="L426" ca="1">IF(F426&lt;&gt;"",INDIRECT("'"&amp;F426&amp;"'!$F$17"),"")</f>
        <v/>
      </c>
      <c r="M426" s="116" t="str">
        <f t="shared" ca="1" si="19"/>
        <v/>
      </c>
      <c r="O426" s="49" t="str">
        <f t="shared" ca="1" si="20"/>
        <v/>
      </c>
      <c r="P426" s="38" t="str">
        <f>IF(E426&lt;&gt;"",RANK(E426,$E$3:$E$2298)+COUNTIF($E$3:E426,E426)-1,"")</f>
        <v/>
      </c>
      <c r="R426" s="64"/>
    </row>
    <row r="427" spans="4:18" x14ac:dyDescent="0.25">
      <c r="D427" s="36" t="str" cm="1">
        <f t="array" aca="1" ref="D427" ca="1">IFERROR(IF(INDIRECT("'"&amp;F427&amp;"'!$C$5")&gt;0,DATE(YEAR(Dashboard!$AL$2),Dashboard!$AU$4,INDIRECT("'"&amp;F427&amp;"'!$C$5")),""),"")</f>
        <v/>
      </c>
      <c r="G427" s="38" t="str" cm="1">
        <f t="array" aca="1" ref="G427" ca="1">IF(F427="",
    "",
    IFERROR(
        IF(INDIRECT("'"&amp;F427&amp;"'!$B$2")="Credit Limit",
            "Credit Accounts",
            IF(INDIRECT("'"&amp;F427&amp;"'!$E$2")="Location",
                "Cash Accounts",
                IF(INDIRECT("'"&amp;F427&amp;"'!$B$2")="Amount",
                    "Investments",
                    "Bill Accounts"
                )
            )
        ),
    "")
)</f>
        <v/>
      </c>
      <c r="I427" s="46" t="str" cm="1">
        <f t="array" aca="1" ref="I427" ca="1">IF(F427&lt;&gt;"",IF(OR(G427="Bill Accounts",G427="Investments", G427="Cash Accounts"),INDIRECT("'"&amp;F427&amp;"'!$C$10"),INDIRECT("'"&amp;F427&amp;"'!$C$8")),"")</f>
        <v/>
      </c>
      <c r="K427" s="48">
        <f t="shared" si="21"/>
        <v>433</v>
      </c>
      <c r="L427" s="114" t="str" cm="1">
        <f t="array" aca="1" ref="L427" ca="1">IF(F427&lt;&gt;"",INDIRECT("'"&amp;F427&amp;"'!$F$17"),"")</f>
        <v/>
      </c>
      <c r="M427" s="116" t="str">
        <f t="shared" ca="1" si="19"/>
        <v/>
      </c>
      <c r="O427" s="49" t="str">
        <f t="shared" ca="1" si="20"/>
        <v/>
      </c>
      <c r="P427" s="38" t="str">
        <f>IF(E427&lt;&gt;"",RANK(E427,$E$3:$E$2298)+COUNTIF($E$3:E427,E427)-1,"")</f>
        <v/>
      </c>
      <c r="R427" s="64"/>
    </row>
    <row r="428" spans="4:18" x14ac:dyDescent="0.25">
      <c r="D428" s="36" t="str" cm="1">
        <f t="array" aca="1" ref="D428" ca="1">IFERROR(IF(INDIRECT("'"&amp;F428&amp;"'!$C$5")&gt;0,DATE(YEAR(Dashboard!$AL$2),Dashboard!$AU$4,INDIRECT("'"&amp;F428&amp;"'!$C$5")),""),"")</f>
        <v/>
      </c>
      <c r="G428" s="38" t="str" cm="1">
        <f t="array" aca="1" ref="G428" ca="1">IF(F428="",
    "",
    IFERROR(
        IF(INDIRECT("'"&amp;F428&amp;"'!$B$2")="Credit Limit",
            "Credit Accounts",
            IF(INDIRECT("'"&amp;F428&amp;"'!$E$2")="Location",
                "Cash Accounts",
                IF(INDIRECT("'"&amp;F428&amp;"'!$B$2")="Amount",
                    "Investments",
                    "Bill Accounts"
                )
            )
        ),
    "")
)</f>
        <v/>
      </c>
      <c r="I428" s="46" t="str" cm="1">
        <f t="array" aca="1" ref="I428" ca="1">IF(F428&lt;&gt;"",IF(OR(G428="Bill Accounts",G428="Investments", G428="Cash Accounts"),INDIRECT("'"&amp;F428&amp;"'!$C$10"),INDIRECT("'"&amp;F428&amp;"'!$C$8")),"")</f>
        <v/>
      </c>
      <c r="K428" s="48">
        <f t="shared" si="21"/>
        <v>434</v>
      </c>
      <c r="L428" s="114" t="str" cm="1">
        <f t="array" aca="1" ref="L428" ca="1">IF(F428&lt;&gt;"",INDIRECT("'"&amp;F428&amp;"'!$F$17"),"")</f>
        <v/>
      </c>
      <c r="M428" s="116" t="str">
        <f t="shared" ca="1" si="19"/>
        <v/>
      </c>
      <c r="O428" s="49" t="str">
        <f t="shared" ca="1" si="20"/>
        <v/>
      </c>
      <c r="P428" s="38" t="str">
        <f>IF(E428&lt;&gt;"",RANK(E428,$E$3:$E$2298)+COUNTIF($E$3:E428,E428)-1,"")</f>
        <v/>
      </c>
      <c r="R428" s="64"/>
    </row>
    <row r="429" spans="4:18" x14ac:dyDescent="0.25">
      <c r="D429" s="36" t="str" cm="1">
        <f t="array" aca="1" ref="D429" ca="1">IFERROR(IF(INDIRECT("'"&amp;F429&amp;"'!$C$5")&gt;0,DATE(YEAR(Dashboard!$AL$2),Dashboard!$AU$4,INDIRECT("'"&amp;F429&amp;"'!$C$5")),""),"")</f>
        <v/>
      </c>
      <c r="G429" s="38" t="str" cm="1">
        <f t="array" aca="1" ref="G429" ca="1">IF(F429="",
    "",
    IFERROR(
        IF(INDIRECT("'"&amp;F429&amp;"'!$B$2")="Credit Limit",
            "Credit Accounts",
            IF(INDIRECT("'"&amp;F429&amp;"'!$E$2")="Location",
                "Cash Accounts",
                IF(INDIRECT("'"&amp;F429&amp;"'!$B$2")="Amount",
                    "Investments",
                    "Bill Accounts"
                )
            )
        ),
    "")
)</f>
        <v/>
      </c>
      <c r="I429" s="46" t="str" cm="1">
        <f t="array" aca="1" ref="I429" ca="1">IF(F429&lt;&gt;"",IF(OR(G429="Bill Accounts",G429="Investments", G429="Cash Accounts"),INDIRECT("'"&amp;F429&amp;"'!$C$10"),INDIRECT("'"&amp;F429&amp;"'!$C$8")),"")</f>
        <v/>
      </c>
      <c r="K429" s="48">
        <f t="shared" si="21"/>
        <v>435</v>
      </c>
      <c r="L429" s="114" t="str" cm="1">
        <f t="array" aca="1" ref="L429" ca="1">IF(F429&lt;&gt;"",INDIRECT("'"&amp;F429&amp;"'!$F$17"),"")</f>
        <v/>
      </c>
      <c r="M429" s="116" t="str">
        <f t="shared" ca="1" si="19"/>
        <v/>
      </c>
      <c r="O429" s="49" t="str">
        <f t="shared" ca="1" si="20"/>
        <v/>
      </c>
      <c r="P429" s="38" t="str">
        <f>IF(E429&lt;&gt;"",RANK(E429,$E$3:$E$2298)+COUNTIF($E$3:E429,E429)-1,"")</f>
        <v/>
      </c>
      <c r="R429" s="64"/>
    </row>
    <row r="430" spans="4:18" x14ac:dyDescent="0.25">
      <c r="D430" s="36" t="str" cm="1">
        <f t="array" aca="1" ref="D430" ca="1">IFERROR(IF(INDIRECT("'"&amp;F430&amp;"'!$C$5")&gt;0,DATE(YEAR(Dashboard!$AL$2),Dashboard!$AU$4,INDIRECT("'"&amp;F430&amp;"'!$C$5")),""),"")</f>
        <v/>
      </c>
      <c r="G430" s="38" t="str" cm="1">
        <f t="array" aca="1" ref="G430" ca="1">IF(F430="",
    "",
    IFERROR(
        IF(INDIRECT("'"&amp;F430&amp;"'!$B$2")="Credit Limit",
            "Credit Accounts",
            IF(INDIRECT("'"&amp;F430&amp;"'!$E$2")="Location",
                "Cash Accounts",
                IF(INDIRECT("'"&amp;F430&amp;"'!$B$2")="Amount",
                    "Investments",
                    "Bill Accounts"
                )
            )
        ),
    "")
)</f>
        <v/>
      </c>
      <c r="I430" s="46" t="str" cm="1">
        <f t="array" aca="1" ref="I430" ca="1">IF(F430&lt;&gt;"",IF(OR(G430="Bill Accounts",G430="Investments", G430="Cash Accounts"),INDIRECT("'"&amp;F430&amp;"'!$C$10"),INDIRECT("'"&amp;F430&amp;"'!$C$8")),"")</f>
        <v/>
      </c>
      <c r="K430" s="48">
        <f t="shared" si="21"/>
        <v>436</v>
      </c>
      <c r="L430" s="114" t="str" cm="1">
        <f t="array" aca="1" ref="L430" ca="1">IF(F430&lt;&gt;"",INDIRECT("'"&amp;F430&amp;"'!$F$17"),"")</f>
        <v/>
      </c>
      <c r="M430" s="116" t="str">
        <f t="shared" ca="1" si="19"/>
        <v/>
      </c>
      <c r="O430" s="49" t="str">
        <f t="shared" ca="1" si="20"/>
        <v/>
      </c>
      <c r="P430" s="38" t="str">
        <f>IF(E430&lt;&gt;"",RANK(E430,$E$3:$E$2298)+COUNTIF($E$3:E430,E430)-1,"")</f>
        <v/>
      </c>
      <c r="R430" s="64"/>
    </row>
    <row r="431" spans="4:18" x14ac:dyDescent="0.25">
      <c r="D431" s="36" t="str" cm="1">
        <f t="array" aca="1" ref="D431" ca="1">IFERROR(IF(INDIRECT("'"&amp;F431&amp;"'!$C$5")&gt;0,DATE(YEAR(Dashboard!$AL$2),Dashboard!$AU$4,INDIRECT("'"&amp;F431&amp;"'!$C$5")),""),"")</f>
        <v/>
      </c>
      <c r="G431" s="38" t="str" cm="1">
        <f t="array" aca="1" ref="G431" ca="1">IF(F431="",
    "",
    IFERROR(
        IF(INDIRECT("'"&amp;F431&amp;"'!$B$2")="Credit Limit",
            "Credit Accounts",
            IF(INDIRECT("'"&amp;F431&amp;"'!$E$2")="Location",
                "Cash Accounts",
                IF(INDIRECT("'"&amp;F431&amp;"'!$B$2")="Amount",
                    "Investments",
                    "Bill Accounts"
                )
            )
        ),
    "")
)</f>
        <v/>
      </c>
      <c r="I431" s="46" t="str" cm="1">
        <f t="array" aca="1" ref="I431" ca="1">IF(F431&lt;&gt;"",IF(OR(G431="Bill Accounts",G431="Investments", G431="Cash Accounts"),INDIRECT("'"&amp;F431&amp;"'!$C$10"),INDIRECT("'"&amp;F431&amp;"'!$C$8")),"")</f>
        <v/>
      </c>
      <c r="K431" s="48">
        <f t="shared" si="21"/>
        <v>437</v>
      </c>
      <c r="L431" s="114" t="str" cm="1">
        <f t="array" aca="1" ref="L431" ca="1">IF(F431&lt;&gt;"",INDIRECT("'"&amp;F431&amp;"'!$F$17"),"")</f>
        <v/>
      </c>
      <c r="M431" s="116" t="str">
        <f t="shared" ca="1" si="19"/>
        <v/>
      </c>
      <c r="O431" s="49" t="str">
        <f t="shared" ca="1" si="20"/>
        <v/>
      </c>
      <c r="P431" s="38" t="str">
        <f>IF(E431&lt;&gt;"",RANK(E431,$E$3:$E$2298)+COUNTIF($E$3:E431,E431)-1,"")</f>
        <v/>
      </c>
      <c r="R431" s="64"/>
    </row>
    <row r="432" spans="4:18" x14ac:dyDescent="0.25">
      <c r="D432" s="36" t="str" cm="1">
        <f t="array" aca="1" ref="D432" ca="1">IFERROR(IF(INDIRECT("'"&amp;F432&amp;"'!$C$5")&gt;0,DATE(YEAR(Dashboard!$AL$2),Dashboard!$AU$4,INDIRECT("'"&amp;F432&amp;"'!$C$5")),""),"")</f>
        <v/>
      </c>
      <c r="G432" s="38" t="str" cm="1">
        <f t="array" aca="1" ref="G432" ca="1">IF(F432="",
    "",
    IFERROR(
        IF(INDIRECT("'"&amp;F432&amp;"'!$B$2")="Credit Limit",
            "Credit Accounts",
            IF(INDIRECT("'"&amp;F432&amp;"'!$E$2")="Location",
                "Cash Accounts",
                IF(INDIRECT("'"&amp;F432&amp;"'!$B$2")="Amount",
                    "Investments",
                    "Bill Accounts"
                )
            )
        ),
    "")
)</f>
        <v/>
      </c>
      <c r="I432" s="46" t="str" cm="1">
        <f t="array" aca="1" ref="I432" ca="1">IF(F432&lt;&gt;"",IF(OR(G432="Bill Accounts",G432="Investments", G432="Cash Accounts"),INDIRECT("'"&amp;F432&amp;"'!$C$10"),INDIRECT("'"&amp;F432&amp;"'!$C$8")),"")</f>
        <v/>
      </c>
      <c r="K432" s="48">
        <f t="shared" si="21"/>
        <v>438</v>
      </c>
      <c r="L432" s="114" t="str" cm="1">
        <f t="array" aca="1" ref="L432" ca="1">IF(F432&lt;&gt;"",INDIRECT("'"&amp;F432&amp;"'!$F$17"),"")</f>
        <v/>
      </c>
      <c r="M432" s="116" t="str">
        <f t="shared" ca="1" si="19"/>
        <v/>
      </c>
      <c r="O432" s="49" t="str">
        <f t="shared" ca="1" si="20"/>
        <v/>
      </c>
      <c r="P432" s="38" t="str">
        <f>IF(E432&lt;&gt;"",RANK(E432,$E$3:$E$2298)+COUNTIF($E$3:E432,E432)-1,"")</f>
        <v/>
      </c>
      <c r="R432" s="64"/>
    </row>
    <row r="433" spans="4:18" x14ac:dyDescent="0.25">
      <c r="D433" s="36" t="str" cm="1">
        <f t="array" aca="1" ref="D433" ca="1">IFERROR(IF(INDIRECT("'"&amp;F433&amp;"'!$C$5")&gt;0,DATE(YEAR(Dashboard!$AL$2),Dashboard!$AU$4,INDIRECT("'"&amp;F433&amp;"'!$C$5")),""),"")</f>
        <v/>
      </c>
      <c r="G433" s="38" t="str" cm="1">
        <f t="array" aca="1" ref="G433" ca="1">IF(F433="",
    "",
    IFERROR(
        IF(INDIRECT("'"&amp;F433&amp;"'!$B$2")="Credit Limit",
            "Credit Accounts",
            IF(INDIRECT("'"&amp;F433&amp;"'!$E$2")="Location",
                "Cash Accounts",
                IF(INDIRECT("'"&amp;F433&amp;"'!$B$2")="Amount",
                    "Investments",
                    "Bill Accounts"
                )
            )
        ),
    "")
)</f>
        <v/>
      </c>
      <c r="I433" s="46" t="str" cm="1">
        <f t="array" aca="1" ref="I433" ca="1">IF(F433&lt;&gt;"",IF(OR(G433="Bill Accounts",G433="Investments", G433="Cash Accounts"),INDIRECT("'"&amp;F433&amp;"'!$C$10"),INDIRECT("'"&amp;F433&amp;"'!$C$8")),"")</f>
        <v/>
      </c>
      <c r="K433" s="48">
        <f t="shared" si="21"/>
        <v>439</v>
      </c>
      <c r="L433" s="114" t="str" cm="1">
        <f t="array" aca="1" ref="L433" ca="1">IF(F433&lt;&gt;"",INDIRECT("'"&amp;F433&amp;"'!$F$17"),"")</f>
        <v/>
      </c>
      <c r="M433" s="116" t="str">
        <f t="shared" ca="1" si="19"/>
        <v/>
      </c>
      <c r="O433" s="49" t="str">
        <f t="shared" ca="1" si="20"/>
        <v/>
      </c>
      <c r="P433" s="38" t="str">
        <f>IF(E433&lt;&gt;"",RANK(E433,$E$3:$E$2298)+COUNTIF($E$3:E433,E433)-1,"")</f>
        <v/>
      </c>
      <c r="R433" s="64"/>
    </row>
    <row r="434" spans="4:18" x14ac:dyDescent="0.25">
      <c r="D434" s="36" t="str" cm="1">
        <f t="array" aca="1" ref="D434" ca="1">IFERROR(IF(INDIRECT("'"&amp;F434&amp;"'!$C$5")&gt;0,DATE(YEAR(Dashboard!$AL$2),Dashboard!$AU$4,INDIRECT("'"&amp;F434&amp;"'!$C$5")),""),"")</f>
        <v/>
      </c>
      <c r="G434" s="38" t="str" cm="1">
        <f t="array" aca="1" ref="G434" ca="1">IF(F434="",
    "",
    IFERROR(
        IF(INDIRECT("'"&amp;F434&amp;"'!$B$2")="Credit Limit",
            "Credit Accounts",
            IF(INDIRECT("'"&amp;F434&amp;"'!$E$2")="Location",
                "Cash Accounts",
                IF(INDIRECT("'"&amp;F434&amp;"'!$B$2")="Amount",
                    "Investments",
                    "Bill Accounts"
                )
            )
        ),
    "")
)</f>
        <v/>
      </c>
      <c r="I434" s="46" t="str" cm="1">
        <f t="array" aca="1" ref="I434" ca="1">IF(F434&lt;&gt;"",IF(OR(G434="Bill Accounts",G434="Investments", G434="Cash Accounts"),INDIRECT("'"&amp;F434&amp;"'!$C$10"),INDIRECT("'"&amp;F434&amp;"'!$C$8")),"")</f>
        <v/>
      </c>
      <c r="K434" s="48">
        <f t="shared" si="21"/>
        <v>440</v>
      </c>
      <c r="L434" s="114" t="str" cm="1">
        <f t="array" aca="1" ref="L434" ca="1">IF(F434&lt;&gt;"",INDIRECT("'"&amp;F434&amp;"'!$F$17"),"")</f>
        <v/>
      </c>
      <c r="M434" s="116" t="str">
        <f t="shared" ca="1" si="19"/>
        <v/>
      </c>
      <c r="O434" s="49" t="str">
        <f t="shared" ca="1" si="20"/>
        <v/>
      </c>
      <c r="P434" s="38" t="str">
        <f>IF(E434&lt;&gt;"",RANK(E434,$E$3:$E$2298)+COUNTIF($E$3:E434,E434)-1,"")</f>
        <v/>
      </c>
      <c r="R434" s="64"/>
    </row>
    <row r="435" spans="4:18" x14ac:dyDescent="0.25">
      <c r="D435" s="36" t="str" cm="1">
        <f t="array" aca="1" ref="D435" ca="1">IFERROR(IF(INDIRECT("'"&amp;F435&amp;"'!$C$5")&gt;0,DATE(YEAR(Dashboard!$AL$2),Dashboard!$AU$4,INDIRECT("'"&amp;F435&amp;"'!$C$5")),""),"")</f>
        <v/>
      </c>
      <c r="G435" s="38" t="str" cm="1">
        <f t="array" aca="1" ref="G435" ca="1">IF(F435="",
    "",
    IFERROR(
        IF(INDIRECT("'"&amp;F435&amp;"'!$B$2")="Credit Limit",
            "Credit Accounts",
            IF(INDIRECT("'"&amp;F435&amp;"'!$E$2")="Location",
                "Cash Accounts",
                IF(INDIRECT("'"&amp;F435&amp;"'!$B$2")="Amount",
                    "Investments",
                    "Bill Accounts"
                )
            )
        ),
    "")
)</f>
        <v/>
      </c>
      <c r="I435" s="46" t="str" cm="1">
        <f t="array" aca="1" ref="I435" ca="1">IF(F435&lt;&gt;"",IF(OR(G435="Bill Accounts",G435="Investments", G435="Cash Accounts"),INDIRECT("'"&amp;F435&amp;"'!$C$10"),INDIRECT("'"&amp;F435&amp;"'!$C$8")),"")</f>
        <v/>
      </c>
      <c r="K435" s="48">
        <f t="shared" si="21"/>
        <v>441</v>
      </c>
      <c r="L435" s="114" t="str" cm="1">
        <f t="array" aca="1" ref="L435" ca="1">IF(F435&lt;&gt;"",INDIRECT("'"&amp;F435&amp;"'!$F$17"),"")</f>
        <v/>
      </c>
      <c r="M435" s="116" t="str">
        <f t="shared" ca="1" si="19"/>
        <v/>
      </c>
      <c r="O435" s="49" t="str">
        <f t="shared" ca="1" si="20"/>
        <v/>
      </c>
      <c r="P435" s="38" t="str">
        <f>IF(E435&lt;&gt;"",RANK(E435,$E$3:$E$2298)+COUNTIF($E$3:E435,E435)-1,"")</f>
        <v/>
      </c>
      <c r="R435" s="64"/>
    </row>
    <row r="436" spans="4:18" x14ac:dyDescent="0.25">
      <c r="D436" s="36" t="str" cm="1">
        <f t="array" aca="1" ref="D436" ca="1">IFERROR(IF(INDIRECT("'"&amp;F436&amp;"'!$C$5")&gt;0,DATE(YEAR(Dashboard!$AL$2),Dashboard!$AU$4,INDIRECT("'"&amp;F436&amp;"'!$C$5")),""),"")</f>
        <v/>
      </c>
      <c r="G436" s="38" t="str" cm="1">
        <f t="array" aca="1" ref="G436" ca="1">IF(F436="",
    "",
    IFERROR(
        IF(INDIRECT("'"&amp;F436&amp;"'!$B$2")="Credit Limit",
            "Credit Accounts",
            IF(INDIRECT("'"&amp;F436&amp;"'!$E$2")="Location",
                "Cash Accounts",
                IF(INDIRECT("'"&amp;F436&amp;"'!$B$2")="Amount",
                    "Investments",
                    "Bill Accounts"
                )
            )
        ),
    "")
)</f>
        <v/>
      </c>
      <c r="I436" s="46" t="str" cm="1">
        <f t="array" aca="1" ref="I436" ca="1">IF(F436&lt;&gt;"",IF(OR(G436="Bill Accounts",G436="Investments", G436="Cash Accounts"),INDIRECT("'"&amp;F436&amp;"'!$C$10"),INDIRECT("'"&amp;F436&amp;"'!$C$8")),"")</f>
        <v/>
      </c>
      <c r="K436" s="48">
        <f t="shared" si="21"/>
        <v>442</v>
      </c>
      <c r="L436" s="114" t="str" cm="1">
        <f t="array" aca="1" ref="L436" ca="1">IF(F436&lt;&gt;"",INDIRECT("'"&amp;F436&amp;"'!$F$17"),"")</f>
        <v/>
      </c>
      <c r="M436" s="116" t="str">
        <f t="shared" ca="1" si="19"/>
        <v/>
      </c>
      <c r="O436" s="49" t="str">
        <f t="shared" ca="1" si="20"/>
        <v/>
      </c>
      <c r="P436" s="38" t="str">
        <f>IF(E436&lt;&gt;"",RANK(E436,$E$3:$E$2298)+COUNTIF($E$3:E436,E436)-1,"")</f>
        <v/>
      </c>
      <c r="R436" s="64"/>
    </row>
    <row r="437" spans="4:18" x14ac:dyDescent="0.25">
      <c r="D437" s="36" t="str" cm="1">
        <f t="array" aca="1" ref="D437" ca="1">IFERROR(IF(INDIRECT("'"&amp;F437&amp;"'!$C$5")&gt;0,DATE(YEAR(Dashboard!$AL$2),Dashboard!$AU$4,INDIRECT("'"&amp;F437&amp;"'!$C$5")),""),"")</f>
        <v/>
      </c>
      <c r="G437" s="38" t="str" cm="1">
        <f t="array" aca="1" ref="G437" ca="1">IF(F437="",
    "",
    IFERROR(
        IF(INDIRECT("'"&amp;F437&amp;"'!$B$2")="Credit Limit",
            "Credit Accounts",
            IF(INDIRECT("'"&amp;F437&amp;"'!$E$2")="Location",
                "Cash Accounts",
                IF(INDIRECT("'"&amp;F437&amp;"'!$B$2")="Amount",
                    "Investments",
                    "Bill Accounts"
                )
            )
        ),
    "")
)</f>
        <v/>
      </c>
      <c r="I437" s="46" t="str" cm="1">
        <f t="array" aca="1" ref="I437" ca="1">IF(F437&lt;&gt;"",IF(OR(G437="Bill Accounts",G437="Investments", G437="Cash Accounts"),INDIRECT("'"&amp;F437&amp;"'!$C$10"),INDIRECT("'"&amp;F437&amp;"'!$C$8")),"")</f>
        <v/>
      </c>
      <c r="K437" s="48">
        <f t="shared" si="21"/>
        <v>443</v>
      </c>
      <c r="L437" s="114" t="str" cm="1">
        <f t="array" aca="1" ref="L437" ca="1">IF(F437&lt;&gt;"",INDIRECT("'"&amp;F437&amp;"'!$F$17"),"")</f>
        <v/>
      </c>
      <c r="M437" s="116" t="str">
        <f t="shared" ca="1" si="19"/>
        <v/>
      </c>
      <c r="O437" s="49" t="str">
        <f t="shared" ca="1" si="20"/>
        <v/>
      </c>
      <c r="P437" s="38" t="str">
        <f>IF(E437&lt;&gt;"",RANK(E437,$E$3:$E$2298)+COUNTIF($E$3:E437,E437)-1,"")</f>
        <v/>
      </c>
      <c r="R437" s="64"/>
    </row>
    <row r="438" spans="4:18" x14ac:dyDescent="0.25">
      <c r="D438" s="36" t="str" cm="1">
        <f t="array" aca="1" ref="D438" ca="1">IFERROR(IF(INDIRECT("'"&amp;F438&amp;"'!$C$5")&gt;0,DATE(YEAR(Dashboard!$AL$2),Dashboard!$AU$4,INDIRECT("'"&amp;F438&amp;"'!$C$5")),""),"")</f>
        <v/>
      </c>
      <c r="G438" s="38" t="str" cm="1">
        <f t="array" aca="1" ref="G438" ca="1">IF(F438="",
    "",
    IFERROR(
        IF(INDIRECT("'"&amp;F438&amp;"'!$B$2")="Credit Limit",
            "Credit Accounts",
            IF(INDIRECT("'"&amp;F438&amp;"'!$E$2")="Location",
                "Cash Accounts",
                IF(INDIRECT("'"&amp;F438&amp;"'!$B$2")="Amount",
                    "Investments",
                    "Bill Accounts"
                )
            )
        ),
    "")
)</f>
        <v/>
      </c>
      <c r="I438" s="46" t="str" cm="1">
        <f t="array" aca="1" ref="I438" ca="1">IF(F438&lt;&gt;"",IF(OR(G438="Bill Accounts",G438="Investments", G438="Cash Accounts"),INDIRECT("'"&amp;F438&amp;"'!$C$10"),INDIRECT("'"&amp;F438&amp;"'!$C$8")),"")</f>
        <v/>
      </c>
      <c r="K438" s="48">
        <f t="shared" si="21"/>
        <v>444</v>
      </c>
      <c r="L438" s="114" t="str" cm="1">
        <f t="array" aca="1" ref="L438" ca="1">IF(F438&lt;&gt;"",INDIRECT("'"&amp;F438&amp;"'!$F$17"),"")</f>
        <v/>
      </c>
      <c r="M438" s="116" t="str">
        <f t="shared" ca="1" si="19"/>
        <v/>
      </c>
      <c r="O438" s="49" t="str">
        <f t="shared" ca="1" si="20"/>
        <v/>
      </c>
      <c r="P438" s="38" t="str">
        <f>IF(E438&lt;&gt;"",RANK(E438,$E$3:$E$2298)+COUNTIF($E$3:E438,E438)-1,"")</f>
        <v/>
      </c>
      <c r="R438" s="64"/>
    </row>
    <row r="439" spans="4:18" x14ac:dyDescent="0.25">
      <c r="D439" s="36" t="str" cm="1">
        <f t="array" aca="1" ref="D439" ca="1">IFERROR(IF(INDIRECT("'"&amp;F439&amp;"'!$C$5")&gt;0,DATE(YEAR(Dashboard!$AL$2),Dashboard!$AU$4,INDIRECT("'"&amp;F439&amp;"'!$C$5")),""),"")</f>
        <v/>
      </c>
      <c r="G439" s="38" t="str" cm="1">
        <f t="array" aca="1" ref="G439" ca="1">IF(F439="",
    "",
    IFERROR(
        IF(INDIRECT("'"&amp;F439&amp;"'!$B$2")="Credit Limit",
            "Credit Accounts",
            IF(INDIRECT("'"&amp;F439&amp;"'!$E$2")="Location",
                "Cash Accounts",
                IF(INDIRECT("'"&amp;F439&amp;"'!$B$2")="Amount",
                    "Investments",
                    "Bill Accounts"
                )
            )
        ),
    "")
)</f>
        <v/>
      </c>
      <c r="I439" s="46" t="str" cm="1">
        <f t="array" aca="1" ref="I439" ca="1">IF(F439&lt;&gt;"",IF(OR(G439="Bill Accounts",G439="Investments", G439="Cash Accounts"),INDIRECT("'"&amp;F439&amp;"'!$C$10"),INDIRECT("'"&amp;F439&amp;"'!$C$8")),"")</f>
        <v/>
      </c>
      <c r="K439" s="48">
        <f t="shared" si="21"/>
        <v>445</v>
      </c>
      <c r="L439" s="114" t="str" cm="1">
        <f t="array" aca="1" ref="L439" ca="1">IF(F439&lt;&gt;"",INDIRECT("'"&amp;F439&amp;"'!$F$17"),"")</f>
        <v/>
      </c>
      <c r="M439" s="116" t="str">
        <f t="shared" ca="1" si="19"/>
        <v/>
      </c>
      <c r="O439" s="49" t="str">
        <f t="shared" ca="1" si="20"/>
        <v/>
      </c>
      <c r="P439" s="38" t="str">
        <f>IF(E439&lt;&gt;"",RANK(E439,$E$3:$E$2298)+COUNTIF($E$3:E439,E439)-1,"")</f>
        <v/>
      </c>
      <c r="R439" s="64"/>
    </row>
    <row r="440" spans="4:18" x14ac:dyDescent="0.25">
      <c r="D440" s="36" t="str" cm="1">
        <f t="array" aca="1" ref="D440" ca="1">IFERROR(IF(INDIRECT("'"&amp;F440&amp;"'!$C$5")&gt;0,DATE(YEAR(Dashboard!$AL$2),Dashboard!$AU$4,INDIRECT("'"&amp;F440&amp;"'!$C$5")),""),"")</f>
        <v/>
      </c>
      <c r="G440" s="38" t="str" cm="1">
        <f t="array" aca="1" ref="G440" ca="1">IF(F440="",
    "",
    IFERROR(
        IF(INDIRECT("'"&amp;F440&amp;"'!$B$2")="Credit Limit",
            "Credit Accounts",
            IF(INDIRECT("'"&amp;F440&amp;"'!$E$2")="Location",
                "Cash Accounts",
                IF(INDIRECT("'"&amp;F440&amp;"'!$B$2")="Amount",
                    "Investments",
                    "Bill Accounts"
                )
            )
        ),
    "")
)</f>
        <v/>
      </c>
      <c r="I440" s="46" t="str" cm="1">
        <f t="array" aca="1" ref="I440" ca="1">IF(F440&lt;&gt;"",IF(OR(G440="Bill Accounts",G440="Investments", G440="Cash Accounts"),INDIRECT("'"&amp;F440&amp;"'!$C$10"),INDIRECT("'"&amp;F440&amp;"'!$C$8")),"")</f>
        <v/>
      </c>
      <c r="K440" s="48">
        <f t="shared" si="21"/>
        <v>446</v>
      </c>
      <c r="L440" s="114" t="str" cm="1">
        <f t="array" aca="1" ref="L440" ca="1">IF(F440&lt;&gt;"",INDIRECT("'"&amp;F440&amp;"'!$F$17"),"")</f>
        <v/>
      </c>
      <c r="M440" s="116" t="str">
        <f t="shared" ca="1" si="19"/>
        <v/>
      </c>
      <c r="O440" s="49" t="str">
        <f t="shared" ca="1" si="20"/>
        <v/>
      </c>
      <c r="P440" s="38" t="str">
        <f>IF(E440&lt;&gt;"",RANK(E440,$E$3:$E$2298)+COUNTIF($E$3:E440,E440)-1,"")</f>
        <v/>
      </c>
      <c r="R440" s="64"/>
    </row>
    <row r="441" spans="4:18" x14ac:dyDescent="0.25">
      <c r="D441" s="36" t="str" cm="1">
        <f t="array" aca="1" ref="D441" ca="1">IFERROR(IF(INDIRECT("'"&amp;F441&amp;"'!$C$5")&gt;0,DATE(YEAR(Dashboard!$AL$2),Dashboard!$AU$4,INDIRECT("'"&amp;F441&amp;"'!$C$5")),""),"")</f>
        <v/>
      </c>
      <c r="G441" s="38" t="str" cm="1">
        <f t="array" aca="1" ref="G441" ca="1">IF(F441="",
    "",
    IFERROR(
        IF(INDIRECT("'"&amp;F441&amp;"'!$B$2")="Credit Limit",
            "Credit Accounts",
            IF(INDIRECT("'"&amp;F441&amp;"'!$E$2")="Location",
                "Cash Accounts",
                IF(INDIRECT("'"&amp;F441&amp;"'!$B$2")="Amount",
                    "Investments",
                    "Bill Accounts"
                )
            )
        ),
    "")
)</f>
        <v/>
      </c>
      <c r="I441" s="46" t="str" cm="1">
        <f t="array" aca="1" ref="I441" ca="1">IF(F441&lt;&gt;"",IF(OR(G441="Bill Accounts",G441="Investments", G441="Cash Accounts"),INDIRECT("'"&amp;F441&amp;"'!$C$10"),INDIRECT("'"&amp;F441&amp;"'!$C$8")),"")</f>
        <v/>
      </c>
      <c r="K441" s="48">
        <f t="shared" si="21"/>
        <v>447</v>
      </c>
      <c r="L441" s="114" t="str" cm="1">
        <f t="array" aca="1" ref="L441" ca="1">IF(F441&lt;&gt;"",INDIRECT("'"&amp;F441&amp;"'!$F$17"),"")</f>
        <v/>
      </c>
      <c r="M441" s="116" t="str">
        <f t="shared" ca="1" si="19"/>
        <v/>
      </c>
      <c r="O441" s="49" t="str">
        <f t="shared" ca="1" si="20"/>
        <v/>
      </c>
      <c r="P441" s="38" t="str">
        <f>IF(E441&lt;&gt;"",RANK(E441,$E$3:$E$2298)+COUNTIF($E$3:E441,E441)-1,"")</f>
        <v/>
      </c>
      <c r="R441" s="64"/>
    </row>
    <row r="442" spans="4:18" x14ac:dyDescent="0.25">
      <c r="D442" s="36" t="str" cm="1">
        <f t="array" aca="1" ref="D442" ca="1">IFERROR(IF(INDIRECT("'"&amp;F442&amp;"'!$C$5")&gt;0,DATE(YEAR(Dashboard!$AL$2),Dashboard!$AU$4,INDIRECT("'"&amp;F442&amp;"'!$C$5")),""),"")</f>
        <v/>
      </c>
      <c r="G442" s="38" t="str" cm="1">
        <f t="array" aca="1" ref="G442" ca="1">IF(F442="",
    "",
    IFERROR(
        IF(INDIRECT("'"&amp;F442&amp;"'!$B$2")="Credit Limit",
            "Credit Accounts",
            IF(INDIRECT("'"&amp;F442&amp;"'!$E$2")="Location",
                "Cash Accounts",
                IF(INDIRECT("'"&amp;F442&amp;"'!$B$2")="Amount",
                    "Investments",
                    "Bill Accounts"
                )
            )
        ),
    "")
)</f>
        <v/>
      </c>
      <c r="I442" s="46" t="str" cm="1">
        <f t="array" aca="1" ref="I442" ca="1">IF(F442&lt;&gt;"",IF(OR(G442="Bill Accounts",G442="Investments", G442="Cash Accounts"),INDIRECT("'"&amp;F442&amp;"'!$C$10"),INDIRECT("'"&amp;F442&amp;"'!$C$8")),"")</f>
        <v/>
      </c>
      <c r="K442" s="48">
        <f t="shared" si="21"/>
        <v>448</v>
      </c>
      <c r="L442" s="114" t="str" cm="1">
        <f t="array" aca="1" ref="L442" ca="1">IF(F442&lt;&gt;"",INDIRECT("'"&amp;F442&amp;"'!$F$17"),"")</f>
        <v/>
      </c>
      <c r="M442" s="116" t="str">
        <f t="shared" ca="1" si="19"/>
        <v/>
      </c>
      <c r="O442" s="49" t="str">
        <f t="shared" ca="1" si="20"/>
        <v/>
      </c>
      <c r="P442" s="38" t="str">
        <f>IF(E442&lt;&gt;"",RANK(E442,$E$3:$E$2298)+COUNTIF($E$3:E442,E442)-1,"")</f>
        <v/>
      </c>
      <c r="R442" s="64"/>
    </row>
    <row r="443" spans="4:18" x14ac:dyDescent="0.25">
      <c r="D443" s="36" t="str" cm="1">
        <f t="array" aca="1" ref="D443" ca="1">IFERROR(IF(INDIRECT("'"&amp;F443&amp;"'!$C$5")&gt;0,DATE(YEAR(Dashboard!$AL$2),Dashboard!$AU$4,INDIRECT("'"&amp;F443&amp;"'!$C$5")),""),"")</f>
        <v/>
      </c>
      <c r="G443" s="38" t="str" cm="1">
        <f t="array" aca="1" ref="G443" ca="1">IF(F443="",
    "",
    IFERROR(
        IF(INDIRECT("'"&amp;F443&amp;"'!$B$2")="Credit Limit",
            "Credit Accounts",
            IF(INDIRECT("'"&amp;F443&amp;"'!$E$2")="Location",
                "Cash Accounts",
                IF(INDIRECT("'"&amp;F443&amp;"'!$B$2")="Amount",
                    "Investments",
                    "Bill Accounts"
                )
            )
        ),
    "")
)</f>
        <v/>
      </c>
      <c r="I443" s="46" t="str" cm="1">
        <f t="array" aca="1" ref="I443" ca="1">IF(F443&lt;&gt;"",IF(OR(G443="Bill Accounts",G443="Investments", G443="Cash Accounts"),INDIRECT("'"&amp;F443&amp;"'!$C$10"),INDIRECT("'"&amp;F443&amp;"'!$C$8")),"")</f>
        <v/>
      </c>
      <c r="K443" s="48">
        <f t="shared" si="21"/>
        <v>449</v>
      </c>
      <c r="L443" s="114" t="str" cm="1">
        <f t="array" aca="1" ref="L443" ca="1">IF(F443&lt;&gt;"",INDIRECT("'"&amp;F443&amp;"'!$F$17"),"")</f>
        <v/>
      </c>
      <c r="M443" s="116" t="str">
        <f t="shared" ca="1" si="19"/>
        <v/>
      </c>
      <c r="O443" s="49" t="str">
        <f t="shared" ca="1" si="20"/>
        <v/>
      </c>
      <c r="P443" s="38" t="str">
        <f>IF(E443&lt;&gt;"",RANK(E443,$E$3:$E$2298)+COUNTIF($E$3:E443,E443)-1,"")</f>
        <v/>
      </c>
    </row>
    <row r="444" spans="4:18" x14ac:dyDescent="0.25">
      <c r="D444" s="36" t="str" cm="1">
        <f t="array" aca="1" ref="D444" ca="1">IFERROR(IF(INDIRECT("'"&amp;F444&amp;"'!$C$5")&gt;0,DATE(YEAR(Dashboard!$AL$2),Dashboard!$AU$4,INDIRECT("'"&amp;F444&amp;"'!$C$5")),""),"")</f>
        <v/>
      </c>
      <c r="G444" s="38" t="str" cm="1">
        <f t="array" aca="1" ref="G444" ca="1">IF(F444="",
    "",
    IFERROR(
        IF(INDIRECT("'"&amp;F444&amp;"'!$B$2")="Credit Limit",
            "Credit Accounts",
            IF(INDIRECT("'"&amp;F444&amp;"'!$E$2")="Location",
                "Cash Accounts",
                IF(INDIRECT("'"&amp;F444&amp;"'!$B$2")="Amount",
                    "Investments",
                    "Bill Accounts"
                )
            )
        ),
    "")
)</f>
        <v/>
      </c>
      <c r="I444" s="46" t="str" cm="1">
        <f t="array" aca="1" ref="I444" ca="1">IF(F444&lt;&gt;"",IF(OR(G444="Bill Accounts",G444="Investments", G444="Cash Accounts"),INDIRECT("'"&amp;F444&amp;"'!$C$10"),INDIRECT("'"&amp;F444&amp;"'!$C$8")),"")</f>
        <v/>
      </c>
      <c r="K444" s="48">
        <f t="shared" si="21"/>
        <v>450</v>
      </c>
      <c r="L444" s="114" t="str" cm="1">
        <f t="array" aca="1" ref="L444" ca="1">IF(F444&lt;&gt;"",INDIRECT("'"&amp;F444&amp;"'!$F$17"),"")</f>
        <v/>
      </c>
      <c r="M444" s="116" t="str">
        <f t="shared" ca="1" si="19"/>
        <v/>
      </c>
      <c r="O444" s="49" t="str">
        <f t="shared" ca="1" si="20"/>
        <v/>
      </c>
      <c r="P444" s="38" t="str">
        <f>IF(E444&lt;&gt;"",RANK(E444,$E$3:$E$2298)+COUNTIF($E$3:E444,E444)-1,"")</f>
        <v/>
      </c>
    </row>
    <row r="445" spans="4:18" x14ac:dyDescent="0.25">
      <c r="D445" s="36" t="str" cm="1">
        <f t="array" aca="1" ref="D445" ca="1">IFERROR(IF(INDIRECT("'"&amp;F445&amp;"'!$C$5")&gt;0,DATE(YEAR(Dashboard!$AL$2),Dashboard!$AU$4,INDIRECT("'"&amp;F445&amp;"'!$C$5")),""),"")</f>
        <v/>
      </c>
      <c r="G445" s="38" t="str" cm="1">
        <f t="array" aca="1" ref="G445" ca="1">IF(F445="",
    "",
    IFERROR(
        IF(INDIRECT("'"&amp;F445&amp;"'!$B$2")="Credit Limit",
            "Credit Accounts",
            IF(INDIRECT("'"&amp;F445&amp;"'!$E$2")="Location",
                "Cash Accounts",
                IF(INDIRECT("'"&amp;F445&amp;"'!$B$2")="Amount",
                    "Investments",
                    "Bill Accounts"
                )
            )
        ),
    "")
)</f>
        <v/>
      </c>
      <c r="I445" s="46" t="str" cm="1">
        <f t="array" aca="1" ref="I445" ca="1">IF(F445&lt;&gt;"",IF(OR(G445="Bill Accounts",G445="Investments", G445="Cash Accounts"),INDIRECT("'"&amp;F445&amp;"'!$C$10"),INDIRECT("'"&amp;F445&amp;"'!$C$8")),"")</f>
        <v/>
      </c>
      <c r="K445" s="48">
        <f t="shared" si="21"/>
        <v>451</v>
      </c>
      <c r="L445" s="114" t="str" cm="1">
        <f t="array" aca="1" ref="L445" ca="1">IF(F445&lt;&gt;"",INDIRECT("'"&amp;F445&amp;"'!$F$17"),"")</f>
        <v/>
      </c>
      <c r="M445" s="116" t="str">
        <f t="shared" ca="1" si="19"/>
        <v/>
      </c>
      <c r="O445" s="49" t="str">
        <f t="shared" ca="1" si="20"/>
        <v/>
      </c>
      <c r="P445" s="38" t="str">
        <f>IF(E445&lt;&gt;"",RANK(E445,$E$3:$E$2298)+COUNTIF($E$3:E445,E445)-1,"")</f>
        <v/>
      </c>
    </row>
    <row r="446" spans="4:18" x14ac:dyDescent="0.25">
      <c r="D446" s="36" t="str" cm="1">
        <f t="array" aca="1" ref="D446" ca="1">IFERROR(IF(INDIRECT("'"&amp;F446&amp;"'!$C$5")&gt;0,DATE(YEAR(Dashboard!$AL$2),Dashboard!$AU$4,INDIRECT("'"&amp;F446&amp;"'!$C$5")),""),"")</f>
        <v/>
      </c>
      <c r="G446" s="38" t="str" cm="1">
        <f t="array" aca="1" ref="G446" ca="1">IF(F446="",
    "",
    IFERROR(
        IF(INDIRECT("'"&amp;F446&amp;"'!$B$2")="Credit Limit",
            "Credit Accounts",
            IF(INDIRECT("'"&amp;F446&amp;"'!$E$2")="Location",
                "Cash Accounts",
                IF(INDIRECT("'"&amp;F446&amp;"'!$B$2")="Amount",
                    "Investments",
                    "Bill Accounts"
                )
            )
        ),
    "")
)</f>
        <v/>
      </c>
      <c r="I446" s="46" t="str" cm="1">
        <f t="array" aca="1" ref="I446" ca="1">IF(F446&lt;&gt;"",IF(OR(G446="Bill Accounts",G446="Investments", G446="Cash Accounts"),INDIRECT("'"&amp;F446&amp;"'!$C$10"),INDIRECT("'"&amp;F446&amp;"'!$C$8")),"")</f>
        <v/>
      </c>
      <c r="K446" s="48">
        <f t="shared" si="21"/>
        <v>452</v>
      </c>
      <c r="L446" s="114" t="str" cm="1">
        <f t="array" aca="1" ref="L446" ca="1">IF(F446&lt;&gt;"",INDIRECT("'"&amp;F446&amp;"'!$F$17"),"")</f>
        <v/>
      </c>
      <c r="M446" s="116" t="str">
        <f t="shared" ca="1" si="19"/>
        <v/>
      </c>
      <c r="O446" s="49" t="str">
        <f t="shared" ca="1" si="20"/>
        <v/>
      </c>
      <c r="P446" s="38" t="str">
        <f>IF(E446&lt;&gt;"",RANK(E446,$E$3:$E$2298)+COUNTIF($E$3:E446,E446)-1,"")</f>
        <v/>
      </c>
    </row>
    <row r="447" spans="4:18" x14ac:dyDescent="0.25">
      <c r="D447" s="36" t="str" cm="1">
        <f t="array" aca="1" ref="D447" ca="1">IFERROR(IF(INDIRECT("'"&amp;F447&amp;"'!$C$5")&gt;0,DATE(YEAR(Dashboard!$AL$2),Dashboard!$AU$4,INDIRECT("'"&amp;F447&amp;"'!$C$5")),""),"")</f>
        <v/>
      </c>
      <c r="G447" s="38" t="str" cm="1">
        <f t="array" aca="1" ref="G447" ca="1">IF(F447="",
    "",
    IFERROR(
        IF(INDIRECT("'"&amp;F447&amp;"'!$B$2")="Credit Limit",
            "Credit Accounts",
            IF(INDIRECT("'"&amp;F447&amp;"'!$E$2")="Location",
                "Cash Accounts",
                IF(INDIRECT("'"&amp;F447&amp;"'!$B$2")="Amount",
                    "Investments",
                    "Bill Accounts"
                )
            )
        ),
    "")
)</f>
        <v/>
      </c>
      <c r="I447" s="46" t="str" cm="1">
        <f t="array" aca="1" ref="I447" ca="1">IF(F447&lt;&gt;"",IF(OR(G447="Bill Accounts",G447="Investments", G447="Cash Accounts"),INDIRECT("'"&amp;F447&amp;"'!$C$10"),INDIRECT("'"&amp;F447&amp;"'!$C$8")),"")</f>
        <v/>
      </c>
      <c r="K447" s="48">
        <f t="shared" si="21"/>
        <v>453</v>
      </c>
      <c r="L447" s="114" t="str" cm="1">
        <f t="array" aca="1" ref="L447" ca="1">IF(F447&lt;&gt;"",INDIRECT("'"&amp;F447&amp;"'!$F$17"),"")</f>
        <v/>
      </c>
      <c r="M447" s="116" t="str">
        <f t="shared" ca="1" si="19"/>
        <v/>
      </c>
      <c r="O447" s="49" t="str">
        <f t="shared" ca="1" si="20"/>
        <v/>
      </c>
      <c r="P447" s="38" t="str">
        <f>IF(E447&lt;&gt;"",RANK(E447,$E$3:$E$2298)+COUNTIF($E$3:E447,E447)-1,"")</f>
        <v/>
      </c>
    </row>
    <row r="448" spans="4:18" x14ac:dyDescent="0.25">
      <c r="D448" s="36" t="str" cm="1">
        <f t="array" aca="1" ref="D448" ca="1">IFERROR(IF(INDIRECT("'"&amp;F448&amp;"'!$C$5")&gt;0,DATE(YEAR(Dashboard!$AL$2),Dashboard!$AU$4,INDIRECT("'"&amp;F448&amp;"'!$C$5")),""),"")</f>
        <v/>
      </c>
      <c r="G448" s="38" t="str" cm="1">
        <f t="array" aca="1" ref="G448" ca="1">IF(F448="",
    "",
    IFERROR(
        IF(INDIRECT("'"&amp;F448&amp;"'!$B$2")="Credit Limit",
            "Credit Accounts",
            IF(INDIRECT("'"&amp;F448&amp;"'!$E$2")="Location",
                "Cash Accounts",
                IF(INDIRECT("'"&amp;F448&amp;"'!$B$2")="Amount",
                    "Investments",
                    "Bill Accounts"
                )
            )
        ),
    "")
)</f>
        <v/>
      </c>
      <c r="I448" s="46" t="str" cm="1">
        <f t="array" aca="1" ref="I448" ca="1">IF(F448&lt;&gt;"",IF(OR(G448="Bill Accounts",G448="Investments", G448="Cash Accounts"),INDIRECT("'"&amp;F448&amp;"'!$C$10"),INDIRECT("'"&amp;F448&amp;"'!$C$8")),"")</f>
        <v/>
      </c>
      <c r="K448" s="48">
        <f t="shared" si="21"/>
        <v>454</v>
      </c>
      <c r="L448" s="114" t="str" cm="1">
        <f t="array" aca="1" ref="L448" ca="1">IF(F448&lt;&gt;"",INDIRECT("'"&amp;F448&amp;"'!$F$17"),"")</f>
        <v/>
      </c>
      <c r="M448" s="116" t="str">
        <f t="shared" ca="1" si="19"/>
        <v/>
      </c>
      <c r="O448" s="49" t="str">
        <f t="shared" ca="1" si="20"/>
        <v/>
      </c>
      <c r="P448" s="38" t="str">
        <f>IF(E448&lt;&gt;"",RANK(E448,$E$3:$E$2298)+COUNTIF($E$3:E448,E448)-1,"")</f>
        <v/>
      </c>
    </row>
    <row r="449" spans="4:16" x14ac:dyDescent="0.25">
      <c r="D449" s="36" t="str" cm="1">
        <f t="array" aca="1" ref="D449" ca="1">IFERROR(IF(INDIRECT("'"&amp;F449&amp;"'!$C$5")&gt;0,DATE(YEAR(Dashboard!$AL$2),Dashboard!$AU$4,INDIRECT("'"&amp;F449&amp;"'!$C$5")),""),"")</f>
        <v/>
      </c>
      <c r="G449" s="38" t="str" cm="1">
        <f t="array" aca="1" ref="G449" ca="1">IF(F449="",
    "",
    IFERROR(
        IF(INDIRECT("'"&amp;F449&amp;"'!$B$2")="Credit Limit",
            "Credit Accounts",
            IF(INDIRECT("'"&amp;F449&amp;"'!$E$2")="Location",
                "Cash Accounts",
                IF(INDIRECT("'"&amp;F449&amp;"'!$B$2")="Amount",
                    "Investments",
                    "Bill Accounts"
                )
            )
        ),
    "")
)</f>
        <v/>
      </c>
      <c r="I449" s="46" t="str" cm="1">
        <f t="array" aca="1" ref="I449" ca="1">IF(F449&lt;&gt;"",IF(OR(G449="Bill Accounts",G449="Investments", G449="Cash Accounts"),INDIRECT("'"&amp;F449&amp;"'!$C$10"),INDIRECT("'"&amp;F449&amp;"'!$C$8")),"")</f>
        <v/>
      </c>
      <c r="K449" s="48">
        <f t="shared" si="21"/>
        <v>455</v>
      </c>
      <c r="L449" s="114" t="str" cm="1">
        <f t="array" aca="1" ref="L449" ca="1">IF(F449&lt;&gt;"",INDIRECT("'"&amp;F449&amp;"'!$F$17"),"")</f>
        <v/>
      </c>
      <c r="M449" s="116" t="str">
        <f t="shared" ca="1" si="19"/>
        <v/>
      </c>
      <c r="O449" s="49" t="str">
        <f t="shared" ca="1" si="20"/>
        <v/>
      </c>
      <c r="P449" s="38" t="str">
        <f>IF(E449&lt;&gt;"",RANK(E449,$E$3:$E$2298)+COUNTIF($E$3:E449,E449)-1,"")</f>
        <v/>
      </c>
    </row>
    <row r="450" spans="4:16" x14ac:dyDescent="0.25">
      <c r="D450" s="36" t="str" cm="1">
        <f t="array" aca="1" ref="D450" ca="1">IFERROR(IF(INDIRECT("'"&amp;F450&amp;"'!$C$5")&gt;0,DATE(YEAR(Dashboard!$AL$2),Dashboard!$AU$4,INDIRECT("'"&amp;F450&amp;"'!$C$5")),""),"")</f>
        <v/>
      </c>
      <c r="G450" s="38" t="str" cm="1">
        <f t="array" aca="1" ref="G450" ca="1">IF(F450="",
    "",
    IFERROR(
        IF(INDIRECT("'"&amp;F450&amp;"'!$B$2")="Credit Limit",
            "Credit Accounts",
            IF(INDIRECT("'"&amp;F450&amp;"'!$E$2")="Location",
                "Cash Accounts",
                IF(INDIRECT("'"&amp;F450&amp;"'!$B$2")="Amount",
                    "Investments",
                    "Bill Accounts"
                )
            )
        ),
    "")
)</f>
        <v/>
      </c>
      <c r="I450" s="46" t="str" cm="1">
        <f t="array" aca="1" ref="I450" ca="1">IF(F450&lt;&gt;"",IF(OR(G450="Bill Accounts",G450="Investments", G450="Cash Accounts"),INDIRECT("'"&amp;F450&amp;"'!$C$10"),INDIRECT("'"&amp;F450&amp;"'!$C$8")),"")</f>
        <v/>
      </c>
      <c r="K450" s="48">
        <f t="shared" si="21"/>
        <v>456</v>
      </c>
      <c r="L450" s="114" t="str" cm="1">
        <f t="array" aca="1" ref="L450" ca="1">IF(F450&lt;&gt;"",INDIRECT("'"&amp;F450&amp;"'!$F$17"),"")</f>
        <v/>
      </c>
      <c r="M450" s="116" t="str">
        <f t="shared" ca="1" si="19"/>
        <v/>
      </c>
      <c r="O450" s="49" t="str">
        <f t="shared" ca="1" si="20"/>
        <v/>
      </c>
      <c r="P450" s="38" t="str">
        <f>IF(E450&lt;&gt;"",RANK(E450,$E$3:$E$2298)+COUNTIF($E$3:E450,E450)-1,"")</f>
        <v/>
      </c>
    </row>
    <row r="451" spans="4:16" x14ac:dyDescent="0.25">
      <c r="D451" s="36" t="str" cm="1">
        <f t="array" aca="1" ref="D451" ca="1">IFERROR(IF(INDIRECT("'"&amp;F451&amp;"'!$C$5")&gt;0,DATE(YEAR(Dashboard!$AL$2),Dashboard!$AU$4,INDIRECT("'"&amp;F451&amp;"'!$C$5")),""),"")</f>
        <v/>
      </c>
      <c r="G451" s="38" t="str" cm="1">
        <f t="array" aca="1" ref="G451" ca="1">IF(F451="",
    "",
    IFERROR(
        IF(INDIRECT("'"&amp;F451&amp;"'!$B$2")="Credit Limit",
            "Credit Accounts",
            IF(INDIRECT("'"&amp;F451&amp;"'!$E$2")="Location",
                "Cash Accounts",
                IF(INDIRECT("'"&amp;F451&amp;"'!$B$2")="Amount",
                    "Investments",
                    "Bill Accounts"
                )
            )
        ),
    "")
)</f>
        <v/>
      </c>
      <c r="I451" s="46" t="str" cm="1">
        <f t="array" aca="1" ref="I451" ca="1">IF(F451&lt;&gt;"",IF(OR(G451="Bill Accounts",G451="Investments", G451="Cash Accounts"),INDIRECT("'"&amp;F451&amp;"'!$C$10"),INDIRECT("'"&amp;F451&amp;"'!$C$8")),"")</f>
        <v/>
      </c>
      <c r="K451" s="48">
        <f t="shared" si="21"/>
        <v>457</v>
      </c>
      <c r="L451" s="114" t="str" cm="1">
        <f t="array" aca="1" ref="L451" ca="1">IF(F451&lt;&gt;"",INDIRECT("'"&amp;F451&amp;"'!$F$17"),"")</f>
        <v/>
      </c>
      <c r="M451" s="116" t="str">
        <f t="shared" ca="1" si="19"/>
        <v/>
      </c>
      <c r="O451" s="49" t="str">
        <f t="shared" ca="1" si="20"/>
        <v/>
      </c>
      <c r="P451" s="38" t="str">
        <f>IF(E451&lt;&gt;"",RANK(E451,$E$3:$E$2298)+COUNTIF($E$3:E451,E451)-1,"")</f>
        <v/>
      </c>
    </row>
    <row r="452" spans="4:16" x14ac:dyDescent="0.25">
      <c r="D452" s="36" t="str" cm="1">
        <f t="array" aca="1" ref="D452" ca="1">IFERROR(IF(INDIRECT("'"&amp;F452&amp;"'!$C$5")&gt;0,DATE(YEAR(Dashboard!$AL$2),Dashboard!$AU$4,INDIRECT("'"&amp;F452&amp;"'!$C$5")),""),"")</f>
        <v/>
      </c>
      <c r="G452" s="38" t="str" cm="1">
        <f t="array" aca="1" ref="G452" ca="1">IF(F452="",
    "",
    IFERROR(
        IF(INDIRECT("'"&amp;F452&amp;"'!$B$2")="Credit Limit",
            "Credit Accounts",
            IF(INDIRECT("'"&amp;F452&amp;"'!$E$2")="Location",
                "Cash Accounts",
                IF(INDIRECT("'"&amp;F452&amp;"'!$B$2")="Amount",
                    "Investments",
                    "Bill Accounts"
                )
            )
        ),
    "")
)</f>
        <v/>
      </c>
      <c r="I452" s="46" t="str" cm="1">
        <f t="array" aca="1" ref="I452" ca="1">IF(F452&lt;&gt;"",IF(OR(G452="Bill Accounts",G452="Investments", G452="Cash Accounts"),INDIRECT("'"&amp;F452&amp;"'!$C$10"),INDIRECT("'"&amp;F452&amp;"'!$C$8")),"")</f>
        <v/>
      </c>
      <c r="K452" s="48">
        <f t="shared" si="21"/>
        <v>458</v>
      </c>
      <c r="L452" s="114" t="str" cm="1">
        <f t="array" aca="1" ref="L452" ca="1">IF(F452&lt;&gt;"",INDIRECT("'"&amp;F452&amp;"'!$F$17"),"")</f>
        <v/>
      </c>
      <c r="M452" s="116" t="str">
        <f t="shared" ref="M452:M515" ca="1" si="22">IF(G452="Credit Accounts",EDATE(TODAY(),INDIRECT("'"&amp;F452&amp;"'!$C$14")),"")</f>
        <v/>
      </c>
      <c r="O452" s="49" t="str">
        <f t="shared" ref="O452:O515" ca="1" si="23">IF(D452&lt;&gt;"",DAY(D452),"")</f>
        <v/>
      </c>
      <c r="P452" s="38" t="str">
        <f>IF(E452&lt;&gt;"",RANK(E452,$E$3:$E$2298)+COUNTIF($E$3:E452,E452)-1,"")</f>
        <v/>
      </c>
    </row>
    <row r="453" spans="4:16" x14ac:dyDescent="0.25">
      <c r="D453" s="36" t="str" cm="1">
        <f t="array" aca="1" ref="D453" ca="1">IFERROR(IF(INDIRECT("'"&amp;F453&amp;"'!$C$5")&gt;0,DATE(YEAR(Dashboard!$AL$2),Dashboard!$AU$4,INDIRECT("'"&amp;F453&amp;"'!$C$5")),""),"")</f>
        <v/>
      </c>
      <c r="G453" s="38" t="str" cm="1">
        <f t="array" aca="1" ref="G453" ca="1">IF(F453="",
    "",
    IFERROR(
        IF(INDIRECT("'"&amp;F453&amp;"'!$B$2")="Credit Limit",
            "Credit Accounts",
            IF(INDIRECT("'"&amp;F453&amp;"'!$E$2")="Location",
                "Cash Accounts",
                IF(INDIRECT("'"&amp;F453&amp;"'!$B$2")="Amount",
                    "Investments",
                    "Bill Accounts"
                )
            )
        ),
    "")
)</f>
        <v/>
      </c>
      <c r="I453" s="46" t="str" cm="1">
        <f t="array" aca="1" ref="I453" ca="1">IF(F453&lt;&gt;"",IF(OR(G453="Bill Accounts",G453="Investments", G453="Cash Accounts"),INDIRECT("'"&amp;F453&amp;"'!$C$10"),INDIRECT("'"&amp;F453&amp;"'!$C$8")),"")</f>
        <v/>
      </c>
      <c r="K453" s="48">
        <f t="shared" si="21"/>
        <v>459</v>
      </c>
      <c r="L453" s="114" t="str" cm="1">
        <f t="array" aca="1" ref="L453" ca="1">IF(F453&lt;&gt;"",INDIRECT("'"&amp;F453&amp;"'!$F$17"),"")</f>
        <v/>
      </c>
      <c r="M453" s="116" t="str">
        <f t="shared" ca="1" si="22"/>
        <v/>
      </c>
      <c r="O453" s="49" t="str">
        <f t="shared" ca="1" si="23"/>
        <v/>
      </c>
      <c r="P453" s="38" t="str">
        <f>IF(E453&lt;&gt;"",RANK(E453,$E$3:$E$2298)+COUNTIF($E$3:E453,E453)-1,"")</f>
        <v/>
      </c>
    </row>
    <row r="454" spans="4:16" x14ac:dyDescent="0.25">
      <c r="D454" s="36" t="str" cm="1">
        <f t="array" aca="1" ref="D454" ca="1">IFERROR(IF(INDIRECT("'"&amp;F454&amp;"'!$C$5")&gt;0,DATE(YEAR(Dashboard!$AL$2),Dashboard!$AU$4,INDIRECT("'"&amp;F454&amp;"'!$C$5")),""),"")</f>
        <v/>
      </c>
      <c r="G454" s="38" t="str" cm="1">
        <f t="array" aca="1" ref="G454" ca="1">IF(F454="",
    "",
    IFERROR(
        IF(INDIRECT("'"&amp;F454&amp;"'!$B$2")="Credit Limit",
            "Credit Accounts",
            IF(INDIRECT("'"&amp;F454&amp;"'!$E$2")="Location",
                "Cash Accounts",
                IF(INDIRECT("'"&amp;F454&amp;"'!$B$2")="Amount",
                    "Investments",
                    "Bill Accounts"
                )
            )
        ),
    "")
)</f>
        <v/>
      </c>
      <c r="I454" s="46" t="str" cm="1">
        <f t="array" aca="1" ref="I454" ca="1">IF(F454&lt;&gt;"",IF(OR(G454="Bill Accounts",G454="Investments", G454="Cash Accounts"),INDIRECT("'"&amp;F454&amp;"'!$C$10"),INDIRECT("'"&amp;F454&amp;"'!$C$8")),"")</f>
        <v/>
      </c>
      <c r="K454" s="48">
        <f t="shared" si="21"/>
        <v>460</v>
      </c>
      <c r="L454" s="114" t="str" cm="1">
        <f t="array" aca="1" ref="L454" ca="1">IF(F454&lt;&gt;"",INDIRECT("'"&amp;F454&amp;"'!$F$17"),"")</f>
        <v/>
      </c>
      <c r="M454" s="116" t="str">
        <f t="shared" ca="1" si="22"/>
        <v/>
      </c>
      <c r="O454" s="49" t="str">
        <f t="shared" ca="1" si="23"/>
        <v/>
      </c>
      <c r="P454" s="38" t="str">
        <f>IF(E454&lt;&gt;"",RANK(E454,$E$3:$E$2298)+COUNTIF($E$3:E454,E454)-1,"")</f>
        <v/>
      </c>
    </row>
    <row r="455" spans="4:16" x14ac:dyDescent="0.25">
      <c r="D455" s="36" t="str" cm="1">
        <f t="array" aca="1" ref="D455" ca="1">IFERROR(IF(INDIRECT("'"&amp;F455&amp;"'!$C$5")&gt;0,DATE(YEAR(Dashboard!$AL$2),Dashboard!$AU$4,INDIRECT("'"&amp;F455&amp;"'!$C$5")),""),"")</f>
        <v/>
      </c>
      <c r="G455" s="38" t="str" cm="1">
        <f t="array" aca="1" ref="G455" ca="1">IF(F455="",
    "",
    IFERROR(
        IF(INDIRECT("'"&amp;F455&amp;"'!$B$2")="Credit Limit",
            "Credit Accounts",
            IF(INDIRECT("'"&amp;F455&amp;"'!$E$2")="Location",
                "Cash Accounts",
                IF(INDIRECT("'"&amp;F455&amp;"'!$B$2")="Amount",
                    "Investments",
                    "Bill Accounts"
                )
            )
        ),
    "")
)</f>
        <v/>
      </c>
      <c r="I455" s="46" t="str" cm="1">
        <f t="array" aca="1" ref="I455" ca="1">IF(F455&lt;&gt;"",IF(OR(G455="Bill Accounts",G455="Investments", G455="Cash Accounts"),INDIRECT("'"&amp;F455&amp;"'!$C$10"),INDIRECT("'"&amp;F455&amp;"'!$C$8")),"")</f>
        <v/>
      </c>
      <c r="K455" s="48">
        <f t="shared" si="21"/>
        <v>461</v>
      </c>
      <c r="L455" s="114" t="str" cm="1">
        <f t="array" aca="1" ref="L455" ca="1">IF(F455&lt;&gt;"",INDIRECT("'"&amp;F455&amp;"'!$F$17"),"")</f>
        <v/>
      </c>
      <c r="M455" s="116" t="str">
        <f t="shared" ca="1" si="22"/>
        <v/>
      </c>
      <c r="O455" s="49" t="str">
        <f t="shared" ca="1" si="23"/>
        <v/>
      </c>
      <c r="P455" s="38" t="str">
        <f>IF(E455&lt;&gt;"",RANK(E455,$E$3:$E$2298)+COUNTIF($E$3:E455,E455)-1,"")</f>
        <v/>
      </c>
    </row>
    <row r="456" spans="4:16" x14ac:dyDescent="0.25">
      <c r="D456" s="36" t="str" cm="1">
        <f t="array" aca="1" ref="D456" ca="1">IFERROR(IF(INDIRECT("'"&amp;F456&amp;"'!$C$5")&gt;0,DATE(YEAR(Dashboard!$AL$2),Dashboard!$AU$4,INDIRECT("'"&amp;F456&amp;"'!$C$5")),""),"")</f>
        <v/>
      </c>
      <c r="G456" s="38" t="str" cm="1">
        <f t="array" aca="1" ref="G456" ca="1">IF(F456="",
    "",
    IFERROR(
        IF(INDIRECT("'"&amp;F456&amp;"'!$B$2")="Credit Limit",
            "Credit Accounts",
            IF(INDIRECT("'"&amp;F456&amp;"'!$E$2")="Location",
                "Cash Accounts",
                IF(INDIRECT("'"&amp;F456&amp;"'!$B$2")="Amount",
                    "Investments",
                    "Bill Accounts"
                )
            )
        ),
    "")
)</f>
        <v/>
      </c>
      <c r="I456" s="46" t="str" cm="1">
        <f t="array" aca="1" ref="I456" ca="1">IF(F456&lt;&gt;"",IF(OR(G456="Bill Accounts",G456="Investments", G456="Cash Accounts"),INDIRECT("'"&amp;F456&amp;"'!$C$10"),INDIRECT("'"&amp;F456&amp;"'!$C$8")),"")</f>
        <v/>
      </c>
      <c r="K456" s="48">
        <f t="shared" ref="K456:K519" si="24">SUM(K455+1)</f>
        <v>462</v>
      </c>
      <c r="L456" s="114" t="str" cm="1">
        <f t="array" aca="1" ref="L456" ca="1">IF(F456&lt;&gt;"",INDIRECT("'"&amp;F456&amp;"'!$F$17"),"")</f>
        <v/>
      </c>
      <c r="M456" s="116" t="str">
        <f t="shared" ca="1" si="22"/>
        <v/>
      </c>
      <c r="O456" s="49" t="str">
        <f t="shared" ca="1" si="23"/>
        <v/>
      </c>
      <c r="P456" s="38" t="str">
        <f>IF(E456&lt;&gt;"",RANK(E456,$E$3:$E$2298)+COUNTIF($E$3:E456,E456)-1,"")</f>
        <v/>
      </c>
    </row>
    <row r="457" spans="4:16" x14ac:dyDescent="0.25">
      <c r="D457" s="36" t="str" cm="1">
        <f t="array" aca="1" ref="D457" ca="1">IFERROR(IF(INDIRECT("'"&amp;F457&amp;"'!$C$5")&gt;0,DATE(YEAR(Dashboard!$AL$2),Dashboard!$AU$4,INDIRECT("'"&amp;F457&amp;"'!$C$5")),""),"")</f>
        <v/>
      </c>
      <c r="G457" s="38" t="str" cm="1">
        <f t="array" aca="1" ref="G457" ca="1">IF(F457="",
    "",
    IFERROR(
        IF(INDIRECT("'"&amp;F457&amp;"'!$B$2")="Credit Limit",
            "Credit Accounts",
            IF(INDIRECT("'"&amp;F457&amp;"'!$E$2")="Location",
                "Cash Accounts",
                IF(INDIRECT("'"&amp;F457&amp;"'!$B$2")="Amount",
                    "Investments",
                    "Bill Accounts"
                )
            )
        ),
    "")
)</f>
        <v/>
      </c>
      <c r="I457" s="46" t="str" cm="1">
        <f t="array" aca="1" ref="I457" ca="1">IF(F457&lt;&gt;"",IF(OR(G457="Bill Accounts",G457="Investments", G457="Cash Accounts"),INDIRECT("'"&amp;F457&amp;"'!$C$10"),INDIRECT("'"&amp;F457&amp;"'!$C$8")),"")</f>
        <v/>
      </c>
      <c r="K457" s="48">
        <f t="shared" si="24"/>
        <v>463</v>
      </c>
      <c r="L457" s="114" t="str" cm="1">
        <f t="array" aca="1" ref="L457" ca="1">IF(F457&lt;&gt;"",INDIRECT("'"&amp;F457&amp;"'!$F$17"),"")</f>
        <v/>
      </c>
      <c r="M457" s="116" t="str">
        <f t="shared" ca="1" si="22"/>
        <v/>
      </c>
      <c r="O457" s="49" t="str">
        <f t="shared" ca="1" si="23"/>
        <v/>
      </c>
      <c r="P457" s="38" t="str">
        <f>IF(E457&lt;&gt;"",RANK(E457,$E$3:$E$2298)+COUNTIF($E$3:E457,E457)-1,"")</f>
        <v/>
      </c>
    </row>
    <row r="458" spans="4:16" x14ac:dyDescent="0.25">
      <c r="D458" s="36" t="str" cm="1">
        <f t="array" aca="1" ref="D458" ca="1">IFERROR(IF(INDIRECT("'"&amp;F458&amp;"'!$C$5")&gt;0,DATE(YEAR(Dashboard!$AL$2),Dashboard!$AU$4,INDIRECT("'"&amp;F458&amp;"'!$C$5")),""),"")</f>
        <v/>
      </c>
      <c r="G458" s="38" t="str" cm="1">
        <f t="array" aca="1" ref="G458" ca="1">IF(F458="",
    "",
    IFERROR(
        IF(INDIRECT("'"&amp;F458&amp;"'!$B$2")="Credit Limit",
            "Credit Accounts",
            IF(INDIRECT("'"&amp;F458&amp;"'!$E$2")="Location",
                "Cash Accounts",
                IF(INDIRECT("'"&amp;F458&amp;"'!$B$2")="Amount",
                    "Investments",
                    "Bill Accounts"
                )
            )
        ),
    "")
)</f>
        <v/>
      </c>
      <c r="I458" s="46" t="str" cm="1">
        <f t="array" aca="1" ref="I458" ca="1">IF(F458&lt;&gt;"",IF(OR(G458="Bill Accounts",G458="Investments", G458="Cash Accounts"),INDIRECT("'"&amp;F458&amp;"'!$C$10"),INDIRECT("'"&amp;F458&amp;"'!$C$8")),"")</f>
        <v/>
      </c>
      <c r="K458" s="48">
        <f t="shared" si="24"/>
        <v>464</v>
      </c>
      <c r="L458" s="114" t="str" cm="1">
        <f t="array" aca="1" ref="L458" ca="1">IF(F458&lt;&gt;"",INDIRECT("'"&amp;F458&amp;"'!$F$17"),"")</f>
        <v/>
      </c>
      <c r="M458" s="116" t="str">
        <f t="shared" ca="1" si="22"/>
        <v/>
      </c>
      <c r="O458" s="49" t="str">
        <f t="shared" ca="1" si="23"/>
        <v/>
      </c>
      <c r="P458" s="38" t="str">
        <f>IF(E458&lt;&gt;"",RANK(E458,$E$3:$E$2298)+COUNTIF($E$3:E458,E458)-1,"")</f>
        <v/>
      </c>
    </row>
    <row r="459" spans="4:16" x14ac:dyDescent="0.25">
      <c r="D459" s="36" t="str" cm="1">
        <f t="array" aca="1" ref="D459" ca="1">IFERROR(IF(INDIRECT("'"&amp;F459&amp;"'!$C$5")&gt;0,DATE(YEAR(Dashboard!$AL$2),Dashboard!$AU$4,INDIRECT("'"&amp;F459&amp;"'!$C$5")),""),"")</f>
        <v/>
      </c>
      <c r="G459" s="38" t="str" cm="1">
        <f t="array" aca="1" ref="G459" ca="1">IF(F459="",
    "",
    IFERROR(
        IF(INDIRECT("'"&amp;F459&amp;"'!$B$2")="Credit Limit",
            "Credit Accounts",
            IF(INDIRECT("'"&amp;F459&amp;"'!$E$2")="Location",
                "Cash Accounts",
                IF(INDIRECT("'"&amp;F459&amp;"'!$B$2")="Amount",
                    "Investments",
                    "Bill Accounts"
                )
            )
        ),
    "")
)</f>
        <v/>
      </c>
      <c r="I459" s="46" t="str" cm="1">
        <f t="array" aca="1" ref="I459" ca="1">IF(F459&lt;&gt;"",IF(OR(G459="Bill Accounts",G459="Investments", G459="Cash Accounts"),INDIRECT("'"&amp;F459&amp;"'!$C$10"),INDIRECT("'"&amp;F459&amp;"'!$C$8")),"")</f>
        <v/>
      </c>
      <c r="K459" s="48">
        <f t="shared" si="24"/>
        <v>465</v>
      </c>
      <c r="L459" s="114" t="str" cm="1">
        <f t="array" aca="1" ref="L459" ca="1">IF(F459&lt;&gt;"",INDIRECT("'"&amp;F459&amp;"'!$F$17"),"")</f>
        <v/>
      </c>
      <c r="M459" s="116" t="str">
        <f t="shared" ca="1" si="22"/>
        <v/>
      </c>
      <c r="O459" s="49" t="str">
        <f t="shared" ca="1" si="23"/>
        <v/>
      </c>
      <c r="P459" s="38" t="str">
        <f>IF(E459&lt;&gt;"",RANK(E459,$E$3:$E$2298)+COUNTIF($E$3:E459,E459)-1,"")</f>
        <v/>
      </c>
    </row>
    <row r="460" spans="4:16" x14ac:dyDescent="0.25">
      <c r="D460" s="36" t="str" cm="1">
        <f t="array" aca="1" ref="D460" ca="1">IFERROR(IF(INDIRECT("'"&amp;F460&amp;"'!$C$5")&gt;0,DATE(YEAR(Dashboard!$AL$2),Dashboard!$AU$4,INDIRECT("'"&amp;F460&amp;"'!$C$5")),""),"")</f>
        <v/>
      </c>
      <c r="G460" s="38" t="str" cm="1">
        <f t="array" aca="1" ref="G460" ca="1">IF(F460="",
    "",
    IFERROR(
        IF(INDIRECT("'"&amp;F460&amp;"'!$B$2")="Credit Limit",
            "Credit Accounts",
            IF(INDIRECT("'"&amp;F460&amp;"'!$E$2")="Location",
                "Cash Accounts",
                IF(INDIRECT("'"&amp;F460&amp;"'!$B$2")="Amount",
                    "Investments",
                    "Bill Accounts"
                )
            )
        ),
    "")
)</f>
        <v/>
      </c>
      <c r="I460" s="46" t="str" cm="1">
        <f t="array" aca="1" ref="I460" ca="1">IF(F460&lt;&gt;"",IF(OR(G460="Bill Accounts",G460="Investments", G460="Cash Accounts"),INDIRECT("'"&amp;F460&amp;"'!$C$10"),INDIRECT("'"&amp;F460&amp;"'!$C$8")),"")</f>
        <v/>
      </c>
      <c r="K460" s="48">
        <f t="shared" si="24"/>
        <v>466</v>
      </c>
      <c r="L460" s="114" t="str" cm="1">
        <f t="array" aca="1" ref="L460" ca="1">IF(F460&lt;&gt;"",INDIRECT("'"&amp;F460&amp;"'!$F$17"),"")</f>
        <v/>
      </c>
      <c r="M460" s="116" t="str">
        <f t="shared" ca="1" si="22"/>
        <v/>
      </c>
      <c r="O460" s="49" t="str">
        <f t="shared" ca="1" si="23"/>
        <v/>
      </c>
      <c r="P460" s="38" t="str">
        <f>IF(E460&lt;&gt;"",RANK(E460,$E$3:$E$2298)+COUNTIF($E$3:E460,E460)-1,"")</f>
        <v/>
      </c>
    </row>
    <row r="461" spans="4:16" x14ac:dyDescent="0.25">
      <c r="D461" s="36" t="str" cm="1">
        <f t="array" aca="1" ref="D461" ca="1">IFERROR(IF(INDIRECT("'"&amp;F461&amp;"'!$C$5")&gt;0,DATE(YEAR(Dashboard!$AL$2),Dashboard!$AU$4,INDIRECT("'"&amp;F461&amp;"'!$C$5")),""),"")</f>
        <v/>
      </c>
      <c r="G461" s="38" t="str" cm="1">
        <f t="array" aca="1" ref="G461" ca="1">IF(F461="",
    "",
    IFERROR(
        IF(INDIRECT("'"&amp;F461&amp;"'!$B$2")="Credit Limit",
            "Credit Accounts",
            IF(INDIRECT("'"&amp;F461&amp;"'!$E$2")="Location",
                "Cash Accounts",
                IF(INDIRECT("'"&amp;F461&amp;"'!$B$2")="Amount",
                    "Investments",
                    "Bill Accounts"
                )
            )
        ),
    "")
)</f>
        <v/>
      </c>
      <c r="I461" s="46" t="str" cm="1">
        <f t="array" aca="1" ref="I461" ca="1">IF(F461&lt;&gt;"",IF(OR(G461="Bill Accounts",G461="Investments", G461="Cash Accounts"),INDIRECT("'"&amp;F461&amp;"'!$C$10"),INDIRECT("'"&amp;F461&amp;"'!$C$8")),"")</f>
        <v/>
      </c>
      <c r="K461" s="48">
        <f t="shared" si="24"/>
        <v>467</v>
      </c>
      <c r="L461" s="114" t="str" cm="1">
        <f t="array" aca="1" ref="L461" ca="1">IF(F461&lt;&gt;"",INDIRECT("'"&amp;F461&amp;"'!$F$17"),"")</f>
        <v/>
      </c>
      <c r="M461" s="116" t="str">
        <f t="shared" ca="1" si="22"/>
        <v/>
      </c>
      <c r="O461" s="49" t="str">
        <f t="shared" ca="1" si="23"/>
        <v/>
      </c>
      <c r="P461" s="38" t="str">
        <f>IF(E461&lt;&gt;"",RANK(E461,$E$3:$E$2298)+COUNTIF($E$3:E461,E461)-1,"")</f>
        <v/>
      </c>
    </row>
    <row r="462" spans="4:16" x14ac:dyDescent="0.25">
      <c r="D462" s="36" t="str" cm="1">
        <f t="array" aca="1" ref="D462" ca="1">IFERROR(IF(INDIRECT("'"&amp;F462&amp;"'!$C$5")&gt;0,DATE(YEAR(Dashboard!$AL$2),Dashboard!$AU$4,INDIRECT("'"&amp;F462&amp;"'!$C$5")),""),"")</f>
        <v/>
      </c>
      <c r="G462" s="38" t="str" cm="1">
        <f t="array" aca="1" ref="G462" ca="1">IF(F462="",
    "",
    IFERROR(
        IF(INDIRECT("'"&amp;F462&amp;"'!$B$2")="Credit Limit",
            "Credit Accounts",
            IF(INDIRECT("'"&amp;F462&amp;"'!$E$2")="Location",
                "Cash Accounts",
                IF(INDIRECT("'"&amp;F462&amp;"'!$B$2")="Amount",
                    "Investments",
                    "Bill Accounts"
                )
            )
        ),
    "")
)</f>
        <v/>
      </c>
      <c r="I462" s="46" t="str" cm="1">
        <f t="array" aca="1" ref="I462" ca="1">IF(F462&lt;&gt;"",IF(OR(G462="Bill Accounts",G462="Investments", G462="Cash Accounts"),INDIRECT("'"&amp;F462&amp;"'!$C$10"),INDIRECT("'"&amp;F462&amp;"'!$C$8")),"")</f>
        <v/>
      </c>
      <c r="K462" s="48">
        <f t="shared" si="24"/>
        <v>468</v>
      </c>
      <c r="L462" s="114" t="str" cm="1">
        <f t="array" aca="1" ref="L462" ca="1">IF(F462&lt;&gt;"",INDIRECT("'"&amp;F462&amp;"'!$F$17"),"")</f>
        <v/>
      </c>
      <c r="M462" s="116" t="str">
        <f t="shared" ca="1" si="22"/>
        <v/>
      </c>
      <c r="O462" s="49" t="str">
        <f t="shared" ca="1" si="23"/>
        <v/>
      </c>
      <c r="P462" s="38" t="str">
        <f>IF(E462&lt;&gt;"",RANK(E462,$E$3:$E$2298)+COUNTIF($E$3:E462,E462)-1,"")</f>
        <v/>
      </c>
    </row>
    <row r="463" spans="4:16" x14ac:dyDescent="0.25">
      <c r="D463" s="36" t="str" cm="1">
        <f t="array" aca="1" ref="D463" ca="1">IFERROR(IF(INDIRECT("'"&amp;F463&amp;"'!$C$5")&gt;0,DATE(YEAR(Dashboard!$AL$2),Dashboard!$AU$4,INDIRECT("'"&amp;F463&amp;"'!$C$5")),""),"")</f>
        <v/>
      </c>
      <c r="G463" s="38" t="str" cm="1">
        <f t="array" aca="1" ref="G463" ca="1">IF(F463="",
    "",
    IFERROR(
        IF(INDIRECT("'"&amp;F463&amp;"'!$B$2")="Credit Limit",
            "Credit Accounts",
            IF(INDIRECT("'"&amp;F463&amp;"'!$E$2")="Location",
                "Cash Accounts",
                IF(INDIRECT("'"&amp;F463&amp;"'!$B$2")="Amount",
                    "Investments",
                    "Bill Accounts"
                )
            )
        ),
    "")
)</f>
        <v/>
      </c>
      <c r="I463" s="46" t="str" cm="1">
        <f t="array" aca="1" ref="I463" ca="1">IF(F463&lt;&gt;"",IF(OR(G463="Bill Accounts",G463="Investments", G463="Cash Accounts"),INDIRECT("'"&amp;F463&amp;"'!$C$10"),INDIRECT("'"&amp;F463&amp;"'!$C$8")),"")</f>
        <v/>
      </c>
      <c r="K463" s="48">
        <f t="shared" si="24"/>
        <v>469</v>
      </c>
      <c r="L463" s="114" t="str" cm="1">
        <f t="array" aca="1" ref="L463" ca="1">IF(F463&lt;&gt;"",INDIRECT("'"&amp;F463&amp;"'!$F$17"),"")</f>
        <v/>
      </c>
      <c r="M463" s="116" t="str">
        <f t="shared" ca="1" si="22"/>
        <v/>
      </c>
      <c r="O463" s="49" t="str">
        <f t="shared" ca="1" si="23"/>
        <v/>
      </c>
      <c r="P463" s="38" t="str">
        <f>IF(E463&lt;&gt;"",RANK(E463,$E$3:$E$2298)+COUNTIF($E$3:E463,E463)-1,"")</f>
        <v/>
      </c>
    </row>
    <row r="464" spans="4:16" x14ac:dyDescent="0.25">
      <c r="D464" s="36" t="str" cm="1">
        <f t="array" aca="1" ref="D464" ca="1">IFERROR(IF(INDIRECT("'"&amp;F464&amp;"'!$C$5")&gt;0,DATE(YEAR(Dashboard!$AL$2),Dashboard!$AU$4,INDIRECT("'"&amp;F464&amp;"'!$C$5")),""),"")</f>
        <v/>
      </c>
      <c r="G464" s="38" t="str" cm="1">
        <f t="array" aca="1" ref="G464" ca="1">IF(F464="",
    "",
    IFERROR(
        IF(INDIRECT("'"&amp;F464&amp;"'!$B$2")="Credit Limit",
            "Credit Accounts",
            IF(INDIRECT("'"&amp;F464&amp;"'!$E$2")="Location",
                "Cash Accounts",
                IF(INDIRECT("'"&amp;F464&amp;"'!$B$2")="Amount",
                    "Investments",
                    "Bill Accounts"
                )
            )
        ),
    "")
)</f>
        <v/>
      </c>
      <c r="I464" s="46" t="str" cm="1">
        <f t="array" aca="1" ref="I464" ca="1">IF(F464&lt;&gt;"",IF(OR(G464="Bill Accounts",G464="Investments", G464="Cash Accounts"),INDIRECT("'"&amp;F464&amp;"'!$C$10"),INDIRECT("'"&amp;F464&amp;"'!$C$8")),"")</f>
        <v/>
      </c>
      <c r="K464" s="48">
        <f t="shared" si="24"/>
        <v>470</v>
      </c>
      <c r="L464" s="114" t="str" cm="1">
        <f t="array" aca="1" ref="L464" ca="1">IF(F464&lt;&gt;"",INDIRECT("'"&amp;F464&amp;"'!$F$17"),"")</f>
        <v/>
      </c>
      <c r="M464" s="116" t="str">
        <f t="shared" ca="1" si="22"/>
        <v/>
      </c>
      <c r="O464" s="49" t="str">
        <f t="shared" ca="1" si="23"/>
        <v/>
      </c>
      <c r="P464" s="38" t="str">
        <f>IF(E464&lt;&gt;"",RANK(E464,$E$3:$E$2298)+COUNTIF($E$3:E464,E464)-1,"")</f>
        <v/>
      </c>
    </row>
    <row r="465" spans="4:16" x14ac:dyDescent="0.25">
      <c r="D465" s="36" t="str" cm="1">
        <f t="array" aca="1" ref="D465" ca="1">IFERROR(IF(INDIRECT("'"&amp;F465&amp;"'!$C$5")&gt;0,DATE(YEAR(Dashboard!$AL$2),Dashboard!$AU$4,INDIRECT("'"&amp;F465&amp;"'!$C$5")),""),"")</f>
        <v/>
      </c>
      <c r="G465" s="38" t="str" cm="1">
        <f t="array" aca="1" ref="G465" ca="1">IF(F465="",
    "",
    IFERROR(
        IF(INDIRECT("'"&amp;F465&amp;"'!$B$2")="Credit Limit",
            "Credit Accounts",
            IF(INDIRECT("'"&amp;F465&amp;"'!$E$2")="Location",
                "Cash Accounts",
                IF(INDIRECT("'"&amp;F465&amp;"'!$B$2")="Amount",
                    "Investments",
                    "Bill Accounts"
                )
            )
        ),
    "")
)</f>
        <v/>
      </c>
      <c r="I465" s="46" t="str" cm="1">
        <f t="array" aca="1" ref="I465" ca="1">IF(F465&lt;&gt;"",IF(OR(G465="Bill Accounts",G465="Investments", G465="Cash Accounts"),INDIRECT("'"&amp;F465&amp;"'!$C$10"),INDIRECT("'"&amp;F465&amp;"'!$C$8")),"")</f>
        <v/>
      </c>
      <c r="K465" s="48">
        <f t="shared" si="24"/>
        <v>471</v>
      </c>
      <c r="L465" s="114" t="str" cm="1">
        <f t="array" aca="1" ref="L465" ca="1">IF(F465&lt;&gt;"",INDIRECT("'"&amp;F465&amp;"'!$F$17"),"")</f>
        <v/>
      </c>
      <c r="M465" s="116" t="str">
        <f t="shared" ca="1" si="22"/>
        <v/>
      </c>
      <c r="O465" s="49" t="str">
        <f t="shared" ca="1" si="23"/>
        <v/>
      </c>
      <c r="P465" s="38" t="str">
        <f>IF(E465&lt;&gt;"",RANK(E465,$E$3:$E$2298)+COUNTIF($E$3:E465,E465)-1,"")</f>
        <v/>
      </c>
    </row>
    <row r="466" spans="4:16" x14ac:dyDescent="0.25">
      <c r="D466" s="36" t="str" cm="1">
        <f t="array" aca="1" ref="D466" ca="1">IFERROR(IF(INDIRECT("'"&amp;F466&amp;"'!$C$5")&gt;0,DATE(YEAR(Dashboard!$AL$2),Dashboard!$AU$4,INDIRECT("'"&amp;F466&amp;"'!$C$5")),""),"")</f>
        <v/>
      </c>
      <c r="G466" s="38" t="str" cm="1">
        <f t="array" aca="1" ref="G466" ca="1">IF(F466="",
    "",
    IFERROR(
        IF(INDIRECT("'"&amp;F466&amp;"'!$B$2")="Credit Limit",
            "Credit Accounts",
            IF(INDIRECT("'"&amp;F466&amp;"'!$E$2")="Location",
                "Cash Accounts",
                IF(INDIRECT("'"&amp;F466&amp;"'!$B$2")="Amount",
                    "Investments",
                    "Bill Accounts"
                )
            )
        ),
    "")
)</f>
        <v/>
      </c>
      <c r="I466" s="46" t="str" cm="1">
        <f t="array" aca="1" ref="I466" ca="1">IF(F466&lt;&gt;"",IF(OR(G466="Bill Accounts",G466="Investments", G466="Cash Accounts"),INDIRECT("'"&amp;F466&amp;"'!$C$10"),INDIRECT("'"&amp;F466&amp;"'!$C$8")),"")</f>
        <v/>
      </c>
      <c r="K466" s="48">
        <f t="shared" si="24"/>
        <v>472</v>
      </c>
      <c r="L466" s="114" t="str" cm="1">
        <f t="array" aca="1" ref="L466" ca="1">IF(F466&lt;&gt;"",INDIRECT("'"&amp;F466&amp;"'!$F$17"),"")</f>
        <v/>
      </c>
      <c r="M466" s="116" t="str">
        <f t="shared" ca="1" si="22"/>
        <v/>
      </c>
      <c r="O466" s="49" t="str">
        <f t="shared" ca="1" si="23"/>
        <v/>
      </c>
      <c r="P466" s="38" t="str">
        <f>IF(E466&lt;&gt;"",RANK(E466,$E$3:$E$2298)+COUNTIF($E$3:E466,E466)-1,"")</f>
        <v/>
      </c>
    </row>
    <row r="467" spans="4:16" x14ac:dyDescent="0.25">
      <c r="D467" s="36" t="str" cm="1">
        <f t="array" aca="1" ref="D467" ca="1">IFERROR(IF(INDIRECT("'"&amp;F467&amp;"'!$C$5")&gt;0,DATE(YEAR(Dashboard!$AL$2),Dashboard!$AU$4,INDIRECT("'"&amp;F467&amp;"'!$C$5")),""),"")</f>
        <v/>
      </c>
      <c r="G467" s="38" t="str" cm="1">
        <f t="array" aca="1" ref="G467" ca="1">IF(F467="",
    "",
    IFERROR(
        IF(INDIRECT("'"&amp;F467&amp;"'!$B$2")="Credit Limit",
            "Credit Accounts",
            IF(INDIRECT("'"&amp;F467&amp;"'!$E$2")="Location",
                "Cash Accounts",
                IF(INDIRECT("'"&amp;F467&amp;"'!$B$2")="Amount",
                    "Investments",
                    "Bill Accounts"
                )
            )
        ),
    "")
)</f>
        <v/>
      </c>
      <c r="I467" s="46" t="str" cm="1">
        <f t="array" aca="1" ref="I467" ca="1">IF(F467&lt;&gt;"",IF(OR(G467="Bill Accounts",G467="Investments", G467="Cash Accounts"),INDIRECT("'"&amp;F467&amp;"'!$C$10"),INDIRECT("'"&amp;F467&amp;"'!$C$8")),"")</f>
        <v/>
      </c>
      <c r="K467" s="48">
        <f t="shared" si="24"/>
        <v>473</v>
      </c>
      <c r="L467" s="114" t="str" cm="1">
        <f t="array" aca="1" ref="L467" ca="1">IF(F467&lt;&gt;"",INDIRECT("'"&amp;F467&amp;"'!$F$17"),"")</f>
        <v/>
      </c>
      <c r="M467" s="116" t="str">
        <f t="shared" ca="1" si="22"/>
        <v/>
      </c>
      <c r="O467" s="49" t="str">
        <f t="shared" ca="1" si="23"/>
        <v/>
      </c>
      <c r="P467" s="38" t="str">
        <f>IF(E467&lt;&gt;"",RANK(E467,$E$3:$E$2298)+COUNTIF($E$3:E467,E467)-1,"")</f>
        <v/>
      </c>
    </row>
    <row r="468" spans="4:16" x14ac:dyDescent="0.25">
      <c r="D468" s="36" t="str" cm="1">
        <f t="array" aca="1" ref="D468" ca="1">IFERROR(IF(INDIRECT("'"&amp;F468&amp;"'!$C$5")&gt;0,DATE(YEAR(Dashboard!$AL$2),Dashboard!$AU$4,INDIRECT("'"&amp;F468&amp;"'!$C$5")),""),"")</f>
        <v/>
      </c>
      <c r="G468" s="38" t="str" cm="1">
        <f t="array" aca="1" ref="G468" ca="1">IF(F468="",
    "",
    IFERROR(
        IF(INDIRECT("'"&amp;F468&amp;"'!$B$2")="Credit Limit",
            "Credit Accounts",
            IF(INDIRECT("'"&amp;F468&amp;"'!$E$2")="Location",
                "Cash Accounts",
                IF(INDIRECT("'"&amp;F468&amp;"'!$B$2")="Amount",
                    "Investments",
                    "Bill Accounts"
                )
            )
        ),
    "")
)</f>
        <v/>
      </c>
      <c r="I468" s="46" t="str" cm="1">
        <f t="array" aca="1" ref="I468" ca="1">IF(F468&lt;&gt;"",IF(OR(G468="Bill Accounts",G468="Investments", G468="Cash Accounts"),INDIRECT("'"&amp;F468&amp;"'!$C$10"),INDIRECT("'"&amp;F468&amp;"'!$C$8")),"")</f>
        <v/>
      </c>
      <c r="K468" s="48">
        <f t="shared" si="24"/>
        <v>474</v>
      </c>
      <c r="L468" s="114" t="str" cm="1">
        <f t="array" aca="1" ref="L468" ca="1">IF(F468&lt;&gt;"",INDIRECT("'"&amp;F468&amp;"'!$F$17"),"")</f>
        <v/>
      </c>
      <c r="M468" s="116" t="str">
        <f t="shared" ca="1" si="22"/>
        <v/>
      </c>
      <c r="O468" s="49" t="str">
        <f t="shared" ca="1" si="23"/>
        <v/>
      </c>
      <c r="P468" s="38" t="str">
        <f>IF(E468&lt;&gt;"",RANK(E468,$E$3:$E$2298)+COUNTIF($E$3:E468,E468)-1,"")</f>
        <v/>
      </c>
    </row>
    <row r="469" spans="4:16" x14ac:dyDescent="0.25">
      <c r="D469" s="36" t="str" cm="1">
        <f t="array" aca="1" ref="D469" ca="1">IFERROR(IF(INDIRECT("'"&amp;F469&amp;"'!$C$5")&gt;0,DATE(YEAR(Dashboard!$AL$2),Dashboard!$AU$4,INDIRECT("'"&amp;F469&amp;"'!$C$5")),""),"")</f>
        <v/>
      </c>
      <c r="G469" s="38" t="str" cm="1">
        <f t="array" aca="1" ref="G469" ca="1">IF(F469="",
    "",
    IFERROR(
        IF(INDIRECT("'"&amp;F469&amp;"'!$B$2")="Credit Limit",
            "Credit Accounts",
            IF(INDIRECT("'"&amp;F469&amp;"'!$E$2")="Location",
                "Cash Accounts",
                IF(INDIRECT("'"&amp;F469&amp;"'!$B$2")="Amount",
                    "Investments",
                    "Bill Accounts"
                )
            )
        ),
    "")
)</f>
        <v/>
      </c>
      <c r="I469" s="46" t="str" cm="1">
        <f t="array" aca="1" ref="I469" ca="1">IF(F469&lt;&gt;"",IF(OR(G469="Bill Accounts",G469="Investments", G469="Cash Accounts"),INDIRECT("'"&amp;F469&amp;"'!$C$10"),INDIRECT("'"&amp;F469&amp;"'!$C$8")),"")</f>
        <v/>
      </c>
      <c r="K469" s="48">
        <f t="shared" si="24"/>
        <v>475</v>
      </c>
      <c r="L469" s="114" t="str" cm="1">
        <f t="array" aca="1" ref="L469" ca="1">IF(F469&lt;&gt;"",INDIRECT("'"&amp;F469&amp;"'!$F$17"),"")</f>
        <v/>
      </c>
      <c r="M469" s="116" t="str">
        <f t="shared" ca="1" si="22"/>
        <v/>
      </c>
      <c r="O469" s="49" t="str">
        <f t="shared" ca="1" si="23"/>
        <v/>
      </c>
      <c r="P469" s="38" t="str">
        <f>IF(E469&lt;&gt;"",RANK(E469,$E$3:$E$2298)+COUNTIF($E$3:E469,E469)-1,"")</f>
        <v/>
      </c>
    </row>
    <row r="470" spans="4:16" x14ac:dyDescent="0.25">
      <c r="D470" s="36" t="str" cm="1">
        <f t="array" aca="1" ref="D470" ca="1">IFERROR(IF(INDIRECT("'"&amp;F470&amp;"'!$C$5")&gt;0,DATE(YEAR(Dashboard!$AL$2),Dashboard!$AU$4,INDIRECT("'"&amp;F470&amp;"'!$C$5")),""),"")</f>
        <v/>
      </c>
      <c r="G470" s="38" t="str" cm="1">
        <f t="array" aca="1" ref="G470" ca="1">IF(F470="",
    "",
    IFERROR(
        IF(INDIRECT("'"&amp;F470&amp;"'!$B$2")="Credit Limit",
            "Credit Accounts",
            IF(INDIRECT("'"&amp;F470&amp;"'!$E$2")="Location",
                "Cash Accounts",
                IF(INDIRECT("'"&amp;F470&amp;"'!$B$2")="Amount",
                    "Investments",
                    "Bill Accounts"
                )
            )
        ),
    "")
)</f>
        <v/>
      </c>
      <c r="I470" s="46" t="str" cm="1">
        <f t="array" aca="1" ref="I470" ca="1">IF(F470&lt;&gt;"",IF(OR(G470="Bill Accounts",G470="Investments", G470="Cash Accounts"),INDIRECT("'"&amp;F470&amp;"'!$C$10"),INDIRECT("'"&amp;F470&amp;"'!$C$8")),"")</f>
        <v/>
      </c>
      <c r="K470" s="48">
        <f t="shared" si="24"/>
        <v>476</v>
      </c>
      <c r="L470" s="114" t="str" cm="1">
        <f t="array" aca="1" ref="L470" ca="1">IF(F470&lt;&gt;"",INDIRECT("'"&amp;F470&amp;"'!$F$17"),"")</f>
        <v/>
      </c>
      <c r="M470" s="116" t="str">
        <f t="shared" ca="1" si="22"/>
        <v/>
      </c>
      <c r="O470" s="49" t="str">
        <f t="shared" ca="1" si="23"/>
        <v/>
      </c>
      <c r="P470" s="38" t="str">
        <f>IF(E470&lt;&gt;"",RANK(E470,$E$3:$E$2298)+COUNTIF($E$3:E470,E470)-1,"")</f>
        <v/>
      </c>
    </row>
    <row r="471" spans="4:16" x14ac:dyDescent="0.25">
      <c r="D471" s="36" t="str" cm="1">
        <f t="array" aca="1" ref="D471" ca="1">IFERROR(IF(INDIRECT("'"&amp;F471&amp;"'!$C$5")&gt;0,DATE(YEAR(Dashboard!$AL$2),Dashboard!$AU$4,INDIRECT("'"&amp;F471&amp;"'!$C$5")),""),"")</f>
        <v/>
      </c>
      <c r="G471" s="38" t="str" cm="1">
        <f t="array" aca="1" ref="G471" ca="1">IF(F471="",
    "",
    IFERROR(
        IF(INDIRECT("'"&amp;F471&amp;"'!$B$2")="Credit Limit",
            "Credit Accounts",
            IF(INDIRECT("'"&amp;F471&amp;"'!$E$2")="Location",
                "Cash Accounts",
                IF(INDIRECT("'"&amp;F471&amp;"'!$B$2")="Amount",
                    "Investments",
                    "Bill Accounts"
                )
            )
        ),
    "")
)</f>
        <v/>
      </c>
      <c r="I471" s="46" t="str" cm="1">
        <f t="array" aca="1" ref="I471" ca="1">IF(F471&lt;&gt;"",IF(OR(G471="Bill Accounts",G471="Investments", G471="Cash Accounts"),INDIRECT("'"&amp;F471&amp;"'!$C$10"),INDIRECT("'"&amp;F471&amp;"'!$C$8")),"")</f>
        <v/>
      </c>
      <c r="K471" s="48">
        <f t="shared" si="24"/>
        <v>477</v>
      </c>
      <c r="L471" s="114" t="str" cm="1">
        <f t="array" aca="1" ref="L471" ca="1">IF(F471&lt;&gt;"",INDIRECT("'"&amp;F471&amp;"'!$F$17"),"")</f>
        <v/>
      </c>
      <c r="M471" s="116" t="str">
        <f t="shared" ca="1" si="22"/>
        <v/>
      </c>
      <c r="O471" s="49" t="str">
        <f t="shared" ca="1" si="23"/>
        <v/>
      </c>
      <c r="P471" s="38" t="str">
        <f>IF(E471&lt;&gt;"",RANK(E471,$E$3:$E$2298)+COUNTIF($E$3:E471,E471)-1,"")</f>
        <v/>
      </c>
    </row>
    <row r="472" spans="4:16" x14ac:dyDescent="0.25">
      <c r="D472" s="36" t="str" cm="1">
        <f t="array" aca="1" ref="D472" ca="1">IFERROR(IF(INDIRECT("'"&amp;F472&amp;"'!$C$5")&gt;0,DATE(YEAR(Dashboard!$AL$2),Dashboard!$AU$4,INDIRECT("'"&amp;F472&amp;"'!$C$5")),""),"")</f>
        <v/>
      </c>
      <c r="G472" s="38" t="str" cm="1">
        <f t="array" aca="1" ref="G472" ca="1">IF(F472="",
    "",
    IFERROR(
        IF(INDIRECT("'"&amp;F472&amp;"'!$B$2")="Credit Limit",
            "Credit Accounts",
            IF(INDIRECT("'"&amp;F472&amp;"'!$E$2")="Location",
                "Cash Accounts",
                IF(INDIRECT("'"&amp;F472&amp;"'!$B$2")="Amount",
                    "Investments",
                    "Bill Accounts"
                )
            )
        ),
    "")
)</f>
        <v/>
      </c>
      <c r="I472" s="46" t="str" cm="1">
        <f t="array" aca="1" ref="I472" ca="1">IF(F472&lt;&gt;"",IF(OR(G472="Bill Accounts",G472="Investments", G472="Cash Accounts"),INDIRECT("'"&amp;F472&amp;"'!$C$10"),INDIRECT("'"&amp;F472&amp;"'!$C$8")),"")</f>
        <v/>
      </c>
      <c r="K472" s="48">
        <f t="shared" si="24"/>
        <v>478</v>
      </c>
      <c r="L472" s="114" t="str" cm="1">
        <f t="array" aca="1" ref="L472" ca="1">IF(F472&lt;&gt;"",INDIRECT("'"&amp;F472&amp;"'!$F$17"),"")</f>
        <v/>
      </c>
      <c r="M472" s="116" t="str">
        <f t="shared" ca="1" si="22"/>
        <v/>
      </c>
      <c r="O472" s="49" t="str">
        <f t="shared" ca="1" si="23"/>
        <v/>
      </c>
      <c r="P472" s="38" t="str">
        <f>IF(E472&lt;&gt;"",RANK(E472,$E$3:$E$2298)+COUNTIF($E$3:E472,E472)-1,"")</f>
        <v/>
      </c>
    </row>
    <row r="473" spans="4:16" x14ac:dyDescent="0.25">
      <c r="D473" s="36" t="str" cm="1">
        <f t="array" aca="1" ref="D473" ca="1">IFERROR(IF(INDIRECT("'"&amp;F473&amp;"'!$C$5")&gt;0,DATE(YEAR(Dashboard!$AL$2),Dashboard!$AU$4,INDIRECT("'"&amp;F473&amp;"'!$C$5")),""),"")</f>
        <v/>
      </c>
      <c r="G473" s="38" t="str" cm="1">
        <f t="array" aca="1" ref="G473" ca="1">IF(F473="",
    "",
    IFERROR(
        IF(INDIRECT("'"&amp;F473&amp;"'!$B$2")="Credit Limit",
            "Credit Accounts",
            IF(INDIRECT("'"&amp;F473&amp;"'!$E$2")="Location",
                "Cash Accounts",
                IF(INDIRECT("'"&amp;F473&amp;"'!$B$2")="Amount",
                    "Investments",
                    "Bill Accounts"
                )
            )
        ),
    "")
)</f>
        <v/>
      </c>
      <c r="I473" s="46" t="str" cm="1">
        <f t="array" aca="1" ref="I473" ca="1">IF(F473&lt;&gt;"",IF(OR(G473="Bill Accounts",G473="Investments", G473="Cash Accounts"),INDIRECT("'"&amp;F473&amp;"'!$C$10"),INDIRECT("'"&amp;F473&amp;"'!$C$8")),"")</f>
        <v/>
      </c>
      <c r="K473" s="48">
        <f t="shared" si="24"/>
        <v>479</v>
      </c>
      <c r="L473" s="114" t="str" cm="1">
        <f t="array" aca="1" ref="L473" ca="1">IF(F473&lt;&gt;"",INDIRECT("'"&amp;F473&amp;"'!$F$17"),"")</f>
        <v/>
      </c>
      <c r="M473" s="116" t="str">
        <f t="shared" ca="1" si="22"/>
        <v/>
      </c>
      <c r="O473" s="49" t="str">
        <f t="shared" ca="1" si="23"/>
        <v/>
      </c>
      <c r="P473" s="38" t="str">
        <f>IF(E473&lt;&gt;"",RANK(E473,$E$3:$E$2298)+COUNTIF($E$3:E473,E473)-1,"")</f>
        <v/>
      </c>
    </row>
    <row r="474" spans="4:16" x14ac:dyDescent="0.25">
      <c r="D474" s="36" t="str" cm="1">
        <f t="array" aca="1" ref="D474" ca="1">IFERROR(IF(INDIRECT("'"&amp;F474&amp;"'!$C$5")&gt;0,DATE(YEAR(Dashboard!$AL$2),Dashboard!$AU$4,INDIRECT("'"&amp;F474&amp;"'!$C$5")),""),"")</f>
        <v/>
      </c>
      <c r="G474" s="38" t="str" cm="1">
        <f t="array" aca="1" ref="G474" ca="1">IF(F474="",
    "",
    IFERROR(
        IF(INDIRECT("'"&amp;F474&amp;"'!$B$2")="Credit Limit",
            "Credit Accounts",
            IF(INDIRECT("'"&amp;F474&amp;"'!$E$2")="Location",
                "Cash Accounts",
                IF(INDIRECT("'"&amp;F474&amp;"'!$B$2")="Amount",
                    "Investments",
                    "Bill Accounts"
                )
            )
        ),
    "")
)</f>
        <v/>
      </c>
      <c r="I474" s="46" t="str" cm="1">
        <f t="array" aca="1" ref="I474" ca="1">IF(F474&lt;&gt;"",IF(OR(G474="Bill Accounts",G474="Investments", G474="Cash Accounts"),INDIRECT("'"&amp;F474&amp;"'!$C$10"),INDIRECT("'"&amp;F474&amp;"'!$C$8")),"")</f>
        <v/>
      </c>
      <c r="K474" s="48">
        <f t="shared" si="24"/>
        <v>480</v>
      </c>
      <c r="L474" s="114" t="str" cm="1">
        <f t="array" aca="1" ref="L474" ca="1">IF(F474&lt;&gt;"",INDIRECT("'"&amp;F474&amp;"'!$F$17"),"")</f>
        <v/>
      </c>
      <c r="M474" s="116" t="str">
        <f t="shared" ca="1" si="22"/>
        <v/>
      </c>
      <c r="O474" s="49" t="str">
        <f t="shared" ca="1" si="23"/>
        <v/>
      </c>
      <c r="P474" s="38" t="str">
        <f>IF(E474&lt;&gt;"",RANK(E474,$E$3:$E$2298)+COUNTIF($E$3:E474,E474)-1,"")</f>
        <v/>
      </c>
    </row>
    <row r="475" spans="4:16" x14ac:dyDescent="0.25">
      <c r="D475" s="36" t="str" cm="1">
        <f t="array" aca="1" ref="D475" ca="1">IFERROR(IF(INDIRECT("'"&amp;F475&amp;"'!$C$5")&gt;0,DATE(YEAR(Dashboard!$AL$2),Dashboard!$AU$4,INDIRECT("'"&amp;F475&amp;"'!$C$5")),""),"")</f>
        <v/>
      </c>
      <c r="G475" s="38" t="str" cm="1">
        <f t="array" aca="1" ref="G475" ca="1">IF(F475="",
    "",
    IFERROR(
        IF(INDIRECT("'"&amp;F475&amp;"'!$B$2")="Credit Limit",
            "Credit Accounts",
            IF(INDIRECT("'"&amp;F475&amp;"'!$E$2")="Location",
                "Cash Accounts",
                IF(INDIRECT("'"&amp;F475&amp;"'!$B$2")="Amount",
                    "Investments",
                    "Bill Accounts"
                )
            )
        ),
    "")
)</f>
        <v/>
      </c>
      <c r="I475" s="46" t="str" cm="1">
        <f t="array" aca="1" ref="I475" ca="1">IF(F475&lt;&gt;"",IF(OR(G475="Bill Accounts",G475="Investments", G475="Cash Accounts"),INDIRECT("'"&amp;F475&amp;"'!$C$10"),INDIRECT("'"&amp;F475&amp;"'!$C$8")),"")</f>
        <v/>
      </c>
      <c r="K475" s="48">
        <f t="shared" si="24"/>
        <v>481</v>
      </c>
      <c r="L475" s="114" t="str" cm="1">
        <f t="array" aca="1" ref="L475" ca="1">IF(F475&lt;&gt;"",INDIRECT("'"&amp;F475&amp;"'!$F$17"),"")</f>
        <v/>
      </c>
      <c r="M475" s="116" t="str">
        <f t="shared" ca="1" si="22"/>
        <v/>
      </c>
      <c r="O475" s="49" t="str">
        <f t="shared" ca="1" si="23"/>
        <v/>
      </c>
      <c r="P475" s="38" t="str">
        <f>IF(E475&lt;&gt;"",RANK(E475,$E$3:$E$2298)+COUNTIF($E$3:E475,E475)-1,"")</f>
        <v/>
      </c>
    </row>
    <row r="476" spans="4:16" x14ac:dyDescent="0.25">
      <c r="D476" s="36" t="str" cm="1">
        <f t="array" aca="1" ref="D476" ca="1">IFERROR(IF(INDIRECT("'"&amp;F476&amp;"'!$C$5")&gt;0,DATE(YEAR(Dashboard!$AL$2),Dashboard!$AU$4,INDIRECT("'"&amp;F476&amp;"'!$C$5")),""),"")</f>
        <v/>
      </c>
      <c r="G476" s="38" t="str" cm="1">
        <f t="array" aca="1" ref="G476" ca="1">IF(F476="",
    "",
    IFERROR(
        IF(INDIRECT("'"&amp;F476&amp;"'!$B$2")="Credit Limit",
            "Credit Accounts",
            IF(INDIRECT("'"&amp;F476&amp;"'!$E$2")="Location",
                "Cash Accounts",
                IF(INDIRECT("'"&amp;F476&amp;"'!$B$2")="Amount",
                    "Investments",
                    "Bill Accounts"
                )
            )
        ),
    "")
)</f>
        <v/>
      </c>
      <c r="I476" s="46" t="str" cm="1">
        <f t="array" aca="1" ref="I476" ca="1">IF(F476&lt;&gt;"",IF(OR(G476="Bill Accounts",G476="Investments", G476="Cash Accounts"),INDIRECT("'"&amp;F476&amp;"'!$C$10"),INDIRECT("'"&amp;F476&amp;"'!$C$8")),"")</f>
        <v/>
      </c>
      <c r="K476" s="48">
        <f t="shared" si="24"/>
        <v>482</v>
      </c>
      <c r="L476" s="114" t="str" cm="1">
        <f t="array" aca="1" ref="L476" ca="1">IF(F476&lt;&gt;"",INDIRECT("'"&amp;F476&amp;"'!$F$17"),"")</f>
        <v/>
      </c>
      <c r="M476" s="116" t="str">
        <f t="shared" ca="1" si="22"/>
        <v/>
      </c>
      <c r="O476" s="49" t="str">
        <f t="shared" ca="1" si="23"/>
        <v/>
      </c>
      <c r="P476" s="38" t="str">
        <f>IF(E476&lt;&gt;"",RANK(E476,$E$3:$E$2298)+COUNTIF($E$3:E476,E476)-1,"")</f>
        <v/>
      </c>
    </row>
    <row r="477" spans="4:16" x14ac:dyDescent="0.25">
      <c r="D477" s="36" t="str" cm="1">
        <f t="array" aca="1" ref="D477" ca="1">IFERROR(IF(INDIRECT("'"&amp;F477&amp;"'!$C$5")&gt;0,DATE(YEAR(Dashboard!$AL$2),Dashboard!$AU$4,INDIRECT("'"&amp;F477&amp;"'!$C$5")),""),"")</f>
        <v/>
      </c>
      <c r="G477" s="38" t="str" cm="1">
        <f t="array" aca="1" ref="G477" ca="1">IF(F477="",
    "",
    IFERROR(
        IF(INDIRECT("'"&amp;F477&amp;"'!$B$2")="Credit Limit",
            "Credit Accounts",
            IF(INDIRECT("'"&amp;F477&amp;"'!$E$2")="Location",
                "Cash Accounts",
                IF(INDIRECT("'"&amp;F477&amp;"'!$B$2")="Amount",
                    "Investments",
                    "Bill Accounts"
                )
            )
        ),
    "")
)</f>
        <v/>
      </c>
      <c r="I477" s="46" t="str" cm="1">
        <f t="array" aca="1" ref="I477" ca="1">IF(F477&lt;&gt;"",IF(OR(G477="Bill Accounts",G477="Investments", G477="Cash Accounts"),INDIRECT("'"&amp;F477&amp;"'!$C$10"),INDIRECT("'"&amp;F477&amp;"'!$C$8")),"")</f>
        <v/>
      </c>
      <c r="K477" s="48">
        <f t="shared" si="24"/>
        <v>483</v>
      </c>
      <c r="L477" s="114" t="str" cm="1">
        <f t="array" aca="1" ref="L477" ca="1">IF(F477&lt;&gt;"",INDIRECT("'"&amp;F477&amp;"'!$F$17"),"")</f>
        <v/>
      </c>
      <c r="M477" s="116" t="str">
        <f t="shared" ca="1" si="22"/>
        <v/>
      </c>
      <c r="O477" s="49" t="str">
        <f t="shared" ca="1" si="23"/>
        <v/>
      </c>
      <c r="P477" s="38" t="str">
        <f>IF(E477&lt;&gt;"",RANK(E477,$E$3:$E$2298)+COUNTIF($E$3:E477,E477)-1,"")</f>
        <v/>
      </c>
    </row>
    <row r="478" spans="4:16" x14ac:dyDescent="0.25">
      <c r="D478" s="36" t="str" cm="1">
        <f t="array" aca="1" ref="D478" ca="1">IFERROR(IF(INDIRECT("'"&amp;F478&amp;"'!$C$5")&gt;0,DATE(YEAR(Dashboard!$AL$2),Dashboard!$AU$4,INDIRECT("'"&amp;F478&amp;"'!$C$5")),""),"")</f>
        <v/>
      </c>
      <c r="G478" s="38" t="str" cm="1">
        <f t="array" aca="1" ref="G478" ca="1">IF(F478="",
    "",
    IFERROR(
        IF(INDIRECT("'"&amp;F478&amp;"'!$B$2")="Credit Limit",
            "Credit Accounts",
            IF(INDIRECT("'"&amp;F478&amp;"'!$E$2")="Location",
                "Cash Accounts",
                IF(INDIRECT("'"&amp;F478&amp;"'!$B$2")="Amount",
                    "Investments",
                    "Bill Accounts"
                )
            )
        ),
    "")
)</f>
        <v/>
      </c>
      <c r="I478" s="46" t="str" cm="1">
        <f t="array" aca="1" ref="I478" ca="1">IF(F478&lt;&gt;"",IF(OR(G478="Bill Accounts",G478="Investments", G478="Cash Accounts"),INDIRECT("'"&amp;F478&amp;"'!$C$10"),INDIRECT("'"&amp;F478&amp;"'!$C$8")),"")</f>
        <v/>
      </c>
      <c r="K478" s="48">
        <f t="shared" si="24"/>
        <v>484</v>
      </c>
      <c r="L478" s="114" t="str" cm="1">
        <f t="array" aca="1" ref="L478" ca="1">IF(F478&lt;&gt;"",INDIRECT("'"&amp;F478&amp;"'!$F$17"),"")</f>
        <v/>
      </c>
      <c r="M478" s="116" t="str">
        <f t="shared" ca="1" si="22"/>
        <v/>
      </c>
      <c r="O478" s="49" t="str">
        <f t="shared" ca="1" si="23"/>
        <v/>
      </c>
      <c r="P478" s="38" t="str">
        <f>IF(E478&lt;&gt;"",RANK(E478,$E$3:$E$2298)+COUNTIF($E$3:E478,E478)-1,"")</f>
        <v/>
      </c>
    </row>
    <row r="479" spans="4:16" x14ac:dyDescent="0.25">
      <c r="D479" s="36" t="str" cm="1">
        <f t="array" aca="1" ref="D479" ca="1">IFERROR(IF(INDIRECT("'"&amp;F479&amp;"'!$C$5")&gt;0,DATE(YEAR(Dashboard!$AL$2),Dashboard!$AU$4,INDIRECT("'"&amp;F479&amp;"'!$C$5")),""),"")</f>
        <v/>
      </c>
      <c r="G479" s="38" t="str" cm="1">
        <f t="array" aca="1" ref="G479" ca="1">IF(F479="",
    "",
    IFERROR(
        IF(INDIRECT("'"&amp;F479&amp;"'!$B$2")="Credit Limit",
            "Credit Accounts",
            IF(INDIRECT("'"&amp;F479&amp;"'!$E$2")="Location",
                "Cash Accounts",
                IF(INDIRECT("'"&amp;F479&amp;"'!$B$2")="Amount",
                    "Investments",
                    "Bill Accounts"
                )
            )
        ),
    "")
)</f>
        <v/>
      </c>
      <c r="I479" s="46" t="str" cm="1">
        <f t="array" aca="1" ref="I479" ca="1">IF(F479&lt;&gt;"",IF(OR(G479="Bill Accounts",G479="Investments", G479="Cash Accounts"),INDIRECT("'"&amp;F479&amp;"'!$C$10"),INDIRECT("'"&amp;F479&amp;"'!$C$8")),"")</f>
        <v/>
      </c>
      <c r="K479" s="48">
        <f t="shared" si="24"/>
        <v>485</v>
      </c>
      <c r="L479" s="114" t="str" cm="1">
        <f t="array" aca="1" ref="L479" ca="1">IF(F479&lt;&gt;"",INDIRECT("'"&amp;F479&amp;"'!$F$17"),"")</f>
        <v/>
      </c>
      <c r="M479" s="116" t="str">
        <f t="shared" ca="1" si="22"/>
        <v/>
      </c>
      <c r="O479" s="49" t="str">
        <f t="shared" ca="1" si="23"/>
        <v/>
      </c>
      <c r="P479" s="38" t="str">
        <f>IF(E479&lt;&gt;"",RANK(E479,$E$3:$E$2298)+COUNTIF($E$3:E479,E479)-1,"")</f>
        <v/>
      </c>
    </row>
    <row r="480" spans="4:16" x14ac:dyDescent="0.25">
      <c r="D480" s="36" t="str" cm="1">
        <f t="array" aca="1" ref="D480" ca="1">IFERROR(IF(INDIRECT("'"&amp;F480&amp;"'!$C$5")&gt;0,DATE(YEAR(Dashboard!$AL$2),Dashboard!$AU$4,INDIRECT("'"&amp;F480&amp;"'!$C$5")),""),"")</f>
        <v/>
      </c>
      <c r="G480" s="38" t="str" cm="1">
        <f t="array" aca="1" ref="G480" ca="1">IF(F480="",
    "",
    IFERROR(
        IF(INDIRECT("'"&amp;F480&amp;"'!$B$2")="Credit Limit",
            "Credit Accounts",
            IF(INDIRECT("'"&amp;F480&amp;"'!$E$2")="Location",
                "Cash Accounts",
                IF(INDIRECT("'"&amp;F480&amp;"'!$B$2")="Amount",
                    "Investments",
                    "Bill Accounts"
                )
            )
        ),
    "")
)</f>
        <v/>
      </c>
      <c r="I480" s="46" t="str" cm="1">
        <f t="array" aca="1" ref="I480" ca="1">IF(F480&lt;&gt;"",IF(OR(G480="Bill Accounts",G480="Investments", G480="Cash Accounts"),INDIRECT("'"&amp;F480&amp;"'!$C$10"),INDIRECT("'"&amp;F480&amp;"'!$C$8")),"")</f>
        <v/>
      </c>
      <c r="K480" s="48">
        <f t="shared" si="24"/>
        <v>486</v>
      </c>
      <c r="L480" s="114" t="str" cm="1">
        <f t="array" aca="1" ref="L480" ca="1">IF(F480&lt;&gt;"",INDIRECT("'"&amp;F480&amp;"'!$F$17"),"")</f>
        <v/>
      </c>
      <c r="M480" s="116" t="str">
        <f t="shared" ca="1" si="22"/>
        <v/>
      </c>
      <c r="O480" s="49" t="str">
        <f t="shared" ca="1" si="23"/>
        <v/>
      </c>
      <c r="P480" s="38" t="str">
        <f>IF(E480&lt;&gt;"",RANK(E480,$E$3:$E$2298)+COUNTIF($E$3:E480,E480)-1,"")</f>
        <v/>
      </c>
    </row>
    <row r="481" spans="4:16" x14ac:dyDescent="0.25">
      <c r="D481" s="36" t="str" cm="1">
        <f t="array" aca="1" ref="D481" ca="1">IFERROR(IF(INDIRECT("'"&amp;F481&amp;"'!$C$5")&gt;0,DATE(YEAR(Dashboard!$AL$2),Dashboard!$AU$4,INDIRECT("'"&amp;F481&amp;"'!$C$5")),""),"")</f>
        <v/>
      </c>
      <c r="G481" s="38" t="str" cm="1">
        <f t="array" aca="1" ref="G481" ca="1">IF(F481="",
    "",
    IFERROR(
        IF(INDIRECT("'"&amp;F481&amp;"'!$B$2")="Credit Limit",
            "Credit Accounts",
            IF(INDIRECT("'"&amp;F481&amp;"'!$E$2")="Location",
                "Cash Accounts",
                IF(INDIRECT("'"&amp;F481&amp;"'!$B$2")="Amount",
                    "Investments",
                    "Bill Accounts"
                )
            )
        ),
    "")
)</f>
        <v/>
      </c>
      <c r="I481" s="46" t="str" cm="1">
        <f t="array" aca="1" ref="I481" ca="1">IF(F481&lt;&gt;"",IF(OR(G481="Bill Accounts",G481="Investments", G481="Cash Accounts"),INDIRECT("'"&amp;F481&amp;"'!$C$10"),INDIRECT("'"&amp;F481&amp;"'!$C$8")),"")</f>
        <v/>
      </c>
      <c r="K481" s="48">
        <f t="shared" si="24"/>
        <v>487</v>
      </c>
      <c r="L481" s="114" t="str" cm="1">
        <f t="array" aca="1" ref="L481" ca="1">IF(F481&lt;&gt;"",INDIRECT("'"&amp;F481&amp;"'!$F$17"),"")</f>
        <v/>
      </c>
      <c r="M481" s="116" t="str">
        <f t="shared" ca="1" si="22"/>
        <v/>
      </c>
      <c r="O481" s="49" t="str">
        <f t="shared" ca="1" si="23"/>
        <v/>
      </c>
      <c r="P481" s="38" t="str">
        <f>IF(E481&lt;&gt;"",RANK(E481,$E$3:$E$2298)+COUNTIF($E$3:E481,E481)-1,"")</f>
        <v/>
      </c>
    </row>
    <row r="482" spans="4:16" x14ac:dyDescent="0.25">
      <c r="D482" s="36" t="str" cm="1">
        <f t="array" aca="1" ref="D482" ca="1">IFERROR(IF(INDIRECT("'"&amp;F482&amp;"'!$C$5")&gt;0,DATE(YEAR(Dashboard!$AL$2),Dashboard!$AU$4,INDIRECT("'"&amp;F482&amp;"'!$C$5")),""),"")</f>
        <v/>
      </c>
      <c r="G482" s="38" t="str" cm="1">
        <f t="array" aca="1" ref="G482" ca="1">IF(F482="",
    "",
    IFERROR(
        IF(INDIRECT("'"&amp;F482&amp;"'!$B$2")="Credit Limit",
            "Credit Accounts",
            IF(INDIRECT("'"&amp;F482&amp;"'!$E$2")="Location",
                "Cash Accounts",
                IF(INDIRECT("'"&amp;F482&amp;"'!$B$2")="Amount",
                    "Investments",
                    "Bill Accounts"
                )
            )
        ),
    "")
)</f>
        <v/>
      </c>
      <c r="I482" s="46" t="str" cm="1">
        <f t="array" aca="1" ref="I482" ca="1">IF(F482&lt;&gt;"",IF(OR(G482="Bill Accounts",G482="Investments", G482="Cash Accounts"),INDIRECT("'"&amp;F482&amp;"'!$C$10"),INDIRECT("'"&amp;F482&amp;"'!$C$8")),"")</f>
        <v/>
      </c>
      <c r="K482" s="48">
        <f t="shared" si="24"/>
        <v>488</v>
      </c>
      <c r="L482" s="114" t="str" cm="1">
        <f t="array" aca="1" ref="L482" ca="1">IF(F482&lt;&gt;"",INDIRECT("'"&amp;F482&amp;"'!$F$17"),"")</f>
        <v/>
      </c>
      <c r="M482" s="116" t="str">
        <f t="shared" ca="1" si="22"/>
        <v/>
      </c>
      <c r="O482" s="49" t="str">
        <f t="shared" ca="1" si="23"/>
        <v/>
      </c>
      <c r="P482" s="38" t="str">
        <f>IF(E482&lt;&gt;"",RANK(E482,$E$3:$E$2298)+COUNTIF($E$3:E482,E482)-1,"")</f>
        <v/>
      </c>
    </row>
    <row r="483" spans="4:16" x14ac:dyDescent="0.25">
      <c r="D483" s="36" t="str" cm="1">
        <f t="array" aca="1" ref="D483" ca="1">IFERROR(IF(INDIRECT("'"&amp;F483&amp;"'!$C$5")&gt;0,DATE(YEAR(Dashboard!$AL$2),Dashboard!$AU$4,INDIRECT("'"&amp;F483&amp;"'!$C$5")),""),"")</f>
        <v/>
      </c>
      <c r="G483" s="38" t="str" cm="1">
        <f t="array" aca="1" ref="G483" ca="1">IF(F483="",
    "",
    IFERROR(
        IF(INDIRECT("'"&amp;F483&amp;"'!$B$2")="Credit Limit",
            "Credit Accounts",
            IF(INDIRECT("'"&amp;F483&amp;"'!$E$2")="Location",
                "Cash Accounts",
                IF(INDIRECT("'"&amp;F483&amp;"'!$B$2")="Amount",
                    "Investments",
                    "Bill Accounts"
                )
            )
        ),
    "")
)</f>
        <v/>
      </c>
      <c r="I483" s="46" t="str" cm="1">
        <f t="array" aca="1" ref="I483" ca="1">IF(F483&lt;&gt;"",IF(OR(G483="Bill Accounts",G483="Investments", G483="Cash Accounts"),INDIRECT("'"&amp;F483&amp;"'!$C$10"),INDIRECT("'"&amp;F483&amp;"'!$C$8")),"")</f>
        <v/>
      </c>
      <c r="K483" s="48">
        <f t="shared" si="24"/>
        <v>489</v>
      </c>
      <c r="L483" s="114" t="str" cm="1">
        <f t="array" aca="1" ref="L483" ca="1">IF(F483&lt;&gt;"",INDIRECT("'"&amp;F483&amp;"'!$F$17"),"")</f>
        <v/>
      </c>
      <c r="M483" s="116" t="str">
        <f t="shared" ca="1" si="22"/>
        <v/>
      </c>
      <c r="O483" s="49" t="str">
        <f t="shared" ca="1" si="23"/>
        <v/>
      </c>
      <c r="P483" s="38" t="str">
        <f>IF(E483&lt;&gt;"",RANK(E483,$E$3:$E$2298)+COUNTIF($E$3:E483,E483)-1,"")</f>
        <v/>
      </c>
    </row>
    <row r="484" spans="4:16" x14ac:dyDescent="0.25">
      <c r="D484" s="36" t="str" cm="1">
        <f t="array" aca="1" ref="D484" ca="1">IFERROR(IF(INDIRECT("'"&amp;F484&amp;"'!$C$5")&gt;0,DATE(YEAR(Dashboard!$AL$2),Dashboard!$AU$4,INDIRECT("'"&amp;F484&amp;"'!$C$5")),""),"")</f>
        <v/>
      </c>
      <c r="G484" s="38" t="str" cm="1">
        <f t="array" aca="1" ref="G484" ca="1">IF(F484="",
    "",
    IFERROR(
        IF(INDIRECT("'"&amp;F484&amp;"'!$B$2")="Credit Limit",
            "Credit Accounts",
            IF(INDIRECT("'"&amp;F484&amp;"'!$E$2")="Location",
                "Cash Accounts",
                IF(INDIRECT("'"&amp;F484&amp;"'!$B$2")="Amount",
                    "Investments",
                    "Bill Accounts"
                )
            )
        ),
    "")
)</f>
        <v/>
      </c>
      <c r="I484" s="46" t="str" cm="1">
        <f t="array" aca="1" ref="I484" ca="1">IF(F484&lt;&gt;"",IF(OR(G484="Bill Accounts",G484="Investments", G484="Cash Accounts"),INDIRECT("'"&amp;F484&amp;"'!$C$10"),INDIRECT("'"&amp;F484&amp;"'!$C$8")),"")</f>
        <v/>
      </c>
      <c r="K484" s="48">
        <f t="shared" si="24"/>
        <v>490</v>
      </c>
      <c r="L484" s="114" t="str" cm="1">
        <f t="array" aca="1" ref="L484" ca="1">IF(F484&lt;&gt;"",INDIRECT("'"&amp;F484&amp;"'!$F$17"),"")</f>
        <v/>
      </c>
      <c r="M484" s="116" t="str">
        <f t="shared" ca="1" si="22"/>
        <v/>
      </c>
      <c r="O484" s="49" t="str">
        <f t="shared" ca="1" si="23"/>
        <v/>
      </c>
      <c r="P484" s="38" t="str">
        <f>IF(E484&lt;&gt;"",RANK(E484,$E$3:$E$2298)+COUNTIF($E$3:E484,E484)-1,"")</f>
        <v/>
      </c>
    </row>
    <row r="485" spans="4:16" x14ac:dyDescent="0.25">
      <c r="D485" s="36" t="str" cm="1">
        <f t="array" aca="1" ref="D485" ca="1">IFERROR(IF(INDIRECT("'"&amp;F485&amp;"'!$C$5")&gt;0,DATE(YEAR(Dashboard!$AL$2),Dashboard!$AU$4,INDIRECT("'"&amp;F485&amp;"'!$C$5")),""),"")</f>
        <v/>
      </c>
      <c r="G485" s="38" t="str" cm="1">
        <f t="array" aca="1" ref="G485" ca="1">IF(F485="",
    "",
    IFERROR(
        IF(INDIRECT("'"&amp;F485&amp;"'!$B$2")="Credit Limit",
            "Credit Accounts",
            IF(INDIRECT("'"&amp;F485&amp;"'!$E$2")="Location",
                "Cash Accounts",
                IF(INDIRECT("'"&amp;F485&amp;"'!$B$2")="Amount",
                    "Investments",
                    "Bill Accounts"
                )
            )
        ),
    "")
)</f>
        <v/>
      </c>
      <c r="I485" s="46" t="str" cm="1">
        <f t="array" aca="1" ref="I485" ca="1">IF(F485&lt;&gt;"",IF(OR(G485="Bill Accounts",G485="Investments", G485="Cash Accounts"),INDIRECT("'"&amp;F485&amp;"'!$C$10"),INDIRECT("'"&amp;F485&amp;"'!$C$8")),"")</f>
        <v/>
      </c>
      <c r="K485" s="48">
        <f t="shared" si="24"/>
        <v>491</v>
      </c>
      <c r="L485" s="114" t="str" cm="1">
        <f t="array" aca="1" ref="L485" ca="1">IF(F485&lt;&gt;"",INDIRECT("'"&amp;F485&amp;"'!$F$17"),"")</f>
        <v/>
      </c>
      <c r="M485" s="116" t="str">
        <f t="shared" ca="1" si="22"/>
        <v/>
      </c>
      <c r="O485" s="49" t="str">
        <f t="shared" ca="1" si="23"/>
        <v/>
      </c>
      <c r="P485" s="38" t="str">
        <f>IF(E485&lt;&gt;"",RANK(E485,$E$3:$E$2298)+COUNTIF($E$3:E485,E485)-1,"")</f>
        <v/>
      </c>
    </row>
    <row r="486" spans="4:16" x14ac:dyDescent="0.25">
      <c r="D486" s="36" t="str" cm="1">
        <f t="array" aca="1" ref="D486" ca="1">IFERROR(IF(INDIRECT("'"&amp;F486&amp;"'!$C$5")&gt;0,DATE(YEAR(Dashboard!$AL$2),Dashboard!$AU$4,INDIRECT("'"&amp;F486&amp;"'!$C$5")),""),"")</f>
        <v/>
      </c>
      <c r="G486" s="38" t="str" cm="1">
        <f t="array" aca="1" ref="G486" ca="1">IF(F486="",
    "",
    IFERROR(
        IF(INDIRECT("'"&amp;F486&amp;"'!$B$2")="Credit Limit",
            "Credit Accounts",
            IF(INDIRECT("'"&amp;F486&amp;"'!$E$2")="Location",
                "Cash Accounts",
                IF(INDIRECT("'"&amp;F486&amp;"'!$B$2")="Amount",
                    "Investments",
                    "Bill Accounts"
                )
            )
        ),
    "")
)</f>
        <v/>
      </c>
      <c r="I486" s="46" t="str" cm="1">
        <f t="array" aca="1" ref="I486" ca="1">IF(F486&lt;&gt;"",IF(OR(G486="Bill Accounts",G486="Investments", G486="Cash Accounts"),INDIRECT("'"&amp;F486&amp;"'!$C$10"),INDIRECT("'"&amp;F486&amp;"'!$C$8")),"")</f>
        <v/>
      </c>
      <c r="K486" s="48">
        <f t="shared" si="24"/>
        <v>492</v>
      </c>
      <c r="L486" s="114" t="str" cm="1">
        <f t="array" aca="1" ref="L486" ca="1">IF(F486&lt;&gt;"",INDIRECT("'"&amp;F486&amp;"'!$F$17"),"")</f>
        <v/>
      </c>
      <c r="M486" s="116" t="str">
        <f t="shared" ca="1" si="22"/>
        <v/>
      </c>
      <c r="O486" s="49" t="str">
        <f t="shared" ca="1" si="23"/>
        <v/>
      </c>
      <c r="P486" s="38" t="str">
        <f>IF(E486&lt;&gt;"",RANK(E486,$E$3:$E$2298)+COUNTIF($E$3:E486,E486)-1,"")</f>
        <v/>
      </c>
    </row>
    <row r="487" spans="4:16" x14ac:dyDescent="0.25">
      <c r="D487" s="36" t="str" cm="1">
        <f t="array" aca="1" ref="D487" ca="1">IFERROR(IF(INDIRECT("'"&amp;F487&amp;"'!$C$5")&gt;0,DATE(YEAR(Dashboard!$AL$2),Dashboard!$AU$4,INDIRECT("'"&amp;F487&amp;"'!$C$5")),""),"")</f>
        <v/>
      </c>
      <c r="G487" s="38" t="str" cm="1">
        <f t="array" aca="1" ref="G487" ca="1">IF(F487="",
    "",
    IFERROR(
        IF(INDIRECT("'"&amp;F487&amp;"'!$B$2")="Credit Limit",
            "Credit Accounts",
            IF(INDIRECT("'"&amp;F487&amp;"'!$E$2")="Location",
                "Cash Accounts",
                IF(INDIRECT("'"&amp;F487&amp;"'!$B$2")="Amount",
                    "Investments",
                    "Bill Accounts"
                )
            )
        ),
    "")
)</f>
        <v/>
      </c>
      <c r="I487" s="46" t="str" cm="1">
        <f t="array" aca="1" ref="I487" ca="1">IF(F487&lt;&gt;"",IF(OR(G487="Bill Accounts",G487="Investments", G487="Cash Accounts"),INDIRECT("'"&amp;F487&amp;"'!$C$10"),INDIRECT("'"&amp;F487&amp;"'!$C$8")),"")</f>
        <v/>
      </c>
      <c r="K487" s="48">
        <f t="shared" si="24"/>
        <v>493</v>
      </c>
      <c r="L487" s="114" t="str" cm="1">
        <f t="array" aca="1" ref="L487" ca="1">IF(F487&lt;&gt;"",INDIRECT("'"&amp;F487&amp;"'!$F$17"),"")</f>
        <v/>
      </c>
      <c r="M487" s="116" t="str">
        <f t="shared" ca="1" si="22"/>
        <v/>
      </c>
      <c r="O487" s="49" t="str">
        <f t="shared" ca="1" si="23"/>
        <v/>
      </c>
      <c r="P487" s="38" t="str">
        <f>IF(E487&lt;&gt;"",RANK(E487,$E$3:$E$2298)+COUNTIF($E$3:E487,E487)-1,"")</f>
        <v/>
      </c>
    </row>
    <row r="488" spans="4:16" x14ac:dyDescent="0.25">
      <c r="D488" s="36" t="str" cm="1">
        <f t="array" aca="1" ref="D488" ca="1">IFERROR(IF(INDIRECT("'"&amp;F488&amp;"'!$C$5")&gt;0,DATE(YEAR(Dashboard!$AL$2),Dashboard!$AU$4,INDIRECT("'"&amp;F488&amp;"'!$C$5")),""),"")</f>
        <v/>
      </c>
      <c r="G488" s="38" t="str" cm="1">
        <f t="array" aca="1" ref="G488" ca="1">IF(F488="",
    "",
    IFERROR(
        IF(INDIRECT("'"&amp;F488&amp;"'!$B$2")="Credit Limit",
            "Credit Accounts",
            IF(INDIRECT("'"&amp;F488&amp;"'!$E$2")="Location",
                "Cash Accounts",
                IF(INDIRECT("'"&amp;F488&amp;"'!$B$2")="Amount",
                    "Investments",
                    "Bill Accounts"
                )
            )
        ),
    "")
)</f>
        <v/>
      </c>
      <c r="I488" s="46" t="str" cm="1">
        <f t="array" aca="1" ref="I488" ca="1">IF(F488&lt;&gt;"",IF(OR(G488="Bill Accounts",G488="Investments", G488="Cash Accounts"),INDIRECT("'"&amp;F488&amp;"'!$C$10"),INDIRECT("'"&amp;F488&amp;"'!$C$8")),"")</f>
        <v/>
      </c>
      <c r="K488" s="48">
        <f t="shared" si="24"/>
        <v>494</v>
      </c>
      <c r="L488" s="114" t="str" cm="1">
        <f t="array" aca="1" ref="L488" ca="1">IF(F488&lt;&gt;"",INDIRECT("'"&amp;F488&amp;"'!$F$17"),"")</f>
        <v/>
      </c>
      <c r="M488" s="116" t="str">
        <f t="shared" ca="1" si="22"/>
        <v/>
      </c>
      <c r="O488" s="49" t="str">
        <f t="shared" ca="1" si="23"/>
        <v/>
      </c>
      <c r="P488" s="38" t="str">
        <f>IF(E488&lt;&gt;"",RANK(E488,$E$3:$E$2298)+COUNTIF($E$3:E488,E488)-1,"")</f>
        <v/>
      </c>
    </row>
    <row r="489" spans="4:16" x14ac:dyDescent="0.25">
      <c r="D489" s="36" t="str" cm="1">
        <f t="array" aca="1" ref="D489" ca="1">IFERROR(IF(INDIRECT("'"&amp;F489&amp;"'!$C$5")&gt;0,DATE(YEAR(Dashboard!$AL$2),Dashboard!$AU$4,INDIRECT("'"&amp;F489&amp;"'!$C$5")),""),"")</f>
        <v/>
      </c>
      <c r="G489" s="38" t="str" cm="1">
        <f t="array" aca="1" ref="G489" ca="1">IF(F489="",
    "",
    IFERROR(
        IF(INDIRECT("'"&amp;F489&amp;"'!$B$2")="Credit Limit",
            "Credit Accounts",
            IF(INDIRECT("'"&amp;F489&amp;"'!$E$2")="Location",
                "Cash Accounts",
                IF(INDIRECT("'"&amp;F489&amp;"'!$B$2")="Amount",
                    "Investments",
                    "Bill Accounts"
                )
            )
        ),
    "")
)</f>
        <v/>
      </c>
      <c r="I489" s="46" t="str" cm="1">
        <f t="array" aca="1" ref="I489" ca="1">IF(F489&lt;&gt;"",IF(OR(G489="Bill Accounts",G489="Investments", G489="Cash Accounts"),INDIRECT("'"&amp;F489&amp;"'!$C$10"),INDIRECT("'"&amp;F489&amp;"'!$C$8")),"")</f>
        <v/>
      </c>
      <c r="K489" s="48">
        <f t="shared" si="24"/>
        <v>495</v>
      </c>
      <c r="L489" s="114" t="str" cm="1">
        <f t="array" aca="1" ref="L489" ca="1">IF(F489&lt;&gt;"",INDIRECT("'"&amp;F489&amp;"'!$F$17"),"")</f>
        <v/>
      </c>
      <c r="M489" s="116" t="str">
        <f t="shared" ca="1" si="22"/>
        <v/>
      </c>
      <c r="O489" s="49" t="str">
        <f t="shared" ca="1" si="23"/>
        <v/>
      </c>
      <c r="P489" s="38" t="str">
        <f>IF(E489&lt;&gt;"",RANK(E489,$E$3:$E$2298)+COUNTIF($E$3:E489,E489)-1,"")</f>
        <v/>
      </c>
    </row>
    <row r="490" spans="4:16" x14ac:dyDescent="0.25">
      <c r="D490" s="36" t="str" cm="1">
        <f t="array" aca="1" ref="D490" ca="1">IFERROR(IF(INDIRECT("'"&amp;F490&amp;"'!$C$5")&gt;0,DATE(YEAR(Dashboard!$AL$2),Dashboard!$AU$4,INDIRECT("'"&amp;F490&amp;"'!$C$5")),""),"")</f>
        <v/>
      </c>
      <c r="G490" s="38" t="str" cm="1">
        <f t="array" aca="1" ref="G490" ca="1">IF(F490="",
    "",
    IFERROR(
        IF(INDIRECT("'"&amp;F490&amp;"'!$B$2")="Credit Limit",
            "Credit Accounts",
            IF(INDIRECT("'"&amp;F490&amp;"'!$E$2")="Location",
                "Cash Accounts",
                IF(INDIRECT("'"&amp;F490&amp;"'!$B$2")="Amount",
                    "Investments",
                    "Bill Accounts"
                )
            )
        ),
    "")
)</f>
        <v/>
      </c>
      <c r="I490" s="46" t="str" cm="1">
        <f t="array" aca="1" ref="I490" ca="1">IF(F490&lt;&gt;"",IF(OR(G490="Bill Accounts",G490="Investments", G490="Cash Accounts"),INDIRECT("'"&amp;F490&amp;"'!$C$10"),INDIRECT("'"&amp;F490&amp;"'!$C$8")),"")</f>
        <v/>
      </c>
      <c r="K490" s="48">
        <f t="shared" si="24"/>
        <v>496</v>
      </c>
      <c r="L490" s="114" t="str" cm="1">
        <f t="array" aca="1" ref="L490" ca="1">IF(F490&lt;&gt;"",INDIRECT("'"&amp;F490&amp;"'!$F$17"),"")</f>
        <v/>
      </c>
      <c r="M490" s="116" t="str">
        <f t="shared" ca="1" si="22"/>
        <v/>
      </c>
      <c r="O490" s="49" t="str">
        <f t="shared" ca="1" si="23"/>
        <v/>
      </c>
      <c r="P490" s="38" t="str">
        <f>IF(E490&lt;&gt;"",RANK(E490,$E$3:$E$2298)+COUNTIF($E$3:E490,E490)-1,"")</f>
        <v/>
      </c>
    </row>
    <row r="491" spans="4:16" x14ac:dyDescent="0.25">
      <c r="D491" s="36" t="str" cm="1">
        <f t="array" aca="1" ref="D491" ca="1">IFERROR(IF(INDIRECT("'"&amp;F491&amp;"'!$C$5")&gt;0,DATE(YEAR(Dashboard!$AL$2),Dashboard!$AU$4,INDIRECT("'"&amp;F491&amp;"'!$C$5")),""),"")</f>
        <v/>
      </c>
      <c r="G491" s="38" t="str" cm="1">
        <f t="array" aca="1" ref="G491" ca="1">IF(F491="",
    "",
    IFERROR(
        IF(INDIRECT("'"&amp;F491&amp;"'!$B$2")="Credit Limit",
            "Credit Accounts",
            IF(INDIRECT("'"&amp;F491&amp;"'!$E$2")="Location",
                "Cash Accounts",
                IF(INDIRECT("'"&amp;F491&amp;"'!$B$2")="Amount",
                    "Investments",
                    "Bill Accounts"
                )
            )
        ),
    "")
)</f>
        <v/>
      </c>
      <c r="I491" s="46" t="str" cm="1">
        <f t="array" aca="1" ref="I491" ca="1">IF(F491&lt;&gt;"",IF(OR(G491="Bill Accounts",G491="Investments", G491="Cash Accounts"),INDIRECT("'"&amp;F491&amp;"'!$C$10"),INDIRECT("'"&amp;F491&amp;"'!$C$8")),"")</f>
        <v/>
      </c>
      <c r="K491" s="48">
        <f t="shared" si="24"/>
        <v>497</v>
      </c>
      <c r="L491" s="114" t="str" cm="1">
        <f t="array" aca="1" ref="L491" ca="1">IF(F491&lt;&gt;"",INDIRECT("'"&amp;F491&amp;"'!$F$17"),"")</f>
        <v/>
      </c>
      <c r="M491" s="116" t="str">
        <f t="shared" ca="1" si="22"/>
        <v/>
      </c>
      <c r="O491" s="49" t="str">
        <f t="shared" ca="1" si="23"/>
        <v/>
      </c>
      <c r="P491" s="38" t="str">
        <f>IF(E491&lt;&gt;"",RANK(E491,$E$3:$E$2298)+COUNTIF($E$3:E491,E491)-1,"")</f>
        <v/>
      </c>
    </row>
    <row r="492" spans="4:16" x14ac:dyDescent="0.25">
      <c r="D492" s="36" t="str" cm="1">
        <f t="array" aca="1" ref="D492" ca="1">IFERROR(IF(INDIRECT("'"&amp;F492&amp;"'!$C$5")&gt;0,DATE(YEAR(Dashboard!$AL$2),Dashboard!$AU$4,INDIRECT("'"&amp;F492&amp;"'!$C$5")),""),"")</f>
        <v/>
      </c>
      <c r="G492" s="38" t="str" cm="1">
        <f t="array" aca="1" ref="G492" ca="1">IF(F492="",
    "",
    IFERROR(
        IF(INDIRECT("'"&amp;F492&amp;"'!$B$2")="Credit Limit",
            "Credit Accounts",
            IF(INDIRECT("'"&amp;F492&amp;"'!$E$2")="Location",
                "Cash Accounts",
                IF(INDIRECT("'"&amp;F492&amp;"'!$B$2")="Amount",
                    "Investments",
                    "Bill Accounts"
                )
            )
        ),
    "")
)</f>
        <v/>
      </c>
      <c r="I492" s="46" t="str" cm="1">
        <f t="array" aca="1" ref="I492" ca="1">IF(F492&lt;&gt;"",IF(OR(G492="Bill Accounts",G492="Investments", G492="Cash Accounts"),INDIRECT("'"&amp;F492&amp;"'!$C$10"),INDIRECT("'"&amp;F492&amp;"'!$C$8")),"")</f>
        <v/>
      </c>
      <c r="K492" s="48">
        <f t="shared" si="24"/>
        <v>498</v>
      </c>
      <c r="L492" s="114" t="str" cm="1">
        <f t="array" aca="1" ref="L492" ca="1">IF(F492&lt;&gt;"",INDIRECT("'"&amp;F492&amp;"'!$F$17"),"")</f>
        <v/>
      </c>
      <c r="M492" s="116" t="str">
        <f t="shared" ca="1" si="22"/>
        <v/>
      </c>
      <c r="O492" s="49" t="str">
        <f t="shared" ca="1" si="23"/>
        <v/>
      </c>
      <c r="P492" s="38" t="str">
        <f>IF(E492&lt;&gt;"",RANK(E492,$E$3:$E$2298)+COUNTIF($E$3:E492,E492)-1,"")</f>
        <v/>
      </c>
    </row>
    <row r="493" spans="4:16" x14ac:dyDescent="0.25">
      <c r="D493" s="36" t="str" cm="1">
        <f t="array" aca="1" ref="D493" ca="1">IFERROR(IF(INDIRECT("'"&amp;F493&amp;"'!$C$5")&gt;0,DATE(YEAR(Dashboard!$AL$2),Dashboard!$AU$4,INDIRECT("'"&amp;F493&amp;"'!$C$5")),""),"")</f>
        <v/>
      </c>
      <c r="G493" s="38" t="str" cm="1">
        <f t="array" aca="1" ref="G493" ca="1">IF(F493="",
    "",
    IFERROR(
        IF(INDIRECT("'"&amp;F493&amp;"'!$B$2")="Credit Limit",
            "Credit Accounts",
            IF(INDIRECT("'"&amp;F493&amp;"'!$E$2")="Location",
                "Cash Accounts",
                IF(INDIRECT("'"&amp;F493&amp;"'!$B$2")="Amount",
                    "Investments",
                    "Bill Accounts"
                )
            )
        ),
    "")
)</f>
        <v/>
      </c>
      <c r="I493" s="46" t="str" cm="1">
        <f t="array" aca="1" ref="I493" ca="1">IF(F493&lt;&gt;"",IF(OR(G493="Bill Accounts",G493="Investments", G493="Cash Accounts"),INDIRECT("'"&amp;F493&amp;"'!$C$10"),INDIRECT("'"&amp;F493&amp;"'!$C$8")),"")</f>
        <v/>
      </c>
      <c r="K493" s="48">
        <f t="shared" si="24"/>
        <v>499</v>
      </c>
      <c r="L493" s="114" t="str" cm="1">
        <f t="array" aca="1" ref="L493" ca="1">IF(F493&lt;&gt;"",INDIRECT("'"&amp;F493&amp;"'!$F$17"),"")</f>
        <v/>
      </c>
      <c r="M493" s="116" t="str">
        <f t="shared" ca="1" si="22"/>
        <v/>
      </c>
      <c r="O493" s="49" t="str">
        <f t="shared" ca="1" si="23"/>
        <v/>
      </c>
      <c r="P493" s="38" t="str">
        <f>IF(E493&lt;&gt;"",RANK(E493,$E$3:$E$2298)+COUNTIF($E$3:E493,E493)-1,"")</f>
        <v/>
      </c>
    </row>
    <row r="494" spans="4:16" x14ac:dyDescent="0.25">
      <c r="D494" s="36" t="str" cm="1">
        <f t="array" aca="1" ref="D494" ca="1">IFERROR(IF(INDIRECT("'"&amp;F494&amp;"'!$C$5")&gt;0,DATE(YEAR(Dashboard!$AL$2),Dashboard!$AU$4,INDIRECT("'"&amp;F494&amp;"'!$C$5")),""),"")</f>
        <v/>
      </c>
      <c r="G494" s="38" t="str" cm="1">
        <f t="array" aca="1" ref="G494" ca="1">IF(F494="",
    "",
    IFERROR(
        IF(INDIRECT("'"&amp;F494&amp;"'!$B$2")="Credit Limit",
            "Credit Accounts",
            IF(INDIRECT("'"&amp;F494&amp;"'!$E$2")="Location",
                "Cash Accounts",
                IF(INDIRECT("'"&amp;F494&amp;"'!$B$2")="Amount",
                    "Investments",
                    "Bill Accounts"
                )
            )
        ),
    "")
)</f>
        <v/>
      </c>
      <c r="I494" s="46" t="str" cm="1">
        <f t="array" aca="1" ref="I494" ca="1">IF(F494&lt;&gt;"",IF(OR(G494="Bill Accounts",G494="Investments", G494="Cash Accounts"),INDIRECT("'"&amp;F494&amp;"'!$C$10"),INDIRECT("'"&amp;F494&amp;"'!$C$8")),"")</f>
        <v/>
      </c>
      <c r="K494" s="48">
        <f t="shared" si="24"/>
        <v>500</v>
      </c>
      <c r="L494" s="114" t="str" cm="1">
        <f t="array" aca="1" ref="L494" ca="1">IF(F494&lt;&gt;"",INDIRECT("'"&amp;F494&amp;"'!$F$17"),"")</f>
        <v/>
      </c>
      <c r="M494" s="116" t="str">
        <f t="shared" ca="1" si="22"/>
        <v/>
      </c>
      <c r="O494" s="49" t="str">
        <f t="shared" ca="1" si="23"/>
        <v/>
      </c>
      <c r="P494" s="38" t="str">
        <f>IF(E494&lt;&gt;"",RANK(E494,$E$3:$E$2298)+COUNTIF($E$3:E494,E494)-1,"")</f>
        <v/>
      </c>
    </row>
    <row r="495" spans="4:16" x14ac:dyDescent="0.25">
      <c r="D495" s="36" t="str" cm="1">
        <f t="array" aca="1" ref="D495" ca="1">IFERROR(IF(INDIRECT("'"&amp;F495&amp;"'!$C$5")&gt;0,DATE(YEAR(Dashboard!$AL$2),Dashboard!$AU$4,INDIRECT("'"&amp;F495&amp;"'!$C$5")),""),"")</f>
        <v/>
      </c>
      <c r="G495" s="38" t="str" cm="1">
        <f t="array" aca="1" ref="G495" ca="1">IF(F495="",
    "",
    IFERROR(
        IF(INDIRECT("'"&amp;F495&amp;"'!$B$2")="Credit Limit",
            "Credit Accounts",
            IF(INDIRECT("'"&amp;F495&amp;"'!$E$2")="Location",
                "Cash Accounts",
                IF(INDIRECT("'"&amp;F495&amp;"'!$B$2")="Amount",
                    "Investments",
                    "Bill Accounts"
                )
            )
        ),
    "")
)</f>
        <v/>
      </c>
      <c r="I495" s="46" t="str" cm="1">
        <f t="array" aca="1" ref="I495" ca="1">IF(F495&lt;&gt;"",IF(OR(G495="Bill Accounts",G495="Investments", G495="Cash Accounts"),INDIRECT("'"&amp;F495&amp;"'!$C$10"),INDIRECT("'"&amp;F495&amp;"'!$C$8")),"")</f>
        <v/>
      </c>
      <c r="K495" s="48">
        <f t="shared" si="24"/>
        <v>501</v>
      </c>
      <c r="L495" s="114" t="str" cm="1">
        <f t="array" aca="1" ref="L495" ca="1">IF(F495&lt;&gt;"",INDIRECT("'"&amp;F495&amp;"'!$F$17"),"")</f>
        <v/>
      </c>
      <c r="M495" s="116" t="str">
        <f t="shared" ca="1" si="22"/>
        <v/>
      </c>
      <c r="O495" s="49" t="str">
        <f t="shared" ca="1" si="23"/>
        <v/>
      </c>
      <c r="P495" s="38" t="str">
        <f>IF(E495&lt;&gt;"",RANK(E495,$E$3:$E$2298)+COUNTIF($E$3:E495,E495)-1,"")</f>
        <v/>
      </c>
    </row>
    <row r="496" spans="4:16" x14ac:dyDescent="0.25">
      <c r="D496" s="36" t="str" cm="1">
        <f t="array" aca="1" ref="D496" ca="1">IFERROR(IF(INDIRECT("'"&amp;F496&amp;"'!$C$5")&gt;0,DATE(YEAR(Dashboard!$AL$2),Dashboard!$AU$4,INDIRECT("'"&amp;F496&amp;"'!$C$5")),""),"")</f>
        <v/>
      </c>
      <c r="G496" s="38" t="str" cm="1">
        <f t="array" aca="1" ref="G496" ca="1">IF(F496="",
    "",
    IFERROR(
        IF(INDIRECT("'"&amp;F496&amp;"'!$B$2")="Credit Limit",
            "Credit Accounts",
            IF(INDIRECT("'"&amp;F496&amp;"'!$E$2")="Location",
                "Cash Accounts",
                IF(INDIRECT("'"&amp;F496&amp;"'!$B$2")="Amount",
                    "Investments",
                    "Bill Accounts"
                )
            )
        ),
    "")
)</f>
        <v/>
      </c>
      <c r="I496" s="46" t="str" cm="1">
        <f t="array" aca="1" ref="I496" ca="1">IF(F496&lt;&gt;"",IF(OR(G496="Bill Accounts",G496="Investments", G496="Cash Accounts"),INDIRECT("'"&amp;F496&amp;"'!$C$10"),INDIRECT("'"&amp;F496&amp;"'!$C$8")),"")</f>
        <v/>
      </c>
      <c r="K496" s="48">
        <f t="shared" si="24"/>
        <v>502</v>
      </c>
      <c r="L496" s="114" t="str" cm="1">
        <f t="array" aca="1" ref="L496" ca="1">IF(F496&lt;&gt;"",INDIRECT("'"&amp;F496&amp;"'!$F$17"),"")</f>
        <v/>
      </c>
      <c r="M496" s="116" t="str">
        <f t="shared" ca="1" si="22"/>
        <v/>
      </c>
      <c r="O496" s="49" t="str">
        <f t="shared" ca="1" si="23"/>
        <v/>
      </c>
      <c r="P496" s="38" t="str">
        <f>IF(E496&lt;&gt;"",RANK(E496,$E$3:$E$2298)+COUNTIF($E$3:E496,E496)-1,"")</f>
        <v/>
      </c>
    </row>
    <row r="497" spans="4:16" x14ac:dyDescent="0.25">
      <c r="D497" s="36" t="str" cm="1">
        <f t="array" aca="1" ref="D497" ca="1">IFERROR(IF(INDIRECT("'"&amp;F497&amp;"'!$C$5")&gt;0,DATE(YEAR(Dashboard!$AL$2),Dashboard!$AU$4,INDIRECT("'"&amp;F497&amp;"'!$C$5")),""),"")</f>
        <v/>
      </c>
      <c r="G497" s="38" t="str" cm="1">
        <f t="array" aca="1" ref="G497" ca="1">IF(F497="",
    "",
    IFERROR(
        IF(INDIRECT("'"&amp;F497&amp;"'!$B$2")="Credit Limit",
            "Credit Accounts",
            IF(INDIRECT("'"&amp;F497&amp;"'!$E$2")="Location",
                "Cash Accounts",
                IF(INDIRECT("'"&amp;F497&amp;"'!$B$2")="Amount",
                    "Investments",
                    "Bill Accounts"
                )
            )
        ),
    "")
)</f>
        <v/>
      </c>
      <c r="I497" s="46" t="str" cm="1">
        <f t="array" aca="1" ref="I497" ca="1">IF(F497&lt;&gt;"",IF(OR(G497="Bill Accounts",G497="Investments", G497="Cash Accounts"),INDIRECT("'"&amp;F497&amp;"'!$C$10"),INDIRECT("'"&amp;F497&amp;"'!$C$8")),"")</f>
        <v/>
      </c>
      <c r="K497" s="48">
        <f t="shared" si="24"/>
        <v>503</v>
      </c>
      <c r="L497" s="114" t="str" cm="1">
        <f t="array" aca="1" ref="L497" ca="1">IF(F497&lt;&gt;"",INDIRECT("'"&amp;F497&amp;"'!$F$17"),"")</f>
        <v/>
      </c>
      <c r="M497" s="116" t="str">
        <f t="shared" ca="1" si="22"/>
        <v/>
      </c>
      <c r="O497" s="49" t="str">
        <f t="shared" ca="1" si="23"/>
        <v/>
      </c>
      <c r="P497" s="38" t="str">
        <f>IF(E497&lt;&gt;"",RANK(E497,$E$3:$E$2298)+COUNTIF($E$3:E497,E497)-1,"")</f>
        <v/>
      </c>
    </row>
    <row r="498" spans="4:16" x14ac:dyDescent="0.25">
      <c r="D498" s="36" t="str" cm="1">
        <f t="array" aca="1" ref="D498" ca="1">IFERROR(IF(INDIRECT("'"&amp;F498&amp;"'!$C$5")&gt;0,DATE(YEAR(Dashboard!$AL$2),Dashboard!$AU$4,INDIRECT("'"&amp;F498&amp;"'!$C$5")),""),"")</f>
        <v/>
      </c>
      <c r="G498" s="38" t="str" cm="1">
        <f t="array" aca="1" ref="G498" ca="1">IF(F498="",
    "",
    IFERROR(
        IF(INDIRECT("'"&amp;F498&amp;"'!$B$2")="Credit Limit",
            "Credit Accounts",
            IF(INDIRECT("'"&amp;F498&amp;"'!$E$2")="Location",
                "Cash Accounts",
                IF(INDIRECT("'"&amp;F498&amp;"'!$B$2")="Amount",
                    "Investments",
                    "Bill Accounts"
                )
            )
        ),
    "")
)</f>
        <v/>
      </c>
      <c r="I498" s="46" t="str" cm="1">
        <f t="array" aca="1" ref="I498" ca="1">IF(F498&lt;&gt;"",IF(OR(G498="Bill Accounts",G498="Investments", G498="Cash Accounts"),INDIRECT("'"&amp;F498&amp;"'!$C$10"),INDIRECT("'"&amp;F498&amp;"'!$C$8")),"")</f>
        <v/>
      </c>
      <c r="K498" s="48">
        <f t="shared" si="24"/>
        <v>504</v>
      </c>
      <c r="L498" s="114" t="str" cm="1">
        <f t="array" aca="1" ref="L498" ca="1">IF(F498&lt;&gt;"",INDIRECT("'"&amp;F498&amp;"'!$F$17"),"")</f>
        <v/>
      </c>
      <c r="M498" s="116" t="str">
        <f t="shared" ca="1" si="22"/>
        <v/>
      </c>
      <c r="O498" s="49" t="str">
        <f t="shared" ca="1" si="23"/>
        <v/>
      </c>
      <c r="P498" s="38" t="str">
        <f>IF(E498&lt;&gt;"",RANK(E498,$E$3:$E$2298)+COUNTIF($E$3:E498,E498)-1,"")</f>
        <v/>
      </c>
    </row>
    <row r="499" spans="4:16" x14ac:dyDescent="0.25">
      <c r="D499" s="36" t="str" cm="1">
        <f t="array" aca="1" ref="D499" ca="1">IFERROR(IF(INDIRECT("'"&amp;F499&amp;"'!$C$5")&gt;0,DATE(YEAR(Dashboard!$AL$2),Dashboard!$AU$4,INDIRECT("'"&amp;F499&amp;"'!$C$5")),""),"")</f>
        <v/>
      </c>
      <c r="G499" s="38" t="str" cm="1">
        <f t="array" aca="1" ref="G499" ca="1">IF(F499="",
    "",
    IFERROR(
        IF(INDIRECT("'"&amp;F499&amp;"'!$B$2")="Credit Limit",
            "Credit Accounts",
            IF(INDIRECT("'"&amp;F499&amp;"'!$E$2")="Location",
                "Cash Accounts",
                IF(INDIRECT("'"&amp;F499&amp;"'!$B$2")="Amount",
                    "Investments",
                    "Bill Accounts"
                )
            )
        ),
    "")
)</f>
        <v/>
      </c>
      <c r="I499" s="46" t="str" cm="1">
        <f t="array" aca="1" ref="I499" ca="1">IF(F499&lt;&gt;"",IF(OR(G499="Bill Accounts",G499="Investments", G499="Cash Accounts"),INDIRECT("'"&amp;F499&amp;"'!$C$10"),INDIRECT("'"&amp;F499&amp;"'!$C$8")),"")</f>
        <v/>
      </c>
      <c r="K499" s="48">
        <f t="shared" si="24"/>
        <v>505</v>
      </c>
      <c r="L499" s="114" t="str" cm="1">
        <f t="array" aca="1" ref="L499" ca="1">IF(F499&lt;&gt;"",INDIRECT("'"&amp;F499&amp;"'!$F$17"),"")</f>
        <v/>
      </c>
      <c r="M499" s="116" t="str">
        <f t="shared" ca="1" si="22"/>
        <v/>
      </c>
      <c r="O499" s="49" t="str">
        <f t="shared" ca="1" si="23"/>
        <v/>
      </c>
      <c r="P499" s="38" t="str">
        <f>IF(E499&lt;&gt;"",RANK(E499,$E$3:$E$2298)+COUNTIF($E$3:E499,E499)-1,"")</f>
        <v/>
      </c>
    </row>
    <row r="500" spans="4:16" x14ac:dyDescent="0.25">
      <c r="D500" s="36" t="str" cm="1">
        <f t="array" aca="1" ref="D500" ca="1">IFERROR(IF(INDIRECT("'"&amp;F500&amp;"'!$C$5")&gt;0,DATE(YEAR(Dashboard!$AL$2),Dashboard!$AU$4,INDIRECT("'"&amp;F500&amp;"'!$C$5")),""),"")</f>
        <v/>
      </c>
      <c r="G500" s="38" t="str" cm="1">
        <f t="array" aca="1" ref="G500" ca="1">IF(F500="",
    "",
    IFERROR(
        IF(INDIRECT("'"&amp;F500&amp;"'!$B$2")="Credit Limit",
            "Credit Accounts",
            IF(INDIRECT("'"&amp;F500&amp;"'!$E$2")="Location",
                "Cash Accounts",
                IF(INDIRECT("'"&amp;F500&amp;"'!$B$2")="Amount",
                    "Investments",
                    "Bill Accounts"
                )
            )
        ),
    "")
)</f>
        <v/>
      </c>
      <c r="I500" s="46" t="str" cm="1">
        <f t="array" aca="1" ref="I500" ca="1">IF(F500&lt;&gt;"",IF(OR(G500="Bill Accounts",G500="Investments", G500="Cash Accounts"),INDIRECT("'"&amp;F500&amp;"'!$C$10"),INDIRECT("'"&amp;F500&amp;"'!$C$8")),"")</f>
        <v/>
      </c>
      <c r="K500" s="48">
        <f t="shared" si="24"/>
        <v>506</v>
      </c>
      <c r="L500" s="114" t="str" cm="1">
        <f t="array" aca="1" ref="L500" ca="1">IF(F500&lt;&gt;"",INDIRECT("'"&amp;F500&amp;"'!$F$17"),"")</f>
        <v/>
      </c>
      <c r="M500" s="116" t="str">
        <f t="shared" ca="1" si="22"/>
        <v/>
      </c>
      <c r="O500" s="49" t="str">
        <f t="shared" ca="1" si="23"/>
        <v/>
      </c>
      <c r="P500" s="38" t="str">
        <f>IF(E500&lt;&gt;"",RANK(E500,$E$3:$E$2298)+COUNTIF($E$3:E500,E500)-1,"")</f>
        <v/>
      </c>
    </row>
    <row r="501" spans="4:16" x14ac:dyDescent="0.25">
      <c r="D501" s="36" t="str" cm="1">
        <f t="array" aca="1" ref="D501" ca="1">IFERROR(IF(INDIRECT("'"&amp;F501&amp;"'!$C$5")&gt;0,DATE(YEAR(Dashboard!$AL$2),Dashboard!$AU$4,INDIRECT("'"&amp;F501&amp;"'!$C$5")),""),"")</f>
        <v/>
      </c>
      <c r="G501" s="38" t="str" cm="1">
        <f t="array" aca="1" ref="G501" ca="1">IF(F501="",
    "",
    IFERROR(
        IF(INDIRECT("'"&amp;F501&amp;"'!$B$2")="Credit Limit",
            "Credit Accounts",
            IF(INDIRECT("'"&amp;F501&amp;"'!$E$2")="Location",
                "Cash Accounts",
                IF(INDIRECT("'"&amp;F501&amp;"'!$B$2")="Amount",
                    "Investments",
                    "Bill Accounts"
                )
            )
        ),
    "")
)</f>
        <v/>
      </c>
      <c r="I501" s="46" t="str" cm="1">
        <f t="array" aca="1" ref="I501" ca="1">IF(F501&lt;&gt;"",IF(OR(G501="Bill Accounts",G501="Investments", G501="Cash Accounts"),INDIRECT("'"&amp;F501&amp;"'!$C$10"),INDIRECT("'"&amp;F501&amp;"'!$C$8")),"")</f>
        <v/>
      </c>
      <c r="K501" s="48">
        <f t="shared" si="24"/>
        <v>507</v>
      </c>
      <c r="L501" s="114" t="str" cm="1">
        <f t="array" aca="1" ref="L501" ca="1">IF(F501&lt;&gt;"",INDIRECT("'"&amp;F501&amp;"'!$F$17"),"")</f>
        <v/>
      </c>
      <c r="M501" s="116" t="str">
        <f t="shared" ca="1" si="22"/>
        <v/>
      </c>
      <c r="O501" s="49" t="str">
        <f t="shared" ca="1" si="23"/>
        <v/>
      </c>
      <c r="P501" s="38" t="str">
        <f>IF(E501&lt;&gt;"",RANK(E501,$E$3:$E$2298)+COUNTIF($E$3:E501,E501)-1,"")</f>
        <v/>
      </c>
    </row>
    <row r="502" spans="4:16" x14ac:dyDescent="0.25">
      <c r="D502" s="36" t="str" cm="1">
        <f t="array" aca="1" ref="D502" ca="1">IFERROR(IF(INDIRECT("'"&amp;F502&amp;"'!$C$5")&gt;0,DATE(YEAR(Dashboard!$AL$2),Dashboard!$AU$4,INDIRECT("'"&amp;F502&amp;"'!$C$5")),""),"")</f>
        <v/>
      </c>
      <c r="G502" s="38" t="str" cm="1">
        <f t="array" aca="1" ref="G502" ca="1">IF(F502="",
    "",
    IFERROR(
        IF(INDIRECT("'"&amp;F502&amp;"'!$B$2")="Credit Limit",
            "Credit Accounts",
            IF(INDIRECT("'"&amp;F502&amp;"'!$E$2")="Location",
                "Cash Accounts",
                IF(INDIRECT("'"&amp;F502&amp;"'!$B$2")="Amount",
                    "Investments",
                    "Bill Accounts"
                )
            )
        ),
    "")
)</f>
        <v/>
      </c>
      <c r="I502" s="46" t="str" cm="1">
        <f t="array" aca="1" ref="I502" ca="1">IF(F502&lt;&gt;"",IF(OR(G502="Bill Accounts",G502="Investments", G502="Cash Accounts"),INDIRECT("'"&amp;F502&amp;"'!$C$10"),INDIRECT("'"&amp;F502&amp;"'!$C$8")),"")</f>
        <v/>
      </c>
      <c r="K502" s="48">
        <f t="shared" si="24"/>
        <v>508</v>
      </c>
      <c r="L502" s="114" t="str" cm="1">
        <f t="array" aca="1" ref="L502" ca="1">IF(F502&lt;&gt;"",INDIRECT("'"&amp;F502&amp;"'!$F$17"),"")</f>
        <v/>
      </c>
      <c r="M502" s="116" t="str">
        <f t="shared" ca="1" si="22"/>
        <v/>
      </c>
      <c r="O502" s="49" t="str">
        <f t="shared" ca="1" si="23"/>
        <v/>
      </c>
      <c r="P502" s="38" t="str">
        <f>IF(E502&lt;&gt;"",RANK(E502,$E$3:$E$2298)+COUNTIF($E$3:E502,E502)-1,"")</f>
        <v/>
      </c>
    </row>
    <row r="503" spans="4:16" x14ac:dyDescent="0.25">
      <c r="D503" s="36" t="str" cm="1">
        <f t="array" aca="1" ref="D503" ca="1">IFERROR(IF(INDIRECT("'"&amp;F503&amp;"'!$C$5")&gt;0,DATE(YEAR(Dashboard!$AL$2),Dashboard!$AU$4,INDIRECT("'"&amp;F503&amp;"'!$C$5")),""),"")</f>
        <v/>
      </c>
      <c r="G503" s="38" t="str" cm="1">
        <f t="array" aca="1" ref="G503" ca="1">IF(F503="",
    "",
    IFERROR(
        IF(INDIRECT("'"&amp;F503&amp;"'!$B$2")="Credit Limit",
            "Credit Accounts",
            IF(INDIRECT("'"&amp;F503&amp;"'!$E$2")="Location",
                "Cash Accounts",
                IF(INDIRECT("'"&amp;F503&amp;"'!$B$2")="Amount",
                    "Investments",
                    "Bill Accounts"
                )
            )
        ),
    "")
)</f>
        <v/>
      </c>
      <c r="I503" s="46" t="str" cm="1">
        <f t="array" aca="1" ref="I503" ca="1">IF(F503&lt;&gt;"",IF(OR(G503="Bill Accounts",G503="Investments", G503="Cash Accounts"),INDIRECT("'"&amp;F503&amp;"'!$C$10"),INDIRECT("'"&amp;F503&amp;"'!$C$8")),"")</f>
        <v/>
      </c>
      <c r="K503" s="48">
        <f t="shared" si="24"/>
        <v>509</v>
      </c>
      <c r="L503" s="114" t="str" cm="1">
        <f t="array" aca="1" ref="L503" ca="1">IF(F503&lt;&gt;"",INDIRECT("'"&amp;F503&amp;"'!$F$17"),"")</f>
        <v/>
      </c>
      <c r="M503" s="116" t="str">
        <f t="shared" ca="1" si="22"/>
        <v/>
      </c>
      <c r="O503" s="49" t="str">
        <f t="shared" ca="1" si="23"/>
        <v/>
      </c>
      <c r="P503" s="38" t="str">
        <f>IF(E503&lt;&gt;"",RANK(E503,$E$3:$E$2298)+COUNTIF($E$3:E503,E503)-1,"")</f>
        <v/>
      </c>
    </row>
    <row r="504" spans="4:16" x14ac:dyDescent="0.25">
      <c r="D504" s="36" t="str" cm="1">
        <f t="array" aca="1" ref="D504" ca="1">IFERROR(IF(INDIRECT("'"&amp;F504&amp;"'!$C$5")&gt;0,DATE(YEAR(Dashboard!$AL$2),Dashboard!$AU$4,INDIRECT("'"&amp;F504&amp;"'!$C$5")),""),"")</f>
        <v/>
      </c>
      <c r="G504" s="38" t="str" cm="1">
        <f t="array" aca="1" ref="G504" ca="1">IF(F504="",
    "",
    IFERROR(
        IF(INDIRECT("'"&amp;F504&amp;"'!$B$2")="Credit Limit",
            "Credit Accounts",
            IF(INDIRECT("'"&amp;F504&amp;"'!$E$2")="Location",
                "Cash Accounts",
                IF(INDIRECT("'"&amp;F504&amp;"'!$B$2")="Amount",
                    "Investments",
                    "Bill Accounts"
                )
            )
        ),
    "")
)</f>
        <v/>
      </c>
      <c r="I504" s="46" t="str" cm="1">
        <f t="array" aca="1" ref="I504" ca="1">IF(F504&lt;&gt;"",IF(OR(G504="Bill Accounts",G504="Investments", G504="Cash Accounts"),INDIRECT("'"&amp;F504&amp;"'!$C$10"),INDIRECT("'"&amp;F504&amp;"'!$C$8")),"")</f>
        <v/>
      </c>
      <c r="K504" s="48">
        <f t="shared" si="24"/>
        <v>510</v>
      </c>
      <c r="L504" s="114" t="str" cm="1">
        <f t="array" aca="1" ref="L504" ca="1">IF(F504&lt;&gt;"",INDIRECT("'"&amp;F504&amp;"'!$F$17"),"")</f>
        <v/>
      </c>
      <c r="M504" s="116" t="str">
        <f t="shared" ca="1" si="22"/>
        <v/>
      </c>
      <c r="O504" s="49" t="str">
        <f t="shared" ca="1" si="23"/>
        <v/>
      </c>
      <c r="P504" s="38" t="str">
        <f>IF(E504&lt;&gt;"",RANK(E504,$E$3:$E$2298)+COUNTIF($E$3:E504,E504)-1,"")</f>
        <v/>
      </c>
    </row>
    <row r="505" spans="4:16" x14ac:dyDescent="0.25">
      <c r="D505" s="36" t="str" cm="1">
        <f t="array" aca="1" ref="D505" ca="1">IFERROR(IF(INDIRECT("'"&amp;F505&amp;"'!$C$5")&gt;0,DATE(YEAR(Dashboard!$AL$2),Dashboard!$AU$4,INDIRECT("'"&amp;F505&amp;"'!$C$5")),""),"")</f>
        <v/>
      </c>
      <c r="G505" s="38" t="str" cm="1">
        <f t="array" aca="1" ref="G505" ca="1">IF(F505="",
    "",
    IFERROR(
        IF(INDIRECT("'"&amp;F505&amp;"'!$B$2")="Credit Limit",
            "Credit Accounts",
            IF(INDIRECT("'"&amp;F505&amp;"'!$E$2")="Location",
                "Cash Accounts",
                IF(INDIRECT("'"&amp;F505&amp;"'!$B$2")="Amount",
                    "Investments",
                    "Bill Accounts"
                )
            )
        ),
    "")
)</f>
        <v/>
      </c>
      <c r="I505" s="46" t="str" cm="1">
        <f t="array" aca="1" ref="I505" ca="1">IF(F505&lt;&gt;"",IF(OR(G505="Bill Accounts",G505="Investments", G505="Cash Accounts"),INDIRECT("'"&amp;F505&amp;"'!$C$10"),INDIRECT("'"&amp;F505&amp;"'!$C$8")),"")</f>
        <v/>
      </c>
      <c r="K505" s="48">
        <f t="shared" si="24"/>
        <v>511</v>
      </c>
      <c r="L505" s="114" t="str" cm="1">
        <f t="array" aca="1" ref="L505" ca="1">IF(F505&lt;&gt;"",INDIRECT("'"&amp;F505&amp;"'!$F$17"),"")</f>
        <v/>
      </c>
      <c r="M505" s="116" t="str">
        <f t="shared" ca="1" si="22"/>
        <v/>
      </c>
      <c r="O505" s="49" t="str">
        <f t="shared" ca="1" si="23"/>
        <v/>
      </c>
      <c r="P505" s="38" t="str">
        <f>IF(E505&lt;&gt;"",RANK(E505,$E$3:$E$2298)+COUNTIF($E$3:E505,E505)-1,"")</f>
        <v/>
      </c>
    </row>
    <row r="506" spans="4:16" x14ac:dyDescent="0.25">
      <c r="D506" s="36" t="str" cm="1">
        <f t="array" aca="1" ref="D506" ca="1">IFERROR(IF(INDIRECT("'"&amp;F506&amp;"'!$C$5")&gt;0,DATE(YEAR(Dashboard!$AL$2),Dashboard!$AU$4,INDIRECT("'"&amp;F506&amp;"'!$C$5")),""),"")</f>
        <v/>
      </c>
      <c r="G506" s="38" t="str" cm="1">
        <f t="array" aca="1" ref="G506" ca="1">IF(F506="",
    "",
    IFERROR(
        IF(INDIRECT("'"&amp;F506&amp;"'!$B$2")="Credit Limit",
            "Credit Accounts",
            IF(INDIRECT("'"&amp;F506&amp;"'!$E$2")="Location",
                "Cash Accounts",
                IF(INDIRECT("'"&amp;F506&amp;"'!$B$2")="Amount",
                    "Investments",
                    "Bill Accounts"
                )
            )
        ),
    "")
)</f>
        <v/>
      </c>
      <c r="I506" s="46" t="str" cm="1">
        <f t="array" aca="1" ref="I506" ca="1">IF(F506&lt;&gt;"",IF(OR(G506="Bill Accounts",G506="Investments", G506="Cash Accounts"),INDIRECT("'"&amp;F506&amp;"'!$C$10"),INDIRECT("'"&amp;F506&amp;"'!$C$8")),"")</f>
        <v/>
      </c>
      <c r="K506" s="48">
        <f t="shared" si="24"/>
        <v>512</v>
      </c>
      <c r="L506" s="114" t="str" cm="1">
        <f t="array" aca="1" ref="L506" ca="1">IF(F506&lt;&gt;"",INDIRECT("'"&amp;F506&amp;"'!$F$17"),"")</f>
        <v/>
      </c>
      <c r="M506" s="116" t="str">
        <f t="shared" ca="1" si="22"/>
        <v/>
      </c>
      <c r="O506" s="49" t="str">
        <f t="shared" ca="1" si="23"/>
        <v/>
      </c>
      <c r="P506" s="38" t="str">
        <f>IF(E506&lt;&gt;"",RANK(E506,$E$3:$E$2298)+COUNTIF($E$3:E506,E506)-1,"")</f>
        <v/>
      </c>
    </row>
    <row r="507" spans="4:16" x14ac:dyDescent="0.25">
      <c r="D507" s="36" t="str" cm="1">
        <f t="array" aca="1" ref="D507" ca="1">IFERROR(IF(INDIRECT("'"&amp;F507&amp;"'!$C$5")&gt;0,DATE(YEAR(Dashboard!$AL$2),Dashboard!$AU$4,INDIRECT("'"&amp;F507&amp;"'!$C$5")),""),"")</f>
        <v/>
      </c>
      <c r="G507" s="38" t="str" cm="1">
        <f t="array" aca="1" ref="G507" ca="1">IF(F507="",
    "",
    IFERROR(
        IF(INDIRECT("'"&amp;F507&amp;"'!$B$2")="Credit Limit",
            "Credit Accounts",
            IF(INDIRECT("'"&amp;F507&amp;"'!$E$2")="Location",
                "Cash Accounts",
                IF(INDIRECT("'"&amp;F507&amp;"'!$B$2")="Amount",
                    "Investments",
                    "Bill Accounts"
                )
            )
        ),
    "")
)</f>
        <v/>
      </c>
      <c r="I507" s="46" t="str" cm="1">
        <f t="array" aca="1" ref="I507" ca="1">IF(F507&lt;&gt;"",IF(OR(G507="Bill Accounts",G507="Investments", G507="Cash Accounts"),INDIRECT("'"&amp;F507&amp;"'!$C$10"),INDIRECT("'"&amp;F507&amp;"'!$C$8")),"")</f>
        <v/>
      </c>
      <c r="K507" s="48">
        <f t="shared" si="24"/>
        <v>513</v>
      </c>
      <c r="L507" s="114" t="str" cm="1">
        <f t="array" aca="1" ref="L507" ca="1">IF(F507&lt;&gt;"",INDIRECT("'"&amp;F507&amp;"'!$F$17"),"")</f>
        <v/>
      </c>
      <c r="M507" s="116" t="str">
        <f t="shared" ca="1" si="22"/>
        <v/>
      </c>
      <c r="O507" s="49" t="str">
        <f t="shared" ca="1" si="23"/>
        <v/>
      </c>
      <c r="P507" s="38" t="str">
        <f>IF(E507&lt;&gt;"",RANK(E507,$E$3:$E$2298)+COUNTIF($E$3:E507,E507)-1,"")</f>
        <v/>
      </c>
    </row>
    <row r="508" spans="4:16" x14ac:dyDescent="0.25">
      <c r="D508" s="36" t="str" cm="1">
        <f t="array" aca="1" ref="D508" ca="1">IFERROR(IF(INDIRECT("'"&amp;F508&amp;"'!$C$5")&gt;0,DATE(YEAR(Dashboard!$AL$2),Dashboard!$AU$4,INDIRECT("'"&amp;F508&amp;"'!$C$5")),""),"")</f>
        <v/>
      </c>
      <c r="G508" s="38" t="str" cm="1">
        <f t="array" aca="1" ref="G508" ca="1">IF(F508="",
    "",
    IFERROR(
        IF(INDIRECT("'"&amp;F508&amp;"'!$B$2")="Credit Limit",
            "Credit Accounts",
            IF(INDIRECT("'"&amp;F508&amp;"'!$E$2")="Location",
                "Cash Accounts",
                IF(INDIRECT("'"&amp;F508&amp;"'!$B$2")="Amount",
                    "Investments",
                    "Bill Accounts"
                )
            )
        ),
    "")
)</f>
        <v/>
      </c>
      <c r="I508" s="46" t="str" cm="1">
        <f t="array" aca="1" ref="I508" ca="1">IF(F508&lt;&gt;"",IF(OR(G508="Bill Accounts",G508="Investments", G508="Cash Accounts"),INDIRECT("'"&amp;F508&amp;"'!$C$10"),INDIRECT("'"&amp;F508&amp;"'!$C$8")),"")</f>
        <v/>
      </c>
      <c r="K508" s="48">
        <f t="shared" si="24"/>
        <v>514</v>
      </c>
      <c r="L508" s="114" t="str" cm="1">
        <f t="array" aca="1" ref="L508" ca="1">IF(F508&lt;&gt;"",INDIRECT("'"&amp;F508&amp;"'!$F$17"),"")</f>
        <v/>
      </c>
      <c r="M508" s="116" t="str">
        <f t="shared" ca="1" si="22"/>
        <v/>
      </c>
      <c r="O508" s="49" t="str">
        <f t="shared" ca="1" si="23"/>
        <v/>
      </c>
      <c r="P508" s="38" t="str">
        <f>IF(E508&lt;&gt;"",RANK(E508,$E$3:$E$2298)+COUNTIF($E$3:E508,E508)-1,"")</f>
        <v/>
      </c>
    </row>
    <row r="509" spans="4:16" x14ac:dyDescent="0.25">
      <c r="D509" s="36" t="str" cm="1">
        <f t="array" aca="1" ref="D509" ca="1">IFERROR(IF(INDIRECT("'"&amp;F509&amp;"'!$C$5")&gt;0,DATE(YEAR(Dashboard!$AL$2),Dashboard!$AU$4,INDIRECT("'"&amp;F509&amp;"'!$C$5")),""),"")</f>
        <v/>
      </c>
      <c r="G509" s="38" t="str" cm="1">
        <f t="array" aca="1" ref="G509" ca="1">IF(F509="",
    "",
    IFERROR(
        IF(INDIRECT("'"&amp;F509&amp;"'!$B$2")="Credit Limit",
            "Credit Accounts",
            IF(INDIRECT("'"&amp;F509&amp;"'!$E$2")="Location",
                "Cash Accounts",
                IF(INDIRECT("'"&amp;F509&amp;"'!$B$2")="Amount",
                    "Investments",
                    "Bill Accounts"
                )
            )
        ),
    "")
)</f>
        <v/>
      </c>
      <c r="I509" s="46" t="str" cm="1">
        <f t="array" aca="1" ref="I509" ca="1">IF(F509&lt;&gt;"",IF(OR(G509="Bill Accounts",G509="Investments", G509="Cash Accounts"),INDIRECT("'"&amp;F509&amp;"'!$C$10"),INDIRECT("'"&amp;F509&amp;"'!$C$8")),"")</f>
        <v/>
      </c>
      <c r="K509" s="48">
        <f t="shared" si="24"/>
        <v>515</v>
      </c>
      <c r="L509" s="114" t="str" cm="1">
        <f t="array" aca="1" ref="L509" ca="1">IF(F509&lt;&gt;"",INDIRECT("'"&amp;F509&amp;"'!$F$17"),"")</f>
        <v/>
      </c>
      <c r="M509" s="116" t="str">
        <f t="shared" ca="1" si="22"/>
        <v/>
      </c>
      <c r="O509" s="49" t="str">
        <f t="shared" ca="1" si="23"/>
        <v/>
      </c>
      <c r="P509" s="38" t="str">
        <f>IF(E509&lt;&gt;"",RANK(E509,$E$3:$E$2298)+COUNTIF($E$3:E509,E509)-1,"")</f>
        <v/>
      </c>
    </row>
    <row r="510" spans="4:16" x14ac:dyDescent="0.25">
      <c r="D510" s="36" t="str" cm="1">
        <f t="array" aca="1" ref="D510" ca="1">IFERROR(IF(INDIRECT("'"&amp;F510&amp;"'!$C$5")&gt;0,DATE(YEAR(Dashboard!$AL$2),Dashboard!$AU$4,INDIRECT("'"&amp;F510&amp;"'!$C$5")),""),"")</f>
        <v/>
      </c>
      <c r="G510" s="38" t="str" cm="1">
        <f t="array" aca="1" ref="G510" ca="1">IF(F510="",
    "",
    IFERROR(
        IF(INDIRECT("'"&amp;F510&amp;"'!$B$2")="Credit Limit",
            "Credit Accounts",
            IF(INDIRECT("'"&amp;F510&amp;"'!$E$2")="Location",
                "Cash Accounts",
                IF(INDIRECT("'"&amp;F510&amp;"'!$B$2")="Amount",
                    "Investments",
                    "Bill Accounts"
                )
            )
        ),
    "")
)</f>
        <v/>
      </c>
      <c r="I510" s="46" t="str" cm="1">
        <f t="array" aca="1" ref="I510" ca="1">IF(F510&lt;&gt;"",IF(OR(G510="Bill Accounts",G510="Investments", G510="Cash Accounts"),INDIRECT("'"&amp;F510&amp;"'!$C$10"),INDIRECT("'"&amp;F510&amp;"'!$C$8")),"")</f>
        <v/>
      </c>
      <c r="K510" s="48">
        <f t="shared" si="24"/>
        <v>516</v>
      </c>
      <c r="L510" s="114" t="str" cm="1">
        <f t="array" aca="1" ref="L510" ca="1">IF(F510&lt;&gt;"",INDIRECT("'"&amp;F510&amp;"'!$F$17"),"")</f>
        <v/>
      </c>
      <c r="M510" s="116" t="str">
        <f t="shared" ca="1" si="22"/>
        <v/>
      </c>
      <c r="O510" s="49" t="str">
        <f t="shared" ca="1" si="23"/>
        <v/>
      </c>
      <c r="P510" s="38" t="str">
        <f>IF(E510&lt;&gt;"",RANK(E510,$E$3:$E$2298)+COUNTIF($E$3:E510,E510)-1,"")</f>
        <v/>
      </c>
    </row>
    <row r="511" spans="4:16" x14ac:dyDescent="0.25">
      <c r="D511" s="36" t="str" cm="1">
        <f t="array" aca="1" ref="D511" ca="1">IFERROR(IF(INDIRECT("'"&amp;F511&amp;"'!$C$5")&gt;0,DATE(YEAR(Dashboard!$AL$2),Dashboard!$AU$4,INDIRECT("'"&amp;F511&amp;"'!$C$5")),""),"")</f>
        <v/>
      </c>
      <c r="G511" s="38" t="str" cm="1">
        <f t="array" aca="1" ref="G511" ca="1">IF(F511="",
    "",
    IFERROR(
        IF(INDIRECT("'"&amp;F511&amp;"'!$B$2")="Credit Limit",
            "Credit Accounts",
            IF(INDIRECT("'"&amp;F511&amp;"'!$E$2")="Location",
                "Cash Accounts",
                IF(INDIRECT("'"&amp;F511&amp;"'!$B$2")="Amount",
                    "Investments",
                    "Bill Accounts"
                )
            )
        ),
    "")
)</f>
        <v/>
      </c>
      <c r="I511" s="46" t="str" cm="1">
        <f t="array" aca="1" ref="I511" ca="1">IF(F511&lt;&gt;"",IF(OR(G511="Bill Accounts",G511="Investments", G511="Cash Accounts"),INDIRECT("'"&amp;F511&amp;"'!$C$10"),INDIRECT("'"&amp;F511&amp;"'!$C$8")),"")</f>
        <v/>
      </c>
      <c r="K511" s="48">
        <f t="shared" si="24"/>
        <v>517</v>
      </c>
      <c r="L511" s="114" t="str" cm="1">
        <f t="array" aca="1" ref="L511" ca="1">IF(F511&lt;&gt;"",INDIRECT("'"&amp;F511&amp;"'!$F$17"),"")</f>
        <v/>
      </c>
      <c r="M511" s="116" t="str">
        <f t="shared" ca="1" si="22"/>
        <v/>
      </c>
      <c r="O511" s="49" t="str">
        <f t="shared" ca="1" si="23"/>
        <v/>
      </c>
      <c r="P511" s="38" t="str">
        <f>IF(E511&lt;&gt;"",RANK(E511,$E$3:$E$2298)+COUNTIF($E$3:E511,E511)-1,"")</f>
        <v/>
      </c>
    </row>
    <row r="512" spans="4:16" x14ac:dyDescent="0.25">
      <c r="D512" s="36" t="str" cm="1">
        <f t="array" aca="1" ref="D512" ca="1">IFERROR(IF(INDIRECT("'"&amp;F512&amp;"'!$C$5")&gt;0,DATE(YEAR(Dashboard!$AL$2),Dashboard!$AU$4,INDIRECT("'"&amp;F512&amp;"'!$C$5")),""),"")</f>
        <v/>
      </c>
      <c r="G512" s="38" t="str" cm="1">
        <f t="array" aca="1" ref="G512" ca="1">IF(F512="",
    "",
    IFERROR(
        IF(INDIRECT("'"&amp;F512&amp;"'!$B$2")="Credit Limit",
            "Credit Accounts",
            IF(INDIRECT("'"&amp;F512&amp;"'!$E$2")="Location",
                "Cash Accounts",
                IF(INDIRECT("'"&amp;F512&amp;"'!$B$2")="Amount",
                    "Investments",
                    "Bill Accounts"
                )
            )
        ),
    "")
)</f>
        <v/>
      </c>
      <c r="I512" s="46" t="str" cm="1">
        <f t="array" aca="1" ref="I512" ca="1">IF(F512&lt;&gt;"",IF(OR(G512="Bill Accounts",G512="Investments", G512="Cash Accounts"),INDIRECT("'"&amp;F512&amp;"'!$C$10"),INDIRECT("'"&amp;F512&amp;"'!$C$8")),"")</f>
        <v/>
      </c>
      <c r="K512" s="48">
        <f t="shared" si="24"/>
        <v>518</v>
      </c>
      <c r="L512" s="114" t="str" cm="1">
        <f t="array" aca="1" ref="L512" ca="1">IF(F512&lt;&gt;"",INDIRECT("'"&amp;F512&amp;"'!$F$17"),"")</f>
        <v/>
      </c>
      <c r="M512" s="116" t="str">
        <f t="shared" ca="1" si="22"/>
        <v/>
      </c>
      <c r="O512" s="49" t="str">
        <f t="shared" ca="1" si="23"/>
        <v/>
      </c>
      <c r="P512" s="38" t="str">
        <f>IF(E512&lt;&gt;"",RANK(E512,$E$3:$E$2298)+COUNTIF($E$3:E512,E512)-1,"")</f>
        <v/>
      </c>
    </row>
    <row r="513" spans="4:16" x14ac:dyDescent="0.25">
      <c r="D513" s="36" t="str" cm="1">
        <f t="array" aca="1" ref="D513" ca="1">IFERROR(IF(INDIRECT("'"&amp;F513&amp;"'!$C$5")&gt;0,DATE(YEAR(Dashboard!$AL$2),Dashboard!$AU$4,INDIRECT("'"&amp;F513&amp;"'!$C$5")),""),"")</f>
        <v/>
      </c>
      <c r="G513" s="38" t="str" cm="1">
        <f t="array" aca="1" ref="G513" ca="1">IF(F513="",
    "",
    IFERROR(
        IF(INDIRECT("'"&amp;F513&amp;"'!$B$2")="Credit Limit",
            "Credit Accounts",
            IF(INDIRECT("'"&amp;F513&amp;"'!$E$2")="Location",
                "Cash Accounts",
                IF(INDIRECT("'"&amp;F513&amp;"'!$B$2")="Amount",
                    "Investments",
                    "Bill Accounts"
                )
            )
        ),
    "")
)</f>
        <v/>
      </c>
      <c r="I513" s="46" t="str" cm="1">
        <f t="array" aca="1" ref="I513" ca="1">IF(F513&lt;&gt;"",IF(OR(G513="Bill Accounts",G513="Investments", G513="Cash Accounts"),INDIRECT("'"&amp;F513&amp;"'!$C$10"),INDIRECT("'"&amp;F513&amp;"'!$C$8")),"")</f>
        <v/>
      </c>
      <c r="K513" s="48">
        <f t="shared" si="24"/>
        <v>519</v>
      </c>
      <c r="L513" s="114" t="str" cm="1">
        <f t="array" aca="1" ref="L513" ca="1">IF(F513&lt;&gt;"",INDIRECT("'"&amp;F513&amp;"'!$F$17"),"")</f>
        <v/>
      </c>
      <c r="M513" s="116" t="str">
        <f t="shared" ca="1" si="22"/>
        <v/>
      </c>
      <c r="O513" s="49" t="str">
        <f t="shared" ca="1" si="23"/>
        <v/>
      </c>
      <c r="P513" s="38" t="str">
        <f>IF(E513&lt;&gt;"",RANK(E513,$E$3:$E$2298)+COUNTIF($E$3:E513,E513)-1,"")</f>
        <v/>
      </c>
    </row>
    <row r="514" spans="4:16" x14ac:dyDescent="0.25">
      <c r="D514" s="36" t="str" cm="1">
        <f t="array" aca="1" ref="D514" ca="1">IFERROR(IF(INDIRECT("'"&amp;F514&amp;"'!$C$5")&gt;0,DATE(YEAR(Dashboard!$AL$2),Dashboard!$AU$4,INDIRECT("'"&amp;F514&amp;"'!$C$5")),""),"")</f>
        <v/>
      </c>
      <c r="G514" s="38" t="str" cm="1">
        <f t="array" aca="1" ref="G514" ca="1">IF(F514="",
    "",
    IFERROR(
        IF(INDIRECT("'"&amp;F514&amp;"'!$B$2")="Credit Limit",
            "Credit Accounts",
            IF(INDIRECT("'"&amp;F514&amp;"'!$E$2")="Location",
                "Cash Accounts",
                IF(INDIRECT("'"&amp;F514&amp;"'!$B$2")="Amount",
                    "Investments",
                    "Bill Accounts"
                )
            )
        ),
    "")
)</f>
        <v/>
      </c>
      <c r="I514" s="46" t="str" cm="1">
        <f t="array" aca="1" ref="I514" ca="1">IF(F514&lt;&gt;"",IF(OR(G514="Bill Accounts",G514="Investments", G514="Cash Accounts"),INDIRECT("'"&amp;F514&amp;"'!$C$10"),INDIRECT("'"&amp;F514&amp;"'!$C$8")),"")</f>
        <v/>
      </c>
      <c r="K514" s="48">
        <f t="shared" si="24"/>
        <v>520</v>
      </c>
      <c r="L514" s="114" t="str" cm="1">
        <f t="array" aca="1" ref="L514" ca="1">IF(F514&lt;&gt;"",INDIRECT("'"&amp;F514&amp;"'!$F$17"),"")</f>
        <v/>
      </c>
      <c r="M514" s="116" t="str">
        <f t="shared" ca="1" si="22"/>
        <v/>
      </c>
      <c r="O514" s="49" t="str">
        <f t="shared" ca="1" si="23"/>
        <v/>
      </c>
      <c r="P514" s="38" t="str">
        <f>IF(E514&lt;&gt;"",RANK(E514,$E$3:$E$2298)+COUNTIF($E$3:E514,E514)-1,"")</f>
        <v/>
      </c>
    </row>
    <row r="515" spans="4:16" x14ac:dyDescent="0.25">
      <c r="D515" s="36" t="str" cm="1">
        <f t="array" aca="1" ref="D515" ca="1">IFERROR(IF(INDIRECT("'"&amp;F515&amp;"'!$C$5")&gt;0,DATE(YEAR(Dashboard!$AL$2),Dashboard!$AU$4,INDIRECT("'"&amp;F515&amp;"'!$C$5")),""),"")</f>
        <v/>
      </c>
      <c r="G515" s="38" t="str" cm="1">
        <f t="array" aca="1" ref="G515" ca="1">IF(F515="",
    "",
    IFERROR(
        IF(INDIRECT("'"&amp;F515&amp;"'!$B$2")="Credit Limit",
            "Credit Accounts",
            IF(INDIRECT("'"&amp;F515&amp;"'!$E$2")="Location",
                "Cash Accounts",
                IF(INDIRECT("'"&amp;F515&amp;"'!$B$2")="Amount",
                    "Investments",
                    "Bill Accounts"
                )
            )
        ),
    "")
)</f>
        <v/>
      </c>
      <c r="I515" s="46" t="str" cm="1">
        <f t="array" aca="1" ref="I515" ca="1">IF(F515&lt;&gt;"",IF(OR(G515="Bill Accounts",G515="Investments", G515="Cash Accounts"),INDIRECT("'"&amp;F515&amp;"'!$C$10"),INDIRECT("'"&amp;F515&amp;"'!$C$8")),"")</f>
        <v/>
      </c>
      <c r="K515" s="48">
        <f t="shared" si="24"/>
        <v>521</v>
      </c>
      <c r="L515" s="114" t="str" cm="1">
        <f t="array" aca="1" ref="L515" ca="1">IF(F515&lt;&gt;"",INDIRECT("'"&amp;F515&amp;"'!$F$17"),"")</f>
        <v/>
      </c>
      <c r="M515" s="116" t="str">
        <f t="shared" ca="1" si="22"/>
        <v/>
      </c>
      <c r="O515" s="49" t="str">
        <f t="shared" ca="1" si="23"/>
        <v/>
      </c>
      <c r="P515" s="38" t="str">
        <f>IF(E515&lt;&gt;"",RANK(E515,$E$3:$E$2298)+COUNTIF($E$3:E515,E515)-1,"")</f>
        <v/>
      </c>
    </row>
    <row r="516" spans="4:16" x14ac:dyDescent="0.25">
      <c r="D516" s="36" t="str" cm="1">
        <f t="array" aca="1" ref="D516" ca="1">IFERROR(IF(INDIRECT("'"&amp;F516&amp;"'!$C$5")&gt;0,DATE(YEAR(Dashboard!$AL$2),Dashboard!$AU$4,INDIRECT("'"&amp;F516&amp;"'!$C$5")),""),"")</f>
        <v/>
      </c>
      <c r="G516" s="38" t="str" cm="1">
        <f t="array" aca="1" ref="G516" ca="1">IF(F516="",
    "",
    IFERROR(
        IF(INDIRECT("'"&amp;F516&amp;"'!$B$2")="Credit Limit",
            "Credit Accounts",
            IF(INDIRECT("'"&amp;F516&amp;"'!$E$2")="Location",
                "Cash Accounts",
                IF(INDIRECT("'"&amp;F516&amp;"'!$B$2")="Amount",
                    "Investments",
                    "Bill Accounts"
                )
            )
        ),
    "")
)</f>
        <v/>
      </c>
      <c r="I516" s="46" t="str" cm="1">
        <f t="array" aca="1" ref="I516" ca="1">IF(F516&lt;&gt;"",IF(OR(G516="Bill Accounts",G516="Investments", G516="Cash Accounts"),INDIRECT("'"&amp;F516&amp;"'!$C$10"),INDIRECT("'"&amp;F516&amp;"'!$C$8")),"")</f>
        <v/>
      </c>
      <c r="K516" s="48">
        <f t="shared" si="24"/>
        <v>522</v>
      </c>
      <c r="L516" s="114" t="str" cm="1">
        <f t="array" aca="1" ref="L516" ca="1">IF(F516&lt;&gt;"",INDIRECT("'"&amp;F516&amp;"'!$F$17"),"")</f>
        <v/>
      </c>
      <c r="M516" s="116" t="str">
        <f t="shared" ref="M516:M579" ca="1" si="25">IF(G516="Credit Accounts",EDATE(TODAY(),INDIRECT("'"&amp;F516&amp;"'!$C$14")),"")</f>
        <v/>
      </c>
      <c r="O516" s="49" t="str">
        <f t="shared" ref="O516:O579" ca="1" si="26">IF(D516&lt;&gt;"",DAY(D516),"")</f>
        <v/>
      </c>
      <c r="P516" s="38" t="str">
        <f>IF(E516&lt;&gt;"",RANK(E516,$E$3:$E$2298)+COUNTIF($E$3:E516,E516)-1,"")</f>
        <v/>
      </c>
    </row>
    <row r="517" spans="4:16" x14ac:dyDescent="0.25">
      <c r="D517" s="36" t="str" cm="1">
        <f t="array" aca="1" ref="D517" ca="1">IFERROR(IF(INDIRECT("'"&amp;F517&amp;"'!$C$5")&gt;0,DATE(YEAR(Dashboard!$AL$2),Dashboard!$AU$4,INDIRECT("'"&amp;F517&amp;"'!$C$5")),""),"")</f>
        <v/>
      </c>
      <c r="G517" s="38" t="str" cm="1">
        <f t="array" aca="1" ref="G517" ca="1">IF(F517="",
    "",
    IFERROR(
        IF(INDIRECT("'"&amp;F517&amp;"'!$B$2")="Credit Limit",
            "Credit Accounts",
            IF(INDIRECT("'"&amp;F517&amp;"'!$E$2")="Location",
                "Cash Accounts",
                IF(INDIRECT("'"&amp;F517&amp;"'!$B$2")="Amount",
                    "Investments",
                    "Bill Accounts"
                )
            )
        ),
    "")
)</f>
        <v/>
      </c>
      <c r="I517" s="46" t="str" cm="1">
        <f t="array" aca="1" ref="I517" ca="1">IF(F517&lt;&gt;"",IF(OR(G517="Bill Accounts",G517="Investments", G517="Cash Accounts"),INDIRECT("'"&amp;F517&amp;"'!$C$10"),INDIRECT("'"&amp;F517&amp;"'!$C$8")),"")</f>
        <v/>
      </c>
      <c r="K517" s="48">
        <f t="shared" si="24"/>
        <v>523</v>
      </c>
      <c r="L517" s="114" t="str" cm="1">
        <f t="array" aca="1" ref="L517" ca="1">IF(F517&lt;&gt;"",INDIRECT("'"&amp;F517&amp;"'!$F$17"),"")</f>
        <v/>
      </c>
      <c r="M517" s="116" t="str">
        <f t="shared" ca="1" si="25"/>
        <v/>
      </c>
      <c r="O517" s="49" t="str">
        <f t="shared" ca="1" si="26"/>
        <v/>
      </c>
      <c r="P517" s="38" t="str">
        <f>IF(E517&lt;&gt;"",RANK(E517,$E$3:$E$2298)+COUNTIF($E$3:E517,E517)-1,"")</f>
        <v/>
      </c>
    </row>
    <row r="518" spans="4:16" x14ac:dyDescent="0.25">
      <c r="D518" s="36" t="str" cm="1">
        <f t="array" aca="1" ref="D518" ca="1">IFERROR(IF(INDIRECT("'"&amp;F518&amp;"'!$C$5")&gt;0,DATE(YEAR(Dashboard!$AL$2),Dashboard!$AU$4,INDIRECT("'"&amp;F518&amp;"'!$C$5")),""),"")</f>
        <v/>
      </c>
      <c r="G518" s="38" t="str" cm="1">
        <f t="array" aca="1" ref="G518" ca="1">IF(F518="",
    "",
    IFERROR(
        IF(INDIRECT("'"&amp;F518&amp;"'!$B$2")="Credit Limit",
            "Credit Accounts",
            IF(INDIRECT("'"&amp;F518&amp;"'!$E$2")="Location",
                "Cash Accounts",
                IF(INDIRECT("'"&amp;F518&amp;"'!$B$2")="Amount",
                    "Investments",
                    "Bill Accounts"
                )
            )
        ),
    "")
)</f>
        <v/>
      </c>
      <c r="I518" s="46" t="str" cm="1">
        <f t="array" aca="1" ref="I518" ca="1">IF(F518&lt;&gt;"",IF(OR(G518="Bill Accounts",G518="Investments", G518="Cash Accounts"),INDIRECT("'"&amp;F518&amp;"'!$C$10"),INDIRECT("'"&amp;F518&amp;"'!$C$8")),"")</f>
        <v/>
      </c>
      <c r="K518" s="48">
        <f t="shared" si="24"/>
        <v>524</v>
      </c>
      <c r="L518" s="114" t="str" cm="1">
        <f t="array" aca="1" ref="L518" ca="1">IF(F518&lt;&gt;"",INDIRECT("'"&amp;F518&amp;"'!$F$17"),"")</f>
        <v/>
      </c>
      <c r="M518" s="116" t="str">
        <f t="shared" ca="1" si="25"/>
        <v/>
      </c>
      <c r="O518" s="49" t="str">
        <f t="shared" ca="1" si="26"/>
        <v/>
      </c>
      <c r="P518" s="38" t="str">
        <f>IF(E518&lt;&gt;"",RANK(E518,$E$3:$E$2298)+COUNTIF($E$3:E518,E518)-1,"")</f>
        <v/>
      </c>
    </row>
    <row r="519" spans="4:16" x14ac:dyDescent="0.25">
      <c r="D519" s="36" t="str" cm="1">
        <f t="array" aca="1" ref="D519" ca="1">IFERROR(IF(INDIRECT("'"&amp;F519&amp;"'!$C$5")&gt;0,DATE(YEAR(Dashboard!$AL$2),Dashboard!$AU$4,INDIRECT("'"&amp;F519&amp;"'!$C$5")),""),"")</f>
        <v/>
      </c>
      <c r="G519" s="38" t="str" cm="1">
        <f t="array" aca="1" ref="G519" ca="1">IF(F519="",
    "",
    IFERROR(
        IF(INDIRECT("'"&amp;F519&amp;"'!$B$2")="Credit Limit",
            "Credit Accounts",
            IF(INDIRECT("'"&amp;F519&amp;"'!$E$2")="Location",
                "Cash Accounts",
                IF(INDIRECT("'"&amp;F519&amp;"'!$B$2")="Amount",
                    "Investments",
                    "Bill Accounts"
                )
            )
        ),
    "")
)</f>
        <v/>
      </c>
      <c r="I519" s="46" t="str" cm="1">
        <f t="array" aca="1" ref="I519" ca="1">IF(F519&lt;&gt;"",IF(OR(G519="Bill Accounts",G519="Investments", G519="Cash Accounts"),INDIRECT("'"&amp;F519&amp;"'!$C$10"),INDIRECT("'"&amp;F519&amp;"'!$C$8")),"")</f>
        <v/>
      </c>
      <c r="K519" s="48">
        <f t="shared" si="24"/>
        <v>525</v>
      </c>
      <c r="L519" s="114" t="str" cm="1">
        <f t="array" aca="1" ref="L519" ca="1">IF(F519&lt;&gt;"",INDIRECT("'"&amp;F519&amp;"'!$F$17"),"")</f>
        <v/>
      </c>
      <c r="M519" s="116" t="str">
        <f t="shared" ca="1" si="25"/>
        <v/>
      </c>
      <c r="O519" s="49" t="str">
        <f t="shared" ca="1" si="26"/>
        <v/>
      </c>
      <c r="P519" s="38" t="str">
        <f>IF(E519&lt;&gt;"",RANK(E519,$E$3:$E$2298)+COUNTIF($E$3:E519,E519)-1,"")</f>
        <v/>
      </c>
    </row>
    <row r="520" spans="4:16" x14ac:dyDescent="0.25">
      <c r="D520" s="36" t="str" cm="1">
        <f t="array" aca="1" ref="D520" ca="1">IFERROR(IF(INDIRECT("'"&amp;F520&amp;"'!$C$5")&gt;0,DATE(YEAR(Dashboard!$AL$2),Dashboard!$AU$4,INDIRECT("'"&amp;F520&amp;"'!$C$5")),""),"")</f>
        <v/>
      </c>
      <c r="G520" s="38" t="str" cm="1">
        <f t="array" aca="1" ref="G520" ca="1">IF(F520="",
    "",
    IFERROR(
        IF(INDIRECT("'"&amp;F520&amp;"'!$B$2")="Credit Limit",
            "Credit Accounts",
            IF(INDIRECT("'"&amp;F520&amp;"'!$E$2")="Location",
                "Cash Accounts",
                IF(INDIRECT("'"&amp;F520&amp;"'!$B$2")="Amount",
                    "Investments",
                    "Bill Accounts"
                )
            )
        ),
    "")
)</f>
        <v/>
      </c>
      <c r="I520" s="46" t="str" cm="1">
        <f t="array" aca="1" ref="I520" ca="1">IF(F520&lt;&gt;"",IF(OR(G520="Bill Accounts",G520="Investments", G520="Cash Accounts"),INDIRECT("'"&amp;F520&amp;"'!$C$10"),INDIRECT("'"&amp;F520&amp;"'!$C$8")),"")</f>
        <v/>
      </c>
      <c r="K520" s="48">
        <f t="shared" ref="K520:K583" si="27">SUM(K519+1)</f>
        <v>526</v>
      </c>
      <c r="L520" s="114" t="str" cm="1">
        <f t="array" aca="1" ref="L520" ca="1">IF(F520&lt;&gt;"",INDIRECT("'"&amp;F520&amp;"'!$F$17"),"")</f>
        <v/>
      </c>
      <c r="M520" s="116" t="str">
        <f t="shared" ca="1" si="25"/>
        <v/>
      </c>
      <c r="O520" s="49" t="str">
        <f t="shared" ca="1" si="26"/>
        <v/>
      </c>
      <c r="P520" s="38" t="str">
        <f>IF(E520&lt;&gt;"",RANK(E520,$E$3:$E$2298)+COUNTIF($E$3:E520,E520)-1,"")</f>
        <v/>
      </c>
    </row>
    <row r="521" spans="4:16" x14ac:dyDescent="0.25">
      <c r="D521" s="36" t="str" cm="1">
        <f t="array" aca="1" ref="D521" ca="1">IFERROR(IF(INDIRECT("'"&amp;F521&amp;"'!$C$5")&gt;0,DATE(YEAR(Dashboard!$AL$2),Dashboard!$AU$4,INDIRECT("'"&amp;F521&amp;"'!$C$5")),""),"")</f>
        <v/>
      </c>
      <c r="G521" s="38" t="str" cm="1">
        <f t="array" aca="1" ref="G521" ca="1">IF(F521="",
    "",
    IFERROR(
        IF(INDIRECT("'"&amp;F521&amp;"'!$B$2")="Credit Limit",
            "Credit Accounts",
            IF(INDIRECT("'"&amp;F521&amp;"'!$E$2")="Location",
                "Cash Accounts",
                IF(INDIRECT("'"&amp;F521&amp;"'!$B$2")="Amount",
                    "Investments",
                    "Bill Accounts"
                )
            )
        ),
    "")
)</f>
        <v/>
      </c>
      <c r="I521" s="46" t="str" cm="1">
        <f t="array" aca="1" ref="I521" ca="1">IF(F521&lt;&gt;"",IF(OR(G521="Bill Accounts",G521="Investments", G521="Cash Accounts"),INDIRECT("'"&amp;F521&amp;"'!$C$10"),INDIRECT("'"&amp;F521&amp;"'!$C$8")),"")</f>
        <v/>
      </c>
      <c r="K521" s="48">
        <f t="shared" si="27"/>
        <v>527</v>
      </c>
      <c r="L521" s="114" t="str" cm="1">
        <f t="array" aca="1" ref="L521" ca="1">IF(F521&lt;&gt;"",INDIRECT("'"&amp;F521&amp;"'!$F$17"),"")</f>
        <v/>
      </c>
      <c r="M521" s="116" t="str">
        <f t="shared" ca="1" si="25"/>
        <v/>
      </c>
      <c r="O521" s="49" t="str">
        <f t="shared" ca="1" si="26"/>
        <v/>
      </c>
      <c r="P521" s="38" t="str">
        <f>IF(E521&lt;&gt;"",RANK(E521,$E$3:$E$2298)+COUNTIF($E$3:E521,E521)-1,"")</f>
        <v/>
      </c>
    </row>
    <row r="522" spans="4:16" x14ac:dyDescent="0.25">
      <c r="D522" s="36" t="str" cm="1">
        <f t="array" aca="1" ref="D522" ca="1">IFERROR(IF(INDIRECT("'"&amp;F522&amp;"'!$C$5")&gt;0,DATE(YEAR(Dashboard!$AL$2),Dashboard!$AU$4,INDIRECT("'"&amp;F522&amp;"'!$C$5")),""),"")</f>
        <v/>
      </c>
      <c r="G522" s="38" t="str" cm="1">
        <f t="array" aca="1" ref="G522" ca="1">IF(F522="",
    "",
    IFERROR(
        IF(INDIRECT("'"&amp;F522&amp;"'!$B$2")="Credit Limit",
            "Credit Accounts",
            IF(INDIRECT("'"&amp;F522&amp;"'!$E$2")="Location",
                "Cash Accounts",
                IF(INDIRECT("'"&amp;F522&amp;"'!$B$2")="Amount",
                    "Investments",
                    "Bill Accounts"
                )
            )
        ),
    "")
)</f>
        <v/>
      </c>
      <c r="I522" s="46" t="str" cm="1">
        <f t="array" aca="1" ref="I522" ca="1">IF(F522&lt;&gt;"",IF(OR(G522="Bill Accounts",G522="Investments", G522="Cash Accounts"),INDIRECT("'"&amp;F522&amp;"'!$C$10"),INDIRECT("'"&amp;F522&amp;"'!$C$8")),"")</f>
        <v/>
      </c>
      <c r="K522" s="48">
        <f t="shared" si="27"/>
        <v>528</v>
      </c>
      <c r="L522" s="114" t="str" cm="1">
        <f t="array" aca="1" ref="L522" ca="1">IF(F522&lt;&gt;"",INDIRECT("'"&amp;F522&amp;"'!$F$17"),"")</f>
        <v/>
      </c>
      <c r="M522" s="116" t="str">
        <f t="shared" ca="1" si="25"/>
        <v/>
      </c>
      <c r="O522" s="49" t="str">
        <f t="shared" ca="1" si="26"/>
        <v/>
      </c>
      <c r="P522" s="38" t="str">
        <f>IF(E522&lt;&gt;"",RANK(E522,$E$3:$E$2298)+COUNTIF($E$3:E522,E522)-1,"")</f>
        <v/>
      </c>
    </row>
    <row r="523" spans="4:16" x14ac:dyDescent="0.25">
      <c r="D523" s="36" t="str" cm="1">
        <f t="array" aca="1" ref="D523" ca="1">IFERROR(IF(INDIRECT("'"&amp;F523&amp;"'!$C$5")&gt;0,DATE(YEAR(Dashboard!$AL$2),Dashboard!$AU$4,INDIRECT("'"&amp;F523&amp;"'!$C$5")),""),"")</f>
        <v/>
      </c>
      <c r="G523" s="38" t="str" cm="1">
        <f t="array" aca="1" ref="G523" ca="1">IF(F523="",
    "",
    IFERROR(
        IF(INDIRECT("'"&amp;F523&amp;"'!$B$2")="Credit Limit",
            "Credit Accounts",
            IF(INDIRECT("'"&amp;F523&amp;"'!$E$2")="Location",
                "Cash Accounts",
                IF(INDIRECT("'"&amp;F523&amp;"'!$B$2")="Amount",
                    "Investments",
                    "Bill Accounts"
                )
            )
        ),
    "")
)</f>
        <v/>
      </c>
      <c r="I523" s="46" t="str" cm="1">
        <f t="array" aca="1" ref="I523" ca="1">IF(F523&lt;&gt;"",IF(OR(G523="Bill Accounts",G523="Investments", G523="Cash Accounts"),INDIRECT("'"&amp;F523&amp;"'!$C$10"),INDIRECT("'"&amp;F523&amp;"'!$C$8")),"")</f>
        <v/>
      </c>
      <c r="K523" s="48">
        <f t="shared" si="27"/>
        <v>529</v>
      </c>
      <c r="L523" s="114" t="str" cm="1">
        <f t="array" aca="1" ref="L523" ca="1">IF(F523&lt;&gt;"",INDIRECT("'"&amp;F523&amp;"'!$F$17"),"")</f>
        <v/>
      </c>
      <c r="M523" s="116" t="str">
        <f t="shared" ca="1" si="25"/>
        <v/>
      </c>
      <c r="O523" s="49" t="str">
        <f t="shared" ca="1" si="26"/>
        <v/>
      </c>
      <c r="P523" s="38" t="str">
        <f>IF(E523&lt;&gt;"",RANK(E523,$E$3:$E$2298)+COUNTIF($E$3:E523,E523)-1,"")</f>
        <v/>
      </c>
    </row>
    <row r="524" spans="4:16" x14ac:dyDescent="0.25">
      <c r="D524" s="36" t="str" cm="1">
        <f t="array" aca="1" ref="D524" ca="1">IFERROR(IF(INDIRECT("'"&amp;F524&amp;"'!$C$5")&gt;0,DATE(YEAR(Dashboard!$AL$2),Dashboard!$AU$4,INDIRECT("'"&amp;F524&amp;"'!$C$5")),""),"")</f>
        <v/>
      </c>
      <c r="G524" s="38" t="str" cm="1">
        <f t="array" aca="1" ref="G524" ca="1">IF(F524="",
    "",
    IFERROR(
        IF(INDIRECT("'"&amp;F524&amp;"'!$B$2")="Credit Limit",
            "Credit Accounts",
            IF(INDIRECT("'"&amp;F524&amp;"'!$E$2")="Location",
                "Cash Accounts",
                IF(INDIRECT("'"&amp;F524&amp;"'!$B$2")="Amount",
                    "Investments",
                    "Bill Accounts"
                )
            )
        ),
    "")
)</f>
        <v/>
      </c>
      <c r="I524" s="46" t="str" cm="1">
        <f t="array" aca="1" ref="I524" ca="1">IF(F524&lt;&gt;"",IF(OR(G524="Bill Accounts",G524="Investments", G524="Cash Accounts"),INDIRECT("'"&amp;F524&amp;"'!$C$10"),INDIRECT("'"&amp;F524&amp;"'!$C$8")),"")</f>
        <v/>
      </c>
      <c r="K524" s="48">
        <f t="shared" si="27"/>
        <v>530</v>
      </c>
      <c r="L524" s="114" t="str" cm="1">
        <f t="array" aca="1" ref="L524" ca="1">IF(F524&lt;&gt;"",INDIRECT("'"&amp;F524&amp;"'!$F$17"),"")</f>
        <v/>
      </c>
      <c r="M524" s="116" t="str">
        <f t="shared" ca="1" si="25"/>
        <v/>
      </c>
      <c r="O524" s="49" t="str">
        <f t="shared" ca="1" si="26"/>
        <v/>
      </c>
      <c r="P524" s="38" t="str">
        <f>IF(E524&lt;&gt;"",RANK(E524,$E$3:$E$2298)+COUNTIF($E$3:E524,E524)-1,"")</f>
        <v/>
      </c>
    </row>
    <row r="525" spans="4:16" x14ac:dyDescent="0.25">
      <c r="D525" s="36" t="str" cm="1">
        <f t="array" aca="1" ref="D525" ca="1">IFERROR(IF(INDIRECT("'"&amp;F525&amp;"'!$C$5")&gt;0,DATE(YEAR(Dashboard!$AL$2),Dashboard!$AU$4,INDIRECT("'"&amp;F525&amp;"'!$C$5")),""),"")</f>
        <v/>
      </c>
      <c r="G525" s="38" t="str" cm="1">
        <f t="array" aca="1" ref="G525" ca="1">IF(F525="",
    "",
    IFERROR(
        IF(INDIRECT("'"&amp;F525&amp;"'!$B$2")="Credit Limit",
            "Credit Accounts",
            IF(INDIRECT("'"&amp;F525&amp;"'!$E$2")="Location",
                "Cash Accounts",
                IF(INDIRECT("'"&amp;F525&amp;"'!$B$2")="Amount",
                    "Investments",
                    "Bill Accounts"
                )
            )
        ),
    "")
)</f>
        <v/>
      </c>
      <c r="I525" s="46" t="str" cm="1">
        <f t="array" aca="1" ref="I525" ca="1">IF(F525&lt;&gt;"",IF(OR(G525="Bill Accounts",G525="Investments", G525="Cash Accounts"),INDIRECT("'"&amp;F525&amp;"'!$C$10"),INDIRECT("'"&amp;F525&amp;"'!$C$8")),"")</f>
        <v/>
      </c>
      <c r="K525" s="48">
        <f t="shared" si="27"/>
        <v>531</v>
      </c>
      <c r="L525" s="114" t="str" cm="1">
        <f t="array" aca="1" ref="L525" ca="1">IF(F525&lt;&gt;"",INDIRECT("'"&amp;F525&amp;"'!$F$17"),"")</f>
        <v/>
      </c>
      <c r="M525" s="116" t="str">
        <f t="shared" ca="1" si="25"/>
        <v/>
      </c>
      <c r="O525" s="49" t="str">
        <f t="shared" ca="1" si="26"/>
        <v/>
      </c>
      <c r="P525" s="38" t="str">
        <f>IF(E525&lt;&gt;"",RANK(E525,$E$3:$E$2298)+COUNTIF($E$3:E525,E525)-1,"")</f>
        <v/>
      </c>
    </row>
    <row r="526" spans="4:16" x14ac:dyDescent="0.25">
      <c r="D526" s="36" t="str" cm="1">
        <f t="array" aca="1" ref="D526" ca="1">IFERROR(IF(INDIRECT("'"&amp;F526&amp;"'!$C$5")&gt;0,DATE(YEAR(Dashboard!$AL$2),Dashboard!$AU$4,INDIRECT("'"&amp;F526&amp;"'!$C$5")),""),"")</f>
        <v/>
      </c>
      <c r="G526" s="38" t="str" cm="1">
        <f t="array" aca="1" ref="G526" ca="1">IF(F526="",
    "",
    IFERROR(
        IF(INDIRECT("'"&amp;F526&amp;"'!$B$2")="Credit Limit",
            "Credit Accounts",
            IF(INDIRECT("'"&amp;F526&amp;"'!$E$2")="Location",
                "Cash Accounts",
                IF(INDIRECT("'"&amp;F526&amp;"'!$B$2")="Amount",
                    "Investments",
                    "Bill Accounts"
                )
            )
        ),
    "")
)</f>
        <v/>
      </c>
      <c r="I526" s="46" t="str" cm="1">
        <f t="array" aca="1" ref="I526" ca="1">IF(F526&lt;&gt;"",IF(OR(G526="Bill Accounts",G526="Investments", G526="Cash Accounts"),INDIRECT("'"&amp;F526&amp;"'!$C$10"),INDIRECT("'"&amp;F526&amp;"'!$C$8")),"")</f>
        <v/>
      </c>
      <c r="K526" s="48">
        <f t="shared" si="27"/>
        <v>532</v>
      </c>
      <c r="L526" s="114" t="str" cm="1">
        <f t="array" aca="1" ref="L526" ca="1">IF(F526&lt;&gt;"",INDIRECT("'"&amp;F526&amp;"'!$F$17"),"")</f>
        <v/>
      </c>
      <c r="M526" s="116" t="str">
        <f t="shared" ca="1" si="25"/>
        <v/>
      </c>
      <c r="O526" s="49" t="str">
        <f t="shared" ca="1" si="26"/>
        <v/>
      </c>
      <c r="P526" s="38" t="str">
        <f>IF(E526&lt;&gt;"",RANK(E526,$E$3:$E$2298)+COUNTIF($E$3:E526,E526)-1,"")</f>
        <v/>
      </c>
    </row>
    <row r="527" spans="4:16" x14ac:dyDescent="0.25">
      <c r="D527" s="36" t="str" cm="1">
        <f t="array" aca="1" ref="D527" ca="1">IFERROR(IF(INDIRECT("'"&amp;F527&amp;"'!$C$5")&gt;0,DATE(YEAR(Dashboard!$AL$2),Dashboard!$AU$4,INDIRECT("'"&amp;F527&amp;"'!$C$5")),""),"")</f>
        <v/>
      </c>
      <c r="G527" s="38" t="str" cm="1">
        <f t="array" aca="1" ref="G527" ca="1">IF(F527="",
    "",
    IFERROR(
        IF(INDIRECT("'"&amp;F527&amp;"'!$B$2")="Credit Limit",
            "Credit Accounts",
            IF(INDIRECT("'"&amp;F527&amp;"'!$E$2")="Location",
                "Cash Accounts",
                IF(INDIRECT("'"&amp;F527&amp;"'!$B$2")="Amount",
                    "Investments",
                    "Bill Accounts"
                )
            )
        ),
    "")
)</f>
        <v/>
      </c>
      <c r="I527" s="46" t="str" cm="1">
        <f t="array" aca="1" ref="I527" ca="1">IF(F527&lt;&gt;"",IF(OR(G527="Bill Accounts",G527="Investments", G527="Cash Accounts"),INDIRECT("'"&amp;F527&amp;"'!$C$10"),INDIRECT("'"&amp;F527&amp;"'!$C$8")),"")</f>
        <v/>
      </c>
      <c r="K527" s="48">
        <f t="shared" si="27"/>
        <v>533</v>
      </c>
      <c r="L527" s="114" t="str" cm="1">
        <f t="array" aca="1" ref="L527" ca="1">IF(F527&lt;&gt;"",INDIRECT("'"&amp;F527&amp;"'!$F$17"),"")</f>
        <v/>
      </c>
      <c r="M527" s="116" t="str">
        <f t="shared" ca="1" si="25"/>
        <v/>
      </c>
      <c r="O527" s="49" t="str">
        <f t="shared" ca="1" si="26"/>
        <v/>
      </c>
      <c r="P527" s="38" t="str">
        <f>IF(E527&lt;&gt;"",RANK(E527,$E$3:$E$2298)+COUNTIF($E$3:E527,E527)-1,"")</f>
        <v/>
      </c>
    </row>
    <row r="528" spans="4:16" x14ac:dyDescent="0.25">
      <c r="D528" s="36" t="str" cm="1">
        <f t="array" aca="1" ref="D528" ca="1">IFERROR(IF(INDIRECT("'"&amp;F528&amp;"'!$C$5")&gt;0,DATE(YEAR(Dashboard!$AL$2),Dashboard!$AU$4,INDIRECT("'"&amp;F528&amp;"'!$C$5")),""),"")</f>
        <v/>
      </c>
      <c r="G528" s="38" t="str" cm="1">
        <f t="array" aca="1" ref="G528" ca="1">IF(F528="",
    "",
    IFERROR(
        IF(INDIRECT("'"&amp;F528&amp;"'!$B$2")="Credit Limit",
            "Credit Accounts",
            IF(INDIRECT("'"&amp;F528&amp;"'!$E$2")="Location",
                "Cash Accounts",
                IF(INDIRECT("'"&amp;F528&amp;"'!$B$2")="Amount",
                    "Investments",
                    "Bill Accounts"
                )
            )
        ),
    "")
)</f>
        <v/>
      </c>
      <c r="I528" s="46" t="str" cm="1">
        <f t="array" aca="1" ref="I528" ca="1">IF(F528&lt;&gt;"",IF(OR(G528="Bill Accounts",G528="Investments", G528="Cash Accounts"),INDIRECT("'"&amp;F528&amp;"'!$C$10"),INDIRECT("'"&amp;F528&amp;"'!$C$8")),"")</f>
        <v/>
      </c>
      <c r="K528" s="48">
        <f t="shared" si="27"/>
        <v>534</v>
      </c>
      <c r="L528" s="114" t="str" cm="1">
        <f t="array" aca="1" ref="L528" ca="1">IF(F528&lt;&gt;"",INDIRECT("'"&amp;F528&amp;"'!$F$17"),"")</f>
        <v/>
      </c>
      <c r="M528" s="116" t="str">
        <f t="shared" ca="1" si="25"/>
        <v/>
      </c>
      <c r="O528" s="49" t="str">
        <f t="shared" ca="1" si="26"/>
        <v/>
      </c>
      <c r="P528" s="38" t="str">
        <f>IF(E528&lt;&gt;"",RANK(E528,$E$3:$E$2298)+COUNTIF($E$3:E528,E528)-1,"")</f>
        <v/>
      </c>
    </row>
    <row r="529" spans="4:16" x14ac:dyDescent="0.25">
      <c r="D529" s="36" t="str" cm="1">
        <f t="array" aca="1" ref="D529" ca="1">IFERROR(IF(INDIRECT("'"&amp;F529&amp;"'!$C$5")&gt;0,DATE(YEAR(Dashboard!$AL$2),Dashboard!$AU$4,INDIRECT("'"&amp;F529&amp;"'!$C$5")),""),"")</f>
        <v/>
      </c>
      <c r="G529" s="38" t="str" cm="1">
        <f t="array" aca="1" ref="G529" ca="1">IF(F529="",
    "",
    IFERROR(
        IF(INDIRECT("'"&amp;F529&amp;"'!$B$2")="Credit Limit",
            "Credit Accounts",
            IF(INDIRECT("'"&amp;F529&amp;"'!$E$2")="Location",
                "Cash Accounts",
                IF(INDIRECT("'"&amp;F529&amp;"'!$B$2")="Amount",
                    "Investments",
                    "Bill Accounts"
                )
            )
        ),
    "")
)</f>
        <v/>
      </c>
      <c r="I529" s="46" t="str" cm="1">
        <f t="array" aca="1" ref="I529" ca="1">IF(F529&lt;&gt;"",IF(OR(G529="Bill Accounts",G529="Investments", G529="Cash Accounts"),INDIRECT("'"&amp;F529&amp;"'!$C$10"),INDIRECT("'"&amp;F529&amp;"'!$C$8")),"")</f>
        <v/>
      </c>
      <c r="K529" s="48">
        <f t="shared" si="27"/>
        <v>535</v>
      </c>
      <c r="L529" s="114" t="str" cm="1">
        <f t="array" aca="1" ref="L529" ca="1">IF(F529&lt;&gt;"",INDIRECT("'"&amp;F529&amp;"'!$F$17"),"")</f>
        <v/>
      </c>
      <c r="M529" s="116" t="str">
        <f t="shared" ca="1" si="25"/>
        <v/>
      </c>
      <c r="O529" s="49" t="str">
        <f t="shared" ca="1" si="26"/>
        <v/>
      </c>
      <c r="P529" s="38" t="str">
        <f>IF(E529&lt;&gt;"",RANK(E529,$E$3:$E$2298)+COUNTIF($E$3:E529,E529)-1,"")</f>
        <v/>
      </c>
    </row>
    <row r="530" spans="4:16" x14ac:dyDescent="0.25">
      <c r="D530" s="36" t="str" cm="1">
        <f t="array" aca="1" ref="D530" ca="1">IFERROR(IF(INDIRECT("'"&amp;F530&amp;"'!$C$5")&gt;0,DATE(YEAR(Dashboard!$AL$2),Dashboard!$AU$4,INDIRECT("'"&amp;F530&amp;"'!$C$5")),""),"")</f>
        <v/>
      </c>
      <c r="G530" s="38" t="str" cm="1">
        <f t="array" aca="1" ref="G530" ca="1">IF(F530="",
    "",
    IFERROR(
        IF(INDIRECT("'"&amp;F530&amp;"'!$B$2")="Credit Limit",
            "Credit Accounts",
            IF(INDIRECT("'"&amp;F530&amp;"'!$E$2")="Location",
                "Cash Accounts",
                IF(INDIRECT("'"&amp;F530&amp;"'!$B$2")="Amount",
                    "Investments",
                    "Bill Accounts"
                )
            )
        ),
    "")
)</f>
        <v/>
      </c>
      <c r="I530" s="46" t="str" cm="1">
        <f t="array" aca="1" ref="I530" ca="1">IF(F530&lt;&gt;"",IF(OR(G530="Bill Accounts",G530="Investments", G530="Cash Accounts"),INDIRECT("'"&amp;F530&amp;"'!$C$10"),INDIRECT("'"&amp;F530&amp;"'!$C$8")),"")</f>
        <v/>
      </c>
      <c r="K530" s="48">
        <f t="shared" si="27"/>
        <v>536</v>
      </c>
      <c r="L530" s="114" t="str" cm="1">
        <f t="array" aca="1" ref="L530" ca="1">IF(F530&lt;&gt;"",INDIRECT("'"&amp;F530&amp;"'!$F$17"),"")</f>
        <v/>
      </c>
      <c r="M530" s="116" t="str">
        <f t="shared" ca="1" si="25"/>
        <v/>
      </c>
      <c r="O530" s="49" t="str">
        <f t="shared" ca="1" si="26"/>
        <v/>
      </c>
      <c r="P530" s="38" t="str">
        <f>IF(E530&lt;&gt;"",RANK(E530,$E$3:$E$2298)+COUNTIF($E$3:E530,E530)-1,"")</f>
        <v/>
      </c>
    </row>
    <row r="531" spans="4:16" x14ac:dyDescent="0.25">
      <c r="D531" s="36" t="str" cm="1">
        <f t="array" aca="1" ref="D531" ca="1">IFERROR(IF(INDIRECT("'"&amp;F531&amp;"'!$C$5")&gt;0,DATE(YEAR(Dashboard!$AL$2),Dashboard!$AU$4,INDIRECT("'"&amp;F531&amp;"'!$C$5")),""),"")</f>
        <v/>
      </c>
      <c r="G531" s="38" t="str" cm="1">
        <f t="array" aca="1" ref="G531" ca="1">IF(F531="",
    "",
    IFERROR(
        IF(INDIRECT("'"&amp;F531&amp;"'!$B$2")="Credit Limit",
            "Credit Accounts",
            IF(INDIRECT("'"&amp;F531&amp;"'!$E$2")="Location",
                "Cash Accounts",
                IF(INDIRECT("'"&amp;F531&amp;"'!$B$2")="Amount",
                    "Investments",
                    "Bill Accounts"
                )
            )
        ),
    "")
)</f>
        <v/>
      </c>
      <c r="I531" s="46" t="str" cm="1">
        <f t="array" aca="1" ref="I531" ca="1">IF(F531&lt;&gt;"",IF(OR(G531="Bill Accounts",G531="Investments", G531="Cash Accounts"),INDIRECT("'"&amp;F531&amp;"'!$C$10"),INDIRECT("'"&amp;F531&amp;"'!$C$8")),"")</f>
        <v/>
      </c>
      <c r="K531" s="48">
        <f t="shared" si="27"/>
        <v>537</v>
      </c>
      <c r="L531" s="114" t="str" cm="1">
        <f t="array" aca="1" ref="L531" ca="1">IF(F531&lt;&gt;"",INDIRECT("'"&amp;F531&amp;"'!$F$17"),"")</f>
        <v/>
      </c>
      <c r="M531" s="116" t="str">
        <f t="shared" ca="1" si="25"/>
        <v/>
      </c>
      <c r="O531" s="49" t="str">
        <f t="shared" ca="1" si="26"/>
        <v/>
      </c>
      <c r="P531" s="38" t="str">
        <f>IF(E531&lt;&gt;"",RANK(E531,$E$3:$E$2298)+COUNTIF($E$3:E531,E531)-1,"")</f>
        <v/>
      </c>
    </row>
    <row r="532" spans="4:16" x14ac:dyDescent="0.25">
      <c r="D532" s="36" t="str" cm="1">
        <f t="array" aca="1" ref="D532" ca="1">IFERROR(IF(INDIRECT("'"&amp;F532&amp;"'!$C$5")&gt;0,DATE(YEAR(Dashboard!$AL$2),Dashboard!$AU$4,INDIRECT("'"&amp;F532&amp;"'!$C$5")),""),"")</f>
        <v/>
      </c>
      <c r="G532" s="38" t="str" cm="1">
        <f t="array" aca="1" ref="G532" ca="1">IF(F532="",
    "",
    IFERROR(
        IF(INDIRECT("'"&amp;F532&amp;"'!$B$2")="Credit Limit",
            "Credit Accounts",
            IF(INDIRECT("'"&amp;F532&amp;"'!$E$2")="Location",
                "Cash Accounts",
                IF(INDIRECT("'"&amp;F532&amp;"'!$B$2")="Amount",
                    "Investments",
                    "Bill Accounts"
                )
            )
        ),
    "")
)</f>
        <v/>
      </c>
      <c r="I532" s="46" t="str" cm="1">
        <f t="array" aca="1" ref="I532" ca="1">IF(F532&lt;&gt;"",IF(OR(G532="Bill Accounts",G532="Investments", G532="Cash Accounts"),INDIRECT("'"&amp;F532&amp;"'!$C$10"),INDIRECT("'"&amp;F532&amp;"'!$C$8")),"")</f>
        <v/>
      </c>
      <c r="K532" s="48">
        <f t="shared" si="27"/>
        <v>538</v>
      </c>
      <c r="L532" s="114" t="str" cm="1">
        <f t="array" aca="1" ref="L532" ca="1">IF(F532&lt;&gt;"",INDIRECT("'"&amp;F532&amp;"'!$F$17"),"")</f>
        <v/>
      </c>
      <c r="M532" s="116" t="str">
        <f t="shared" ca="1" si="25"/>
        <v/>
      </c>
      <c r="O532" s="49" t="str">
        <f t="shared" ca="1" si="26"/>
        <v/>
      </c>
      <c r="P532" s="38" t="str">
        <f>IF(E532&lt;&gt;"",RANK(E532,$E$3:$E$2298)+COUNTIF($E$3:E532,E532)-1,"")</f>
        <v/>
      </c>
    </row>
    <row r="533" spans="4:16" x14ac:dyDescent="0.25">
      <c r="D533" s="36" t="str" cm="1">
        <f t="array" aca="1" ref="D533" ca="1">IFERROR(IF(INDIRECT("'"&amp;F533&amp;"'!$C$5")&gt;0,DATE(YEAR(Dashboard!$AL$2),Dashboard!$AU$4,INDIRECT("'"&amp;F533&amp;"'!$C$5")),""),"")</f>
        <v/>
      </c>
      <c r="G533" s="38" t="str" cm="1">
        <f t="array" aca="1" ref="G533" ca="1">IF(F533="",
    "",
    IFERROR(
        IF(INDIRECT("'"&amp;F533&amp;"'!$B$2")="Credit Limit",
            "Credit Accounts",
            IF(INDIRECT("'"&amp;F533&amp;"'!$E$2")="Location",
                "Cash Accounts",
                IF(INDIRECT("'"&amp;F533&amp;"'!$B$2")="Amount",
                    "Investments",
                    "Bill Accounts"
                )
            )
        ),
    "")
)</f>
        <v/>
      </c>
      <c r="I533" s="46" t="str" cm="1">
        <f t="array" aca="1" ref="I533" ca="1">IF(F533&lt;&gt;"",IF(OR(G533="Bill Accounts",G533="Investments", G533="Cash Accounts"),INDIRECT("'"&amp;F533&amp;"'!$C$10"),INDIRECT("'"&amp;F533&amp;"'!$C$8")),"")</f>
        <v/>
      </c>
      <c r="K533" s="48">
        <f t="shared" si="27"/>
        <v>539</v>
      </c>
      <c r="L533" s="114" t="str" cm="1">
        <f t="array" aca="1" ref="L533" ca="1">IF(F533&lt;&gt;"",INDIRECT("'"&amp;F533&amp;"'!$F$17"),"")</f>
        <v/>
      </c>
      <c r="M533" s="116" t="str">
        <f t="shared" ca="1" si="25"/>
        <v/>
      </c>
      <c r="O533" s="49" t="str">
        <f t="shared" ca="1" si="26"/>
        <v/>
      </c>
      <c r="P533" s="38" t="str">
        <f>IF(E533&lt;&gt;"",RANK(E533,$E$3:$E$2298)+COUNTIF($E$3:E533,E533)-1,"")</f>
        <v/>
      </c>
    </row>
    <row r="534" spans="4:16" x14ac:dyDescent="0.25">
      <c r="D534" s="36" t="str" cm="1">
        <f t="array" aca="1" ref="D534" ca="1">IFERROR(IF(INDIRECT("'"&amp;F534&amp;"'!$C$5")&gt;0,DATE(YEAR(Dashboard!$AL$2),Dashboard!$AU$4,INDIRECT("'"&amp;F534&amp;"'!$C$5")),""),"")</f>
        <v/>
      </c>
      <c r="G534" s="38" t="str" cm="1">
        <f t="array" aca="1" ref="G534" ca="1">IF(F534="",
    "",
    IFERROR(
        IF(INDIRECT("'"&amp;F534&amp;"'!$B$2")="Credit Limit",
            "Credit Accounts",
            IF(INDIRECT("'"&amp;F534&amp;"'!$E$2")="Location",
                "Cash Accounts",
                IF(INDIRECT("'"&amp;F534&amp;"'!$B$2")="Amount",
                    "Investments",
                    "Bill Accounts"
                )
            )
        ),
    "")
)</f>
        <v/>
      </c>
      <c r="I534" s="46" t="str" cm="1">
        <f t="array" aca="1" ref="I534" ca="1">IF(F534&lt;&gt;"",IF(OR(G534="Bill Accounts",G534="Investments", G534="Cash Accounts"),INDIRECT("'"&amp;F534&amp;"'!$C$10"),INDIRECT("'"&amp;F534&amp;"'!$C$8")),"")</f>
        <v/>
      </c>
      <c r="K534" s="48">
        <f t="shared" si="27"/>
        <v>540</v>
      </c>
      <c r="L534" s="114" t="str" cm="1">
        <f t="array" aca="1" ref="L534" ca="1">IF(F534&lt;&gt;"",INDIRECT("'"&amp;F534&amp;"'!$F$17"),"")</f>
        <v/>
      </c>
      <c r="M534" s="116" t="str">
        <f t="shared" ca="1" si="25"/>
        <v/>
      </c>
      <c r="O534" s="49" t="str">
        <f t="shared" ca="1" si="26"/>
        <v/>
      </c>
      <c r="P534" s="38" t="str">
        <f>IF(E534&lt;&gt;"",RANK(E534,$E$3:$E$2298)+COUNTIF($E$3:E534,E534)-1,"")</f>
        <v/>
      </c>
    </row>
    <row r="535" spans="4:16" x14ac:dyDescent="0.25">
      <c r="D535" s="36" t="str" cm="1">
        <f t="array" aca="1" ref="D535" ca="1">IFERROR(IF(INDIRECT("'"&amp;F535&amp;"'!$C$5")&gt;0,DATE(YEAR(Dashboard!$AL$2),Dashboard!$AU$4,INDIRECT("'"&amp;F535&amp;"'!$C$5")),""),"")</f>
        <v/>
      </c>
      <c r="G535" s="38" t="str" cm="1">
        <f t="array" aca="1" ref="G535" ca="1">IF(F535="",
    "",
    IFERROR(
        IF(INDIRECT("'"&amp;F535&amp;"'!$B$2")="Credit Limit",
            "Credit Accounts",
            IF(INDIRECT("'"&amp;F535&amp;"'!$E$2")="Location",
                "Cash Accounts",
                IF(INDIRECT("'"&amp;F535&amp;"'!$B$2")="Amount",
                    "Investments",
                    "Bill Accounts"
                )
            )
        ),
    "")
)</f>
        <v/>
      </c>
      <c r="I535" s="46" t="str" cm="1">
        <f t="array" aca="1" ref="I535" ca="1">IF(F535&lt;&gt;"",IF(OR(G535="Bill Accounts",G535="Investments", G535="Cash Accounts"),INDIRECT("'"&amp;F535&amp;"'!$C$10"),INDIRECT("'"&amp;F535&amp;"'!$C$8")),"")</f>
        <v/>
      </c>
      <c r="K535" s="48">
        <f t="shared" si="27"/>
        <v>541</v>
      </c>
      <c r="L535" s="114" t="str" cm="1">
        <f t="array" aca="1" ref="L535" ca="1">IF(F535&lt;&gt;"",INDIRECT("'"&amp;F535&amp;"'!$F$17"),"")</f>
        <v/>
      </c>
      <c r="M535" s="116" t="str">
        <f t="shared" ca="1" si="25"/>
        <v/>
      </c>
      <c r="O535" s="49" t="str">
        <f t="shared" ca="1" si="26"/>
        <v/>
      </c>
      <c r="P535" s="38" t="str">
        <f>IF(E535&lt;&gt;"",RANK(E535,$E$3:$E$2298)+COUNTIF($E$3:E535,E535)-1,"")</f>
        <v/>
      </c>
    </row>
    <row r="536" spans="4:16" x14ac:dyDescent="0.25">
      <c r="D536" s="36" t="str" cm="1">
        <f t="array" aca="1" ref="D536" ca="1">IFERROR(IF(INDIRECT("'"&amp;F536&amp;"'!$C$5")&gt;0,DATE(YEAR(Dashboard!$AL$2),Dashboard!$AU$4,INDIRECT("'"&amp;F536&amp;"'!$C$5")),""),"")</f>
        <v/>
      </c>
      <c r="G536" s="38" t="str" cm="1">
        <f t="array" aca="1" ref="G536" ca="1">IF(F536="",
    "",
    IFERROR(
        IF(INDIRECT("'"&amp;F536&amp;"'!$B$2")="Credit Limit",
            "Credit Accounts",
            IF(INDIRECT("'"&amp;F536&amp;"'!$E$2")="Location",
                "Cash Accounts",
                IF(INDIRECT("'"&amp;F536&amp;"'!$B$2")="Amount",
                    "Investments",
                    "Bill Accounts"
                )
            )
        ),
    "")
)</f>
        <v/>
      </c>
      <c r="I536" s="46" t="str" cm="1">
        <f t="array" aca="1" ref="I536" ca="1">IF(F536&lt;&gt;"",IF(OR(G536="Bill Accounts",G536="Investments", G536="Cash Accounts"),INDIRECT("'"&amp;F536&amp;"'!$C$10"),INDIRECT("'"&amp;F536&amp;"'!$C$8")),"")</f>
        <v/>
      </c>
      <c r="K536" s="48">
        <f t="shared" si="27"/>
        <v>542</v>
      </c>
      <c r="L536" s="114" t="str" cm="1">
        <f t="array" aca="1" ref="L536" ca="1">IF(F536&lt;&gt;"",INDIRECT("'"&amp;F536&amp;"'!$F$17"),"")</f>
        <v/>
      </c>
      <c r="M536" s="116" t="str">
        <f t="shared" ca="1" si="25"/>
        <v/>
      </c>
      <c r="O536" s="49" t="str">
        <f t="shared" ca="1" si="26"/>
        <v/>
      </c>
      <c r="P536" s="38" t="str">
        <f>IF(E536&lt;&gt;"",RANK(E536,$E$3:$E$2298)+COUNTIF($E$3:E536,E536)-1,"")</f>
        <v/>
      </c>
    </row>
    <row r="537" spans="4:16" x14ac:dyDescent="0.25">
      <c r="D537" s="36" t="str" cm="1">
        <f t="array" aca="1" ref="D537" ca="1">IFERROR(IF(INDIRECT("'"&amp;F537&amp;"'!$C$5")&gt;0,DATE(YEAR(Dashboard!$AL$2),Dashboard!$AU$4,INDIRECT("'"&amp;F537&amp;"'!$C$5")),""),"")</f>
        <v/>
      </c>
      <c r="G537" s="38" t="str" cm="1">
        <f t="array" aca="1" ref="G537" ca="1">IF(F537="",
    "",
    IFERROR(
        IF(INDIRECT("'"&amp;F537&amp;"'!$B$2")="Credit Limit",
            "Credit Accounts",
            IF(INDIRECT("'"&amp;F537&amp;"'!$E$2")="Location",
                "Cash Accounts",
                IF(INDIRECT("'"&amp;F537&amp;"'!$B$2")="Amount",
                    "Investments",
                    "Bill Accounts"
                )
            )
        ),
    "")
)</f>
        <v/>
      </c>
      <c r="I537" s="46" t="str" cm="1">
        <f t="array" aca="1" ref="I537" ca="1">IF(F537&lt;&gt;"",IF(OR(G537="Bill Accounts",G537="Investments", G537="Cash Accounts"),INDIRECT("'"&amp;F537&amp;"'!$C$10"),INDIRECT("'"&amp;F537&amp;"'!$C$8")),"")</f>
        <v/>
      </c>
      <c r="K537" s="48">
        <f t="shared" si="27"/>
        <v>543</v>
      </c>
      <c r="L537" s="114" t="str" cm="1">
        <f t="array" aca="1" ref="L537" ca="1">IF(F537&lt;&gt;"",INDIRECT("'"&amp;F537&amp;"'!$F$17"),"")</f>
        <v/>
      </c>
      <c r="M537" s="116" t="str">
        <f t="shared" ca="1" si="25"/>
        <v/>
      </c>
      <c r="O537" s="49" t="str">
        <f t="shared" ca="1" si="26"/>
        <v/>
      </c>
      <c r="P537" s="38" t="str">
        <f>IF(E537&lt;&gt;"",RANK(E537,$E$3:$E$2298)+COUNTIF($E$3:E537,E537)-1,"")</f>
        <v/>
      </c>
    </row>
    <row r="538" spans="4:16" x14ac:dyDescent="0.25">
      <c r="D538" s="36" t="str" cm="1">
        <f t="array" aca="1" ref="D538" ca="1">IFERROR(IF(INDIRECT("'"&amp;F538&amp;"'!$C$5")&gt;0,DATE(YEAR(Dashboard!$AL$2),Dashboard!$AU$4,INDIRECT("'"&amp;F538&amp;"'!$C$5")),""),"")</f>
        <v/>
      </c>
      <c r="G538" s="38" t="str" cm="1">
        <f t="array" aca="1" ref="G538" ca="1">IF(F538="",
    "",
    IFERROR(
        IF(INDIRECT("'"&amp;F538&amp;"'!$B$2")="Credit Limit",
            "Credit Accounts",
            IF(INDIRECT("'"&amp;F538&amp;"'!$E$2")="Location",
                "Cash Accounts",
                IF(INDIRECT("'"&amp;F538&amp;"'!$B$2")="Amount",
                    "Investments",
                    "Bill Accounts"
                )
            )
        ),
    "")
)</f>
        <v/>
      </c>
      <c r="I538" s="46" t="str" cm="1">
        <f t="array" aca="1" ref="I538" ca="1">IF(F538&lt;&gt;"",IF(OR(G538="Bill Accounts",G538="Investments", G538="Cash Accounts"),INDIRECT("'"&amp;F538&amp;"'!$C$10"),INDIRECT("'"&amp;F538&amp;"'!$C$8")),"")</f>
        <v/>
      </c>
      <c r="K538" s="48">
        <f t="shared" si="27"/>
        <v>544</v>
      </c>
      <c r="L538" s="114" t="str" cm="1">
        <f t="array" aca="1" ref="L538" ca="1">IF(F538&lt;&gt;"",INDIRECT("'"&amp;F538&amp;"'!$F$17"),"")</f>
        <v/>
      </c>
      <c r="M538" s="116" t="str">
        <f t="shared" ca="1" si="25"/>
        <v/>
      </c>
      <c r="O538" s="49" t="str">
        <f t="shared" ca="1" si="26"/>
        <v/>
      </c>
      <c r="P538" s="38" t="str">
        <f>IF(E538&lt;&gt;"",RANK(E538,$E$3:$E$2298)+COUNTIF($E$3:E538,E538)-1,"")</f>
        <v/>
      </c>
    </row>
    <row r="539" spans="4:16" x14ac:dyDescent="0.25">
      <c r="D539" s="36" t="str" cm="1">
        <f t="array" aca="1" ref="D539" ca="1">IFERROR(IF(INDIRECT("'"&amp;F539&amp;"'!$C$5")&gt;0,DATE(YEAR(Dashboard!$AL$2),Dashboard!$AU$4,INDIRECT("'"&amp;F539&amp;"'!$C$5")),""),"")</f>
        <v/>
      </c>
      <c r="G539" s="38" t="str" cm="1">
        <f t="array" aca="1" ref="G539" ca="1">IF(F539="",
    "",
    IFERROR(
        IF(INDIRECT("'"&amp;F539&amp;"'!$B$2")="Credit Limit",
            "Credit Accounts",
            IF(INDIRECT("'"&amp;F539&amp;"'!$E$2")="Location",
                "Cash Accounts",
                IF(INDIRECT("'"&amp;F539&amp;"'!$B$2")="Amount",
                    "Investments",
                    "Bill Accounts"
                )
            )
        ),
    "")
)</f>
        <v/>
      </c>
      <c r="I539" s="46" t="str" cm="1">
        <f t="array" aca="1" ref="I539" ca="1">IF(F539&lt;&gt;"",IF(OR(G539="Bill Accounts",G539="Investments", G539="Cash Accounts"),INDIRECT("'"&amp;F539&amp;"'!$C$10"),INDIRECT("'"&amp;F539&amp;"'!$C$8")),"")</f>
        <v/>
      </c>
      <c r="K539" s="48">
        <f t="shared" si="27"/>
        <v>545</v>
      </c>
      <c r="L539" s="114" t="str" cm="1">
        <f t="array" aca="1" ref="L539" ca="1">IF(F539&lt;&gt;"",INDIRECT("'"&amp;F539&amp;"'!$F$17"),"")</f>
        <v/>
      </c>
      <c r="M539" s="116" t="str">
        <f t="shared" ca="1" si="25"/>
        <v/>
      </c>
      <c r="O539" s="49" t="str">
        <f t="shared" ca="1" si="26"/>
        <v/>
      </c>
      <c r="P539" s="38" t="str">
        <f>IF(E539&lt;&gt;"",RANK(E539,$E$3:$E$2298)+COUNTIF($E$3:E539,E539)-1,"")</f>
        <v/>
      </c>
    </row>
    <row r="540" spans="4:16" x14ac:dyDescent="0.25">
      <c r="D540" s="36" t="str" cm="1">
        <f t="array" aca="1" ref="D540" ca="1">IFERROR(IF(INDIRECT("'"&amp;F540&amp;"'!$C$5")&gt;0,DATE(YEAR(Dashboard!$AL$2),Dashboard!$AU$4,INDIRECT("'"&amp;F540&amp;"'!$C$5")),""),"")</f>
        <v/>
      </c>
      <c r="G540" s="38" t="str" cm="1">
        <f t="array" aca="1" ref="G540" ca="1">IF(F540="",
    "",
    IFERROR(
        IF(INDIRECT("'"&amp;F540&amp;"'!$B$2")="Credit Limit",
            "Credit Accounts",
            IF(INDIRECT("'"&amp;F540&amp;"'!$E$2")="Location",
                "Cash Accounts",
                IF(INDIRECT("'"&amp;F540&amp;"'!$B$2")="Amount",
                    "Investments",
                    "Bill Accounts"
                )
            )
        ),
    "")
)</f>
        <v/>
      </c>
      <c r="I540" s="46" t="str" cm="1">
        <f t="array" aca="1" ref="I540" ca="1">IF(F540&lt;&gt;"",IF(OR(G540="Bill Accounts",G540="Investments", G540="Cash Accounts"),INDIRECT("'"&amp;F540&amp;"'!$C$10"),INDIRECT("'"&amp;F540&amp;"'!$C$8")),"")</f>
        <v/>
      </c>
      <c r="K540" s="48">
        <f t="shared" si="27"/>
        <v>546</v>
      </c>
      <c r="L540" s="114" t="str" cm="1">
        <f t="array" aca="1" ref="L540" ca="1">IF(F540&lt;&gt;"",INDIRECT("'"&amp;F540&amp;"'!$F$17"),"")</f>
        <v/>
      </c>
      <c r="M540" s="116" t="str">
        <f t="shared" ca="1" si="25"/>
        <v/>
      </c>
      <c r="O540" s="49" t="str">
        <f t="shared" ca="1" si="26"/>
        <v/>
      </c>
      <c r="P540" s="38" t="str">
        <f>IF(E540&lt;&gt;"",RANK(E540,$E$3:$E$2298)+COUNTIF($E$3:E540,E540)-1,"")</f>
        <v/>
      </c>
    </row>
    <row r="541" spans="4:16" x14ac:dyDescent="0.25">
      <c r="D541" s="36" t="str" cm="1">
        <f t="array" aca="1" ref="D541" ca="1">IFERROR(IF(INDIRECT("'"&amp;F541&amp;"'!$C$5")&gt;0,DATE(YEAR(Dashboard!$AL$2),Dashboard!$AU$4,INDIRECT("'"&amp;F541&amp;"'!$C$5")),""),"")</f>
        <v/>
      </c>
      <c r="G541" s="38" t="str" cm="1">
        <f t="array" aca="1" ref="G541" ca="1">IF(F541="",
    "",
    IFERROR(
        IF(INDIRECT("'"&amp;F541&amp;"'!$B$2")="Credit Limit",
            "Credit Accounts",
            IF(INDIRECT("'"&amp;F541&amp;"'!$E$2")="Location",
                "Cash Accounts",
                IF(INDIRECT("'"&amp;F541&amp;"'!$B$2")="Amount",
                    "Investments",
                    "Bill Accounts"
                )
            )
        ),
    "")
)</f>
        <v/>
      </c>
      <c r="I541" s="46" t="str" cm="1">
        <f t="array" aca="1" ref="I541" ca="1">IF(F541&lt;&gt;"",IF(OR(G541="Bill Accounts",G541="Investments", G541="Cash Accounts"),INDIRECT("'"&amp;F541&amp;"'!$C$10"),INDIRECT("'"&amp;F541&amp;"'!$C$8")),"")</f>
        <v/>
      </c>
      <c r="K541" s="48">
        <f t="shared" si="27"/>
        <v>547</v>
      </c>
      <c r="L541" s="114" t="str" cm="1">
        <f t="array" aca="1" ref="L541" ca="1">IF(F541&lt;&gt;"",INDIRECT("'"&amp;F541&amp;"'!$F$17"),"")</f>
        <v/>
      </c>
      <c r="M541" s="116" t="str">
        <f t="shared" ca="1" si="25"/>
        <v/>
      </c>
      <c r="O541" s="49" t="str">
        <f t="shared" ca="1" si="26"/>
        <v/>
      </c>
      <c r="P541" s="38" t="str">
        <f>IF(E541&lt;&gt;"",RANK(E541,$E$3:$E$2298)+COUNTIF($E$3:E541,E541)-1,"")</f>
        <v/>
      </c>
    </row>
    <row r="542" spans="4:16" x14ac:dyDescent="0.25">
      <c r="D542" s="36" t="str" cm="1">
        <f t="array" aca="1" ref="D542" ca="1">IFERROR(IF(INDIRECT("'"&amp;F542&amp;"'!$C$5")&gt;0,DATE(YEAR(Dashboard!$AL$2),Dashboard!$AU$4,INDIRECT("'"&amp;F542&amp;"'!$C$5")),""),"")</f>
        <v/>
      </c>
      <c r="G542" s="38" t="str" cm="1">
        <f t="array" aca="1" ref="G542" ca="1">IF(F542="",
    "",
    IFERROR(
        IF(INDIRECT("'"&amp;F542&amp;"'!$B$2")="Credit Limit",
            "Credit Accounts",
            IF(INDIRECT("'"&amp;F542&amp;"'!$E$2")="Location",
                "Cash Accounts",
                IF(INDIRECT("'"&amp;F542&amp;"'!$B$2")="Amount",
                    "Investments",
                    "Bill Accounts"
                )
            )
        ),
    "")
)</f>
        <v/>
      </c>
      <c r="I542" s="46" t="str" cm="1">
        <f t="array" aca="1" ref="I542" ca="1">IF(F542&lt;&gt;"",IF(OR(G542="Bill Accounts",G542="Investments", G542="Cash Accounts"),INDIRECT("'"&amp;F542&amp;"'!$C$10"),INDIRECT("'"&amp;F542&amp;"'!$C$8")),"")</f>
        <v/>
      </c>
      <c r="K542" s="48">
        <f t="shared" si="27"/>
        <v>548</v>
      </c>
      <c r="L542" s="114" t="str" cm="1">
        <f t="array" aca="1" ref="L542" ca="1">IF(F542&lt;&gt;"",INDIRECT("'"&amp;F542&amp;"'!$F$17"),"")</f>
        <v/>
      </c>
      <c r="M542" s="116" t="str">
        <f t="shared" ca="1" si="25"/>
        <v/>
      </c>
      <c r="O542" s="49" t="str">
        <f t="shared" ca="1" si="26"/>
        <v/>
      </c>
      <c r="P542" s="38" t="str">
        <f>IF(E542&lt;&gt;"",RANK(E542,$E$3:$E$2298)+COUNTIF($E$3:E542,E542)-1,"")</f>
        <v/>
      </c>
    </row>
    <row r="543" spans="4:16" x14ac:dyDescent="0.25">
      <c r="D543" s="36" t="str" cm="1">
        <f t="array" aca="1" ref="D543" ca="1">IFERROR(IF(INDIRECT("'"&amp;F543&amp;"'!$C$5")&gt;0,DATE(YEAR(Dashboard!$AL$2),Dashboard!$AU$4,INDIRECT("'"&amp;F543&amp;"'!$C$5")),""),"")</f>
        <v/>
      </c>
      <c r="G543" s="38" t="str" cm="1">
        <f t="array" aca="1" ref="G543" ca="1">IF(F543="",
    "",
    IFERROR(
        IF(INDIRECT("'"&amp;F543&amp;"'!$B$2")="Credit Limit",
            "Credit Accounts",
            IF(INDIRECT("'"&amp;F543&amp;"'!$E$2")="Location",
                "Cash Accounts",
                IF(INDIRECT("'"&amp;F543&amp;"'!$B$2")="Amount",
                    "Investments",
                    "Bill Accounts"
                )
            )
        ),
    "")
)</f>
        <v/>
      </c>
      <c r="I543" s="46" t="str" cm="1">
        <f t="array" aca="1" ref="I543" ca="1">IF(F543&lt;&gt;"",IF(OR(G543="Bill Accounts",G543="Investments", G543="Cash Accounts"),INDIRECT("'"&amp;F543&amp;"'!$C$10"),INDIRECT("'"&amp;F543&amp;"'!$C$8")),"")</f>
        <v/>
      </c>
      <c r="K543" s="48">
        <f t="shared" si="27"/>
        <v>549</v>
      </c>
      <c r="L543" s="114" t="str" cm="1">
        <f t="array" aca="1" ref="L543" ca="1">IF(F543&lt;&gt;"",INDIRECT("'"&amp;F543&amp;"'!$F$17"),"")</f>
        <v/>
      </c>
      <c r="M543" s="116" t="str">
        <f t="shared" ca="1" si="25"/>
        <v/>
      </c>
      <c r="O543" s="49" t="str">
        <f t="shared" ca="1" si="26"/>
        <v/>
      </c>
      <c r="P543" s="38" t="str">
        <f>IF(E543&lt;&gt;"",RANK(E543,$E$3:$E$2298)+COUNTIF($E$3:E543,E543)-1,"")</f>
        <v/>
      </c>
    </row>
    <row r="544" spans="4:16" x14ac:dyDescent="0.25">
      <c r="D544" s="36" t="str" cm="1">
        <f t="array" aca="1" ref="D544" ca="1">IFERROR(IF(INDIRECT("'"&amp;F544&amp;"'!$C$5")&gt;0,DATE(YEAR(Dashboard!$AL$2),Dashboard!$AU$4,INDIRECT("'"&amp;F544&amp;"'!$C$5")),""),"")</f>
        <v/>
      </c>
      <c r="G544" s="38" t="str" cm="1">
        <f t="array" aca="1" ref="G544" ca="1">IF(F544="",
    "",
    IFERROR(
        IF(INDIRECT("'"&amp;F544&amp;"'!$B$2")="Credit Limit",
            "Credit Accounts",
            IF(INDIRECT("'"&amp;F544&amp;"'!$E$2")="Location",
                "Cash Accounts",
                IF(INDIRECT("'"&amp;F544&amp;"'!$B$2")="Amount",
                    "Investments",
                    "Bill Accounts"
                )
            )
        ),
    "")
)</f>
        <v/>
      </c>
      <c r="I544" s="46" t="str" cm="1">
        <f t="array" aca="1" ref="I544" ca="1">IF(F544&lt;&gt;"",IF(OR(G544="Bill Accounts",G544="Investments", G544="Cash Accounts"),INDIRECT("'"&amp;F544&amp;"'!$C$10"),INDIRECT("'"&amp;F544&amp;"'!$C$8")),"")</f>
        <v/>
      </c>
      <c r="K544" s="48">
        <f t="shared" si="27"/>
        <v>550</v>
      </c>
      <c r="L544" s="114" t="str" cm="1">
        <f t="array" aca="1" ref="L544" ca="1">IF(F544&lt;&gt;"",INDIRECT("'"&amp;F544&amp;"'!$F$17"),"")</f>
        <v/>
      </c>
      <c r="M544" s="116" t="str">
        <f t="shared" ca="1" si="25"/>
        <v/>
      </c>
      <c r="O544" s="49" t="str">
        <f t="shared" ca="1" si="26"/>
        <v/>
      </c>
      <c r="P544" s="38" t="str">
        <f>IF(E544&lt;&gt;"",RANK(E544,$E$3:$E$2298)+COUNTIF($E$3:E544,E544)-1,"")</f>
        <v/>
      </c>
    </row>
    <row r="545" spans="4:16" x14ac:dyDescent="0.25">
      <c r="D545" s="36" t="str" cm="1">
        <f t="array" aca="1" ref="D545" ca="1">IFERROR(IF(INDIRECT("'"&amp;F545&amp;"'!$C$5")&gt;0,DATE(YEAR(Dashboard!$AL$2),Dashboard!$AU$4,INDIRECT("'"&amp;F545&amp;"'!$C$5")),""),"")</f>
        <v/>
      </c>
      <c r="G545" s="38" t="str" cm="1">
        <f t="array" aca="1" ref="G545" ca="1">IF(F545="",
    "",
    IFERROR(
        IF(INDIRECT("'"&amp;F545&amp;"'!$B$2")="Credit Limit",
            "Credit Accounts",
            IF(INDIRECT("'"&amp;F545&amp;"'!$E$2")="Location",
                "Cash Accounts",
                IF(INDIRECT("'"&amp;F545&amp;"'!$B$2")="Amount",
                    "Investments",
                    "Bill Accounts"
                )
            )
        ),
    "")
)</f>
        <v/>
      </c>
      <c r="I545" s="46" t="str" cm="1">
        <f t="array" aca="1" ref="I545" ca="1">IF(F545&lt;&gt;"",IF(OR(G545="Bill Accounts",G545="Investments", G545="Cash Accounts"),INDIRECT("'"&amp;F545&amp;"'!$C$10"),INDIRECT("'"&amp;F545&amp;"'!$C$8")),"")</f>
        <v/>
      </c>
      <c r="K545" s="48">
        <f t="shared" si="27"/>
        <v>551</v>
      </c>
      <c r="L545" s="114" t="str" cm="1">
        <f t="array" aca="1" ref="L545" ca="1">IF(F545&lt;&gt;"",INDIRECT("'"&amp;F545&amp;"'!$F$17"),"")</f>
        <v/>
      </c>
      <c r="M545" s="116" t="str">
        <f t="shared" ca="1" si="25"/>
        <v/>
      </c>
      <c r="O545" s="49" t="str">
        <f t="shared" ca="1" si="26"/>
        <v/>
      </c>
      <c r="P545" s="38" t="str">
        <f>IF(E545&lt;&gt;"",RANK(E545,$E$3:$E$2298)+COUNTIF($E$3:E545,E545)-1,"")</f>
        <v/>
      </c>
    </row>
    <row r="546" spans="4:16" x14ac:dyDescent="0.25">
      <c r="D546" s="36" t="str" cm="1">
        <f t="array" aca="1" ref="D546" ca="1">IFERROR(IF(INDIRECT("'"&amp;F546&amp;"'!$C$5")&gt;0,DATE(YEAR(Dashboard!$AL$2),Dashboard!$AU$4,INDIRECT("'"&amp;F546&amp;"'!$C$5")),""),"")</f>
        <v/>
      </c>
      <c r="G546" s="38" t="str" cm="1">
        <f t="array" aca="1" ref="G546" ca="1">IF(F546="",
    "",
    IFERROR(
        IF(INDIRECT("'"&amp;F546&amp;"'!$B$2")="Credit Limit",
            "Credit Accounts",
            IF(INDIRECT("'"&amp;F546&amp;"'!$E$2")="Location",
                "Cash Accounts",
                IF(INDIRECT("'"&amp;F546&amp;"'!$B$2")="Amount",
                    "Investments",
                    "Bill Accounts"
                )
            )
        ),
    "")
)</f>
        <v/>
      </c>
      <c r="I546" s="46" t="str" cm="1">
        <f t="array" aca="1" ref="I546" ca="1">IF(F546&lt;&gt;"",IF(OR(G546="Bill Accounts",G546="Investments", G546="Cash Accounts"),INDIRECT("'"&amp;F546&amp;"'!$C$10"),INDIRECT("'"&amp;F546&amp;"'!$C$8")),"")</f>
        <v/>
      </c>
      <c r="K546" s="48">
        <f t="shared" si="27"/>
        <v>552</v>
      </c>
      <c r="L546" s="114" t="str" cm="1">
        <f t="array" aca="1" ref="L546" ca="1">IF(F546&lt;&gt;"",INDIRECT("'"&amp;F546&amp;"'!$F$17"),"")</f>
        <v/>
      </c>
      <c r="M546" s="116" t="str">
        <f t="shared" ca="1" si="25"/>
        <v/>
      </c>
      <c r="O546" s="49" t="str">
        <f t="shared" ca="1" si="26"/>
        <v/>
      </c>
      <c r="P546" s="38" t="str">
        <f>IF(E546&lt;&gt;"",RANK(E546,$E$3:$E$2298)+COUNTIF($E$3:E546,E546)-1,"")</f>
        <v/>
      </c>
    </row>
    <row r="547" spans="4:16" x14ac:dyDescent="0.25">
      <c r="D547" s="36" t="str" cm="1">
        <f t="array" aca="1" ref="D547" ca="1">IFERROR(IF(INDIRECT("'"&amp;F547&amp;"'!$C$5")&gt;0,DATE(YEAR(Dashboard!$AL$2),Dashboard!$AU$4,INDIRECT("'"&amp;F547&amp;"'!$C$5")),""),"")</f>
        <v/>
      </c>
      <c r="G547" s="38" t="str" cm="1">
        <f t="array" aca="1" ref="G547" ca="1">IF(F547="",
    "",
    IFERROR(
        IF(INDIRECT("'"&amp;F547&amp;"'!$B$2")="Credit Limit",
            "Credit Accounts",
            IF(INDIRECT("'"&amp;F547&amp;"'!$E$2")="Location",
                "Cash Accounts",
                IF(INDIRECT("'"&amp;F547&amp;"'!$B$2")="Amount",
                    "Investments",
                    "Bill Accounts"
                )
            )
        ),
    "")
)</f>
        <v/>
      </c>
      <c r="I547" s="46" t="str" cm="1">
        <f t="array" aca="1" ref="I547" ca="1">IF(F547&lt;&gt;"",IF(OR(G547="Bill Accounts",G547="Investments", G547="Cash Accounts"),INDIRECT("'"&amp;F547&amp;"'!$C$10"),INDIRECT("'"&amp;F547&amp;"'!$C$8")),"")</f>
        <v/>
      </c>
      <c r="K547" s="48">
        <f t="shared" si="27"/>
        <v>553</v>
      </c>
      <c r="L547" s="114" t="str" cm="1">
        <f t="array" aca="1" ref="L547" ca="1">IF(F547&lt;&gt;"",INDIRECT("'"&amp;F547&amp;"'!$F$17"),"")</f>
        <v/>
      </c>
      <c r="M547" s="116" t="str">
        <f t="shared" ca="1" si="25"/>
        <v/>
      </c>
      <c r="O547" s="49" t="str">
        <f t="shared" ca="1" si="26"/>
        <v/>
      </c>
      <c r="P547" s="38" t="str">
        <f>IF(E547&lt;&gt;"",RANK(E547,$E$3:$E$2298)+COUNTIF($E$3:E547,E547)-1,"")</f>
        <v/>
      </c>
    </row>
    <row r="548" spans="4:16" x14ac:dyDescent="0.25">
      <c r="D548" s="36" t="str" cm="1">
        <f t="array" aca="1" ref="D548" ca="1">IFERROR(IF(INDIRECT("'"&amp;F548&amp;"'!$C$5")&gt;0,DATE(YEAR(Dashboard!$AL$2),Dashboard!$AU$4,INDIRECT("'"&amp;F548&amp;"'!$C$5")),""),"")</f>
        <v/>
      </c>
      <c r="G548" s="38" t="str" cm="1">
        <f t="array" aca="1" ref="G548" ca="1">IF(F548="",
    "",
    IFERROR(
        IF(INDIRECT("'"&amp;F548&amp;"'!$B$2")="Credit Limit",
            "Credit Accounts",
            IF(INDIRECT("'"&amp;F548&amp;"'!$E$2")="Location",
                "Cash Accounts",
                IF(INDIRECT("'"&amp;F548&amp;"'!$B$2")="Amount",
                    "Investments",
                    "Bill Accounts"
                )
            )
        ),
    "")
)</f>
        <v/>
      </c>
      <c r="I548" s="46" t="str" cm="1">
        <f t="array" aca="1" ref="I548" ca="1">IF(F548&lt;&gt;"",IF(OR(G548="Bill Accounts",G548="Investments", G548="Cash Accounts"),INDIRECT("'"&amp;F548&amp;"'!$C$10"),INDIRECT("'"&amp;F548&amp;"'!$C$8")),"")</f>
        <v/>
      </c>
      <c r="K548" s="48">
        <f t="shared" si="27"/>
        <v>554</v>
      </c>
      <c r="L548" s="114" t="str" cm="1">
        <f t="array" aca="1" ref="L548" ca="1">IF(F548&lt;&gt;"",INDIRECT("'"&amp;F548&amp;"'!$F$17"),"")</f>
        <v/>
      </c>
      <c r="M548" s="116" t="str">
        <f t="shared" ca="1" si="25"/>
        <v/>
      </c>
      <c r="O548" s="49" t="str">
        <f t="shared" ca="1" si="26"/>
        <v/>
      </c>
      <c r="P548" s="38" t="str">
        <f>IF(E548&lt;&gt;"",RANK(E548,$E$3:$E$2298)+COUNTIF($E$3:E548,E548)-1,"")</f>
        <v/>
      </c>
    </row>
    <row r="549" spans="4:16" x14ac:dyDescent="0.25">
      <c r="D549" s="36" t="str" cm="1">
        <f t="array" aca="1" ref="D549" ca="1">IFERROR(IF(INDIRECT("'"&amp;F549&amp;"'!$C$5")&gt;0,DATE(YEAR(Dashboard!$AL$2),Dashboard!$AU$4,INDIRECT("'"&amp;F549&amp;"'!$C$5")),""),"")</f>
        <v/>
      </c>
      <c r="G549" s="38" t="str" cm="1">
        <f t="array" aca="1" ref="G549" ca="1">IF(F549="",
    "",
    IFERROR(
        IF(INDIRECT("'"&amp;F549&amp;"'!$B$2")="Credit Limit",
            "Credit Accounts",
            IF(INDIRECT("'"&amp;F549&amp;"'!$E$2")="Location",
                "Cash Accounts",
                IF(INDIRECT("'"&amp;F549&amp;"'!$B$2")="Amount",
                    "Investments",
                    "Bill Accounts"
                )
            )
        ),
    "")
)</f>
        <v/>
      </c>
      <c r="I549" s="46" t="str" cm="1">
        <f t="array" aca="1" ref="I549" ca="1">IF(F549&lt;&gt;"",IF(OR(G549="Bill Accounts",G549="Investments", G549="Cash Accounts"),INDIRECT("'"&amp;F549&amp;"'!$C$10"),INDIRECT("'"&amp;F549&amp;"'!$C$8")),"")</f>
        <v/>
      </c>
      <c r="K549" s="48">
        <f t="shared" si="27"/>
        <v>555</v>
      </c>
      <c r="L549" s="114" t="str" cm="1">
        <f t="array" aca="1" ref="L549" ca="1">IF(F549&lt;&gt;"",INDIRECT("'"&amp;F549&amp;"'!$F$17"),"")</f>
        <v/>
      </c>
      <c r="M549" s="116" t="str">
        <f t="shared" ca="1" si="25"/>
        <v/>
      </c>
      <c r="O549" s="49" t="str">
        <f t="shared" ca="1" si="26"/>
        <v/>
      </c>
      <c r="P549" s="38" t="str">
        <f>IF(E549&lt;&gt;"",RANK(E549,$E$3:$E$2298)+COUNTIF($E$3:E549,E549)-1,"")</f>
        <v/>
      </c>
    </row>
    <row r="550" spans="4:16" x14ac:dyDescent="0.25">
      <c r="D550" s="36" t="str" cm="1">
        <f t="array" aca="1" ref="D550" ca="1">IFERROR(IF(INDIRECT("'"&amp;F550&amp;"'!$C$5")&gt;0,DATE(YEAR(Dashboard!$AL$2),Dashboard!$AU$4,INDIRECT("'"&amp;F550&amp;"'!$C$5")),""),"")</f>
        <v/>
      </c>
      <c r="G550" s="38" t="str" cm="1">
        <f t="array" aca="1" ref="G550" ca="1">IF(F550="",
    "",
    IFERROR(
        IF(INDIRECT("'"&amp;F550&amp;"'!$B$2")="Credit Limit",
            "Credit Accounts",
            IF(INDIRECT("'"&amp;F550&amp;"'!$E$2")="Location",
                "Cash Accounts",
                IF(INDIRECT("'"&amp;F550&amp;"'!$B$2")="Amount",
                    "Investments",
                    "Bill Accounts"
                )
            )
        ),
    "")
)</f>
        <v/>
      </c>
      <c r="I550" s="46" t="str" cm="1">
        <f t="array" aca="1" ref="I550" ca="1">IF(F550&lt;&gt;"",IF(OR(G550="Bill Accounts",G550="Investments", G550="Cash Accounts"),INDIRECT("'"&amp;F550&amp;"'!$C$10"),INDIRECT("'"&amp;F550&amp;"'!$C$8")),"")</f>
        <v/>
      </c>
      <c r="K550" s="48">
        <f t="shared" si="27"/>
        <v>556</v>
      </c>
      <c r="L550" s="114" t="str" cm="1">
        <f t="array" aca="1" ref="L550" ca="1">IF(F550&lt;&gt;"",INDIRECT("'"&amp;F550&amp;"'!$F$17"),"")</f>
        <v/>
      </c>
      <c r="M550" s="116" t="str">
        <f t="shared" ca="1" si="25"/>
        <v/>
      </c>
      <c r="O550" s="49" t="str">
        <f t="shared" ca="1" si="26"/>
        <v/>
      </c>
      <c r="P550" s="38" t="str">
        <f>IF(E550&lt;&gt;"",RANK(E550,$E$3:$E$2298)+COUNTIF($E$3:E550,E550)-1,"")</f>
        <v/>
      </c>
    </row>
    <row r="551" spans="4:16" x14ac:dyDescent="0.25">
      <c r="D551" s="36" t="str" cm="1">
        <f t="array" aca="1" ref="D551" ca="1">IFERROR(IF(INDIRECT("'"&amp;F551&amp;"'!$C$5")&gt;0,DATE(YEAR(Dashboard!$AL$2),Dashboard!$AU$4,INDIRECT("'"&amp;F551&amp;"'!$C$5")),""),"")</f>
        <v/>
      </c>
      <c r="G551" s="38" t="str" cm="1">
        <f t="array" aca="1" ref="G551" ca="1">IF(F551="",
    "",
    IFERROR(
        IF(INDIRECT("'"&amp;F551&amp;"'!$B$2")="Credit Limit",
            "Credit Accounts",
            IF(INDIRECT("'"&amp;F551&amp;"'!$E$2")="Location",
                "Cash Accounts",
                IF(INDIRECT("'"&amp;F551&amp;"'!$B$2")="Amount",
                    "Investments",
                    "Bill Accounts"
                )
            )
        ),
    "")
)</f>
        <v/>
      </c>
      <c r="I551" s="46" t="str" cm="1">
        <f t="array" aca="1" ref="I551" ca="1">IF(F551&lt;&gt;"",IF(OR(G551="Bill Accounts",G551="Investments", G551="Cash Accounts"),INDIRECT("'"&amp;F551&amp;"'!$C$10"),INDIRECT("'"&amp;F551&amp;"'!$C$8")),"")</f>
        <v/>
      </c>
      <c r="K551" s="48">
        <f t="shared" si="27"/>
        <v>557</v>
      </c>
      <c r="L551" s="114" t="str" cm="1">
        <f t="array" aca="1" ref="L551" ca="1">IF(F551&lt;&gt;"",INDIRECT("'"&amp;F551&amp;"'!$F$17"),"")</f>
        <v/>
      </c>
      <c r="M551" s="116" t="str">
        <f t="shared" ca="1" si="25"/>
        <v/>
      </c>
      <c r="O551" s="49" t="str">
        <f t="shared" ca="1" si="26"/>
        <v/>
      </c>
      <c r="P551" s="38" t="str">
        <f>IF(E551&lt;&gt;"",RANK(E551,$E$3:$E$2298)+COUNTIF($E$3:E551,E551)-1,"")</f>
        <v/>
      </c>
    </row>
    <row r="552" spans="4:16" x14ac:dyDescent="0.25">
      <c r="D552" s="36" t="str" cm="1">
        <f t="array" aca="1" ref="D552" ca="1">IFERROR(IF(INDIRECT("'"&amp;F552&amp;"'!$C$5")&gt;0,DATE(YEAR(Dashboard!$AL$2),Dashboard!$AU$4,INDIRECT("'"&amp;F552&amp;"'!$C$5")),""),"")</f>
        <v/>
      </c>
      <c r="G552" s="38" t="str" cm="1">
        <f t="array" aca="1" ref="G552" ca="1">IF(F552="",
    "",
    IFERROR(
        IF(INDIRECT("'"&amp;F552&amp;"'!$B$2")="Credit Limit",
            "Credit Accounts",
            IF(INDIRECT("'"&amp;F552&amp;"'!$E$2")="Location",
                "Cash Accounts",
                IF(INDIRECT("'"&amp;F552&amp;"'!$B$2")="Amount",
                    "Investments",
                    "Bill Accounts"
                )
            )
        ),
    "")
)</f>
        <v/>
      </c>
      <c r="I552" s="46" t="str" cm="1">
        <f t="array" aca="1" ref="I552" ca="1">IF(F552&lt;&gt;"",IF(OR(G552="Bill Accounts",G552="Investments", G552="Cash Accounts"),INDIRECT("'"&amp;F552&amp;"'!$C$10"),INDIRECT("'"&amp;F552&amp;"'!$C$8")),"")</f>
        <v/>
      </c>
      <c r="K552" s="48">
        <f t="shared" si="27"/>
        <v>558</v>
      </c>
      <c r="L552" s="114" t="str" cm="1">
        <f t="array" aca="1" ref="L552" ca="1">IF(F552&lt;&gt;"",INDIRECT("'"&amp;F552&amp;"'!$F$17"),"")</f>
        <v/>
      </c>
      <c r="M552" s="116" t="str">
        <f t="shared" ca="1" si="25"/>
        <v/>
      </c>
      <c r="O552" s="49" t="str">
        <f t="shared" ca="1" si="26"/>
        <v/>
      </c>
      <c r="P552" s="38" t="str">
        <f>IF(E552&lt;&gt;"",RANK(E552,$E$3:$E$2298)+COUNTIF($E$3:E552,E552)-1,"")</f>
        <v/>
      </c>
    </row>
    <row r="553" spans="4:16" x14ac:dyDescent="0.25">
      <c r="D553" s="36" t="str" cm="1">
        <f t="array" aca="1" ref="D553" ca="1">IFERROR(IF(INDIRECT("'"&amp;F553&amp;"'!$C$5")&gt;0,DATE(YEAR(Dashboard!$AL$2),Dashboard!$AU$4,INDIRECT("'"&amp;F553&amp;"'!$C$5")),""),"")</f>
        <v/>
      </c>
      <c r="G553" s="38" t="str" cm="1">
        <f t="array" aca="1" ref="G553" ca="1">IF(F553="",
    "",
    IFERROR(
        IF(INDIRECT("'"&amp;F553&amp;"'!$B$2")="Credit Limit",
            "Credit Accounts",
            IF(INDIRECT("'"&amp;F553&amp;"'!$E$2")="Location",
                "Cash Accounts",
                IF(INDIRECT("'"&amp;F553&amp;"'!$B$2")="Amount",
                    "Investments",
                    "Bill Accounts"
                )
            )
        ),
    "")
)</f>
        <v/>
      </c>
      <c r="I553" s="46" t="str" cm="1">
        <f t="array" aca="1" ref="I553" ca="1">IF(F553&lt;&gt;"",IF(OR(G553="Bill Accounts",G553="Investments", G553="Cash Accounts"),INDIRECT("'"&amp;F553&amp;"'!$C$10"),INDIRECT("'"&amp;F553&amp;"'!$C$8")),"")</f>
        <v/>
      </c>
      <c r="K553" s="48">
        <f t="shared" si="27"/>
        <v>559</v>
      </c>
      <c r="L553" s="114" t="str" cm="1">
        <f t="array" aca="1" ref="L553" ca="1">IF(F553&lt;&gt;"",INDIRECT("'"&amp;F553&amp;"'!$F$17"),"")</f>
        <v/>
      </c>
      <c r="M553" s="116" t="str">
        <f t="shared" ca="1" si="25"/>
        <v/>
      </c>
      <c r="O553" s="49" t="str">
        <f t="shared" ca="1" si="26"/>
        <v/>
      </c>
      <c r="P553" s="38" t="str">
        <f>IF(E553&lt;&gt;"",RANK(E553,$E$3:$E$2298)+COUNTIF($E$3:E553,E553)-1,"")</f>
        <v/>
      </c>
    </row>
    <row r="554" spans="4:16" x14ac:dyDescent="0.25">
      <c r="D554" s="36" t="str" cm="1">
        <f t="array" aca="1" ref="D554" ca="1">IFERROR(IF(INDIRECT("'"&amp;F554&amp;"'!$C$5")&gt;0,DATE(YEAR(Dashboard!$AL$2),Dashboard!$AU$4,INDIRECT("'"&amp;F554&amp;"'!$C$5")),""),"")</f>
        <v/>
      </c>
      <c r="G554" s="38" t="str" cm="1">
        <f t="array" aca="1" ref="G554" ca="1">IF(F554="",
    "",
    IFERROR(
        IF(INDIRECT("'"&amp;F554&amp;"'!$B$2")="Credit Limit",
            "Credit Accounts",
            IF(INDIRECT("'"&amp;F554&amp;"'!$E$2")="Location",
                "Cash Accounts",
                IF(INDIRECT("'"&amp;F554&amp;"'!$B$2")="Amount",
                    "Investments",
                    "Bill Accounts"
                )
            )
        ),
    "")
)</f>
        <v/>
      </c>
      <c r="I554" s="46" t="str" cm="1">
        <f t="array" aca="1" ref="I554" ca="1">IF(F554&lt;&gt;"",IF(OR(G554="Bill Accounts",G554="Investments", G554="Cash Accounts"),INDIRECT("'"&amp;F554&amp;"'!$C$10"),INDIRECT("'"&amp;F554&amp;"'!$C$8")),"")</f>
        <v/>
      </c>
      <c r="K554" s="48">
        <f t="shared" si="27"/>
        <v>560</v>
      </c>
      <c r="L554" s="114" t="str" cm="1">
        <f t="array" aca="1" ref="L554" ca="1">IF(F554&lt;&gt;"",INDIRECT("'"&amp;F554&amp;"'!$F$17"),"")</f>
        <v/>
      </c>
      <c r="M554" s="116" t="str">
        <f t="shared" ca="1" si="25"/>
        <v/>
      </c>
      <c r="O554" s="49" t="str">
        <f t="shared" ca="1" si="26"/>
        <v/>
      </c>
      <c r="P554" s="38" t="str">
        <f>IF(E554&lt;&gt;"",RANK(E554,$E$3:$E$2298)+COUNTIF($E$3:E554,E554)-1,"")</f>
        <v/>
      </c>
    </row>
    <row r="555" spans="4:16" x14ac:dyDescent="0.25">
      <c r="D555" s="36" t="str" cm="1">
        <f t="array" aca="1" ref="D555" ca="1">IFERROR(IF(INDIRECT("'"&amp;F555&amp;"'!$C$5")&gt;0,DATE(YEAR(Dashboard!$AL$2),Dashboard!$AU$4,INDIRECT("'"&amp;F555&amp;"'!$C$5")),""),"")</f>
        <v/>
      </c>
      <c r="G555" s="38" t="str" cm="1">
        <f t="array" aca="1" ref="G555" ca="1">IF(F555="",
    "",
    IFERROR(
        IF(INDIRECT("'"&amp;F555&amp;"'!$B$2")="Credit Limit",
            "Credit Accounts",
            IF(INDIRECT("'"&amp;F555&amp;"'!$E$2")="Location",
                "Cash Accounts",
                IF(INDIRECT("'"&amp;F555&amp;"'!$B$2")="Amount",
                    "Investments",
                    "Bill Accounts"
                )
            )
        ),
    "")
)</f>
        <v/>
      </c>
      <c r="I555" s="46" t="str" cm="1">
        <f t="array" aca="1" ref="I555" ca="1">IF(F555&lt;&gt;"",IF(OR(G555="Bill Accounts",G555="Investments", G555="Cash Accounts"),INDIRECT("'"&amp;F555&amp;"'!$C$10"),INDIRECT("'"&amp;F555&amp;"'!$C$8")),"")</f>
        <v/>
      </c>
      <c r="K555" s="48">
        <f t="shared" si="27"/>
        <v>561</v>
      </c>
      <c r="L555" s="114" t="str" cm="1">
        <f t="array" aca="1" ref="L555" ca="1">IF(F555&lt;&gt;"",INDIRECT("'"&amp;F555&amp;"'!$F$17"),"")</f>
        <v/>
      </c>
      <c r="M555" s="116" t="str">
        <f t="shared" ca="1" si="25"/>
        <v/>
      </c>
      <c r="O555" s="49" t="str">
        <f t="shared" ca="1" si="26"/>
        <v/>
      </c>
      <c r="P555" s="38" t="str">
        <f>IF(E555&lt;&gt;"",RANK(E555,$E$3:$E$2298)+COUNTIF($E$3:E555,E555)-1,"")</f>
        <v/>
      </c>
    </row>
    <row r="556" spans="4:16" x14ac:dyDescent="0.25">
      <c r="D556" s="36" t="str" cm="1">
        <f t="array" aca="1" ref="D556" ca="1">IFERROR(IF(INDIRECT("'"&amp;F556&amp;"'!$C$5")&gt;0,DATE(YEAR(Dashboard!$AL$2),Dashboard!$AU$4,INDIRECT("'"&amp;F556&amp;"'!$C$5")),""),"")</f>
        <v/>
      </c>
      <c r="G556" s="38" t="str" cm="1">
        <f t="array" aca="1" ref="G556" ca="1">IF(F556="",
    "",
    IFERROR(
        IF(INDIRECT("'"&amp;F556&amp;"'!$B$2")="Credit Limit",
            "Credit Accounts",
            IF(INDIRECT("'"&amp;F556&amp;"'!$E$2")="Location",
                "Cash Accounts",
                IF(INDIRECT("'"&amp;F556&amp;"'!$B$2")="Amount",
                    "Investments",
                    "Bill Accounts"
                )
            )
        ),
    "")
)</f>
        <v/>
      </c>
      <c r="I556" s="46" t="str" cm="1">
        <f t="array" aca="1" ref="I556" ca="1">IF(F556&lt;&gt;"",IF(OR(G556="Bill Accounts",G556="Investments", G556="Cash Accounts"),INDIRECT("'"&amp;F556&amp;"'!$C$10"),INDIRECT("'"&amp;F556&amp;"'!$C$8")),"")</f>
        <v/>
      </c>
      <c r="K556" s="48">
        <f t="shared" si="27"/>
        <v>562</v>
      </c>
      <c r="L556" s="114" t="str" cm="1">
        <f t="array" aca="1" ref="L556" ca="1">IF(F556&lt;&gt;"",INDIRECT("'"&amp;F556&amp;"'!$F$17"),"")</f>
        <v/>
      </c>
      <c r="M556" s="116" t="str">
        <f t="shared" ca="1" si="25"/>
        <v/>
      </c>
      <c r="O556" s="49" t="str">
        <f t="shared" ca="1" si="26"/>
        <v/>
      </c>
      <c r="P556" s="38" t="str">
        <f>IF(E556&lt;&gt;"",RANK(E556,$E$3:$E$2298)+COUNTIF($E$3:E556,E556)-1,"")</f>
        <v/>
      </c>
    </row>
    <row r="557" spans="4:16" x14ac:dyDescent="0.25">
      <c r="D557" s="36" t="str" cm="1">
        <f t="array" aca="1" ref="D557" ca="1">IFERROR(IF(INDIRECT("'"&amp;F557&amp;"'!$C$5")&gt;0,DATE(YEAR(Dashboard!$AL$2),Dashboard!$AU$4,INDIRECT("'"&amp;F557&amp;"'!$C$5")),""),"")</f>
        <v/>
      </c>
      <c r="G557" s="38" t="str" cm="1">
        <f t="array" aca="1" ref="G557" ca="1">IF(F557="",
    "",
    IFERROR(
        IF(INDIRECT("'"&amp;F557&amp;"'!$B$2")="Credit Limit",
            "Credit Accounts",
            IF(INDIRECT("'"&amp;F557&amp;"'!$E$2")="Location",
                "Cash Accounts",
                IF(INDIRECT("'"&amp;F557&amp;"'!$B$2")="Amount",
                    "Investments",
                    "Bill Accounts"
                )
            )
        ),
    "")
)</f>
        <v/>
      </c>
      <c r="I557" s="46" t="str" cm="1">
        <f t="array" aca="1" ref="I557" ca="1">IF(F557&lt;&gt;"",IF(OR(G557="Bill Accounts",G557="Investments", G557="Cash Accounts"),INDIRECT("'"&amp;F557&amp;"'!$C$10"),INDIRECT("'"&amp;F557&amp;"'!$C$8")),"")</f>
        <v/>
      </c>
      <c r="K557" s="48">
        <f t="shared" si="27"/>
        <v>563</v>
      </c>
      <c r="L557" s="114" t="str" cm="1">
        <f t="array" aca="1" ref="L557" ca="1">IF(F557&lt;&gt;"",INDIRECT("'"&amp;F557&amp;"'!$F$17"),"")</f>
        <v/>
      </c>
      <c r="M557" s="116" t="str">
        <f t="shared" ca="1" si="25"/>
        <v/>
      </c>
      <c r="O557" s="49" t="str">
        <f t="shared" ca="1" si="26"/>
        <v/>
      </c>
      <c r="P557" s="38" t="str">
        <f>IF(E557&lt;&gt;"",RANK(E557,$E$3:$E$2298)+COUNTIF($E$3:E557,E557)-1,"")</f>
        <v/>
      </c>
    </row>
    <row r="558" spans="4:16" x14ac:dyDescent="0.25">
      <c r="D558" s="36" t="str" cm="1">
        <f t="array" aca="1" ref="D558" ca="1">IFERROR(IF(INDIRECT("'"&amp;F558&amp;"'!$C$5")&gt;0,DATE(YEAR(Dashboard!$AL$2),Dashboard!$AU$4,INDIRECT("'"&amp;F558&amp;"'!$C$5")),""),"")</f>
        <v/>
      </c>
      <c r="G558" s="38" t="str" cm="1">
        <f t="array" aca="1" ref="G558" ca="1">IF(F558="",
    "",
    IFERROR(
        IF(INDIRECT("'"&amp;F558&amp;"'!$B$2")="Credit Limit",
            "Credit Accounts",
            IF(INDIRECT("'"&amp;F558&amp;"'!$E$2")="Location",
                "Cash Accounts",
                IF(INDIRECT("'"&amp;F558&amp;"'!$B$2")="Amount",
                    "Investments",
                    "Bill Accounts"
                )
            )
        ),
    "")
)</f>
        <v/>
      </c>
      <c r="I558" s="46" t="str" cm="1">
        <f t="array" aca="1" ref="I558" ca="1">IF(F558&lt;&gt;"",IF(OR(G558="Bill Accounts",G558="Investments", G558="Cash Accounts"),INDIRECT("'"&amp;F558&amp;"'!$C$10"),INDIRECT("'"&amp;F558&amp;"'!$C$8")),"")</f>
        <v/>
      </c>
      <c r="K558" s="48">
        <f t="shared" si="27"/>
        <v>564</v>
      </c>
      <c r="L558" s="114" t="str" cm="1">
        <f t="array" aca="1" ref="L558" ca="1">IF(F558&lt;&gt;"",INDIRECT("'"&amp;F558&amp;"'!$F$17"),"")</f>
        <v/>
      </c>
      <c r="M558" s="116" t="str">
        <f t="shared" ca="1" si="25"/>
        <v/>
      </c>
      <c r="O558" s="49" t="str">
        <f t="shared" ca="1" si="26"/>
        <v/>
      </c>
      <c r="P558" s="38" t="str">
        <f>IF(E558&lt;&gt;"",RANK(E558,$E$3:$E$2298)+COUNTIF($E$3:E558,E558)-1,"")</f>
        <v/>
      </c>
    </row>
    <row r="559" spans="4:16" x14ac:dyDescent="0.25">
      <c r="D559" s="36" t="str" cm="1">
        <f t="array" aca="1" ref="D559" ca="1">IFERROR(IF(INDIRECT("'"&amp;F559&amp;"'!$C$5")&gt;0,DATE(YEAR(Dashboard!$AL$2),Dashboard!$AU$4,INDIRECT("'"&amp;F559&amp;"'!$C$5")),""),"")</f>
        <v/>
      </c>
      <c r="G559" s="38" t="str" cm="1">
        <f t="array" aca="1" ref="G559" ca="1">IF(F559="",
    "",
    IFERROR(
        IF(INDIRECT("'"&amp;F559&amp;"'!$B$2")="Credit Limit",
            "Credit Accounts",
            IF(INDIRECT("'"&amp;F559&amp;"'!$E$2")="Location",
                "Cash Accounts",
                IF(INDIRECT("'"&amp;F559&amp;"'!$B$2")="Amount",
                    "Investments",
                    "Bill Accounts"
                )
            )
        ),
    "")
)</f>
        <v/>
      </c>
      <c r="I559" s="46" t="str" cm="1">
        <f t="array" aca="1" ref="I559" ca="1">IF(F559&lt;&gt;"",IF(OR(G559="Bill Accounts",G559="Investments", G559="Cash Accounts"),INDIRECT("'"&amp;F559&amp;"'!$C$10"),INDIRECT("'"&amp;F559&amp;"'!$C$8")),"")</f>
        <v/>
      </c>
      <c r="K559" s="48">
        <f t="shared" si="27"/>
        <v>565</v>
      </c>
      <c r="L559" s="114" t="str" cm="1">
        <f t="array" aca="1" ref="L559" ca="1">IF(F559&lt;&gt;"",INDIRECT("'"&amp;F559&amp;"'!$F$17"),"")</f>
        <v/>
      </c>
      <c r="M559" s="116" t="str">
        <f t="shared" ca="1" si="25"/>
        <v/>
      </c>
      <c r="O559" s="49" t="str">
        <f t="shared" ca="1" si="26"/>
        <v/>
      </c>
      <c r="P559" s="38" t="str">
        <f>IF(E559&lt;&gt;"",RANK(E559,$E$3:$E$2298)+COUNTIF($E$3:E559,E559)-1,"")</f>
        <v/>
      </c>
    </row>
    <row r="560" spans="4:16" x14ac:dyDescent="0.25">
      <c r="D560" s="36" t="str" cm="1">
        <f t="array" aca="1" ref="D560" ca="1">IFERROR(IF(INDIRECT("'"&amp;F560&amp;"'!$C$5")&gt;0,DATE(YEAR(Dashboard!$AL$2),Dashboard!$AU$4,INDIRECT("'"&amp;F560&amp;"'!$C$5")),""),"")</f>
        <v/>
      </c>
      <c r="G560" s="38" t="str" cm="1">
        <f t="array" aca="1" ref="G560" ca="1">IF(F560="",
    "",
    IFERROR(
        IF(INDIRECT("'"&amp;F560&amp;"'!$B$2")="Credit Limit",
            "Credit Accounts",
            IF(INDIRECT("'"&amp;F560&amp;"'!$E$2")="Location",
                "Cash Accounts",
                IF(INDIRECT("'"&amp;F560&amp;"'!$B$2")="Amount",
                    "Investments",
                    "Bill Accounts"
                )
            )
        ),
    "")
)</f>
        <v/>
      </c>
      <c r="I560" s="46" t="str" cm="1">
        <f t="array" aca="1" ref="I560" ca="1">IF(F560&lt;&gt;"",IF(OR(G560="Bill Accounts",G560="Investments", G560="Cash Accounts"),INDIRECT("'"&amp;F560&amp;"'!$C$10"),INDIRECT("'"&amp;F560&amp;"'!$C$8")),"")</f>
        <v/>
      </c>
      <c r="K560" s="48">
        <f t="shared" si="27"/>
        <v>566</v>
      </c>
      <c r="L560" s="114" t="str" cm="1">
        <f t="array" aca="1" ref="L560" ca="1">IF(F560&lt;&gt;"",INDIRECT("'"&amp;F560&amp;"'!$F$17"),"")</f>
        <v/>
      </c>
      <c r="M560" s="116" t="str">
        <f t="shared" ca="1" si="25"/>
        <v/>
      </c>
      <c r="O560" s="49" t="str">
        <f t="shared" ca="1" si="26"/>
        <v/>
      </c>
      <c r="P560" s="38" t="str">
        <f>IF(E560&lt;&gt;"",RANK(E560,$E$3:$E$2298)+COUNTIF($E$3:E560,E560)-1,"")</f>
        <v/>
      </c>
    </row>
    <row r="561" spans="4:16" x14ac:dyDescent="0.25">
      <c r="D561" s="36" t="str" cm="1">
        <f t="array" aca="1" ref="D561" ca="1">IFERROR(IF(INDIRECT("'"&amp;F561&amp;"'!$C$5")&gt;0,DATE(YEAR(Dashboard!$AL$2),Dashboard!$AU$4,INDIRECT("'"&amp;F561&amp;"'!$C$5")),""),"")</f>
        <v/>
      </c>
      <c r="G561" s="38" t="str" cm="1">
        <f t="array" aca="1" ref="G561" ca="1">IF(F561="",
    "",
    IFERROR(
        IF(INDIRECT("'"&amp;F561&amp;"'!$B$2")="Credit Limit",
            "Credit Accounts",
            IF(INDIRECT("'"&amp;F561&amp;"'!$E$2")="Location",
                "Cash Accounts",
                IF(INDIRECT("'"&amp;F561&amp;"'!$B$2")="Amount",
                    "Investments",
                    "Bill Accounts"
                )
            )
        ),
    "")
)</f>
        <v/>
      </c>
      <c r="I561" s="46" t="str" cm="1">
        <f t="array" aca="1" ref="I561" ca="1">IF(F561&lt;&gt;"",IF(OR(G561="Bill Accounts",G561="Investments", G561="Cash Accounts"),INDIRECT("'"&amp;F561&amp;"'!$C$10"),INDIRECT("'"&amp;F561&amp;"'!$C$8")),"")</f>
        <v/>
      </c>
      <c r="K561" s="48">
        <f t="shared" si="27"/>
        <v>567</v>
      </c>
      <c r="L561" s="114" t="str" cm="1">
        <f t="array" aca="1" ref="L561" ca="1">IF(F561&lt;&gt;"",INDIRECT("'"&amp;F561&amp;"'!$F$17"),"")</f>
        <v/>
      </c>
      <c r="M561" s="116" t="str">
        <f t="shared" ca="1" si="25"/>
        <v/>
      </c>
      <c r="O561" s="49" t="str">
        <f t="shared" ca="1" si="26"/>
        <v/>
      </c>
      <c r="P561" s="38" t="str">
        <f>IF(E561&lt;&gt;"",RANK(E561,$E$3:$E$2298)+COUNTIF($E$3:E561,E561)-1,"")</f>
        <v/>
      </c>
    </row>
    <row r="562" spans="4:16" x14ac:dyDescent="0.25">
      <c r="D562" s="36" t="str" cm="1">
        <f t="array" aca="1" ref="D562" ca="1">IFERROR(IF(INDIRECT("'"&amp;F562&amp;"'!$C$5")&gt;0,DATE(YEAR(Dashboard!$AL$2),Dashboard!$AU$4,INDIRECT("'"&amp;F562&amp;"'!$C$5")),""),"")</f>
        <v/>
      </c>
      <c r="G562" s="38" t="str" cm="1">
        <f t="array" aca="1" ref="G562" ca="1">IF(F562="",
    "",
    IFERROR(
        IF(INDIRECT("'"&amp;F562&amp;"'!$B$2")="Credit Limit",
            "Credit Accounts",
            IF(INDIRECT("'"&amp;F562&amp;"'!$E$2")="Location",
                "Cash Accounts",
                IF(INDIRECT("'"&amp;F562&amp;"'!$B$2")="Amount",
                    "Investments",
                    "Bill Accounts"
                )
            )
        ),
    "")
)</f>
        <v/>
      </c>
      <c r="I562" s="46" t="str" cm="1">
        <f t="array" aca="1" ref="I562" ca="1">IF(F562&lt;&gt;"",IF(OR(G562="Bill Accounts",G562="Investments", G562="Cash Accounts"),INDIRECT("'"&amp;F562&amp;"'!$C$10"),INDIRECT("'"&amp;F562&amp;"'!$C$8")),"")</f>
        <v/>
      </c>
      <c r="K562" s="48">
        <f t="shared" si="27"/>
        <v>568</v>
      </c>
      <c r="L562" s="114" t="str" cm="1">
        <f t="array" aca="1" ref="L562" ca="1">IF(F562&lt;&gt;"",INDIRECT("'"&amp;F562&amp;"'!$F$17"),"")</f>
        <v/>
      </c>
      <c r="M562" s="116" t="str">
        <f t="shared" ca="1" si="25"/>
        <v/>
      </c>
      <c r="O562" s="49" t="str">
        <f t="shared" ca="1" si="26"/>
        <v/>
      </c>
      <c r="P562" s="38" t="str">
        <f>IF(E562&lt;&gt;"",RANK(E562,$E$3:$E$2298)+COUNTIF($E$3:E562,E562)-1,"")</f>
        <v/>
      </c>
    </row>
    <row r="563" spans="4:16" x14ac:dyDescent="0.25">
      <c r="D563" s="36" t="str" cm="1">
        <f t="array" aca="1" ref="D563" ca="1">IFERROR(IF(INDIRECT("'"&amp;F563&amp;"'!$C$5")&gt;0,DATE(YEAR(Dashboard!$AL$2),Dashboard!$AU$4,INDIRECT("'"&amp;F563&amp;"'!$C$5")),""),"")</f>
        <v/>
      </c>
      <c r="G563" s="38" t="str" cm="1">
        <f t="array" aca="1" ref="G563" ca="1">IF(F563="",
    "",
    IFERROR(
        IF(INDIRECT("'"&amp;F563&amp;"'!$B$2")="Credit Limit",
            "Credit Accounts",
            IF(INDIRECT("'"&amp;F563&amp;"'!$E$2")="Location",
                "Cash Accounts",
                IF(INDIRECT("'"&amp;F563&amp;"'!$B$2")="Amount",
                    "Investments",
                    "Bill Accounts"
                )
            )
        ),
    "")
)</f>
        <v/>
      </c>
      <c r="I563" s="46" t="str" cm="1">
        <f t="array" aca="1" ref="I563" ca="1">IF(F563&lt;&gt;"",IF(OR(G563="Bill Accounts",G563="Investments", G563="Cash Accounts"),INDIRECT("'"&amp;F563&amp;"'!$C$10"),INDIRECT("'"&amp;F563&amp;"'!$C$8")),"")</f>
        <v/>
      </c>
      <c r="K563" s="48">
        <f t="shared" si="27"/>
        <v>569</v>
      </c>
      <c r="L563" s="114" t="str" cm="1">
        <f t="array" aca="1" ref="L563" ca="1">IF(F563&lt;&gt;"",INDIRECT("'"&amp;F563&amp;"'!$F$17"),"")</f>
        <v/>
      </c>
      <c r="M563" s="116" t="str">
        <f t="shared" ca="1" si="25"/>
        <v/>
      </c>
      <c r="O563" s="49" t="str">
        <f t="shared" ca="1" si="26"/>
        <v/>
      </c>
      <c r="P563" s="38" t="str">
        <f>IF(E563&lt;&gt;"",RANK(E563,$E$3:$E$2298)+COUNTIF($E$3:E563,E563)-1,"")</f>
        <v/>
      </c>
    </row>
    <row r="564" spans="4:16" x14ac:dyDescent="0.25">
      <c r="D564" s="36" t="str" cm="1">
        <f t="array" aca="1" ref="D564" ca="1">IFERROR(IF(INDIRECT("'"&amp;F564&amp;"'!$C$5")&gt;0,DATE(YEAR(Dashboard!$AL$2),Dashboard!$AU$4,INDIRECT("'"&amp;F564&amp;"'!$C$5")),""),"")</f>
        <v/>
      </c>
      <c r="G564" s="38" t="str" cm="1">
        <f t="array" aca="1" ref="G564" ca="1">IF(F564="",
    "",
    IFERROR(
        IF(INDIRECT("'"&amp;F564&amp;"'!$B$2")="Credit Limit",
            "Credit Accounts",
            IF(INDIRECT("'"&amp;F564&amp;"'!$E$2")="Location",
                "Cash Accounts",
                IF(INDIRECT("'"&amp;F564&amp;"'!$B$2")="Amount",
                    "Investments",
                    "Bill Accounts"
                )
            )
        ),
    "")
)</f>
        <v/>
      </c>
      <c r="I564" s="46" t="str" cm="1">
        <f t="array" aca="1" ref="I564" ca="1">IF(F564&lt;&gt;"",IF(OR(G564="Bill Accounts",G564="Investments", G564="Cash Accounts"),INDIRECT("'"&amp;F564&amp;"'!$C$10"),INDIRECT("'"&amp;F564&amp;"'!$C$8")),"")</f>
        <v/>
      </c>
      <c r="K564" s="48">
        <f t="shared" si="27"/>
        <v>570</v>
      </c>
      <c r="L564" s="114" t="str" cm="1">
        <f t="array" aca="1" ref="L564" ca="1">IF(F564&lt;&gt;"",INDIRECT("'"&amp;F564&amp;"'!$F$17"),"")</f>
        <v/>
      </c>
      <c r="M564" s="116" t="str">
        <f t="shared" ca="1" si="25"/>
        <v/>
      </c>
      <c r="O564" s="49" t="str">
        <f t="shared" ca="1" si="26"/>
        <v/>
      </c>
      <c r="P564" s="38" t="str">
        <f>IF(E564&lt;&gt;"",RANK(E564,$E$3:$E$2298)+COUNTIF($E$3:E564,E564)-1,"")</f>
        <v/>
      </c>
    </row>
    <row r="565" spans="4:16" x14ac:dyDescent="0.25">
      <c r="D565" s="36" t="str" cm="1">
        <f t="array" aca="1" ref="D565" ca="1">IFERROR(IF(INDIRECT("'"&amp;F565&amp;"'!$C$5")&gt;0,DATE(YEAR(Dashboard!$AL$2),Dashboard!$AU$4,INDIRECT("'"&amp;F565&amp;"'!$C$5")),""),"")</f>
        <v/>
      </c>
      <c r="G565" s="38" t="str" cm="1">
        <f t="array" aca="1" ref="G565" ca="1">IF(F565="",
    "",
    IFERROR(
        IF(INDIRECT("'"&amp;F565&amp;"'!$B$2")="Credit Limit",
            "Credit Accounts",
            IF(INDIRECT("'"&amp;F565&amp;"'!$E$2")="Location",
                "Cash Accounts",
                IF(INDIRECT("'"&amp;F565&amp;"'!$B$2")="Amount",
                    "Investments",
                    "Bill Accounts"
                )
            )
        ),
    "")
)</f>
        <v/>
      </c>
      <c r="I565" s="46" t="str" cm="1">
        <f t="array" aca="1" ref="I565" ca="1">IF(F565&lt;&gt;"",IF(OR(G565="Bill Accounts",G565="Investments", G565="Cash Accounts"),INDIRECT("'"&amp;F565&amp;"'!$C$10"),INDIRECT("'"&amp;F565&amp;"'!$C$8")),"")</f>
        <v/>
      </c>
      <c r="K565" s="48">
        <f t="shared" si="27"/>
        <v>571</v>
      </c>
      <c r="L565" s="114" t="str" cm="1">
        <f t="array" aca="1" ref="L565" ca="1">IF(F565&lt;&gt;"",INDIRECT("'"&amp;F565&amp;"'!$F$17"),"")</f>
        <v/>
      </c>
      <c r="M565" s="116" t="str">
        <f t="shared" ca="1" si="25"/>
        <v/>
      </c>
      <c r="O565" s="49" t="str">
        <f t="shared" ca="1" si="26"/>
        <v/>
      </c>
      <c r="P565" s="38" t="str">
        <f>IF(E565&lt;&gt;"",RANK(E565,$E$3:$E$2298)+COUNTIF($E$3:E565,E565)-1,"")</f>
        <v/>
      </c>
    </row>
    <row r="566" spans="4:16" x14ac:dyDescent="0.25">
      <c r="D566" s="36" t="str" cm="1">
        <f t="array" aca="1" ref="D566" ca="1">IFERROR(IF(INDIRECT("'"&amp;F566&amp;"'!$C$5")&gt;0,DATE(YEAR(Dashboard!$AL$2),Dashboard!$AU$4,INDIRECT("'"&amp;F566&amp;"'!$C$5")),""),"")</f>
        <v/>
      </c>
      <c r="G566" s="38" t="str" cm="1">
        <f t="array" aca="1" ref="G566" ca="1">IF(F566="",
    "",
    IFERROR(
        IF(INDIRECT("'"&amp;F566&amp;"'!$B$2")="Credit Limit",
            "Credit Accounts",
            IF(INDIRECT("'"&amp;F566&amp;"'!$E$2")="Location",
                "Cash Accounts",
                IF(INDIRECT("'"&amp;F566&amp;"'!$B$2")="Amount",
                    "Investments",
                    "Bill Accounts"
                )
            )
        ),
    "")
)</f>
        <v/>
      </c>
      <c r="I566" s="46" t="str" cm="1">
        <f t="array" aca="1" ref="I566" ca="1">IF(F566&lt;&gt;"",IF(OR(G566="Bill Accounts",G566="Investments", G566="Cash Accounts"),INDIRECT("'"&amp;F566&amp;"'!$C$10"),INDIRECT("'"&amp;F566&amp;"'!$C$8")),"")</f>
        <v/>
      </c>
      <c r="K566" s="48">
        <f t="shared" si="27"/>
        <v>572</v>
      </c>
      <c r="L566" s="114" t="str" cm="1">
        <f t="array" aca="1" ref="L566" ca="1">IF(F566&lt;&gt;"",INDIRECT("'"&amp;F566&amp;"'!$F$17"),"")</f>
        <v/>
      </c>
      <c r="M566" s="116" t="str">
        <f t="shared" ca="1" si="25"/>
        <v/>
      </c>
      <c r="O566" s="49" t="str">
        <f t="shared" ca="1" si="26"/>
        <v/>
      </c>
      <c r="P566" s="38" t="str">
        <f>IF(E566&lt;&gt;"",RANK(E566,$E$3:$E$2298)+COUNTIF($E$3:E566,E566)-1,"")</f>
        <v/>
      </c>
    </row>
    <row r="567" spans="4:16" x14ac:dyDescent="0.25">
      <c r="D567" s="36" t="str" cm="1">
        <f t="array" aca="1" ref="D567" ca="1">IFERROR(IF(INDIRECT("'"&amp;F567&amp;"'!$C$5")&gt;0,DATE(YEAR(Dashboard!$AL$2),Dashboard!$AU$4,INDIRECT("'"&amp;F567&amp;"'!$C$5")),""),"")</f>
        <v/>
      </c>
      <c r="G567" s="38" t="str" cm="1">
        <f t="array" aca="1" ref="G567" ca="1">IF(F567="",
    "",
    IFERROR(
        IF(INDIRECT("'"&amp;F567&amp;"'!$B$2")="Credit Limit",
            "Credit Accounts",
            IF(INDIRECT("'"&amp;F567&amp;"'!$E$2")="Location",
                "Cash Accounts",
                IF(INDIRECT("'"&amp;F567&amp;"'!$B$2")="Amount",
                    "Investments",
                    "Bill Accounts"
                )
            )
        ),
    "")
)</f>
        <v/>
      </c>
      <c r="I567" s="46" t="str" cm="1">
        <f t="array" aca="1" ref="I567" ca="1">IF(F567&lt;&gt;"",IF(OR(G567="Bill Accounts",G567="Investments", G567="Cash Accounts"),INDIRECT("'"&amp;F567&amp;"'!$C$10"),INDIRECT("'"&amp;F567&amp;"'!$C$8")),"")</f>
        <v/>
      </c>
      <c r="K567" s="48">
        <f t="shared" si="27"/>
        <v>573</v>
      </c>
      <c r="L567" s="114" t="str" cm="1">
        <f t="array" aca="1" ref="L567" ca="1">IF(F567&lt;&gt;"",INDIRECT("'"&amp;F567&amp;"'!$F$17"),"")</f>
        <v/>
      </c>
      <c r="M567" s="116" t="str">
        <f t="shared" ca="1" si="25"/>
        <v/>
      </c>
      <c r="O567" s="49" t="str">
        <f t="shared" ca="1" si="26"/>
        <v/>
      </c>
      <c r="P567" s="38" t="str">
        <f>IF(E567&lt;&gt;"",RANK(E567,$E$3:$E$2298)+COUNTIF($E$3:E567,E567)-1,"")</f>
        <v/>
      </c>
    </row>
    <row r="568" spans="4:16" x14ac:dyDescent="0.25">
      <c r="D568" s="36" t="str" cm="1">
        <f t="array" aca="1" ref="D568" ca="1">IFERROR(IF(INDIRECT("'"&amp;F568&amp;"'!$C$5")&gt;0,DATE(YEAR(Dashboard!$AL$2),Dashboard!$AU$4,INDIRECT("'"&amp;F568&amp;"'!$C$5")),""),"")</f>
        <v/>
      </c>
      <c r="G568" s="38" t="str" cm="1">
        <f t="array" aca="1" ref="G568" ca="1">IF(F568="",
    "",
    IFERROR(
        IF(INDIRECT("'"&amp;F568&amp;"'!$B$2")="Credit Limit",
            "Credit Accounts",
            IF(INDIRECT("'"&amp;F568&amp;"'!$E$2")="Location",
                "Cash Accounts",
                IF(INDIRECT("'"&amp;F568&amp;"'!$B$2")="Amount",
                    "Investments",
                    "Bill Accounts"
                )
            )
        ),
    "")
)</f>
        <v/>
      </c>
      <c r="I568" s="46" t="str" cm="1">
        <f t="array" aca="1" ref="I568" ca="1">IF(F568&lt;&gt;"",IF(OR(G568="Bill Accounts",G568="Investments", G568="Cash Accounts"),INDIRECT("'"&amp;F568&amp;"'!$C$10"),INDIRECT("'"&amp;F568&amp;"'!$C$8")),"")</f>
        <v/>
      </c>
      <c r="K568" s="48">
        <f t="shared" si="27"/>
        <v>574</v>
      </c>
      <c r="L568" s="114" t="str" cm="1">
        <f t="array" aca="1" ref="L568" ca="1">IF(F568&lt;&gt;"",INDIRECT("'"&amp;F568&amp;"'!$F$17"),"")</f>
        <v/>
      </c>
      <c r="M568" s="116" t="str">
        <f t="shared" ca="1" si="25"/>
        <v/>
      </c>
      <c r="O568" s="49" t="str">
        <f t="shared" ca="1" si="26"/>
        <v/>
      </c>
      <c r="P568" s="38" t="str">
        <f>IF(E568&lt;&gt;"",RANK(E568,$E$3:$E$2298)+COUNTIF($E$3:E568,E568)-1,"")</f>
        <v/>
      </c>
    </row>
    <row r="569" spans="4:16" x14ac:dyDescent="0.25">
      <c r="D569" s="36" t="str" cm="1">
        <f t="array" aca="1" ref="D569" ca="1">IFERROR(IF(INDIRECT("'"&amp;F569&amp;"'!$C$5")&gt;0,DATE(YEAR(Dashboard!$AL$2),Dashboard!$AU$4,INDIRECT("'"&amp;F569&amp;"'!$C$5")),""),"")</f>
        <v/>
      </c>
      <c r="G569" s="38" t="str" cm="1">
        <f t="array" aca="1" ref="G569" ca="1">IF(F569="",
    "",
    IFERROR(
        IF(INDIRECT("'"&amp;F569&amp;"'!$B$2")="Credit Limit",
            "Credit Accounts",
            IF(INDIRECT("'"&amp;F569&amp;"'!$E$2")="Location",
                "Cash Accounts",
                IF(INDIRECT("'"&amp;F569&amp;"'!$B$2")="Amount",
                    "Investments",
                    "Bill Accounts"
                )
            )
        ),
    "")
)</f>
        <v/>
      </c>
      <c r="I569" s="46" t="str" cm="1">
        <f t="array" aca="1" ref="I569" ca="1">IF(F569&lt;&gt;"",IF(OR(G569="Bill Accounts",G569="Investments", G569="Cash Accounts"),INDIRECT("'"&amp;F569&amp;"'!$C$10"),INDIRECT("'"&amp;F569&amp;"'!$C$8")),"")</f>
        <v/>
      </c>
      <c r="K569" s="48">
        <f t="shared" si="27"/>
        <v>575</v>
      </c>
      <c r="L569" s="114" t="str" cm="1">
        <f t="array" aca="1" ref="L569" ca="1">IF(F569&lt;&gt;"",INDIRECT("'"&amp;F569&amp;"'!$F$17"),"")</f>
        <v/>
      </c>
      <c r="M569" s="116" t="str">
        <f t="shared" ca="1" si="25"/>
        <v/>
      </c>
      <c r="O569" s="49" t="str">
        <f t="shared" ca="1" si="26"/>
        <v/>
      </c>
      <c r="P569" s="38" t="str">
        <f>IF(E569&lt;&gt;"",RANK(E569,$E$3:$E$2298)+COUNTIF($E$3:E569,E569)-1,"")</f>
        <v/>
      </c>
    </row>
    <row r="570" spans="4:16" x14ac:dyDescent="0.25">
      <c r="D570" s="36" t="str" cm="1">
        <f t="array" aca="1" ref="D570" ca="1">IFERROR(IF(INDIRECT("'"&amp;F570&amp;"'!$C$5")&gt;0,DATE(YEAR(Dashboard!$AL$2),Dashboard!$AU$4,INDIRECT("'"&amp;F570&amp;"'!$C$5")),""),"")</f>
        <v/>
      </c>
      <c r="G570" s="38" t="str" cm="1">
        <f t="array" aca="1" ref="G570" ca="1">IF(F570="",
    "",
    IFERROR(
        IF(INDIRECT("'"&amp;F570&amp;"'!$B$2")="Credit Limit",
            "Credit Accounts",
            IF(INDIRECT("'"&amp;F570&amp;"'!$E$2")="Location",
                "Cash Accounts",
                IF(INDIRECT("'"&amp;F570&amp;"'!$B$2")="Amount",
                    "Investments",
                    "Bill Accounts"
                )
            )
        ),
    "")
)</f>
        <v/>
      </c>
      <c r="I570" s="46" t="str" cm="1">
        <f t="array" aca="1" ref="I570" ca="1">IF(F570&lt;&gt;"",IF(OR(G570="Bill Accounts",G570="Investments", G570="Cash Accounts"),INDIRECT("'"&amp;F570&amp;"'!$C$10"),INDIRECT("'"&amp;F570&amp;"'!$C$8")),"")</f>
        <v/>
      </c>
      <c r="K570" s="48">
        <f t="shared" si="27"/>
        <v>576</v>
      </c>
      <c r="L570" s="114" t="str" cm="1">
        <f t="array" aca="1" ref="L570" ca="1">IF(F570&lt;&gt;"",INDIRECT("'"&amp;F570&amp;"'!$F$17"),"")</f>
        <v/>
      </c>
      <c r="M570" s="116" t="str">
        <f t="shared" ca="1" si="25"/>
        <v/>
      </c>
      <c r="O570" s="49" t="str">
        <f t="shared" ca="1" si="26"/>
        <v/>
      </c>
      <c r="P570" s="38" t="str">
        <f>IF(E570&lt;&gt;"",RANK(E570,$E$3:$E$2298)+COUNTIF($E$3:E570,E570)-1,"")</f>
        <v/>
      </c>
    </row>
    <row r="571" spans="4:16" x14ac:dyDescent="0.25">
      <c r="D571" s="36" t="str" cm="1">
        <f t="array" aca="1" ref="D571" ca="1">IFERROR(IF(INDIRECT("'"&amp;F571&amp;"'!$C$5")&gt;0,DATE(YEAR(Dashboard!$AL$2),Dashboard!$AU$4,INDIRECT("'"&amp;F571&amp;"'!$C$5")),""),"")</f>
        <v/>
      </c>
      <c r="G571" s="38" t="str" cm="1">
        <f t="array" aca="1" ref="G571" ca="1">IF(F571="",
    "",
    IFERROR(
        IF(INDIRECT("'"&amp;F571&amp;"'!$B$2")="Credit Limit",
            "Credit Accounts",
            IF(INDIRECT("'"&amp;F571&amp;"'!$E$2")="Location",
                "Cash Accounts",
                IF(INDIRECT("'"&amp;F571&amp;"'!$B$2")="Amount",
                    "Investments",
                    "Bill Accounts"
                )
            )
        ),
    "")
)</f>
        <v/>
      </c>
      <c r="I571" s="46" t="str" cm="1">
        <f t="array" aca="1" ref="I571" ca="1">IF(F571&lt;&gt;"",IF(OR(G571="Bill Accounts",G571="Investments", G571="Cash Accounts"),INDIRECT("'"&amp;F571&amp;"'!$C$10"),INDIRECT("'"&amp;F571&amp;"'!$C$8")),"")</f>
        <v/>
      </c>
      <c r="K571" s="48">
        <f t="shared" si="27"/>
        <v>577</v>
      </c>
      <c r="L571" s="114" t="str" cm="1">
        <f t="array" aca="1" ref="L571" ca="1">IF(F571&lt;&gt;"",INDIRECT("'"&amp;F571&amp;"'!$F$17"),"")</f>
        <v/>
      </c>
      <c r="M571" s="116" t="str">
        <f t="shared" ca="1" si="25"/>
        <v/>
      </c>
      <c r="O571" s="49" t="str">
        <f t="shared" ca="1" si="26"/>
        <v/>
      </c>
      <c r="P571" s="38" t="str">
        <f>IF(E571&lt;&gt;"",RANK(E571,$E$3:$E$2298)+COUNTIF($E$3:E571,E571)-1,"")</f>
        <v/>
      </c>
    </row>
    <row r="572" spans="4:16" x14ac:dyDescent="0.25">
      <c r="D572" s="36" t="str" cm="1">
        <f t="array" aca="1" ref="D572" ca="1">IFERROR(IF(INDIRECT("'"&amp;F572&amp;"'!$C$5")&gt;0,DATE(YEAR(Dashboard!$AL$2),Dashboard!$AU$4,INDIRECT("'"&amp;F572&amp;"'!$C$5")),""),"")</f>
        <v/>
      </c>
      <c r="G572" s="38" t="str" cm="1">
        <f t="array" aca="1" ref="G572" ca="1">IF(F572="",
    "",
    IFERROR(
        IF(INDIRECT("'"&amp;F572&amp;"'!$B$2")="Credit Limit",
            "Credit Accounts",
            IF(INDIRECT("'"&amp;F572&amp;"'!$E$2")="Location",
                "Cash Accounts",
                IF(INDIRECT("'"&amp;F572&amp;"'!$B$2")="Amount",
                    "Investments",
                    "Bill Accounts"
                )
            )
        ),
    "")
)</f>
        <v/>
      </c>
      <c r="I572" s="46" t="str" cm="1">
        <f t="array" aca="1" ref="I572" ca="1">IF(F572&lt;&gt;"",IF(OR(G572="Bill Accounts",G572="Investments", G572="Cash Accounts"),INDIRECT("'"&amp;F572&amp;"'!$C$10"),INDIRECT("'"&amp;F572&amp;"'!$C$8")),"")</f>
        <v/>
      </c>
      <c r="K572" s="48">
        <f t="shared" si="27"/>
        <v>578</v>
      </c>
      <c r="L572" s="114" t="str" cm="1">
        <f t="array" aca="1" ref="L572" ca="1">IF(F572&lt;&gt;"",INDIRECT("'"&amp;F572&amp;"'!$F$17"),"")</f>
        <v/>
      </c>
      <c r="M572" s="116" t="str">
        <f t="shared" ca="1" si="25"/>
        <v/>
      </c>
      <c r="O572" s="49" t="str">
        <f t="shared" ca="1" si="26"/>
        <v/>
      </c>
      <c r="P572" s="38" t="str">
        <f>IF(E572&lt;&gt;"",RANK(E572,$E$3:$E$2298)+COUNTIF($E$3:E572,E572)-1,"")</f>
        <v/>
      </c>
    </row>
    <row r="573" spans="4:16" x14ac:dyDescent="0.25">
      <c r="D573" s="36" t="str" cm="1">
        <f t="array" aca="1" ref="D573" ca="1">IFERROR(IF(INDIRECT("'"&amp;F573&amp;"'!$C$5")&gt;0,DATE(YEAR(Dashboard!$AL$2),Dashboard!$AU$4,INDIRECT("'"&amp;F573&amp;"'!$C$5")),""),"")</f>
        <v/>
      </c>
      <c r="G573" s="38" t="str" cm="1">
        <f t="array" aca="1" ref="G573" ca="1">IF(F573="",
    "",
    IFERROR(
        IF(INDIRECT("'"&amp;F573&amp;"'!$B$2")="Credit Limit",
            "Credit Accounts",
            IF(INDIRECT("'"&amp;F573&amp;"'!$E$2")="Location",
                "Cash Accounts",
                IF(INDIRECT("'"&amp;F573&amp;"'!$B$2")="Amount",
                    "Investments",
                    "Bill Accounts"
                )
            )
        ),
    "")
)</f>
        <v/>
      </c>
      <c r="I573" s="46" t="str" cm="1">
        <f t="array" aca="1" ref="I573" ca="1">IF(F573&lt;&gt;"",IF(OR(G573="Bill Accounts",G573="Investments", G573="Cash Accounts"),INDIRECT("'"&amp;F573&amp;"'!$C$10"),INDIRECT("'"&amp;F573&amp;"'!$C$8")),"")</f>
        <v/>
      </c>
      <c r="K573" s="48">
        <f t="shared" si="27"/>
        <v>579</v>
      </c>
      <c r="L573" s="114" t="str" cm="1">
        <f t="array" aca="1" ref="L573" ca="1">IF(F573&lt;&gt;"",INDIRECT("'"&amp;F573&amp;"'!$F$17"),"")</f>
        <v/>
      </c>
      <c r="M573" s="116" t="str">
        <f t="shared" ca="1" si="25"/>
        <v/>
      </c>
      <c r="O573" s="49" t="str">
        <f t="shared" ca="1" si="26"/>
        <v/>
      </c>
      <c r="P573" s="38" t="str">
        <f>IF(E573&lt;&gt;"",RANK(E573,$E$3:$E$2298)+COUNTIF($E$3:E573,E573)-1,"")</f>
        <v/>
      </c>
    </row>
    <row r="574" spans="4:16" x14ac:dyDescent="0.25">
      <c r="D574" s="36" t="str" cm="1">
        <f t="array" aca="1" ref="D574" ca="1">IFERROR(IF(INDIRECT("'"&amp;F574&amp;"'!$C$5")&gt;0,DATE(YEAR(Dashboard!$AL$2),Dashboard!$AU$4,INDIRECT("'"&amp;F574&amp;"'!$C$5")),""),"")</f>
        <v/>
      </c>
      <c r="G574" s="38" t="str" cm="1">
        <f t="array" aca="1" ref="G574" ca="1">IF(F574="",
    "",
    IFERROR(
        IF(INDIRECT("'"&amp;F574&amp;"'!$B$2")="Credit Limit",
            "Credit Accounts",
            IF(INDIRECT("'"&amp;F574&amp;"'!$E$2")="Location",
                "Cash Accounts",
                IF(INDIRECT("'"&amp;F574&amp;"'!$B$2")="Amount",
                    "Investments",
                    "Bill Accounts"
                )
            )
        ),
    "")
)</f>
        <v/>
      </c>
      <c r="I574" s="46" t="str" cm="1">
        <f t="array" aca="1" ref="I574" ca="1">IF(F574&lt;&gt;"",IF(OR(G574="Bill Accounts",G574="Investments", G574="Cash Accounts"),INDIRECT("'"&amp;F574&amp;"'!$C$10"),INDIRECT("'"&amp;F574&amp;"'!$C$8")),"")</f>
        <v/>
      </c>
      <c r="K574" s="48">
        <f t="shared" si="27"/>
        <v>580</v>
      </c>
      <c r="L574" s="114" t="str" cm="1">
        <f t="array" aca="1" ref="L574" ca="1">IF(F574&lt;&gt;"",INDIRECT("'"&amp;F574&amp;"'!$F$17"),"")</f>
        <v/>
      </c>
      <c r="M574" s="116" t="str">
        <f t="shared" ca="1" si="25"/>
        <v/>
      </c>
      <c r="O574" s="49" t="str">
        <f t="shared" ca="1" si="26"/>
        <v/>
      </c>
      <c r="P574" s="38" t="str">
        <f>IF(E574&lt;&gt;"",RANK(E574,$E$3:$E$2298)+COUNTIF($E$3:E574,E574)-1,"")</f>
        <v/>
      </c>
    </row>
    <row r="575" spans="4:16" x14ac:dyDescent="0.25">
      <c r="D575" s="36" t="str" cm="1">
        <f t="array" aca="1" ref="D575" ca="1">IFERROR(IF(INDIRECT("'"&amp;F575&amp;"'!$C$5")&gt;0,DATE(YEAR(Dashboard!$AL$2),Dashboard!$AU$4,INDIRECT("'"&amp;F575&amp;"'!$C$5")),""),"")</f>
        <v/>
      </c>
      <c r="G575" s="38" t="str" cm="1">
        <f t="array" aca="1" ref="G575" ca="1">IF(F575="",
    "",
    IFERROR(
        IF(INDIRECT("'"&amp;F575&amp;"'!$B$2")="Credit Limit",
            "Credit Accounts",
            IF(INDIRECT("'"&amp;F575&amp;"'!$E$2")="Location",
                "Cash Accounts",
                IF(INDIRECT("'"&amp;F575&amp;"'!$B$2")="Amount",
                    "Investments",
                    "Bill Accounts"
                )
            )
        ),
    "")
)</f>
        <v/>
      </c>
      <c r="I575" s="46" t="str" cm="1">
        <f t="array" aca="1" ref="I575" ca="1">IF(F575&lt;&gt;"",IF(OR(G575="Bill Accounts",G575="Investments", G575="Cash Accounts"),INDIRECT("'"&amp;F575&amp;"'!$C$10"),INDIRECT("'"&amp;F575&amp;"'!$C$8")),"")</f>
        <v/>
      </c>
      <c r="K575" s="48">
        <f t="shared" si="27"/>
        <v>581</v>
      </c>
      <c r="L575" s="114" t="str" cm="1">
        <f t="array" aca="1" ref="L575" ca="1">IF(F575&lt;&gt;"",INDIRECT("'"&amp;F575&amp;"'!$F$17"),"")</f>
        <v/>
      </c>
      <c r="M575" s="116" t="str">
        <f t="shared" ca="1" si="25"/>
        <v/>
      </c>
      <c r="O575" s="49" t="str">
        <f t="shared" ca="1" si="26"/>
        <v/>
      </c>
      <c r="P575" s="38" t="str">
        <f>IF(E575&lt;&gt;"",RANK(E575,$E$3:$E$2298)+COUNTIF($E$3:E575,E575)-1,"")</f>
        <v/>
      </c>
    </row>
    <row r="576" spans="4:16" x14ac:dyDescent="0.25">
      <c r="D576" s="36" t="str" cm="1">
        <f t="array" aca="1" ref="D576" ca="1">IFERROR(IF(INDIRECT("'"&amp;F576&amp;"'!$C$5")&gt;0,DATE(YEAR(Dashboard!$AL$2),Dashboard!$AU$4,INDIRECT("'"&amp;F576&amp;"'!$C$5")),""),"")</f>
        <v/>
      </c>
      <c r="G576" s="38" t="str" cm="1">
        <f t="array" aca="1" ref="G576" ca="1">IF(F576="",
    "",
    IFERROR(
        IF(INDIRECT("'"&amp;F576&amp;"'!$B$2")="Credit Limit",
            "Credit Accounts",
            IF(INDIRECT("'"&amp;F576&amp;"'!$E$2")="Location",
                "Cash Accounts",
                IF(INDIRECT("'"&amp;F576&amp;"'!$B$2")="Amount",
                    "Investments",
                    "Bill Accounts"
                )
            )
        ),
    "")
)</f>
        <v/>
      </c>
      <c r="I576" s="46" t="str" cm="1">
        <f t="array" aca="1" ref="I576" ca="1">IF(F576&lt;&gt;"",IF(OR(G576="Bill Accounts",G576="Investments", G576="Cash Accounts"),INDIRECT("'"&amp;F576&amp;"'!$C$10"),INDIRECT("'"&amp;F576&amp;"'!$C$8")),"")</f>
        <v/>
      </c>
      <c r="K576" s="48">
        <f t="shared" si="27"/>
        <v>582</v>
      </c>
      <c r="L576" s="114" t="str" cm="1">
        <f t="array" aca="1" ref="L576" ca="1">IF(F576&lt;&gt;"",INDIRECT("'"&amp;F576&amp;"'!$F$17"),"")</f>
        <v/>
      </c>
      <c r="M576" s="116" t="str">
        <f t="shared" ca="1" si="25"/>
        <v/>
      </c>
      <c r="O576" s="49" t="str">
        <f t="shared" ca="1" si="26"/>
        <v/>
      </c>
      <c r="P576" s="38" t="str">
        <f>IF(E576&lt;&gt;"",RANK(E576,$E$3:$E$2298)+COUNTIF($E$3:E576,E576)-1,"")</f>
        <v/>
      </c>
    </row>
    <row r="577" spans="4:16" x14ac:dyDescent="0.25">
      <c r="D577" s="36" t="str" cm="1">
        <f t="array" aca="1" ref="D577" ca="1">IFERROR(IF(INDIRECT("'"&amp;F577&amp;"'!$C$5")&gt;0,DATE(YEAR(Dashboard!$AL$2),Dashboard!$AU$4,INDIRECT("'"&amp;F577&amp;"'!$C$5")),""),"")</f>
        <v/>
      </c>
      <c r="G577" s="38" t="str" cm="1">
        <f t="array" aca="1" ref="G577" ca="1">IF(F577="",
    "",
    IFERROR(
        IF(INDIRECT("'"&amp;F577&amp;"'!$B$2")="Credit Limit",
            "Credit Accounts",
            IF(INDIRECT("'"&amp;F577&amp;"'!$E$2")="Location",
                "Cash Accounts",
                IF(INDIRECT("'"&amp;F577&amp;"'!$B$2")="Amount",
                    "Investments",
                    "Bill Accounts"
                )
            )
        ),
    "")
)</f>
        <v/>
      </c>
      <c r="I577" s="46" t="str" cm="1">
        <f t="array" aca="1" ref="I577" ca="1">IF(F577&lt;&gt;"",IF(OR(G577="Bill Accounts",G577="Investments", G577="Cash Accounts"),INDIRECT("'"&amp;F577&amp;"'!$C$10"),INDIRECT("'"&amp;F577&amp;"'!$C$8")),"")</f>
        <v/>
      </c>
      <c r="K577" s="48">
        <f t="shared" si="27"/>
        <v>583</v>
      </c>
      <c r="L577" s="114" t="str" cm="1">
        <f t="array" aca="1" ref="L577" ca="1">IF(F577&lt;&gt;"",INDIRECT("'"&amp;F577&amp;"'!$F$17"),"")</f>
        <v/>
      </c>
      <c r="M577" s="116" t="str">
        <f t="shared" ca="1" si="25"/>
        <v/>
      </c>
      <c r="O577" s="49" t="str">
        <f t="shared" ca="1" si="26"/>
        <v/>
      </c>
      <c r="P577" s="38" t="str">
        <f>IF(E577&lt;&gt;"",RANK(E577,$E$3:$E$2298)+COUNTIF($E$3:E577,E577)-1,"")</f>
        <v/>
      </c>
    </row>
    <row r="578" spans="4:16" x14ac:dyDescent="0.25">
      <c r="D578" s="36" t="str" cm="1">
        <f t="array" aca="1" ref="D578" ca="1">IFERROR(IF(INDIRECT("'"&amp;F578&amp;"'!$C$5")&gt;0,DATE(YEAR(Dashboard!$AL$2),Dashboard!$AU$4,INDIRECT("'"&amp;F578&amp;"'!$C$5")),""),"")</f>
        <v/>
      </c>
      <c r="G578" s="38" t="str" cm="1">
        <f t="array" aca="1" ref="G578" ca="1">IF(F578="",
    "",
    IFERROR(
        IF(INDIRECT("'"&amp;F578&amp;"'!$B$2")="Credit Limit",
            "Credit Accounts",
            IF(INDIRECT("'"&amp;F578&amp;"'!$E$2")="Location",
                "Cash Accounts",
                IF(INDIRECT("'"&amp;F578&amp;"'!$B$2")="Amount",
                    "Investments",
                    "Bill Accounts"
                )
            )
        ),
    "")
)</f>
        <v/>
      </c>
      <c r="I578" s="46" t="str" cm="1">
        <f t="array" aca="1" ref="I578" ca="1">IF(F578&lt;&gt;"",IF(OR(G578="Bill Accounts",G578="Investments", G578="Cash Accounts"),INDIRECT("'"&amp;F578&amp;"'!$C$10"),INDIRECT("'"&amp;F578&amp;"'!$C$8")),"")</f>
        <v/>
      </c>
      <c r="K578" s="48">
        <f t="shared" si="27"/>
        <v>584</v>
      </c>
      <c r="L578" s="114" t="str" cm="1">
        <f t="array" aca="1" ref="L578" ca="1">IF(F578&lt;&gt;"",INDIRECT("'"&amp;F578&amp;"'!$F$17"),"")</f>
        <v/>
      </c>
      <c r="M578" s="116" t="str">
        <f t="shared" ca="1" si="25"/>
        <v/>
      </c>
      <c r="O578" s="49" t="str">
        <f t="shared" ca="1" si="26"/>
        <v/>
      </c>
      <c r="P578" s="38" t="str">
        <f>IF(E578&lt;&gt;"",RANK(E578,$E$3:$E$2298)+COUNTIF($E$3:E578,E578)-1,"")</f>
        <v/>
      </c>
    </row>
    <row r="579" spans="4:16" x14ac:dyDescent="0.25">
      <c r="D579" s="36" t="str" cm="1">
        <f t="array" aca="1" ref="D579" ca="1">IFERROR(IF(INDIRECT("'"&amp;F579&amp;"'!$C$5")&gt;0,DATE(YEAR(Dashboard!$AL$2),Dashboard!$AU$4,INDIRECT("'"&amp;F579&amp;"'!$C$5")),""),"")</f>
        <v/>
      </c>
      <c r="G579" s="38" t="str" cm="1">
        <f t="array" aca="1" ref="G579" ca="1">IF(F579="",
    "",
    IFERROR(
        IF(INDIRECT("'"&amp;F579&amp;"'!$B$2")="Credit Limit",
            "Credit Accounts",
            IF(INDIRECT("'"&amp;F579&amp;"'!$E$2")="Location",
                "Cash Accounts",
                IF(INDIRECT("'"&amp;F579&amp;"'!$B$2")="Amount",
                    "Investments",
                    "Bill Accounts"
                )
            )
        ),
    "")
)</f>
        <v/>
      </c>
      <c r="I579" s="46" t="str" cm="1">
        <f t="array" aca="1" ref="I579" ca="1">IF(F579&lt;&gt;"",IF(OR(G579="Bill Accounts",G579="Investments", G579="Cash Accounts"),INDIRECT("'"&amp;F579&amp;"'!$C$10"),INDIRECT("'"&amp;F579&amp;"'!$C$8")),"")</f>
        <v/>
      </c>
      <c r="K579" s="48">
        <f t="shared" si="27"/>
        <v>585</v>
      </c>
      <c r="L579" s="114" t="str" cm="1">
        <f t="array" aca="1" ref="L579" ca="1">IF(F579&lt;&gt;"",INDIRECT("'"&amp;F579&amp;"'!$F$17"),"")</f>
        <v/>
      </c>
      <c r="M579" s="116" t="str">
        <f t="shared" ca="1" si="25"/>
        <v/>
      </c>
      <c r="O579" s="49" t="str">
        <f t="shared" ca="1" si="26"/>
        <v/>
      </c>
      <c r="P579" s="38" t="str">
        <f>IF(E579&lt;&gt;"",RANK(E579,$E$3:$E$2298)+COUNTIF($E$3:E579,E579)-1,"")</f>
        <v/>
      </c>
    </row>
    <row r="580" spans="4:16" x14ac:dyDescent="0.25">
      <c r="D580" s="36" t="str" cm="1">
        <f t="array" aca="1" ref="D580" ca="1">IFERROR(IF(INDIRECT("'"&amp;F580&amp;"'!$C$5")&gt;0,DATE(YEAR(Dashboard!$AL$2),Dashboard!$AU$4,INDIRECT("'"&amp;F580&amp;"'!$C$5")),""),"")</f>
        <v/>
      </c>
      <c r="G580" s="38" t="str" cm="1">
        <f t="array" aca="1" ref="G580" ca="1">IF(F580="",
    "",
    IFERROR(
        IF(INDIRECT("'"&amp;F580&amp;"'!$B$2")="Credit Limit",
            "Credit Accounts",
            IF(INDIRECT("'"&amp;F580&amp;"'!$E$2")="Location",
                "Cash Accounts",
                IF(INDIRECT("'"&amp;F580&amp;"'!$B$2")="Amount",
                    "Investments",
                    "Bill Accounts"
                )
            )
        ),
    "")
)</f>
        <v/>
      </c>
      <c r="I580" s="46" t="str" cm="1">
        <f t="array" aca="1" ref="I580" ca="1">IF(F580&lt;&gt;"",IF(OR(G580="Bill Accounts",G580="Investments", G580="Cash Accounts"),INDIRECT("'"&amp;F580&amp;"'!$C$10"),INDIRECT("'"&amp;F580&amp;"'!$C$8")),"")</f>
        <v/>
      </c>
      <c r="K580" s="48">
        <f t="shared" si="27"/>
        <v>586</v>
      </c>
      <c r="L580" s="114" t="str" cm="1">
        <f t="array" aca="1" ref="L580" ca="1">IF(F580&lt;&gt;"",INDIRECT("'"&amp;F580&amp;"'!$F$17"),"")</f>
        <v/>
      </c>
      <c r="M580" s="116" t="str">
        <f t="shared" ref="M580:M643" ca="1" si="28">IF(G580="Credit Accounts",EDATE(TODAY(),INDIRECT("'"&amp;F580&amp;"'!$C$14")),"")</f>
        <v/>
      </c>
      <c r="O580" s="49" t="str">
        <f t="shared" ref="O580:O643" ca="1" si="29">IF(D580&lt;&gt;"",DAY(D580),"")</f>
        <v/>
      </c>
      <c r="P580" s="38" t="str">
        <f>IF(E580&lt;&gt;"",RANK(E580,$E$3:$E$2298)+COUNTIF($E$3:E580,E580)-1,"")</f>
        <v/>
      </c>
    </row>
    <row r="581" spans="4:16" x14ac:dyDescent="0.25">
      <c r="D581" s="36" t="str" cm="1">
        <f t="array" aca="1" ref="D581" ca="1">IFERROR(IF(INDIRECT("'"&amp;F581&amp;"'!$C$5")&gt;0,DATE(YEAR(Dashboard!$AL$2),Dashboard!$AU$4,INDIRECT("'"&amp;F581&amp;"'!$C$5")),""),"")</f>
        <v/>
      </c>
      <c r="G581" s="38" t="str" cm="1">
        <f t="array" aca="1" ref="G581" ca="1">IF(F581="",
    "",
    IFERROR(
        IF(INDIRECT("'"&amp;F581&amp;"'!$B$2")="Credit Limit",
            "Credit Accounts",
            IF(INDIRECT("'"&amp;F581&amp;"'!$E$2")="Location",
                "Cash Accounts",
                IF(INDIRECT("'"&amp;F581&amp;"'!$B$2")="Amount",
                    "Investments",
                    "Bill Accounts"
                )
            )
        ),
    "")
)</f>
        <v/>
      </c>
      <c r="I581" s="46" t="str" cm="1">
        <f t="array" aca="1" ref="I581" ca="1">IF(F581&lt;&gt;"",IF(OR(G581="Bill Accounts",G581="Investments", G581="Cash Accounts"),INDIRECT("'"&amp;F581&amp;"'!$C$10"),INDIRECT("'"&amp;F581&amp;"'!$C$8")),"")</f>
        <v/>
      </c>
      <c r="K581" s="48">
        <f t="shared" si="27"/>
        <v>587</v>
      </c>
      <c r="L581" s="114" t="str" cm="1">
        <f t="array" aca="1" ref="L581" ca="1">IF(F581&lt;&gt;"",INDIRECT("'"&amp;F581&amp;"'!$F$17"),"")</f>
        <v/>
      </c>
      <c r="M581" s="116" t="str">
        <f t="shared" ca="1" si="28"/>
        <v/>
      </c>
      <c r="O581" s="49" t="str">
        <f t="shared" ca="1" si="29"/>
        <v/>
      </c>
      <c r="P581" s="38" t="str">
        <f>IF(E581&lt;&gt;"",RANK(E581,$E$3:$E$2298)+COUNTIF($E$3:E581,E581)-1,"")</f>
        <v/>
      </c>
    </row>
    <row r="582" spans="4:16" x14ac:dyDescent="0.25">
      <c r="D582" s="36" t="str" cm="1">
        <f t="array" aca="1" ref="D582" ca="1">IFERROR(IF(INDIRECT("'"&amp;F582&amp;"'!$C$5")&gt;0,DATE(YEAR(Dashboard!$AL$2),Dashboard!$AU$4,INDIRECT("'"&amp;F582&amp;"'!$C$5")),""),"")</f>
        <v/>
      </c>
      <c r="G582" s="38" t="str" cm="1">
        <f t="array" aca="1" ref="G582" ca="1">IF(F582="",
    "",
    IFERROR(
        IF(INDIRECT("'"&amp;F582&amp;"'!$B$2")="Credit Limit",
            "Credit Accounts",
            IF(INDIRECT("'"&amp;F582&amp;"'!$E$2")="Location",
                "Cash Accounts",
                IF(INDIRECT("'"&amp;F582&amp;"'!$B$2")="Amount",
                    "Investments",
                    "Bill Accounts"
                )
            )
        ),
    "")
)</f>
        <v/>
      </c>
      <c r="I582" s="46" t="str" cm="1">
        <f t="array" aca="1" ref="I582" ca="1">IF(F582&lt;&gt;"",IF(OR(G582="Bill Accounts",G582="Investments", G582="Cash Accounts"),INDIRECT("'"&amp;F582&amp;"'!$C$10"),INDIRECT("'"&amp;F582&amp;"'!$C$8")),"")</f>
        <v/>
      </c>
      <c r="K582" s="48">
        <f t="shared" si="27"/>
        <v>588</v>
      </c>
      <c r="L582" s="114" t="str" cm="1">
        <f t="array" aca="1" ref="L582" ca="1">IF(F582&lt;&gt;"",INDIRECT("'"&amp;F582&amp;"'!$F$17"),"")</f>
        <v/>
      </c>
      <c r="M582" s="116" t="str">
        <f t="shared" ca="1" si="28"/>
        <v/>
      </c>
      <c r="O582" s="49" t="str">
        <f t="shared" ca="1" si="29"/>
        <v/>
      </c>
      <c r="P582" s="38" t="str">
        <f>IF(E582&lt;&gt;"",RANK(E582,$E$3:$E$2298)+COUNTIF($E$3:E582,E582)-1,"")</f>
        <v/>
      </c>
    </row>
    <row r="583" spans="4:16" x14ac:dyDescent="0.25">
      <c r="D583" s="36" t="str" cm="1">
        <f t="array" aca="1" ref="D583" ca="1">IFERROR(IF(INDIRECT("'"&amp;F583&amp;"'!$C$5")&gt;0,DATE(YEAR(Dashboard!$AL$2),Dashboard!$AU$4,INDIRECT("'"&amp;F583&amp;"'!$C$5")),""),"")</f>
        <v/>
      </c>
      <c r="G583" s="38" t="str" cm="1">
        <f t="array" aca="1" ref="G583" ca="1">IF(F583="",
    "",
    IFERROR(
        IF(INDIRECT("'"&amp;F583&amp;"'!$B$2")="Credit Limit",
            "Credit Accounts",
            IF(INDIRECT("'"&amp;F583&amp;"'!$E$2")="Location",
                "Cash Accounts",
                IF(INDIRECT("'"&amp;F583&amp;"'!$B$2")="Amount",
                    "Investments",
                    "Bill Accounts"
                )
            )
        ),
    "")
)</f>
        <v/>
      </c>
      <c r="I583" s="46" t="str" cm="1">
        <f t="array" aca="1" ref="I583" ca="1">IF(F583&lt;&gt;"",IF(OR(G583="Bill Accounts",G583="Investments", G583="Cash Accounts"),INDIRECT("'"&amp;F583&amp;"'!$C$10"),INDIRECT("'"&amp;F583&amp;"'!$C$8")),"")</f>
        <v/>
      </c>
      <c r="K583" s="48">
        <f t="shared" si="27"/>
        <v>589</v>
      </c>
      <c r="L583" s="114" t="str" cm="1">
        <f t="array" aca="1" ref="L583" ca="1">IF(F583&lt;&gt;"",INDIRECT("'"&amp;F583&amp;"'!$F$17"),"")</f>
        <v/>
      </c>
      <c r="M583" s="116" t="str">
        <f t="shared" ca="1" si="28"/>
        <v/>
      </c>
      <c r="O583" s="49" t="str">
        <f t="shared" ca="1" si="29"/>
        <v/>
      </c>
      <c r="P583" s="38" t="str">
        <f>IF(E583&lt;&gt;"",RANK(E583,$E$3:$E$2298)+COUNTIF($E$3:E583,E583)-1,"")</f>
        <v/>
      </c>
    </row>
    <row r="584" spans="4:16" x14ac:dyDescent="0.25">
      <c r="D584" s="36" t="str" cm="1">
        <f t="array" aca="1" ref="D584" ca="1">IFERROR(IF(INDIRECT("'"&amp;F584&amp;"'!$C$5")&gt;0,DATE(YEAR(Dashboard!$AL$2),Dashboard!$AU$4,INDIRECT("'"&amp;F584&amp;"'!$C$5")),""),"")</f>
        <v/>
      </c>
      <c r="G584" s="38" t="str" cm="1">
        <f t="array" aca="1" ref="G584" ca="1">IF(F584="",
    "",
    IFERROR(
        IF(INDIRECT("'"&amp;F584&amp;"'!$B$2")="Credit Limit",
            "Credit Accounts",
            IF(INDIRECT("'"&amp;F584&amp;"'!$E$2")="Location",
                "Cash Accounts",
                IF(INDIRECT("'"&amp;F584&amp;"'!$B$2")="Amount",
                    "Investments",
                    "Bill Accounts"
                )
            )
        ),
    "")
)</f>
        <v/>
      </c>
      <c r="I584" s="46" t="str" cm="1">
        <f t="array" aca="1" ref="I584" ca="1">IF(F584&lt;&gt;"",IF(OR(G584="Bill Accounts",G584="Investments", G584="Cash Accounts"),INDIRECT("'"&amp;F584&amp;"'!$C$10"),INDIRECT("'"&amp;F584&amp;"'!$C$8")),"")</f>
        <v/>
      </c>
      <c r="K584" s="48">
        <f t="shared" ref="K584:K647" si="30">SUM(K583+1)</f>
        <v>590</v>
      </c>
      <c r="L584" s="114" t="str" cm="1">
        <f t="array" aca="1" ref="L584" ca="1">IF(F584&lt;&gt;"",INDIRECT("'"&amp;F584&amp;"'!$F$17"),"")</f>
        <v/>
      </c>
      <c r="M584" s="116" t="str">
        <f t="shared" ca="1" si="28"/>
        <v/>
      </c>
      <c r="O584" s="49" t="str">
        <f t="shared" ca="1" si="29"/>
        <v/>
      </c>
      <c r="P584" s="38" t="str">
        <f>IF(E584&lt;&gt;"",RANK(E584,$E$3:$E$2298)+COUNTIF($E$3:E584,E584)-1,"")</f>
        <v/>
      </c>
    </row>
    <row r="585" spans="4:16" x14ac:dyDescent="0.25">
      <c r="D585" s="36" t="str" cm="1">
        <f t="array" aca="1" ref="D585" ca="1">IFERROR(IF(INDIRECT("'"&amp;F585&amp;"'!$C$5")&gt;0,DATE(YEAR(Dashboard!$AL$2),Dashboard!$AU$4,INDIRECT("'"&amp;F585&amp;"'!$C$5")),""),"")</f>
        <v/>
      </c>
      <c r="G585" s="38" t="str" cm="1">
        <f t="array" aca="1" ref="G585" ca="1">IF(F585="",
    "",
    IFERROR(
        IF(INDIRECT("'"&amp;F585&amp;"'!$B$2")="Credit Limit",
            "Credit Accounts",
            IF(INDIRECT("'"&amp;F585&amp;"'!$E$2")="Location",
                "Cash Accounts",
                IF(INDIRECT("'"&amp;F585&amp;"'!$B$2")="Amount",
                    "Investments",
                    "Bill Accounts"
                )
            )
        ),
    "")
)</f>
        <v/>
      </c>
      <c r="I585" s="46" t="str" cm="1">
        <f t="array" aca="1" ref="I585" ca="1">IF(F585&lt;&gt;"",IF(OR(G585="Bill Accounts",G585="Investments", G585="Cash Accounts"),INDIRECT("'"&amp;F585&amp;"'!$C$10"),INDIRECT("'"&amp;F585&amp;"'!$C$8")),"")</f>
        <v/>
      </c>
      <c r="K585" s="48">
        <f t="shared" si="30"/>
        <v>591</v>
      </c>
      <c r="L585" s="114" t="str" cm="1">
        <f t="array" aca="1" ref="L585" ca="1">IF(F585&lt;&gt;"",INDIRECT("'"&amp;F585&amp;"'!$F$17"),"")</f>
        <v/>
      </c>
      <c r="M585" s="116" t="str">
        <f t="shared" ca="1" si="28"/>
        <v/>
      </c>
      <c r="O585" s="49" t="str">
        <f t="shared" ca="1" si="29"/>
        <v/>
      </c>
      <c r="P585" s="38" t="str">
        <f>IF(E585&lt;&gt;"",RANK(E585,$E$3:$E$2298)+COUNTIF($E$3:E585,E585)-1,"")</f>
        <v/>
      </c>
    </row>
    <row r="586" spans="4:16" x14ac:dyDescent="0.25">
      <c r="D586" s="36" t="str" cm="1">
        <f t="array" aca="1" ref="D586" ca="1">IFERROR(IF(INDIRECT("'"&amp;F586&amp;"'!$C$5")&gt;0,DATE(YEAR(Dashboard!$AL$2),Dashboard!$AU$4,INDIRECT("'"&amp;F586&amp;"'!$C$5")),""),"")</f>
        <v/>
      </c>
      <c r="G586" s="38" t="str" cm="1">
        <f t="array" aca="1" ref="G586" ca="1">IF(F586="",
    "",
    IFERROR(
        IF(INDIRECT("'"&amp;F586&amp;"'!$B$2")="Credit Limit",
            "Credit Accounts",
            IF(INDIRECT("'"&amp;F586&amp;"'!$E$2")="Location",
                "Cash Accounts",
                IF(INDIRECT("'"&amp;F586&amp;"'!$B$2")="Amount",
                    "Investments",
                    "Bill Accounts"
                )
            )
        ),
    "")
)</f>
        <v/>
      </c>
      <c r="I586" s="46" t="str" cm="1">
        <f t="array" aca="1" ref="I586" ca="1">IF(F586&lt;&gt;"",IF(OR(G586="Bill Accounts",G586="Investments", G586="Cash Accounts"),INDIRECT("'"&amp;F586&amp;"'!$C$10"),INDIRECT("'"&amp;F586&amp;"'!$C$8")),"")</f>
        <v/>
      </c>
      <c r="K586" s="48">
        <f t="shared" si="30"/>
        <v>592</v>
      </c>
      <c r="L586" s="114" t="str" cm="1">
        <f t="array" aca="1" ref="L586" ca="1">IF(F586&lt;&gt;"",INDIRECT("'"&amp;F586&amp;"'!$F$17"),"")</f>
        <v/>
      </c>
      <c r="M586" s="116" t="str">
        <f t="shared" ca="1" si="28"/>
        <v/>
      </c>
      <c r="O586" s="49" t="str">
        <f t="shared" ca="1" si="29"/>
        <v/>
      </c>
      <c r="P586" s="38" t="str">
        <f>IF(E586&lt;&gt;"",RANK(E586,$E$3:$E$2298)+COUNTIF($E$3:E586,E586)-1,"")</f>
        <v/>
      </c>
    </row>
    <row r="587" spans="4:16" x14ac:dyDescent="0.25">
      <c r="D587" s="36" t="str" cm="1">
        <f t="array" aca="1" ref="D587" ca="1">IFERROR(IF(INDIRECT("'"&amp;F587&amp;"'!$C$5")&gt;0,DATE(YEAR(Dashboard!$AL$2),Dashboard!$AU$4,INDIRECT("'"&amp;F587&amp;"'!$C$5")),""),"")</f>
        <v/>
      </c>
      <c r="G587" s="38" t="str" cm="1">
        <f t="array" aca="1" ref="G587" ca="1">IF(F587="",
    "",
    IFERROR(
        IF(INDIRECT("'"&amp;F587&amp;"'!$B$2")="Credit Limit",
            "Credit Accounts",
            IF(INDIRECT("'"&amp;F587&amp;"'!$E$2")="Location",
                "Cash Accounts",
                IF(INDIRECT("'"&amp;F587&amp;"'!$B$2")="Amount",
                    "Investments",
                    "Bill Accounts"
                )
            )
        ),
    "")
)</f>
        <v/>
      </c>
      <c r="I587" s="46" t="str" cm="1">
        <f t="array" aca="1" ref="I587" ca="1">IF(F587&lt;&gt;"",IF(OR(G587="Bill Accounts",G587="Investments", G587="Cash Accounts"),INDIRECT("'"&amp;F587&amp;"'!$C$10"),INDIRECT("'"&amp;F587&amp;"'!$C$8")),"")</f>
        <v/>
      </c>
      <c r="K587" s="48">
        <f t="shared" si="30"/>
        <v>593</v>
      </c>
      <c r="L587" s="114" t="str" cm="1">
        <f t="array" aca="1" ref="L587" ca="1">IF(F587&lt;&gt;"",INDIRECT("'"&amp;F587&amp;"'!$F$17"),"")</f>
        <v/>
      </c>
      <c r="M587" s="116" t="str">
        <f t="shared" ca="1" si="28"/>
        <v/>
      </c>
      <c r="O587" s="49" t="str">
        <f t="shared" ca="1" si="29"/>
        <v/>
      </c>
      <c r="P587" s="38" t="str">
        <f>IF(E587&lt;&gt;"",RANK(E587,$E$3:$E$2298)+COUNTIF($E$3:E587,E587)-1,"")</f>
        <v/>
      </c>
    </row>
    <row r="588" spans="4:16" x14ac:dyDescent="0.25">
      <c r="D588" s="36" t="str" cm="1">
        <f t="array" aca="1" ref="D588" ca="1">IFERROR(IF(INDIRECT("'"&amp;F588&amp;"'!$C$5")&gt;0,DATE(YEAR(Dashboard!$AL$2),Dashboard!$AU$4,INDIRECT("'"&amp;F588&amp;"'!$C$5")),""),"")</f>
        <v/>
      </c>
      <c r="G588" s="38" t="str" cm="1">
        <f t="array" aca="1" ref="G588" ca="1">IF(F588="",
    "",
    IFERROR(
        IF(INDIRECT("'"&amp;F588&amp;"'!$B$2")="Credit Limit",
            "Credit Accounts",
            IF(INDIRECT("'"&amp;F588&amp;"'!$E$2")="Location",
                "Cash Accounts",
                IF(INDIRECT("'"&amp;F588&amp;"'!$B$2")="Amount",
                    "Investments",
                    "Bill Accounts"
                )
            )
        ),
    "")
)</f>
        <v/>
      </c>
      <c r="I588" s="46" t="str" cm="1">
        <f t="array" aca="1" ref="I588" ca="1">IF(F588&lt;&gt;"",IF(OR(G588="Bill Accounts",G588="Investments", G588="Cash Accounts"),INDIRECT("'"&amp;F588&amp;"'!$C$10"),INDIRECT("'"&amp;F588&amp;"'!$C$8")),"")</f>
        <v/>
      </c>
      <c r="K588" s="48">
        <f t="shared" si="30"/>
        <v>594</v>
      </c>
      <c r="L588" s="114" t="str" cm="1">
        <f t="array" aca="1" ref="L588" ca="1">IF(F588&lt;&gt;"",INDIRECT("'"&amp;F588&amp;"'!$F$17"),"")</f>
        <v/>
      </c>
      <c r="M588" s="116" t="str">
        <f t="shared" ca="1" si="28"/>
        <v/>
      </c>
      <c r="O588" s="49" t="str">
        <f t="shared" ca="1" si="29"/>
        <v/>
      </c>
      <c r="P588" s="38" t="str">
        <f>IF(E588&lt;&gt;"",RANK(E588,$E$3:$E$2298)+COUNTIF($E$3:E588,E588)-1,"")</f>
        <v/>
      </c>
    </row>
    <row r="589" spans="4:16" x14ac:dyDescent="0.25">
      <c r="D589" s="36" t="str" cm="1">
        <f t="array" aca="1" ref="D589" ca="1">IFERROR(IF(INDIRECT("'"&amp;F589&amp;"'!$C$5")&gt;0,DATE(YEAR(Dashboard!$AL$2),Dashboard!$AU$4,INDIRECT("'"&amp;F589&amp;"'!$C$5")),""),"")</f>
        <v/>
      </c>
      <c r="G589" s="38" t="str" cm="1">
        <f t="array" aca="1" ref="G589" ca="1">IF(F589="",
    "",
    IFERROR(
        IF(INDIRECT("'"&amp;F589&amp;"'!$B$2")="Credit Limit",
            "Credit Accounts",
            IF(INDIRECT("'"&amp;F589&amp;"'!$E$2")="Location",
                "Cash Accounts",
                IF(INDIRECT("'"&amp;F589&amp;"'!$B$2")="Amount",
                    "Investments",
                    "Bill Accounts"
                )
            )
        ),
    "")
)</f>
        <v/>
      </c>
      <c r="I589" s="46" t="str" cm="1">
        <f t="array" aca="1" ref="I589" ca="1">IF(F589&lt;&gt;"",IF(OR(G589="Bill Accounts",G589="Investments", G589="Cash Accounts"),INDIRECT("'"&amp;F589&amp;"'!$C$10"),INDIRECT("'"&amp;F589&amp;"'!$C$8")),"")</f>
        <v/>
      </c>
      <c r="K589" s="48">
        <f t="shared" si="30"/>
        <v>595</v>
      </c>
      <c r="L589" s="114" t="str" cm="1">
        <f t="array" aca="1" ref="L589" ca="1">IF(F589&lt;&gt;"",INDIRECT("'"&amp;F589&amp;"'!$F$17"),"")</f>
        <v/>
      </c>
      <c r="M589" s="116" t="str">
        <f t="shared" ca="1" si="28"/>
        <v/>
      </c>
      <c r="O589" s="49" t="str">
        <f t="shared" ca="1" si="29"/>
        <v/>
      </c>
      <c r="P589" s="38" t="str">
        <f>IF(E589&lt;&gt;"",RANK(E589,$E$3:$E$2298)+COUNTIF($E$3:E589,E589)-1,"")</f>
        <v/>
      </c>
    </row>
    <row r="590" spans="4:16" x14ac:dyDescent="0.25">
      <c r="D590" s="36" t="str" cm="1">
        <f t="array" aca="1" ref="D590" ca="1">IFERROR(IF(INDIRECT("'"&amp;F590&amp;"'!$C$5")&gt;0,DATE(YEAR(Dashboard!$AL$2),Dashboard!$AU$4,INDIRECT("'"&amp;F590&amp;"'!$C$5")),""),"")</f>
        <v/>
      </c>
      <c r="G590" s="38" t="str" cm="1">
        <f t="array" aca="1" ref="G590" ca="1">IF(F590="",
    "",
    IFERROR(
        IF(INDIRECT("'"&amp;F590&amp;"'!$B$2")="Credit Limit",
            "Credit Accounts",
            IF(INDIRECT("'"&amp;F590&amp;"'!$E$2")="Location",
                "Cash Accounts",
                IF(INDIRECT("'"&amp;F590&amp;"'!$B$2")="Amount",
                    "Investments",
                    "Bill Accounts"
                )
            )
        ),
    "")
)</f>
        <v/>
      </c>
      <c r="I590" s="46" t="str" cm="1">
        <f t="array" aca="1" ref="I590" ca="1">IF(F590&lt;&gt;"",IF(OR(G590="Bill Accounts",G590="Investments", G590="Cash Accounts"),INDIRECT("'"&amp;F590&amp;"'!$C$10"),INDIRECT("'"&amp;F590&amp;"'!$C$8")),"")</f>
        <v/>
      </c>
      <c r="K590" s="48">
        <f t="shared" si="30"/>
        <v>596</v>
      </c>
      <c r="L590" s="114" t="str" cm="1">
        <f t="array" aca="1" ref="L590" ca="1">IF(F590&lt;&gt;"",INDIRECT("'"&amp;F590&amp;"'!$F$17"),"")</f>
        <v/>
      </c>
      <c r="M590" s="116" t="str">
        <f t="shared" ca="1" si="28"/>
        <v/>
      </c>
      <c r="O590" s="49" t="str">
        <f t="shared" ca="1" si="29"/>
        <v/>
      </c>
      <c r="P590" s="38" t="str">
        <f>IF(E590&lt;&gt;"",RANK(E590,$E$3:$E$2298)+COUNTIF($E$3:E590,E590)-1,"")</f>
        <v/>
      </c>
    </row>
    <row r="591" spans="4:16" x14ac:dyDescent="0.25">
      <c r="D591" s="36" t="str" cm="1">
        <f t="array" aca="1" ref="D591" ca="1">IFERROR(IF(INDIRECT("'"&amp;F591&amp;"'!$C$5")&gt;0,DATE(YEAR(Dashboard!$AL$2),Dashboard!$AU$4,INDIRECT("'"&amp;F591&amp;"'!$C$5")),""),"")</f>
        <v/>
      </c>
      <c r="G591" s="38" t="str" cm="1">
        <f t="array" aca="1" ref="G591" ca="1">IF(F591="",
    "",
    IFERROR(
        IF(INDIRECT("'"&amp;F591&amp;"'!$B$2")="Credit Limit",
            "Credit Accounts",
            IF(INDIRECT("'"&amp;F591&amp;"'!$E$2")="Location",
                "Cash Accounts",
                IF(INDIRECT("'"&amp;F591&amp;"'!$B$2")="Amount",
                    "Investments",
                    "Bill Accounts"
                )
            )
        ),
    "")
)</f>
        <v/>
      </c>
      <c r="I591" s="46" t="str" cm="1">
        <f t="array" aca="1" ref="I591" ca="1">IF(F591&lt;&gt;"",IF(OR(G591="Bill Accounts",G591="Investments", G591="Cash Accounts"),INDIRECT("'"&amp;F591&amp;"'!$C$10"),INDIRECT("'"&amp;F591&amp;"'!$C$8")),"")</f>
        <v/>
      </c>
      <c r="K591" s="48">
        <f t="shared" si="30"/>
        <v>597</v>
      </c>
      <c r="L591" s="114" t="str" cm="1">
        <f t="array" aca="1" ref="L591" ca="1">IF(F591&lt;&gt;"",INDIRECT("'"&amp;F591&amp;"'!$F$17"),"")</f>
        <v/>
      </c>
      <c r="M591" s="116" t="str">
        <f t="shared" ca="1" si="28"/>
        <v/>
      </c>
      <c r="O591" s="49" t="str">
        <f t="shared" ca="1" si="29"/>
        <v/>
      </c>
      <c r="P591" s="38" t="str">
        <f>IF(E591&lt;&gt;"",RANK(E591,$E$3:$E$2298)+COUNTIF($E$3:E591,E591)-1,"")</f>
        <v/>
      </c>
    </row>
    <row r="592" spans="4:16" x14ac:dyDescent="0.25">
      <c r="D592" s="36" t="str" cm="1">
        <f t="array" aca="1" ref="D592" ca="1">IFERROR(IF(INDIRECT("'"&amp;F592&amp;"'!$C$5")&gt;0,DATE(YEAR(Dashboard!$AL$2),Dashboard!$AU$4,INDIRECT("'"&amp;F592&amp;"'!$C$5")),""),"")</f>
        <v/>
      </c>
      <c r="G592" s="38" t="str" cm="1">
        <f t="array" aca="1" ref="G592" ca="1">IF(F592="",
    "",
    IFERROR(
        IF(INDIRECT("'"&amp;F592&amp;"'!$B$2")="Credit Limit",
            "Credit Accounts",
            IF(INDIRECT("'"&amp;F592&amp;"'!$E$2")="Location",
                "Cash Accounts",
                IF(INDIRECT("'"&amp;F592&amp;"'!$B$2")="Amount",
                    "Investments",
                    "Bill Accounts"
                )
            )
        ),
    "")
)</f>
        <v/>
      </c>
      <c r="I592" s="46" t="str" cm="1">
        <f t="array" aca="1" ref="I592" ca="1">IF(F592&lt;&gt;"",IF(OR(G592="Bill Accounts",G592="Investments", G592="Cash Accounts"),INDIRECT("'"&amp;F592&amp;"'!$C$10"),INDIRECT("'"&amp;F592&amp;"'!$C$8")),"")</f>
        <v/>
      </c>
      <c r="K592" s="48">
        <f t="shared" si="30"/>
        <v>598</v>
      </c>
      <c r="L592" s="114" t="str" cm="1">
        <f t="array" aca="1" ref="L592" ca="1">IF(F592&lt;&gt;"",INDIRECT("'"&amp;F592&amp;"'!$F$17"),"")</f>
        <v/>
      </c>
      <c r="M592" s="116" t="str">
        <f t="shared" ca="1" si="28"/>
        <v/>
      </c>
      <c r="O592" s="49" t="str">
        <f t="shared" ca="1" si="29"/>
        <v/>
      </c>
      <c r="P592" s="38" t="str">
        <f>IF(E592&lt;&gt;"",RANK(E592,$E$3:$E$2298)+COUNTIF($E$3:E592,E592)-1,"")</f>
        <v/>
      </c>
    </row>
    <row r="593" spans="4:16" x14ac:dyDescent="0.25">
      <c r="D593" s="36" t="str" cm="1">
        <f t="array" aca="1" ref="D593" ca="1">IFERROR(IF(INDIRECT("'"&amp;F593&amp;"'!$C$5")&gt;0,DATE(YEAR(Dashboard!$AL$2),Dashboard!$AU$4,INDIRECT("'"&amp;F593&amp;"'!$C$5")),""),"")</f>
        <v/>
      </c>
      <c r="G593" s="38" t="str" cm="1">
        <f t="array" aca="1" ref="G593" ca="1">IF(F593="",
    "",
    IFERROR(
        IF(INDIRECT("'"&amp;F593&amp;"'!$B$2")="Credit Limit",
            "Credit Accounts",
            IF(INDIRECT("'"&amp;F593&amp;"'!$E$2")="Location",
                "Cash Accounts",
                IF(INDIRECT("'"&amp;F593&amp;"'!$B$2")="Amount",
                    "Investments",
                    "Bill Accounts"
                )
            )
        ),
    "")
)</f>
        <v/>
      </c>
      <c r="I593" s="46" t="str" cm="1">
        <f t="array" aca="1" ref="I593" ca="1">IF(F593&lt;&gt;"",IF(OR(G593="Bill Accounts",G593="Investments", G593="Cash Accounts"),INDIRECT("'"&amp;F593&amp;"'!$C$10"),INDIRECT("'"&amp;F593&amp;"'!$C$8")),"")</f>
        <v/>
      </c>
      <c r="K593" s="48">
        <f t="shared" si="30"/>
        <v>599</v>
      </c>
      <c r="L593" s="114" t="str" cm="1">
        <f t="array" aca="1" ref="L593" ca="1">IF(F593&lt;&gt;"",INDIRECT("'"&amp;F593&amp;"'!$F$17"),"")</f>
        <v/>
      </c>
      <c r="M593" s="116" t="str">
        <f t="shared" ca="1" si="28"/>
        <v/>
      </c>
      <c r="O593" s="49" t="str">
        <f t="shared" ca="1" si="29"/>
        <v/>
      </c>
      <c r="P593" s="38" t="str">
        <f>IF(E593&lt;&gt;"",RANK(E593,$E$3:$E$2298)+COUNTIF($E$3:E593,E593)-1,"")</f>
        <v/>
      </c>
    </row>
    <row r="594" spans="4:16" x14ac:dyDescent="0.25">
      <c r="D594" s="36" t="str" cm="1">
        <f t="array" aca="1" ref="D594" ca="1">IFERROR(IF(INDIRECT("'"&amp;F594&amp;"'!$C$5")&gt;0,DATE(YEAR(Dashboard!$AL$2),Dashboard!$AU$4,INDIRECT("'"&amp;F594&amp;"'!$C$5")),""),"")</f>
        <v/>
      </c>
      <c r="G594" s="38" t="str" cm="1">
        <f t="array" aca="1" ref="G594" ca="1">IF(F594="",
    "",
    IFERROR(
        IF(INDIRECT("'"&amp;F594&amp;"'!$B$2")="Credit Limit",
            "Credit Accounts",
            IF(INDIRECT("'"&amp;F594&amp;"'!$E$2")="Location",
                "Cash Accounts",
                IF(INDIRECT("'"&amp;F594&amp;"'!$B$2")="Amount",
                    "Investments",
                    "Bill Accounts"
                )
            )
        ),
    "")
)</f>
        <v/>
      </c>
      <c r="I594" s="46" t="str" cm="1">
        <f t="array" aca="1" ref="I594" ca="1">IF(F594&lt;&gt;"",IF(OR(G594="Bill Accounts",G594="Investments", G594="Cash Accounts"),INDIRECT("'"&amp;F594&amp;"'!$C$10"),INDIRECT("'"&amp;F594&amp;"'!$C$8")),"")</f>
        <v/>
      </c>
      <c r="K594" s="48">
        <f t="shared" si="30"/>
        <v>600</v>
      </c>
      <c r="L594" s="114" t="str" cm="1">
        <f t="array" aca="1" ref="L594" ca="1">IF(F594&lt;&gt;"",INDIRECT("'"&amp;F594&amp;"'!$F$17"),"")</f>
        <v/>
      </c>
      <c r="M594" s="116" t="str">
        <f t="shared" ca="1" si="28"/>
        <v/>
      </c>
      <c r="O594" s="49" t="str">
        <f t="shared" ca="1" si="29"/>
        <v/>
      </c>
      <c r="P594" s="38" t="str">
        <f>IF(E594&lt;&gt;"",RANK(E594,$E$3:$E$2298)+COUNTIF($E$3:E594,E594)-1,"")</f>
        <v/>
      </c>
    </row>
    <row r="595" spans="4:16" x14ac:dyDescent="0.25">
      <c r="D595" s="36" t="str" cm="1">
        <f t="array" aca="1" ref="D595" ca="1">IFERROR(IF(INDIRECT("'"&amp;F595&amp;"'!$C$5")&gt;0,DATE(YEAR(Dashboard!$AL$2),Dashboard!$AU$4,INDIRECT("'"&amp;F595&amp;"'!$C$5")),""),"")</f>
        <v/>
      </c>
      <c r="G595" s="38" t="str" cm="1">
        <f t="array" aca="1" ref="G595" ca="1">IF(F595="",
    "",
    IFERROR(
        IF(INDIRECT("'"&amp;F595&amp;"'!$B$2")="Credit Limit",
            "Credit Accounts",
            IF(INDIRECT("'"&amp;F595&amp;"'!$E$2")="Location",
                "Cash Accounts",
                IF(INDIRECT("'"&amp;F595&amp;"'!$B$2")="Amount",
                    "Investments",
                    "Bill Accounts"
                )
            )
        ),
    "")
)</f>
        <v/>
      </c>
      <c r="I595" s="46" t="str" cm="1">
        <f t="array" aca="1" ref="I595" ca="1">IF(F595&lt;&gt;"",IF(OR(G595="Bill Accounts",G595="Investments", G595="Cash Accounts"),INDIRECT("'"&amp;F595&amp;"'!$C$10"),INDIRECT("'"&amp;F595&amp;"'!$C$8")),"")</f>
        <v/>
      </c>
      <c r="K595" s="48">
        <f t="shared" si="30"/>
        <v>601</v>
      </c>
      <c r="L595" s="114" t="str" cm="1">
        <f t="array" aca="1" ref="L595" ca="1">IF(F595&lt;&gt;"",INDIRECT("'"&amp;F595&amp;"'!$F$17"),"")</f>
        <v/>
      </c>
      <c r="M595" s="116" t="str">
        <f t="shared" ca="1" si="28"/>
        <v/>
      </c>
      <c r="O595" s="49" t="str">
        <f t="shared" ca="1" si="29"/>
        <v/>
      </c>
      <c r="P595" s="38" t="str">
        <f>IF(E595&lt;&gt;"",RANK(E595,$E$3:$E$2298)+COUNTIF($E$3:E595,E595)-1,"")</f>
        <v/>
      </c>
    </row>
    <row r="596" spans="4:16" x14ac:dyDescent="0.25">
      <c r="D596" s="36" t="str" cm="1">
        <f t="array" aca="1" ref="D596" ca="1">IFERROR(IF(INDIRECT("'"&amp;F596&amp;"'!$C$5")&gt;0,DATE(YEAR(Dashboard!$AL$2),Dashboard!$AU$4,INDIRECT("'"&amp;F596&amp;"'!$C$5")),""),"")</f>
        <v/>
      </c>
      <c r="G596" s="38" t="str" cm="1">
        <f t="array" aca="1" ref="G596" ca="1">IF(F596="",
    "",
    IFERROR(
        IF(INDIRECT("'"&amp;F596&amp;"'!$B$2")="Credit Limit",
            "Credit Accounts",
            IF(INDIRECT("'"&amp;F596&amp;"'!$E$2")="Location",
                "Cash Accounts",
                IF(INDIRECT("'"&amp;F596&amp;"'!$B$2")="Amount",
                    "Investments",
                    "Bill Accounts"
                )
            )
        ),
    "")
)</f>
        <v/>
      </c>
      <c r="I596" s="46" t="str" cm="1">
        <f t="array" aca="1" ref="I596" ca="1">IF(F596&lt;&gt;"",IF(OR(G596="Bill Accounts",G596="Investments", G596="Cash Accounts"),INDIRECT("'"&amp;F596&amp;"'!$C$10"),INDIRECT("'"&amp;F596&amp;"'!$C$8")),"")</f>
        <v/>
      </c>
      <c r="K596" s="48">
        <f t="shared" si="30"/>
        <v>602</v>
      </c>
      <c r="L596" s="114" t="str" cm="1">
        <f t="array" aca="1" ref="L596" ca="1">IF(F596&lt;&gt;"",INDIRECT("'"&amp;F596&amp;"'!$F$17"),"")</f>
        <v/>
      </c>
      <c r="M596" s="116" t="str">
        <f t="shared" ca="1" si="28"/>
        <v/>
      </c>
      <c r="O596" s="49" t="str">
        <f t="shared" ca="1" si="29"/>
        <v/>
      </c>
      <c r="P596" s="38" t="str">
        <f>IF(E596&lt;&gt;"",RANK(E596,$E$3:$E$2298)+COUNTIF($E$3:E596,E596)-1,"")</f>
        <v/>
      </c>
    </row>
    <row r="597" spans="4:16" x14ac:dyDescent="0.25">
      <c r="D597" s="36" t="str" cm="1">
        <f t="array" aca="1" ref="D597" ca="1">IFERROR(IF(INDIRECT("'"&amp;F597&amp;"'!$C$5")&gt;0,DATE(YEAR(Dashboard!$AL$2),Dashboard!$AU$4,INDIRECT("'"&amp;F597&amp;"'!$C$5")),""),"")</f>
        <v/>
      </c>
      <c r="G597" s="38" t="str" cm="1">
        <f t="array" aca="1" ref="G597" ca="1">IF(F597="",
    "",
    IFERROR(
        IF(INDIRECT("'"&amp;F597&amp;"'!$B$2")="Credit Limit",
            "Credit Accounts",
            IF(INDIRECT("'"&amp;F597&amp;"'!$E$2")="Location",
                "Cash Accounts",
                IF(INDIRECT("'"&amp;F597&amp;"'!$B$2")="Amount",
                    "Investments",
                    "Bill Accounts"
                )
            )
        ),
    "")
)</f>
        <v/>
      </c>
      <c r="I597" s="46" t="str" cm="1">
        <f t="array" aca="1" ref="I597" ca="1">IF(F597&lt;&gt;"",IF(OR(G597="Bill Accounts",G597="Investments", G597="Cash Accounts"),INDIRECT("'"&amp;F597&amp;"'!$C$10"),INDIRECT("'"&amp;F597&amp;"'!$C$8")),"")</f>
        <v/>
      </c>
      <c r="K597" s="48">
        <f t="shared" si="30"/>
        <v>603</v>
      </c>
      <c r="L597" s="114" t="str" cm="1">
        <f t="array" aca="1" ref="L597" ca="1">IF(F597&lt;&gt;"",INDIRECT("'"&amp;F597&amp;"'!$F$17"),"")</f>
        <v/>
      </c>
      <c r="M597" s="116" t="str">
        <f t="shared" ca="1" si="28"/>
        <v/>
      </c>
      <c r="O597" s="49" t="str">
        <f t="shared" ca="1" si="29"/>
        <v/>
      </c>
      <c r="P597" s="38" t="str">
        <f>IF(E597&lt;&gt;"",RANK(E597,$E$3:$E$2298)+COUNTIF($E$3:E597,E597)-1,"")</f>
        <v/>
      </c>
    </row>
    <row r="598" spans="4:16" x14ac:dyDescent="0.25">
      <c r="D598" s="36" t="str" cm="1">
        <f t="array" aca="1" ref="D598" ca="1">IFERROR(IF(INDIRECT("'"&amp;F598&amp;"'!$C$5")&gt;0,DATE(YEAR(Dashboard!$AL$2),Dashboard!$AU$4,INDIRECT("'"&amp;F598&amp;"'!$C$5")),""),"")</f>
        <v/>
      </c>
      <c r="G598" s="38" t="str" cm="1">
        <f t="array" aca="1" ref="G598" ca="1">IF(F598="",
    "",
    IFERROR(
        IF(INDIRECT("'"&amp;F598&amp;"'!$B$2")="Credit Limit",
            "Credit Accounts",
            IF(INDIRECT("'"&amp;F598&amp;"'!$E$2")="Location",
                "Cash Accounts",
                IF(INDIRECT("'"&amp;F598&amp;"'!$B$2")="Amount",
                    "Investments",
                    "Bill Accounts"
                )
            )
        ),
    "")
)</f>
        <v/>
      </c>
      <c r="I598" s="46" t="str" cm="1">
        <f t="array" aca="1" ref="I598" ca="1">IF(F598&lt;&gt;"",IF(OR(G598="Bill Accounts",G598="Investments", G598="Cash Accounts"),INDIRECT("'"&amp;F598&amp;"'!$C$10"),INDIRECT("'"&amp;F598&amp;"'!$C$8")),"")</f>
        <v/>
      </c>
      <c r="K598" s="48">
        <f t="shared" si="30"/>
        <v>604</v>
      </c>
      <c r="L598" s="114" t="str" cm="1">
        <f t="array" aca="1" ref="L598" ca="1">IF(F598&lt;&gt;"",INDIRECT("'"&amp;F598&amp;"'!$F$17"),"")</f>
        <v/>
      </c>
      <c r="M598" s="116" t="str">
        <f t="shared" ca="1" si="28"/>
        <v/>
      </c>
      <c r="O598" s="49" t="str">
        <f t="shared" ca="1" si="29"/>
        <v/>
      </c>
      <c r="P598" s="38" t="str">
        <f>IF(E598&lt;&gt;"",RANK(E598,$E$3:$E$2298)+COUNTIF($E$3:E598,E598)-1,"")</f>
        <v/>
      </c>
    </row>
    <row r="599" spans="4:16" x14ac:dyDescent="0.25">
      <c r="D599" s="36" t="str" cm="1">
        <f t="array" aca="1" ref="D599" ca="1">IFERROR(IF(INDIRECT("'"&amp;F599&amp;"'!$C$5")&gt;0,DATE(YEAR(Dashboard!$AL$2),Dashboard!$AU$4,INDIRECT("'"&amp;F599&amp;"'!$C$5")),""),"")</f>
        <v/>
      </c>
      <c r="G599" s="38" t="str" cm="1">
        <f t="array" aca="1" ref="G599" ca="1">IF(F599="",
    "",
    IFERROR(
        IF(INDIRECT("'"&amp;F599&amp;"'!$B$2")="Credit Limit",
            "Credit Accounts",
            IF(INDIRECT("'"&amp;F599&amp;"'!$E$2")="Location",
                "Cash Accounts",
                IF(INDIRECT("'"&amp;F599&amp;"'!$B$2")="Amount",
                    "Investments",
                    "Bill Accounts"
                )
            )
        ),
    "")
)</f>
        <v/>
      </c>
      <c r="I599" s="46" t="str" cm="1">
        <f t="array" aca="1" ref="I599" ca="1">IF(F599&lt;&gt;"",IF(OR(G599="Bill Accounts",G599="Investments", G599="Cash Accounts"),INDIRECT("'"&amp;F599&amp;"'!$C$10"),INDIRECT("'"&amp;F599&amp;"'!$C$8")),"")</f>
        <v/>
      </c>
      <c r="K599" s="48">
        <f t="shared" si="30"/>
        <v>605</v>
      </c>
      <c r="L599" s="114" t="str" cm="1">
        <f t="array" aca="1" ref="L599" ca="1">IF(F599&lt;&gt;"",INDIRECT("'"&amp;F599&amp;"'!$F$17"),"")</f>
        <v/>
      </c>
      <c r="M599" s="116" t="str">
        <f t="shared" ca="1" si="28"/>
        <v/>
      </c>
      <c r="O599" s="49" t="str">
        <f t="shared" ca="1" si="29"/>
        <v/>
      </c>
      <c r="P599" s="38" t="str">
        <f>IF(E599&lt;&gt;"",RANK(E599,$E$3:$E$2298)+COUNTIF($E$3:E599,E599)-1,"")</f>
        <v/>
      </c>
    </row>
    <row r="600" spans="4:16" x14ac:dyDescent="0.25">
      <c r="D600" s="36" t="str" cm="1">
        <f t="array" aca="1" ref="D600" ca="1">IFERROR(IF(INDIRECT("'"&amp;F600&amp;"'!$C$5")&gt;0,DATE(YEAR(Dashboard!$AL$2),Dashboard!$AU$4,INDIRECT("'"&amp;F600&amp;"'!$C$5")),""),"")</f>
        <v/>
      </c>
      <c r="G600" s="38" t="str" cm="1">
        <f t="array" aca="1" ref="G600" ca="1">IF(F600="",
    "",
    IFERROR(
        IF(INDIRECT("'"&amp;F600&amp;"'!$B$2")="Credit Limit",
            "Credit Accounts",
            IF(INDIRECT("'"&amp;F600&amp;"'!$E$2")="Location",
                "Cash Accounts",
                IF(INDIRECT("'"&amp;F600&amp;"'!$B$2")="Amount",
                    "Investments",
                    "Bill Accounts"
                )
            )
        ),
    "")
)</f>
        <v/>
      </c>
      <c r="I600" s="46" t="str" cm="1">
        <f t="array" aca="1" ref="I600" ca="1">IF(F600&lt;&gt;"",IF(OR(G600="Bill Accounts",G600="Investments", G600="Cash Accounts"),INDIRECT("'"&amp;F600&amp;"'!$C$10"),INDIRECT("'"&amp;F600&amp;"'!$C$8")),"")</f>
        <v/>
      </c>
      <c r="K600" s="48">
        <f t="shared" si="30"/>
        <v>606</v>
      </c>
      <c r="L600" s="114" t="str" cm="1">
        <f t="array" aca="1" ref="L600" ca="1">IF(F600&lt;&gt;"",INDIRECT("'"&amp;F600&amp;"'!$F$17"),"")</f>
        <v/>
      </c>
      <c r="M600" s="116" t="str">
        <f t="shared" ca="1" si="28"/>
        <v/>
      </c>
      <c r="O600" s="49" t="str">
        <f t="shared" ca="1" si="29"/>
        <v/>
      </c>
      <c r="P600" s="38" t="str">
        <f>IF(E600&lt;&gt;"",RANK(E600,$E$3:$E$2298)+COUNTIF($E$3:E600,E600)-1,"")</f>
        <v/>
      </c>
    </row>
    <row r="601" spans="4:16" x14ac:dyDescent="0.25">
      <c r="D601" s="36" t="str" cm="1">
        <f t="array" aca="1" ref="D601" ca="1">IFERROR(IF(INDIRECT("'"&amp;F601&amp;"'!$C$5")&gt;0,DATE(YEAR(Dashboard!$AL$2),Dashboard!$AU$4,INDIRECT("'"&amp;F601&amp;"'!$C$5")),""),"")</f>
        <v/>
      </c>
      <c r="G601" s="38" t="str" cm="1">
        <f t="array" aca="1" ref="G601" ca="1">IF(F601="",
    "",
    IFERROR(
        IF(INDIRECT("'"&amp;F601&amp;"'!$B$2")="Credit Limit",
            "Credit Accounts",
            IF(INDIRECT("'"&amp;F601&amp;"'!$E$2")="Location",
                "Cash Accounts",
                IF(INDIRECT("'"&amp;F601&amp;"'!$B$2")="Amount",
                    "Investments",
                    "Bill Accounts"
                )
            )
        ),
    "")
)</f>
        <v/>
      </c>
      <c r="I601" s="46" t="str" cm="1">
        <f t="array" aca="1" ref="I601" ca="1">IF(F601&lt;&gt;"",IF(OR(G601="Bill Accounts",G601="Investments", G601="Cash Accounts"),INDIRECT("'"&amp;F601&amp;"'!$C$10"),INDIRECT("'"&amp;F601&amp;"'!$C$8")),"")</f>
        <v/>
      </c>
      <c r="K601" s="48">
        <f t="shared" si="30"/>
        <v>607</v>
      </c>
      <c r="L601" s="114" t="str" cm="1">
        <f t="array" aca="1" ref="L601" ca="1">IF(F601&lt;&gt;"",INDIRECT("'"&amp;F601&amp;"'!$F$17"),"")</f>
        <v/>
      </c>
      <c r="M601" s="116" t="str">
        <f t="shared" ca="1" si="28"/>
        <v/>
      </c>
      <c r="O601" s="49" t="str">
        <f t="shared" ca="1" si="29"/>
        <v/>
      </c>
      <c r="P601" s="38" t="str">
        <f>IF(E601&lt;&gt;"",RANK(E601,$E$3:$E$2298)+COUNTIF($E$3:E601,E601)-1,"")</f>
        <v/>
      </c>
    </row>
    <row r="602" spans="4:16" x14ac:dyDescent="0.25">
      <c r="D602" s="36" t="str" cm="1">
        <f t="array" aca="1" ref="D602" ca="1">IFERROR(IF(INDIRECT("'"&amp;F602&amp;"'!$C$5")&gt;0,DATE(YEAR(Dashboard!$AL$2),Dashboard!$AU$4,INDIRECT("'"&amp;F602&amp;"'!$C$5")),""),"")</f>
        <v/>
      </c>
      <c r="G602" s="38" t="str" cm="1">
        <f t="array" aca="1" ref="G602" ca="1">IF(F602="",
    "",
    IFERROR(
        IF(INDIRECT("'"&amp;F602&amp;"'!$B$2")="Credit Limit",
            "Credit Accounts",
            IF(INDIRECT("'"&amp;F602&amp;"'!$E$2")="Location",
                "Cash Accounts",
                IF(INDIRECT("'"&amp;F602&amp;"'!$B$2")="Amount",
                    "Investments",
                    "Bill Accounts"
                )
            )
        ),
    "")
)</f>
        <v/>
      </c>
      <c r="I602" s="46" t="str" cm="1">
        <f t="array" aca="1" ref="I602" ca="1">IF(F602&lt;&gt;"",IF(OR(G602="Bill Accounts",G602="Investments", G602="Cash Accounts"),INDIRECT("'"&amp;F602&amp;"'!$C$10"),INDIRECT("'"&amp;F602&amp;"'!$C$8")),"")</f>
        <v/>
      </c>
      <c r="K602" s="48">
        <f t="shared" si="30"/>
        <v>608</v>
      </c>
      <c r="L602" s="114" t="str" cm="1">
        <f t="array" aca="1" ref="L602" ca="1">IF(F602&lt;&gt;"",INDIRECT("'"&amp;F602&amp;"'!$F$17"),"")</f>
        <v/>
      </c>
      <c r="M602" s="116" t="str">
        <f t="shared" ca="1" si="28"/>
        <v/>
      </c>
      <c r="O602" s="49" t="str">
        <f t="shared" ca="1" si="29"/>
        <v/>
      </c>
      <c r="P602" s="38" t="str">
        <f>IF(E602&lt;&gt;"",RANK(E602,$E$3:$E$2298)+COUNTIF($E$3:E602,E602)-1,"")</f>
        <v/>
      </c>
    </row>
    <row r="603" spans="4:16" x14ac:dyDescent="0.25">
      <c r="D603" s="36" t="str" cm="1">
        <f t="array" aca="1" ref="D603" ca="1">IFERROR(IF(INDIRECT("'"&amp;F603&amp;"'!$C$5")&gt;0,DATE(YEAR(Dashboard!$AL$2),Dashboard!$AU$4,INDIRECT("'"&amp;F603&amp;"'!$C$5")),""),"")</f>
        <v/>
      </c>
      <c r="G603" s="38" t="str" cm="1">
        <f t="array" aca="1" ref="G603" ca="1">IF(F603="",
    "",
    IFERROR(
        IF(INDIRECT("'"&amp;F603&amp;"'!$B$2")="Credit Limit",
            "Credit Accounts",
            IF(INDIRECT("'"&amp;F603&amp;"'!$E$2")="Location",
                "Cash Accounts",
                IF(INDIRECT("'"&amp;F603&amp;"'!$B$2")="Amount",
                    "Investments",
                    "Bill Accounts"
                )
            )
        ),
    "")
)</f>
        <v/>
      </c>
      <c r="I603" s="46" t="str" cm="1">
        <f t="array" aca="1" ref="I603" ca="1">IF(F603&lt;&gt;"",IF(OR(G603="Bill Accounts",G603="Investments", G603="Cash Accounts"),INDIRECT("'"&amp;F603&amp;"'!$C$10"),INDIRECT("'"&amp;F603&amp;"'!$C$8")),"")</f>
        <v/>
      </c>
      <c r="K603" s="48">
        <f t="shared" si="30"/>
        <v>609</v>
      </c>
      <c r="L603" s="114" t="str" cm="1">
        <f t="array" aca="1" ref="L603" ca="1">IF(F603&lt;&gt;"",INDIRECT("'"&amp;F603&amp;"'!$F$17"),"")</f>
        <v/>
      </c>
      <c r="M603" s="116" t="str">
        <f t="shared" ca="1" si="28"/>
        <v/>
      </c>
      <c r="O603" s="49" t="str">
        <f t="shared" ca="1" si="29"/>
        <v/>
      </c>
      <c r="P603" s="38" t="str">
        <f>IF(E603&lt;&gt;"",RANK(E603,$E$3:$E$2298)+COUNTIF($E$3:E603,E603)-1,"")</f>
        <v/>
      </c>
    </row>
    <row r="604" spans="4:16" x14ac:dyDescent="0.25">
      <c r="D604" s="36" t="str" cm="1">
        <f t="array" aca="1" ref="D604" ca="1">IFERROR(IF(INDIRECT("'"&amp;F604&amp;"'!$C$5")&gt;0,DATE(YEAR(Dashboard!$AL$2),Dashboard!$AU$4,INDIRECT("'"&amp;F604&amp;"'!$C$5")),""),"")</f>
        <v/>
      </c>
      <c r="G604" s="38" t="str" cm="1">
        <f t="array" aca="1" ref="G604" ca="1">IF(F604="",
    "",
    IFERROR(
        IF(INDIRECT("'"&amp;F604&amp;"'!$B$2")="Credit Limit",
            "Credit Accounts",
            IF(INDIRECT("'"&amp;F604&amp;"'!$E$2")="Location",
                "Cash Accounts",
                IF(INDIRECT("'"&amp;F604&amp;"'!$B$2")="Amount",
                    "Investments",
                    "Bill Accounts"
                )
            )
        ),
    "")
)</f>
        <v/>
      </c>
      <c r="I604" s="46" t="str" cm="1">
        <f t="array" aca="1" ref="I604" ca="1">IF(F604&lt;&gt;"",IF(OR(G604="Bill Accounts",G604="Investments", G604="Cash Accounts"),INDIRECT("'"&amp;F604&amp;"'!$C$10"),INDIRECT("'"&amp;F604&amp;"'!$C$8")),"")</f>
        <v/>
      </c>
      <c r="K604" s="48">
        <f t="shared" si="30"/>
        <v>610</v>
      </c>
      <c r="L604" s="114" t="str" cm="1">
        <f t="array" aca="1" ref="L604" ca="1">IF(F604&lt;&gt;"",INDIRECT("'"&amp;F604&amp;"'!$F$17"),"")</f>
        <v/>
      </c>
      <c r="M604" s="116" t="str">
        <f t="shared" ca="1" si="28"/>
        <v/>
      </c>
      <c r="O604" s="49" t="str">
        <f t="shared" ca="1" si="29"/>
        <v/>
      </c>
      <c r="P604" s="38" t="str">
        <f>IF(E604&lt;&gt;"",RANK(E604,$E$3:$E$2298)+COUNTIF($E$3:E604,E604)-1,"")</f>
        <v/>
      </c>
    </row>
    <row r="605" spans="4:16" x14ac:dyDescent="0.25">
      <c r="D605" s="36" t="str" cm="1">
        <f t="array" aca="1" ref="D605" ca="1">IFERROR(IF(INDIRECT("'"&amp;F605&amp;"'!$C$5")&gt;0,DATE(YEAR(Dashboard!$AL$2),Dashboard!$AU$4,INDIRECT("'"&amp;F605&amp;"'!$C$5")),""),"")</f>
        <v/>
      </c>
      <c r="G605" s="38" t="str" cm="1">
        <f t="array" aca="1" ref="G605" ca="1">IF(F605="",
    "",
    IFERROR(
        IF(INDIRECT("'"&amp;F605&amp;"'!$B$2")="Credit Limit",
            "Credit Accounts",
            IF(INDIRECT("'"&amp;F605&amp;"'!$E$2")="Location",
                "Cash Accounts",
                IF(INDIRECT("'"&amp;F605&amp;"'!$B$2")="Amount",
                    "Investments",
                    "Bill Accounts"
                )
            )
        ),
    "")
)</f>
        <v/>
      </c>
      <c r="I605" s="46" t="str" cm="1">
        <f t="array" aca="1" ref="I605" ca="1">IF(F605&lt;&gt;"",IF(OR(G605="Bill Accounts",G605="Investments", G605="Cash Accounts"),INDIRECT("'"&amp;F605&amp;"'!$C$10"),INDIRECT("'"&amp;F605&amp;"'!$C$8")),"")</f>
        <v/>
      </c>
      <c r="K605" s="48">
        <f t="shared" si="30"/>
        <v>611</v>
      </c>
      <c r="L605" s="114" t="str" cm="1">
        <f t="array" aca="1" ref="L605" ca="1">IF(F605&lt;&gt;"",INDIRECT("'"&amp;F605&amp;"'!$F$17"),"")</f>
        <v/>
      </c>
      <c r="M605" s="116" t="str">
        <f t="shared" ca="1" si="28"/>
        <v/>
      </c>
      <c r="O605" s="49" t="str">
        <f t="shared" ca="1" si="29"/>
        <v/>
      </c>
      <c r="P605" s="38" t="str">
        <f>IF(E605&lt;&gt;"",RANK(E605,$E$3:$E$2298)+COUNTIF($E$3:E605,E605)-1,"")</f>
        <v/>
      </c>
    </row>
    <row r="606" spans="4:16" x14ac:dyDescent="0.25">
      <c r="D606" s="36" t="str" cm="1">
        <f t="array" aca="1" ref="D606" ca="1">IFERROR(IF(INDIRECT("'"&amp;F606&amp;"'!$C$5")&gt;0,DATE(YEAR(Dashboard!$AL$2),Dashboard!$AU$4,INDIRECT("'"&amp;F606&amp;"'!$C$5")),""),"")</f>
        <v/>
      </c>
      <c r="G606" s="38" t="str" cm="1">
        <f t="array" aca="1" ref="G606" ca="1">IF(F606="",
    "",
    IFERROR(
        IF(INDIRECT("'"&amp;F606&amp;"'!$B$2")="Credit Limit",
            "Credit Accounts",
            IF(INDIRECT("'"&amp;F606&amp;"'!$E$2")="Location",
                "Cash Accounts",
                IF(INDIRECT("'"&amp;F606&amp;"'!$B$2")="Amount",
                    "Investments",
                    "Bill Accounts"
                )
            )
        ),
    "")
)</f>
        <v/>
      </c>
      <c r="I606" s="46" t="str" cm="1">
        <f t="array" aca="1" ref="I606" ca="1">IF(F606&lt;&gt;"",IF(OR(G606="Bill Accounts",G606="Investments", G606="Cash Accounts"),INDIRECT("'"&amp;F606&amp;"'!$C$10"),INDIRECT("'"&amp;F606&amp;"'!$C$8")),"")</f>
        <v/>
      </c>
      <c r="K606" s="48">
        <f t="shared" si="30"/>
        <v>612</v>
      </c>
      <c r="L606" s="114" t="str" cm="1">
        <f t="array" aca="1" ref="L606" ca="1">IF(F606&lt;&gt;"",INDIRECT("'"&amp;F606&amp;"'!$F$17"),"")</f>
        <v/>
      </c>
      <c r="M606" s="116" t="str">
        <f t="shared" ca="1" si="28"/>
        <v/>
      </c>
      <c r="O606" s="49" t="str">
        <f t="shared" ca="1" si="29"/>
        <v/>
      </c>
      <c r="P606" s="38" t="str">
        <f>IF(E606&lt;&gt;"",RANK(E606,$E$3:$E$2298)+COUNTIF($E$3:E606,E606)-1,"")</f>
        <v/>
      </c>
    </row>
    <row r="607" spans="4:16" x14ac:dyDescent="0.25">
      <c r="D607" s="36" t="str" cm="1">
        <f t="array" aca="1" ref="D607" ca="1">IFERROR(IF(INDIRECT("'"&amp;F607&amp;"'!$C$5")&gt;0,DATE(YEAR(Dashboard!$AL$2),Dashboard!$AU$4,INDIRECT("'"&amp;F607&amp;"'!$C$5")),""),"")</f>
        <v/>
      </c>
      <c r="G607" s="38" t="str" cm="1">
        <f t="array" aca="1" ref="G607" ca="1">IF(F607="",
    "",
    IFERROR(
        IF(INDIRECT("'"&amp;F607&amp;"'!$B$2")="Credit Limit",
            "Credit Accounts",
            IF(INDIRECT("'"&amp;F607&amp;"'!$E$2")="Location",
                "Cash Accounts",
                IF(INDIRECT("'"&amp;F607&amp;"'!$B$2")="Amount",
                    "Investments",
                    "Bill Accounts"
                )
            )
        ),
    "")
)</f>
        <v/>
      </c>
      <c r="I607" s="46" t="str" cm="1">
        <f t="array" aca="1" ref="I607" ca="1">IF(F607&lt;&gt;"",IF(OR(G607="Bill Accounts",G607="Investments", G607="Cash Accounts"),INDIRECT("'"&amp;F607&amp;"'!$C$10"),INDIRECT("'"&amp;F607&amp;"'!$C$8")),"")</f>
        <v/>
      </c>
      <c r="K607" s="48">
        <f t="shared" si="30"/>
        <v>613</v>
      </c>
      <c r="L607" s="114" t="str" cm="1">
        <f t="array" aca="1" ref="L607" ca="1">IF(F607&lt;&gt;"",INDIRECT("'"&amp;F607&amp;"'!$F$17"),"")</f>
        <v/>
      </c>
      <c r="M607" s="116" t="str">
        <f t="shared" ca="1" si="28"/>
        <v/>
      </c>
      <c r="O607" s="49" t="str">
        <f t="shared" ca="1" si="29"/>
        <v/>
      </c>
      <c r="P607" s="38" t="str">
        <f>IF(E607&lt;&gt;"",RANK(E607,$E$3:$E$2298)+COUNTIF($E$3:E607,E607)-1,"")</f>
        <v/>
      </c>
    </row>
    <row r="608" spans="4:16" x14ac:dyDescent="0.25">
      <c r="D608" s="36" t="str" cm="1">
        <f t="array" aca="1" ref="D608" ca="1">IFERROR(IF(INDIRECT("'"&amp;F608&amp;"'!$C$5")&gt;0,DATE(YEAR(Dashboard!$AL$2),Dashboard!$AU$4,INDIRECT("'"&amp;F608&amp;"'!$C$5")),""),"")</f>
        <v/>
      </c>
      <c r="G608" s="38" t="str" cm="1">
        <f t="array" aca="1" ref="G608" ca="1">IF(F608="",
    "",
    IFERROR(
        IF(INDIRECT("'"&amp;F608&amp;"'!$B$2")="Credit Limit",
            "Credit Accounts",
            IF(INDIRECT("'"&amp;F608&amp;"'!$E$2")="Location",
                "Cash Accounts",
                IF(INDIRECT("'"&amp;F608&amp;"'!$B$2")="Amount",
                    "Investments",
                    "Bill Accounts"
                )
            )
        ),
    "")
)</f>
        <v/>
      </c>
      <c r="I608" s="46" t="str" cm="1">
        <f t="array" aca="1" ref="I608" ca="1">IF(F608&lt;&gt;"",IF(OR(G608="Bill Accounts",G608="Investments", G608="Cash Accounts"),INDIRECT("'"&amp;F608&amp;"'!$C$10"),INDIRECT("'"&amp;F608&amp;"'!$C$8")),"")</f>
        <v/>
      </c>
      <c r="K608" s="48">
        <f t="shared" si="30"/>
        <v>614</v>
      </c>
      <c r="L608" s="114" t="str" cm="1">
        <f t="array" aca="1" ref="L608" ca="1">IF(F608&lt;&gt;"",INDIRECT("'"&amp;F608&amp;"'!$F$17"),"")</f>
        <v/>
      </c>
      <c r="M608" s="116" t="str">
        <f t="shared" ca="1" si="28"/>
        <v/>
      </c>
      <c r="O608" s="49" t="str">
        <f t="shared" ca="1" si="29"/>
        <v/>
      </c>
      <c r="P608" s="38" t="str">
        <f>IF(E608&lt;&gt;"",RANK(E608,$E$3:$E$2298)+COUNTIF($E$3:E608,E608)-1,"")</f>
        <v/>
      </c>
    </row>
    <row r="609" spans="4:16" x14ac:dyDescent="0.25">
      <c r="D609" s="36" t="str" cm="1">
        <f t="array" aca="1" ref="D609" ca="1">IFERROR(IF(INDIRECT("'"&amp;F609&amp;"'!$C$5")&gt;0,DATE(YEAR(Dashboard!$AL$2),Dashboard!$AU$4,INDIRECT("'"&amp;F609&amp;"'!$C$5")),""),"")</f>
        <v/>
      </c>
      <c r="G609" s="38" t="str" cm="1">
        <f t="array" aca="1" ref="G609" ca="1">IF(F609="",
    "",
    IFERROR(
        IF(INDIRECT("'"&amp;F609&amp;"'!$B$2")="Credit Limit",
            "Credit Accounts",
            IF(INDIRECT("'"&amp;F609&amp;"'!$E$2")="Location",
                "Cash Accounts",
                IF(INDIRECT("'"&amp;F609&amp;"'!$B$2")="Amount",
                    "Investments",
                    "Bill Accounts"
                )
            )
        ),
    "")
)</f>
        <v/>
      </c>
      <c r="I609" s="46" t="str" cm="1">
        <f t="array" aca="1" ref="I609" ca="1">IF(F609&lt;&gt;"",IF(OR(G609="Bill Accounts",G609="Investments", G609="Cash Accounts"),INDIRECT("'"&amp;F609&amp;"'!$C$10"),INDIRECT("'"&amp;F609&amp;"'!$C$8")),"")</f>
        <v/>
      </c>
      <c r="K609" s="48">
        <f t="shared" si="30"/>
        <v>615</v>
      </c>
      <c r="L609" s="114" t="str" cm="1">
        <f t="array" aca="1" ref="L609" ca="1">IF(F609&lt;&gt;"",INDIRECT("'"&amp;F609&amp;"'!$F$17"),"")</f>
        <v/>
      </c>
      <c r="M609" s="116" t="str">
        <f t="shared" ca="1" si="28"/>
        <v/>
      </c>
      <c r="O609" s="49" t="str">
        <f t="shared" ca="1" si="29"/>
        <v/>
      </c>
      <c r="P609" s="38" t="str">
        <f>IF(E609&lt;&gt;"",RANK(E609,$E$3:$E$2298)+COUNTIF($E$3:E609,E609)-1,"")</f>
        <v/>
      </c>
    </row>
    <row r="610" spans="4:16" x14ac:dyDescent="0.25">
      <c r="D610" s="36" t="str" cm="1">
        <f t="array" aca="1" ref="D610" ca="1">IFERROR(IF(INDIRECT("'"&amp;F610&amp;"'!$C$5")&gt;0,DATE(YEAR(Dashboard!$AL$2),Dashboard!$AU$4,INDIRECT("'"&amp;F610&amp;"'!$C$5")),""),"")</f>
        <v/>
      </c>
      <c r="G610" s="38" t="str" cm="1">
        <f t="array" aca="1" ref="G610" ca="1">IF(F610="",
    "",
    IFERROR(
        IF(INDIRECT("'"&amp;F610&amp;"'!$B$2")="Credit Limit",
            "Credit Accounts",
            IF(INDIRECT("'"&amp;F610&amp;"'!$E$2")="Location",
                "Cash Accounts",
                IF(INDIRECT("'"&amp;F610&amp;"'!$B$2")="Amount",
                    "Investments",
                    "Bill Accounts"
                )
            )
        ),
    "")
)</f>
        <v/>
      </c>
      <c r="I610" s="46" t="str" cm="1">
        <f t="array" aca="1" ref="I610" ca="1">IF(F610&lt;&gt;"",IF(OR(G610="Bill Accounts",G610="Investments", G610="Cash Accounts"),INDIRECT("'"&amp;F610&amp;"'!$C$10"),INDIRECT("'"&amp;F610&amp;"'!$C$8")),"")</f>
        <v/>
      </c>
      <c r="K610" s="48">
        <f t="shared" si="30"/>
        <v>616</v>
      </c>
      <c r="L610" s="114" t="str" cm="1">
        <f t="array" aca="1" ref="L610" ca="1">IF(F610&lt;&gt;"",INDIRECT("'"&amp;F610&amp;"'!$F$17"),"")</f>
        <v/>
      </c>
      <c r="M610" s="116" t="str">
        <f t="shared" ca="1" si="28"/>
        <v/>
      </c>
      <c r="O610" s="49" t="str">
        <f t="shared" ca="1" si="29"/>
        <v/>
      </c>
      <c r="P610" s="38" t="str">
        <f>IF(E610&lt;&gt;"",RANK(E610,$E$3:$E$2298)+COUNTIF($E$3:E610,E610)-1,"")</f>
        <v/>
      </c>
    </row>
    <row r="611" spans="4:16" x14ac:dyDescent="0.25">
      <c r="D611" s="36" t="str" cm="1">
        <f t="array" aca="1" ref="D611" ca="1">IFERROR(IF(INDIRECT("'"&amp;F611&amp;"'!$C$5")&gt;0,DATE(YEAR(Dashboard!$AL$2),Dashboard!$AU$4,INDIRECT("'"&amp;F611&amp;"'!$C$5")),""),"")</f>
        <v/>
      </c>
      <c r="G611" s="38" t="str" cm="1">
        <f t="array" aca="1" ref="G611" ca="1">IF(F611="",
    "",
    IFERROR(
        IF(INDIRECT("'"&amp;F611&amp;"'!$B$2")="Credit Limit",
            "Credit Accounts",
            IF(INDIRECT("'"&amp;F611&amp;"'!$E$2")="Location",
                "Cash Accounts",
                IF(INDIRECT("'"&amp;F611&amp;"'!$B$2")="Amount",
                    "Investments",
                    "Bill Accounts"
                )
            )
        ),
    "")
)</f>
        <v/>
      </c>
      <c r="I611" s="46" t="str" cm="1">
        <f t="array" aca="1" ref="I611" ca="1">IF(F611&lt;&gt;"",IF(OR(G611="Bill Accounts",G611="Investments", G611="Cash Accounts"),INDIRECT("'"&amp;F611&amp;"'!$C$10"),INDIRECT("'"&amp;F611&amp;"'!$C$8")),"")</f>
        <v/>
      </c>
      <c r="K611" s="48">
        <f t="shared" si="30"/>
        <v>617</v>
      </c>
      <c r="L611" s="114" t="str" cm="1">
        <f t="array" aca="1" ref="L611" ca="1">IF(F611&lt;&gt;"",INDIRECT("'"&amp;F611&amp;"'!$F$17"),"")</f>
        <v/>
      </c>
      <c r="M611" s="116" t="str">
        <f t="shared" ca="1" si="28"/>
        <v/>
      </c>
      <c r="O611" s="49" t="str">
        <f t="shared" ca="1" si="29"/>
        <v/>
      </c>
      <c r="P611" s="38" t="str">
        <f>IF(E611&lt;&gt;"",RANK(E611,$E$3:$E$2298)+COUNTIF($E$3:E611,E611)-1,"")</f>
        <v/>
      </c>
    </row>
    <row r="612" spans="4:16" x14ac:dyDescent="0.25">
      <c r="D612" s="36" t="str" cm="1">
        <f t="array" aca="1" ref="D612" ca="1">IFERROR(IF(INDIRECT("'"&amp;F612&amp;"'!$C$5")&gt;0,DATE(YEAR(Dashboard!$AL$2),Dashboard!$AU$4,INDIRECT("'"&amp;F612&amp;"'!$C$5")),""),"")</f>
        <v/>
      </c>
      <c r="G612" s="38" t="str" cm="1">
        <f t="array" aca="1" ref="G612" ca="1">IF(F612="",
    "",
    IFERROR(
        IF(INDIRECT("'"&amp;F612&amp;"'!$B$2")="Credit Limit",
            "Credit Accounts",
            IF(INDIRECT("'"&amp;F612&amp;"'!$E$2")="Location",
                "Cash Accounts",
                IF(INDIRECT("'"&amp;F612&amp;"'!$B$2")="Amount",
                    "Investments",
                    "Bill Accounts"
                )
            )
        ),
    "")
)</f>
        <v/>
      </c>
      <c r="I612" s="46" t="str" cm="1">
        <f t="array" aca="1" ref="I612" ca="1">IF(F612&lt;&gt;"",IF(OR(G612="Bill Accounts",G612="Investments", G612="Cash Accounts"),INDIRECT("'"&amp;F612&amp;"'!$C$10"),INDIRECT("'"&amp;F612&amp;"'!$C$8")),"")</f>
        <v/>
      </c>
      <c r="K612" s="48">
        <f t="shared" si="30"/>
        <v>618</v>
      </c>
      <c r="L612" s="114" t="str" cm="1">
        <f t="array" aca="1" ref="L612" ca="1">IF(F612&lt;&gt;"",INDIRECT("'"&amp;F612&amp;"'!$F$17"),"")</f>
        <v/>
      </c>
      <c r="M612" s="116" t="str">
        <f t="shared" ca="1" si="28"/>
        <v/>
      </c>
      <c r="O612" s="49" t="str">
        <f t="shared" ca="1" si="29"/>
        <v/>
      </c>
      <c r="P612" s="38" t="str">
        <f>IF(E612&lt;&gt;"",RANK(E612,$E$3:$E$2298)+COUNTIF($E$3:E612,E612)-1,"")</f>
        <v/>
      </c>
    </row>
    <row r="613" spans="4:16" x14ac:dyDescent="0.25">
      <c r="D613" s="36" t="str" cm="1">
        <f t="array" aca="1" ref="D613" ca="1">IFERROR(IF(INDIRECT("'"&amp;F613&amp;"'!$C$5")&gt;0,DATE(YEAR(Dashboard!$AL$2),Dashboard!$AU$4,INDIRECT("'"&amp;F613&amp;"'!$C$5")),""),"")</f>
        <v/>
      </c>
      <c r="G613" s="38" t="str" cm="1">
        <f t="array" aca="1" ref="G613" ca="1">IF(F613="",
    "",
    IFERROR(
        IF(INDIRECT("'"&amp;F613&amp;"'!$B$2")="Credit Limit",
            "Credit Accounts",
            IF(INDIRECT("'"&amp;F613&amp;"'!$E$2")="Location",
                "Cash Accounts",
                IF(INDIRECT("'"&amp;F613&amp;"'!$B$2")="Amount",
                    "Investments",
                    "Bill Accounts"
                )
            )
        ),
    "")
)</f>
        <v/>
      </c>
      <c r="I613" s="46" t="str" cm="1">
        <f t="array" aca="1" ref="I613" ca="1">IF(F613&lt;&gt;"",IF(OR(G613="Bill Accounts",G613="Investments", G613="Cash Accounts"),INDIRECT("'"&amp;F613&amp;"'!$C$10"),INDIRECT("'"&amp;F613&amp;"'!$C$8")),"")</f>
        <v/>
      </c>
      <c r="K613" s="48">
        <f t="shared" si="30"/>
        <v>619</v>
      </c>
      <c r="L613" s="114" t="str" cm="1">
        <f t="array" aca="1" ref="L613" ca="1">IF(F613&lt;&gt;"",INDIRECT("'"&amp;F613&amp;"'!$F$17"),"")</f>
        <v/>
      </c>
      <c r="M613" s="116" t="str">
        <f t="shared" ca="1" si="28"/>
        <v/>
      </c>
      <c r="O613" s="49" t="str">
        <f t="shared" ca="1" si="29"/>
        <v/>
      </c>
      <c r="P613" s="38" t="str">
        <f>IF(E613&lt;&gt;"",RANK(E613,$E$3:$E$2298)+COUNTIF($E$3:E613,E613)-1,"")</f>
        <v/>
      </c>
    </row>
    <row r="614" spans="4:16" x14ac:dyDescent="0.25">
      <c r="D614" s="36" t="str" cm="1">
        <f t="array" aca="1" ref="D614" ca="1">IFERROR(IF(INDIRECT("'"&amp;F614&amp;"'!$C$5")&gt;0,DATE(YEAR(Dashboard!$AL$2),Dashboard!$AU$4,INDIRECT("'"&amp;F614&amp;"'!$C$5")),""),"")</f>
        <v/>
      </c>
      <c r="G614" s="38" t="str" cm="1">
        <f t="array" aca="1" ref="G614" ca="1">IF(F614="",
    "",
    IFERROR(
        IF(INDIRECT("'"&amp;F614&amp;"'!$B$2")="Credit Limit",
            "Credit Accounts",
            IF(INDIRECT("'"&amp;F614&amp;"'!$E$2")="Location",
                "Cash Accounts",
                IF(INDIRECT("'"&amp;F614&amp;"'!$B$2")="Amount",
                    "Investments",
                    "Bill Accounts"
                )
            )
        ),
    "")
)</f>
        <v/>
      </c>
      <c r="I614" s="46" t="str" cm="1">
        <f t="array" aca="1" ref="I614" ca="1">IF(F614&lt;&gt;"",IF(OR(G614="Bill Accounts",G614="Investments", G614="Cash Accounts"),INDIRECT("'"&amp;F614&amp;"'!$C$10"),INDIRECT("'"&amp;F614&amp;"'!$C$8")),"")</f>
        <v/>
      </c>
      <c r="K614" s="48">
        <f t="shared" si="30"/>
        <v>620</v>
      </c>
      <c r="L614" s="114" t="str" cm="1">
        <f t="array" aca="1" ref="L614" ca="1">IF(F614&lt;&gt;"",INDIRECT("'"&amp;F614&amp;"'!$F$17"),"")</f>
        <v/>
      </c>
      <c r="M614" s="116" t="str">
        <f t="shared" ca="1" si="28"/>
        <v/>
      </c>
      <c r="O614" s="49" t="str">
        <f t="shared" ca="1" si="29"/>
        <v/>
      </c>
      <c r="P614" s="38" t="str">
        <f>IF(E614&lt;&gt;"",RANK(E614,$E$3:$E$2298)+COUNTIF($E$3:E614,E614)-1,"")</f>
        <v/>
      </c>
    </row>
    <row r="615" spans="4:16" x14ac:dyDescent="0.25">
      <c r="D615" s="36" t="str" cm="1">
        <f t="array" aca="1" ref="D615" ca="1">IFERROR(IF(INDIRECT("'"&amp;F615&amp;"'!$C$5")&gt;0,DATE(YEAR(Dashboard!$AL$2),Dashboard!$AU$4,INDIRECT("'"&amp;F615&amp;"'!$C$5")),""),"")</f>
        <v/>
      </c>
      <c r="G615" s="38" t="str" cm="1">
        <f t="array" aca="1" ref="G615" ca="1">IF(F615="",
    "",
    IFERROR(
        IF(INDIRECT("'"&amp;F615&amp;"'!$B$2")="Credit Limit",
            "Credit Accounts",
            IF(INDIRECT("'"&amp;F615&amp;"'!$E$2")="Location",
                "Cash Accounts",
                IF(INDIRECT("'"&amp;F615&amp;"'!$B$2")="Amount",
                    "Investments",
                    "Bill Accounts"
                )
            )
        ),
    "")
)</f>
        <v/>
      </c>
      <c r="I615" s="46" t="str" cm="1">
        <f t="array" aca="1" ref="I615" ca="1">IF(F615&lt;&gt;"",IF(OR(G615="Bill Accounts",G615="Investments", G615="Cash Accounts"),INDIRECT("'"&amp;F615&amp;"'!$C$10"),INDIRECT("'"&amp;F615&amp;"'!$C$8")),"")</f>
        <v/>
      </c>
      <c r="K615" s="48">
        <f t="shared" si="30"/>
        <v>621</v>
      </c>
      <c r="L615" s="114" t="str" cm="1">
        <f t="array" aca="1" ref="L615" ca="1">IF(F615&lt;&gt;"",INDIRECT("'"&amp;F615&amp;"'!$F$17"),"")</f>
        <v/>
      </c>
      <c r="M615" s="116" t="str">
        <f t="shared" ca="1" si="28"/>
        <v/>
      </c>
      <c r="O615" s="49" t="str">
        <f t="shared" ca="1" si="29"/>
        <v/>
      </c>
      <c r="P615" s="38" t="str">
        <f>IF(E615&lt;&gt;"",RANK(E615,$E$3:$E$2298)+COUNTIF($E$3:E615,E615)-1,"")</f>
        <v/>
      </c>
    </row>
    <row r="616" spans="4:16" x14ac:dyDescent="0.25">
      <c r="D616" s="36" t="str" cm="1">
        <f t="array" aca="1" ref="D616" ca="1">IFERROR(IF(INDIRECT("'"&amp;F616&amp;"'!$C$5")&gt;0,DATE(YEAR(Dashboard!$AL$2),Dashboard!$AU$4,INDIRECT("'"&amp;F616&amp;"'!$C$5")),""),"")</f>
        <v/>
      </c>
      <c r="G616" s="38" t="str" cm="1">
        <f t="array" aca="1" ref="G616" ca="1">IF(F616="",
    "",
    IFERROR(
        IF(INDIRECT("'"&amp;F616&amp;"'!$B$2")="Credit Limit",
            "Credit Accounts",
            IF(INDIRECT("'"&amp;F616&amp;"'!$E$2")="Location",
                "Cash Accounts",
                IF(INDIRECT("'"&amp;F616&amp;"'!$B$2")="Amount",
                    "Investments",
                    "Bill Accounts"
                )
            )
        ),
    "")
)</f>
        <v/>
      </c>
      <c r="I616" s="46" t="str" cm="1">
        <f t="array" aca="1" ref="I616" ca="1">IF(F616&lt;&gt;"",IF(OR(G616="Bill Accounts",G616="Investments", G616="Cash Accounts"),INDIRECT("'"&amp;F616&amp;"'!$C$10"),INDIRECT("'"&amp;F616&amp;"'!$C$8")),"")</f>
        <v/>
      </c>
      <c r="K616" s="48">
        <f t="shared" si="30"/>
        <v>622</v>
      </c>
      <c r="L616" s="114" t="str" cm="1">
        <f t="array" aca="1" ref="L616" ca="1">IF(F616&lt;&gt;"",INDIRECT("'"&amp;F616&amp;"'!$F$17"),"")</f>
        <v/>
      </c>
      <c r="M616" s="116" t="str">
        <f t="shared" ca="1" si="28"/>
        <v/>
      </c>
      <c r="O616" s="49" t="str">
        <f t="shared" ca="1" si="29"/>
        <v/>
      </c>
      <c r="P616" s="38" t="str">
        <f>IF(E616&lt;&gt;"",RANK(E616,$E$3:$E$2298)+COUNTIF($E$3:E616,E616)-1,"")</f>
        <v/>
      </c>
    </row>
    <row r="617" spans="4:16" x14ac:dyDescent="0.25">
      <c r="D617" s="36" t="str" cm="1">
        <f t="array" aca="1" ref="D617" ca="1">IFERROR(IF(INDIRECT("'"&amp;F617&amp;"'!$C$5")&gt;0,DATE(YEAR(Dashboard!$AL$2),Dashboard!$AU$4,INDIRECT("'"&amp;F617&amp;"'!$C$5")),""),"")</f>
        <v/>
      </c>
      <c r="G617" s="38" t="str" cm="1">
        <f t="array" aca="1" ref="G617" ca="1">IF(F617="",
    "",
    IFERROR(
        IF(INDIRECT("'"&amp;F617&amp;"'!$B$2")="Credit Limit",
            "Credit Accounts",
            IF(INDIRECT("'"&amp;F617&amp;"'!$E$2")="Location",
                "Cash Accounts",
                IF(INDIRECT("'"&amp;F617&amp;"'!$B$2")="Amount",
                    "Investments",
                    "Bill Accounts"
                )
            )
        ),
    "")
)</f>
        <v/>
      </c>
      <c r="I617" s="46" t="str" cm="1">
        <f t="array" aca="1" ref="I617" ca="1">IF(F617&lt;&gt;"",IF(OR(G617="Bill Accounts",G617="Investments", G617="Cash Accounts"),INDIRECT("'"&amp;F617&amp;"'!$C$10"),INDIRECT("'"&amp;F617&amp;"'!$C$8")),"")</f>
        <v/>
      </c>
      <c r="K617" s="48">
        <f t="shared" si="30"/>
        <v>623</v>
      </c>
      <c r="L617" s="114" t="str" cm="1">
        <f t="array" aca="1" ref="L617" ca="1">IF(F617&lt;&gt;"",INDIRECT("'"&amp;F617&amp;"'!$F$17"),"")</f>
        <v/>
      </c>
      <c r="M617" s="116" t="str">
        <f t="shared" ca="1" si="28"/>
        <v/>
      </c>
      <c r="O617" s="49" t="str">
        <f t="shared" ca="1" si="29"/>
        <v/>
      </c>
      <c r="P617" s="38" t="str">
        <f>IF(E617&lt;&gt;"",RANK(E617,$E$3:$E$2298)+COUNTIF($E$3:E617,E617)-1,"")</f>
        <v/>
      </c>
    </row>
    <row r="618" spans="4:16" x14ac:dyDescent="0.25">
      <c r="D618" s="36" t="str" cm="1">
        <f t="array" aca="1" ref="D618" ca="1">IFERROR(IF(INDIRECT("'"&amp;F618&amp;"'!$C$5")&gt;0,DATE(YEAR(Dashboard!$AL$2),Dashboard!$AU$4,INDIRECT("'"&amp;F618&amp;"'!$C$5")),""),"")</f>
        <v/>
      </c>
      <c r="G618" s="38" t="str" cm="1">
        <f t="array" aca="1" ref="G618" ca="1">IF(F618="",
    "",
    IFERROR(
        IF(INDIRECT("'"&amp;F618&amp;"'!$B$2")="Credit Limit",
            "Credit Accounts",
            IF(INDIRECT("'"&amp;F618&amp;"'!$E$2")="Location",
                "Cash Accounts",
                IF(INDIRECT("'"&amp;F618&amp;"'!$B$2")="Amount",
                    "Investments",
                    "Bill Accounts"
                )
            )
        ),
    "")
)</f>
        <v/>
      </c>
      <c r="I618" s="46" t="str" cm="1">
        <f t="array" aca="1" ref="I618" ca="1">IF(F618&lt;&gt;"",IF(OR(G618="Bill Accounts",G618="Investments", G618="Cash Accounts"),INDIRECT("'"&amp;F618&amp;"'!$C$10"),INDIRECT("'"&amp;F618&amp;"'!$C$8")),"")</f>
        <v/>
      </c>
      <c r="K618" s="48">
        <f t="shared" si="30"/>
        <v>624</v>
      </c>
      <c r="L618" s="114" t="str" cm="1">
        <f t="array" aca="1" ref="L618" ca="1">IF(F618&lt;&gt;"",INDIRECT("'"&amp;F618&amp;"'!$F$17"),"")</f>
        <v/>
      </c>
      <c r="M618" s="116" t="str">
        <f t="shared" ca="1" si="28"/>
        <v/>
      </c>
      <c r="O618" s="49" t="str">
        <f t="shared" ca="1" si="29"/>
        <v/>
      </c>
      <c r="P618" s="38" t="str">
        <f>IF(E618&lt;&gt;"",RANK(E618,$E$3:$E$2298)+COUNTIF($E$3:E618,E618)-1,"")</f>
        <v/>
      </c>
    </row>
    <row r="619" spans="4:16" x14ac:dyDescent="0.25">
      <c r="D619" s="36" t="str" cm="1">
        <f t="array" aca="1" ref="D619" ca="1">IFERROR(IF(INDIRECT("'"&amp;F619&amp;"'!$C$5")&gt;0,DATE(YEAR(Dashboard!$AL$2),Dashboard!$AU$4,INDIRECT("'"&amp;F619&amp;"'!$C$5")),""),"")</f>
        <v/>
      </c>
      <c r="G619" s="38" t="str" cm="1">
        <f t="array" aca="1" ref="G619" ca="1">IF(F619="",
    "",
    IFERROR(
        IF(INDIRECT("'"&amp;F619&amp;"'!$B$2")="Credit Limit",
            "Credit Accounts",
            IF(INDIRECT("'"&amp;F619&amp;"'!$E$2")="Location",
                "Cash Accounts",
                IF(INDIRECT("'"&amp;F619&amp;"'!$B$2")="Amount",
                    "Investments",
                    "Bill Accounts"
                )
            )
        ),
    "")
)</f>
        <v/>
      </c>
      <c r="I619" s="46" t="str" cm="1">
        <f t="array" aca="1" ref="I619" ca="1">IF(F619&lt;&gt;"",IF(OR(G619="Bill Accounts",G619="Investments", G619="Cash Accounts"),INDIRECT("'"&amp;F619&amp;"'!$C$10"),INDIRECT("'"&amp;F619&amp;"'!$C$8")),"")</f>
        <v/>
      </c>
      <c r="K619" s="48">
        <f t="shared" si="30"/>
        <v>625</v>
      </c>
      <c r="L619" s="114" t="str" cm="1">
        <f t="array" aca="1" ref="L619" ca="1">IF(F619&lt;&gt;"",INDIRECT("'"&amp;F619&amp;"'!$F$17"),"")</f>
        <v/>
      </c>
      <c r="M619" s="116" t="str">
        <f t="shared" ca="1" si="28"/>
        <v/>
      </c>
      <c r="O619" s="49" t="str">
        <f t="shared" ca="1" si="29"/>
        <v/>
      </c>
      <c r="P619" s="38" t="str">
        <f>IF(E619&lt;&gt;"",RANK(E619,$E$3:$E$2298)+COUNTIF($E$3:E619,E619)-1,"")</f>
        <v/>
      </c>
    </row>
    <row r="620" spans="4:16" x14ac:dyDescent="0.25">
      <c r="D620" s="36" t="str" cm="1">
        <f t="array" aca="1" ref="D620" ca="1">IFERROR(IF(INDIRECT("'"&amp;F620&amp;"'!$C$5")&gt;0,DATE(YEAR(Dashboard!$AL$2),Dashboard!$AU$4,INDIRECT("'"&amp;F620&amp;"'!$C$5")),""),"")</f>
        <v/>
      </c>
      <c r="G620" s="38" t="str" cm="1">
        <f t="array" aca="1" ref="G620" ca="1">IF(F620="",
    "",
    IFERROR(
        IF(INDIRECT("'"&amp;F620&amp;"'!$B$2")="Credit Limit",
            "Credit Accounts",
            IF(INDIRECT("'"&amp;F620&amp;"'!$E$2")="Location",
                "Cash Accounts",
                IF(INDIRECT("'"&amp;F620&amp;"'!$B$2")="Amount",
                    "Investments",
                    "Bill Accounts"
                )
            )
        ),
    "")
)</f>
        <v/>
      </c>
      <c r="I620" s="46" t="str" cm="1">
        <f t="array" aca="1" ref="I620" ca="1">IF(F620&lt;&gt;"",IF(OR(G620="Bill Accounts",G620="Investments", G620="Cash Accounts"),INDIRECT("'"&amp;F620&amp;"'!$C$10"),INDIRECT("'"&amp;F620&amp;"'!$C$8")),"")</f>
        <v/>
      </c>
      <c r="K620" s="48">
        <f t="shared" si="30"/>
        <v>626</v>
      </c>
      <c r="L620" s="114" t="str" cm="1">
        <f t="array" aca="1" ref="L620" ca="1">IF(F620&lt;&gt;"",INDIRECT("'"&amp;F620&amp;"'!$F$17"),"")</f>
        <v/>
      </c>
      <c r="M620" s="116" t="str">
        <f t="shared" ca="1" si="28"/>
        <v/>
      </c>
      <c r="O620" s="49" t="str">
        <f t="shared" ca="1" si="29"/>
        <v/>
      </c>
      <c r="P620" s="38" t="str">
        <f>IF(E620&lt;&gt;"",RANK(E620,$E$3:$E$2298)+COUNTIF($E$3:E620,E620)-1,"")</f>
        <v/>
      </c>
    </row>
    <row r="621" spans="4:16" x14ac:dyDescent="0.25">
      <c r="D621" s="36" t="str" cm="1">
        <f t="array" aca="1" ref="D621" ca="1">IFERROR(IF(INDIRECT("'"&amp;F621&amp;"'!$C$5")&gt;0,DATE(YEAR(Dashboard!$AL$2),Dashboard!$AU$4,INDIRECT("'"&amp;F621&amp;"'!$C$5")),""),"")</f>
        <v/>
      </c>
      <c r="G621" s="38" t="str" cm="1">
        <f t="array" aca="1" ref="G621" ca="1">IF(F621="",
    "",
    IFERROR(
        IF(INDIRECT("'"&amp;F621&amp;"'!$B$2")="Credit Limit",
            "Credit Accounts",
            IF(INDIRECT("'"&amp;F621&amp;"'!$E$2")="Location",
                "Cash Accounts",
                IF(INDIRECT("'"&amp;F621&amp;"'!$B$2")="Amount",
                    "Investments",
                    "Bill Accounts"
                )
            )
        ),
    "")
)</f>
        <v/>
      </c>
      <c r="I621" s="46" t="str" cm="1">
        <f t="array" aca="1" ref="I621" ca="1">IF(F621&lt;&gt;"",IF(OR(G621="Bill Accounts",G621="Investments", G621="Cash Accounts"),INDIRECT("'"&amp;F621&amp;"'!$C$10"),INDIRECT("'"&amp;F621&amp;"'!$C$8")),"")</f>
        <v/>
      </c>
      <c r="K621" s="48">
        <f t="shared" si="30"/>
        <v>627</v>
      </c>
      <c r="L621" s="114" t="str" cm="1">
        <f t="array" aca="1" ref="L621" ca="1">IF(F621&lt;&gt;"",INDIRECT("'"&amp;F621&amp;"'!$F$17"),"")</f>
        <v/>
      </c>
      <c r="M621" s="116" t="str">
        <f t="shared" ca="1" si="28"/>
        <v/>
      </c>
      <c r="O621" s="49" t="str">
        <f t="shared" ca="1" si="29"/>
        <v/>
      </c>
      <c r="P621" s="38" t="str">
        <f>IF(E621&lt;&gt;"",RANK(E621,$E$3:$E$2298)+COUNTIF($E$3:E621,E621)-1,"")</f>
        <v/>
      </c>
    </row>
    <row r="622" spans="4:16" x14ac:dyDescent="0.25">
      <c r="D622" s="36" t="str" cm="1">
        <f t="array" aca="1" ref="D622" ca="1">IFERROR(IF(INDIRECT("'"&amp;F622&amp;"'!$C$5")&gt;0,DATE(YEAR(Dashboard!$AL$2),Dashboard!$AU$4,INDIRECT("'"&amp;F622&amp;"'!$C$5")),""),"")</f>
        <v/>
      </c>
      <c r="G622" s="38" t="str" cm="1">
        <f t="array" aca="1" ref="G622" ca="1">IF(F622="",
    "",
    IFERROR(
        IF(INDIRECT("'"&amp;F622&amp;"'!$B$2")="Credit Limit",
            "Credit Accounts",
            IF(INDIRECT("'"&amp;F622&amp;"'!$E$2")="Location",
                "Cash Accounts",
                IF(INDIRECT("'"&amp;F622&amp;"'!$B$2")="Amount",
                    "Investments",
                    "Bill Accounts"
                )
            )
        ),
    "")
)</f>
        <v/>
      </c>
      <c r="I622" s="46" t="str" cm="1">
        <f t="array" aca="1" ref="I622" ca="1">IF(F622&lt;&gt;"",IF(OR(G622="Bill Accounts",G622="Investments", G622="Cash Accounts"),INDIRECT("'"&amp;F622&amp;"'!$C$10"),INDIRECT("'"&amp;F622&amp;"'!$C$8")),"")</f>
        <v/>
      </c>
      <c r="K622" s="48">
        <f t="shared" si="30"/>
        <v>628</v>
      </c>
      <c r="L622" s="114" t="str" cm="1">
        <f t="array" aca="1" ref="L622" ca="1">IF(F622&lt;&gt;"",INDIRECT("'"&amp;F622&amp;"'!$F$17"),"")</f>
        <v/>
      </c>
      <c r="M622" s="116" t="str">
        <f t="shared" ca="1" si="28"/>
        <v/>
      </c>
      <c r="O622" s="49" t="str">
        <f t="shared" ca="1" si="29"/>
        <v/>
      </c>
      <c r="P622" s="38" t="str">
        <f>IF(E622&lt;&gt;"",RANK(E622,$E$3:$E$2298)+COUNTIF($E$3:E622,E622)-1,"")</f>
        <v/>
      </c>
    </row>
    <row r="623" spans="4:16" x14ac:dyDescent="0.25">
      <c r="D623" s="36" t="str" cm="1">
        <f t="array" aca="1" ref="D623" ca="1">IFERROR(IF(INDIRECT("'"&amp;F623&amp;"'!$C$5")&gt;0,DATE(YEAR(Dashboard!$AL$2),Dashboard!$AU$4,INDIRECT("'"&amp;F623&amp;"'!$C$5")),""),"")</f>
        <v/>
      </c>
      <c r="G623" s="38" t="str" cm="1">
        <f t="array" aca="1" ref="G623" ca="1">IF(F623="",
    "",
    IFERROR(
        IF(INDIRECT("'"&amp;F623&amp;"'!$B$2")="Credit Limit",
            "Credit Accounts",
            IF(INDIRECT("'"&amp;F623&amp;"'!$E$2")="Location",
                "Cash Accounts",
                IF(INDIRECT("'"&amp;F623&amp;"'!$B$2")="Amount",
                    "Investments",
                    "Bill Accounts"
                )
            )
        ),
    "")
)</f>
        <v/>
      </c>
      <c r="I623" s="46" t="str" cm="1">
        <f t="array" aca="1" ref="I623" ca="1">IF(F623&lt;&gt;"",IF(OR(G623="Bill Accounts",G623="Investments", G623="Cash Accounts"),INDIRECT("'"&amp;F623&amp;"'!$C$10"),INDIRECT("'"&amp;F623&amp;"'!$C$8")),"")</f>
        <v/>
      </c>
      <c r="K623" s="48">
        <f t="shared" si="30"/>
        <v>629</v>
      </c>
      <c r="L623" s="114" t="str" cm="1">
        <f t="array" aca="1" ref="L623" ca="1">IF(F623&lt;&gt;"",INDIRECT("'"&amp;F623&amp;"'!$F$17"),"")</f>
        <v/>
      </c>
      <c r="M623" s="116" t="str">
        <f t="shared" ca="1" si="28"/>
        <v/>
      </c>
      <c r="O623" s="49" t="str">
        <f t="shared" ca="1" si="29"/>
        <v/>
      </c>
      <c r="P623" s="38" t="str">
        <f>IF(E623&lt;&gt;"",RANK(E623,$E$3:$E$2298)+COUNTIF($E$3:E623,E623)-1,"")</f>
        <v/>
      </c>
    </row>
    <row r="624" spans="4:16" x14ac:dyDescent="0.25">
      <c r="D624" s="36" t="str" cm="1">
        <f t="array" aca="1" ref="D624" ca="1">IFERROR(IF(INDIRECT("'"&amp;F624&amp;"'!$C$5")&gt;0,DATE(YEAR(Dashboard!$AL$2),Dashboard!$AU$4,INDIRECT("'"&amp;F624&amp;"'!$C$5")),""),"")</f>
        <v/>
      </c>
      <c r="G624" s="38" t="str" cm="1">
        <f t="array" aca="1" ref="G624" ca="1">IF(F624="",
    "",
    IFERROR(
        IF(INDIRECT("'"&amp;F624&amp;"'!$B$2")="Credit Limit",
            "Credit Accounts",
            IF(INDIRECT("'"&amp;F624&amp;"'!$E$2")="Location",
                "Cash Accounts",
                IF(INDIRECT("'"&amp;F624&amp;"'!$B$2")="Amount",
                    "Investments",
                    "Bill Accounts"
                )
            )
        ),
    "")
)</f>
        <v/>
      </c>
      <c r="I624" s="46" t="str" cm="1">
        <f t="array" aca="1" ref="I624" ca="1">IF(F624&lt;&gt;"",IF(OR(G624="Bill Accounts",G624="Investments", G624="Cash Accounts"),INDIRECT("'"&amp;F624&amp;"'!$C$10"),INDIRECT("'"&amp;F624&amp;"'!$C$8")),"")</f>
        <v/>
      </c>
      <c r="K624" s="48">
        <f t="shared" si="30"/>
        <v>630</v>
      </c>
      <c r="L624" s="114" t="str" cm="1">
        <f t="array" aca="1" ref="L624" ca="1">IF(F624&lt;&gt;"",INDIRECT("'"&amp;F624&amp;"'!$F$17"),"")</f>
        <v/>
      </c>
      <c r="M624" s="116" t="str">
        <f t="shared" ca="1" si="28"/>
        <v/>
      </c>
      <c r="O624" s="49" t="str">
        <f t="shared" ca="1" si="29"/>
        <v/>
      </c>
      <c r="P624" s="38" t="str">
        <f>IF(E624&lt;&gt;"",RANK(E624,$E$3:$E$2298)+COUNTIF($E$3:E624,E624)-1,"")</f>
        <v/>
      </c>
    </row>
    <row r="625" spans="4:16" x14ac:dyDescent="0.25">
      <c r="D625" s="36" t="str" cm="1">
        <f t="array" aca="1" ref="D625" ca="1">IFERROR(IF(INDIRECT("'"&amp;F625&amp;"'!$C$5")&gt;0,DATE(YEAR(Dashboard!$AL$2),Dashboard!$AU$4,INDIRECT("'"&amp;F625&amp;"'!$C$5")),""),"")</f>
        <v/>
      </c>
      <c r="G625" s="38" t="str" cm="1">
        <f t="array" aca="1" ref="G625" ca="1">IF(F625="",
    "",
    IFERROR(
        IF(INDIRECT("'"&amp;F625&amp;"'!$B$2")="Credit Limit",
            "Credit Accounts",
            IF(INDIRECT("'"&amp;F625&amp;"'!$E$2")="Location",
                "Cash Accounts",
                IF(INDIRECT("'"&amp;F625&amp;"'!$B$2")="Amount",
                    "Investments",
                    "Bill Accounts"
                )
            )
        ),
    "")
)</f>
        <v/>
      </c>
      <c r="I625" s="46" t="str" cm="1">
        <f t="array" aca="1" ref="I625" ca="1">IF(F625&lt;&gt;"",IF(OR(G625="Bill Accounts",G625="Investments", G625="Cash Accounts"),INDIRECT("'"&amp;F625&amp;"'!$C$10"),INDIRECT("'"&amp;F625&amp;"'!$C$8")),"")</f>
        <v/>
      </c>
      <c r="K625" s="48">
        <f t="shared" si="30"/>
        <v>631</v>
      </c>
      <c r="L625" s="114" t="str" cm="1">
        <f t="array" aca="1" ref="L625" ca="1">IF(F625&lt;&gt;"",INDIRECT("'"&amp;F625&amp;"'!$F$17"),"")</f>
        <v/>
      </c>
      <c r="M625" s="116" t="str">
        <f t="shared" ca="1" si="28"/>
        <v/>
      </c>
      <c r="O625" s="49" t="str">
        <f t="shared" ca="1" si="29"/>
        <v/>
      </c>
      <c r="P625" s="38" t="str">
        <f>IF(E625&lt;&gt;"",RANK(E625,$E$3:$E$2298)+COUNTIF($E$3:E625,E625)-1,"")</f>
        <v/>
      </c>
    </row>
    <row r="626" spans="4:16" x14ac:dyDescent="0.25">
      <c r="D626" s="36" t="str" cm="1">
        <f t="array" aca="1" ref="D626" ca="1">IFERROR(IF(INDIRECT("'"&amp;F626&amp;"'!$C$5")&gt;0,DATE(YEAR(Dashboard!$AL$2),Dashboard!$AU$4,INDIRECT("'"&amp;F626&amp;"'!$C$5")),""),"")</f>
        <v/>
      </c>
      <c r="G626" s="38" t="str" cm="1">
        <f t="array" aca="1" ref="G626" ca="1">IF(F626="",
    "",
    IFERROR(
        IF(INDIRECT("'"&amp;F626&amp;"'!$B$2")="Credit Limit",
            "Credit Accounts",
            IF(INDIRECT("'"&amp;F626&amp;"'!$E$2")="Location",
                "Cash Accounts",
                IF(INDIRECT("'"&amp;F626&amp;"'!$B$2")="Amount",
                    "Investments",
                    "Bill Accounts"
                )
            )
        ),
    "")
)</f>
        <v/>
      </c>
      <c r="I626" s="46" t="str" cm="1">
        <f t="array" aca="1" ref="I626" ca="1">IF(F626&lt;&gt;"",IF(OR(G626="Bill Accounts",G626="Investments", G626="Cash Accounts"),INDIRECT("'"&amp;F626&amp;"'!$C$10"),INDIRECT("'"&amp;F626&amp;"'!$C$8")),"")</f>
        <v/>
      </c>
      <c r="K626" s="48">
        <f t="shared" si="30"/>
        <v>632</v>
      </c>
      <c r="L626" s="114" t="str" cm="1">
        <f t="array" aca="1" ref="L626" ca="1">IF(F626&lt;&gt;"",INDIRECT("'"&amp;F626&amp;"'!$F$17"),"")</f>
        <v/>
      </c>
      <c r="M626" s="116" t="str">
        <f t="shared" ca="1" si="28"/>
        <v/>
      </c>
      <c r="O626" s="49" t="str">
        <f t="shared" ca="1" si="29"/>
        <v/>
      </c>
      <c r="P626" s="38" t="str">
        <f>IF(E626&lt;&gt;"",RANK(E626,$E$3:$E$2298)+COUNTIF($E$3:E626,E626)-1,"")</f>
        <v/>
      </c>
    </row>
    <row r="627" spans="4:16" x14ac:dyDescent="0.25">
      <c r="D627" s="36" t="str" cm="1">
        <f t="array" aca="1" ref="D627" ca="1">IFERROR(IF(INDIRECT("'"&amp;F627&amp;"'!$C$5")&gt;0,DATE(YEAR(Dashboard!$AL$2),Dashboard!$AU$4,INDIRECT("'"&amp;F627&amp;"'!$C$5")),""),"")</f>
        <v/>
      </c>
      <c r="G627" s="38" t="str" cm="1">
        <f t="array" aca="1" ref="G627" ca="1">IF(F627="",
    "",
    IFERROR(
        IF(INDIRECT("'"&amp;F627&amp;"'!$B$2")="Credit Limit",
            "Credit Accounts",
            IF(INDIRECT("'"&amp;F627&amp;"'!$E$2")="Location",
                "Cash Accounts",
                IF(INDIRECT("'"&amp;F627&amp;"'!$B$2")="Amount",
                    "Investments",
                    "Bill Accounts"
                )
            )
        ),
    "")
)</f>
        <v/>
      </c>
      <c r="I627" s="46" t="str" cm="1">
        <f t="array" aca="1" ref="I627" ca="1">IF(F627&lt;&gt;"",IF(OR(G627="Bill Accounts",G627="Investments", G627="Cash Accounts"),INDIRECT("'"&amp;F627&amp;"'!$C$10"),INDIRECT("'"&amp;F627&amp;"'!$C$8")),"")</f>
        <v/>
      </c>
      <c r="K627" s="48">
        <f t="shared" si="30"/>
        <v>633</v>
      </c>
      <c r="L627" s="114" t="str" cm="1">
        <f t="array" aca="1" ref="L627" ca="1">IF(F627&lt;&gt;"",INDIRECT("'"&amp;F627&amp;"'!$F$17"),"")</f>
        <v/>
      </c>
      <c r="M627" s="116" t="str">
        <f t="shared" ca="1" si="28"/>
        <v/>
      </c>
      <c r="O627" s="49" t="str">
        <f t="shared" ca="1" si="29"/>
        <v/>
      </c>
      <c r="P627" s="38" t="str">
        <f>IF(E627&lt;&gt;"",RANK(E627,$E$3:$E$2298)+COUNTIF($E$3:E627,E627)-1,"")</f>
        <v/>
      </c>
    </row>
    <row r="628" spans="4:16" x14ac:dyDescent="0.25">
      <c r="D628" s="36" t="str" cm="1">
        <f t="array" aca="1" ref="D628" ca="1">IFERROR(IF(INDIRECT("'"&amp;F628&amp;"'!$C$5")&gt;0,DATE(YEAR(Dashboard!$AL$2),Dashboard!$AU$4,INDIRECT("'"&amp;F628&amp;"'!$C$5")),""),"")</f>
        <v/>
      </c>
      <c r="G628" s="38" t="str" cm="1">
        <f t="array" aca="1" ref="G628" ca="1">IF(F628="",
    "",
    IFERROR(
        IF(INDIRECT("'"&amp;F628&amp;"'!$B$2")="Credit Limit",
            "Credit Accounts",
            IF(INDIRECT("'"&amp;F628&amp;"'!$E$2")="Location",
                "Cash Accounts",
                IF(INDIRECT("'"&amp;F628&amp;"'!$B$2")="Amount",
                    "Investments",
                    "Bill Accounts"
                )
            )
        ),
    "")
)</f>
        <v/>
      </c>
      <c r="I628" s="46" t="str" cm="1">
        <f t="array" aca="1" ref="I628" ca="1">IF(F628&lt;&gt;"",IF(OR(G628="Bill Accounts",G628="Investments", G628="Cash Accounts"),INDIRECT("'"&amp;F628&amp;"'!$C$10"),INDIRECT("'"&amp;F628&amp;"'!$C$8")),"")</f>
        <v/>
      </c>
      <c r="K628" s="48">
        <f t="shared" si="30"/>
        <v>634</v>
      </c>
      <c r="L628" s="114" t="str" cm="1">
        <f t="array" aca="1" ref="L628" ca="1">IF(F628&lt;&gt;"",INDIRECT("'"&amp;F628&amp;"'!$F$17"),"")</f>
        <v/>
      </c>
      <c r="M628" s="116" t="str">
        <f t="shared" ca="1" si="28"/>
        <v/>
      </c>
      <c r="O628" s="49" t="str">
        <f t="shared" ca="1" si="29"/>
        <v/>
      </c>
      <c r="P628" s="38" t="str">
        <f>IF(E628&lt;&gt;"",RANK(E628,$E$3:$E$2298)+COUNTIF($E$3:E628,E628)-1,"")</f>
        <v/>
      </c>
    </row>
    <row r="629" spans="4:16" x14ac:dyDescent="0.25">
      <c r="D629" s="36" t="str" cm="1">
        <f t="array" aca="1" ref="D629" ca="1">IFERROR(IF(INDIRECT("'"&amp;F629&amp;"'!$C$5")&gt;0,DATE(YEAR(Dashboard!$AL$2),Dashboard!$AU$4,INDIRECT("'"&amp;F629&amp;"'!$C$5")),""),"")</f>
        <v/>
      </c>
      <c r="G629" s="38" t="str" cm="1">
        <f t="array" aca="1" ref="G629" ca="1">IF(F629="",
    "",
    IFERROR(
        IF(INDIRECT("'"&amp;F629&amp;"'!$B$2")="Credit Limit",
            "Credit Accounts",
            IF(INDIRECT("'"&amp;F629&amp;"'!$E$2")="Location",
                "Cash Accounts",
                IF(INDIRECT("'"&amp;F629&amp;"'!$B$2")="Amount",
                    "Investments",
                    "Bill Accounts"
                )
            )
        ),
    "")
)</f>
        <v/>
      </c>
      <c r="I629" s="46" t="str" cm="1">
        <f t="array" aca="1" ref="I629" ca="1">IF(F629&lt;&gt;"",IF(OR(G629="Bill Accounts",G629="Investments", G629="Cash Accounts"),INDIRECT("'"&amp;F629&amp;"'!$C$10"),INDIRECT("'"&amp;F629&amp;"'!$C$8")),"")</f>
        <v/>
      </c>
      <c r="K629" s="48">
        <f t="shared" si="30"/>
        <v>635</v>
      </c>
      <c r="L629" s="114" t="str" cm="1">
        <f t="array" aca="1" ref="L629" ca="1">IF(F629&lt;&gt;"",INDIRECT("'"&amp;F629&amp;"'!$F$17"),"")</f>
        <v/>
      </c>
      <c r="M629" s="116" t="str">
        <f t="shared" ca="1" si="28"/>
        <v/>
      </c>
      <c r="O629" s="49" t="str">
        <f t="shared" ca="1" si="29"/>
        <v/>
      </c>
      <c r="P629" s="38" t="str">
        <f>IF(E629&lt;&gt;"",RANK(E629,$E$3:$E$2298)+COUNTIF($E$3:E629,E629)-1,"")</f>
        <v/>
      </c>
    </row>
    <row r="630" spans="4:16" x14ac:dyDescent="0.25">
      <c r="D630" s="36" t="str" cm="1">
        <f t="array" aca="1" ref="D630" ca="1">IFERROR(IF(INDIRECT("'"&amp;F630&amp;"'!$C$5")&gt;0,DATE(YEAR(Dashboard!$AL$2),Dashboard!$AU$4,INDIRECT("'"&amp;F630&amp;"'!$C$5")),""),"")</f>
        <v/>
      </c>
      <c r="G630" s="38" t="str" cm="1">
        <f t="array" aca="1" ref="G630" ca="1">IF(F630="",
    "",
    IFERROR(
        IF(INDIRECT("'"&amp;F630&amp;"'!$B$2")="Credit Limit",
            "Credit Accounts",
            IF(INDIRECT("'"&amp;F630&amp;"'!$E$2")="Location",
                "Cash Accounts",
                IF(INDIRECT("'"&amp;F630&amp;"'!$B$2")="Amount",
                    "Investments",
                    "Bill Accounts"
                )
            )
        ),
    "")
)</f>
        <v/>
      </c>
      <c r="I630" s="46" t="str" cm="1">
        <f t="array" aca="1" ref="I630" ca="1">IF(F630&lt;&gt;"",IF(OR(G630="Bill Accounts",G630="Investments", G630="Cash Accounts"),INDIRECT("'"&amp;F630&amp;"'!$C$10"),INDIRECT("'"&amp;F630&amp;"'!$C$8")),"")</f>
        <v/>
      </c>
      <c r="K630" s="48">
        <f t="shared" si="30"/>
        <v>636</v>
      </c>
      <c r="L630" s="114" t="str" cm="1">
        <f t="array" aca="1" ref="L630" ca="1">IF(F630&lt;&gt;"",INDIRECT("'"&amp;F630&amp;"'!$F$17"),"")</f>
        <v/>
      </c>
      <c r="M630" s="116" t="str">
        <f t="shared" ca="1" si="28"/>
        <v/>
      </c>
      <c r="O630" s="49" t="str">
        <f t="shared" ca="1" si="29"/>
        <v/>
      </c>
      <c r="P630" s="38" t="str">
        <f>IF(E630&lt;&gt;"",RANK(E630,$E$3:$E$2298)+COUNTIF($E$3:E630,E630)-1,"")</f>
        <v/>
      </c>
    </row>
    <row r="631" spans="4:16" x14ac:dyDescent="0.25">
      <c r="D631" s="36" t="str" cm="1">
        <f t="array" aca="1" ref="D631" ca="1">IFERROR(IF(INDIRECT("'"&amp;F631&amp;"'!$C$5")&gt;0,DATE(YEAR(Dashboard!$AL$2),Dashboard!$AU$4,INDIRECT("'"&amp;F631&amp;"'!$C$5")),""),"")</f>
        <v/>
      </c>
      <c r="G631" s="38" t="str" cm="1">
        <f t="array" aca="1" ref="G631" ca="1">IF(F631="",
    "",
    IFERROR(
        IF(INDIRECT("'"&amp;F631&amp;"'!$B$2")="Credit Limit",
            "Credit Accounts",
            IF(INDIRECT("'"&amp;F631&amp;"'!$E$2")="Location",
                "Cash Accounts",
                IF(INDIRECT("'"&amp;F631&amp;"'!$B$2")="Amount",
                    "Investments",
                    "Bill Accounts"
                )
            )
        ),
    "")
)</f>
        <v/>
      </c>
      <c r="I631" s="46" t="str" cm="1">
        <f t="array" aca="1" ref="I631" ca="1">IF(F631&lt;&gt;"",IF(OR(G631="Bill Accounts",G631="Investments", G631="Cash Accounts"),INDIRECT("'"&amp;F631&amp;"'!$C$10"),INDIRECT("'"&amp;F631&amp;"'!$C$8")),"")</f>
        <v/>
      </c>
      <c r="K631" s="48">
        <f t="shared" si="30"/>
        <v>637</v>
      </c>
      <c r="L631" s="114" t="str" cm="1">
        <f t="array" aca="1" ref="L631" ca="1">IF(F631&lt;&gt;"",INDIRECT("'"&amp;F631&amp;"'!$F$17"),"")</f>
        <v/>
      </c>
      <c r="M631" s="116" t="str">
        <f t="shared" ca="1" si="28"/>
        <v/>
      </c>
      <c r="O631" s="49" t="str">
        <f t="shared" ca="1" si="29"/>
        <v/>
      </c>
      <c r="P631" s="38" t="str">
        <f>IF(E631&lt;&gt;"",RANK(E631,$E$3:$E$2298)+COUNTIF($E$3:E631,E631)-1,"")</f>
        <v/>
      </c>
    </row>
    <row r="632" spans="4:16" x14ac:dyDescent="0.25">
      <c r="D632" s="36" t="str" cm="1">
        <f t="array" aca="1" ref="D632" ca="1">IFERROR(IF(INDIRECT("'"&amp;F632&amp;"'!$C$5")&gt;0,DATE(YEAR(Dashboard!$AL$2),Dashboard!$AU$4,INDIRECT("'"&amp;F632&amp;"'!$C$5")),""),"")</f>
        <v/>
      </c>
      <c r="G632" s="38" t="str" cm="1">
        <f t="array" aca="1" ref="G632" ca="1">IF(F632="",
    "",
    IFERROR(
        IF(INDIRECT("'"&amp;F632&amp;"'!$B$2")="Credit Limit",
            "Credit Accounts",
            IF(INDIRECT("'"&amp;F632&amp;"'!$E$2")="Location",
                "Cash Accounts",
                IF(INDIRECT("'"&amp;F632&amp;"'!$B$2")="Amount",
                    "Investments",
                    "Bill Accounts"
                )
            )
        ),
    "")
)</f>
        <v/>
      </c>
      <c r="I632" s="46" t="str" cm="1">
        <f t="array" aca="1" ref="I632" ca="1">IF(F632&lt;&gt;"",IF(OR(G632="Bill Accounts",G632="Investments", G632="Cash Accounts"),INDIRECT("'"&amp;F632&amp;"'!$C$10"),INDIRECT("'"&amp;F632&amp;"'!$C$8")),"")</f>
        <v/>
      </c>
      <c r="K632" s="48">
        <f t="shared" si="30"/>
        <v>638</v>
      </c>
      <c r="L632" s="114" t="str" cm="1">
        <f t="array" aca="1" ref="L632" ca="1">IF(F632&lt;&gt;"",INDIRECT("'"&amp;F632&amp;"'!$F$17"),"")</f>
        <v/>
      </c>
      <c r="M632" s="116" t="str">
        <f t="shared" ca="1" si="28"/>
        <v/>
      </c>
      <c r="O632" s="49" t="str">
        <f t="shared" ca="1" si="29"/>
        <v/>
      </c>
      <c r="P632" s="38" t="str">
        <f>IF(E632&lt;&gt;"",RANK(E632,$E$3:$E$2298)+COUNTIF($E$3:E632,E632)-1,"")</f>
        <v/>
      </c>
    </row>
    <row r="633" spans="4:16" x14ac:dyDescent="0.25">
      <c r="D633" s="36" t="str" cm="1">
        <f t="array" aca="1" ref="D633" ca="1">IFERROR(IF(INDIRECT("'"&amp;F633&amp;"'!$C$5")&gt;0,DATE(YEAR(Dashboard!$AL$2),Dashboard!$AU$4,INDIRECT("'"&amp;F633&amp;"'!$C$5")),""),"")</f>
        <v/>
      </c>
      <c r="G633" s="38" t="str" cm="1">
        <f t="array" aca="1" ref="G633" ca="1">IF(F633="",
    "",
    IFERROR(
        IF(INDIRECT("'"&amp;F633&amp;"'!$B$2")="Credit Limit",
            "Credit Accounts",
            IF(INDIRECT("'"&amp;F633&amp;"'!$E$2")="Location",
                "Cash Accounts",
                IF(INDIRECT("'"&amp;F633&amp;"'!$B$2")="Amount",
                    "Investments",
                    "Bill Accounts"
                )
            )
        ),
    "")
)</f>
        <v/>
      </c>
      <c r="I633" s="46" t="str" cm="1">
        <f t="array" aca="1" ref="I633" ca="1">IF(F633&lt;&gt;"",IF(OR(G633="Bill Accounts",G633="Investments", G633="Cash Accounts"),INDIRECT("'"&amp;F633&amp;"'!$C$10"),INDIRECT("'"&amp;F633&amp;"'!$C$8")),"")</f>
        <v/>
      </c>
      <c r="K633" s="48">
        <f t="shared" si="30"/>
        <v>639</v>
      </c>
      <c r="L633" s="114" t="str" cm="1">
        <f t="array" aca="1" ref="L633" ca="1">IF(F633&lt;&gt;"",INDIRECT("'"&amp;F633&amp;"'!$F$17"),"")</f>
        <v/>
      </c>
      <c r="M633" s="116" t="str">
        <f t="shared" ca="1" si="28"/>
        <v/>
      </c>
      <c r="O633" s="49" t="str">
        <f t="shared" ca="1" si="29"/>
        <v/>
      </c>
      <c r="P633" s="38" t="str">
        <f>IF(E633&lt;&gt;"",RANK(E633,$E$3:$E$2298)+COUNTIF($E$3:E633,E633)-1,"")</f>
        <v/>
      </c>
    </row>
    <row r="634" spans="4:16" x14ac:dyDescent="0.25">
      <c r="D634" s="36" t="str" cm="1">
        <f t="array" aca="1" ref="D634" ca="1">IFERROR(IF(INDIRECT("'"&amp;F634&amp;"'!$C$5")&gt;0,DATE(YEAR(Dashboard!$AL$2),Dashboard!$AU$4,INDIRECT("'"&amp;F634&amp;"'!$C$5")),""),"")</f>
        <v/>
      </c>
      <c r="G634" s="38" t="str" cm="1">
        <f t="array" aca="1" ref="G634" ca="1">IF(F634="",
    "",
    IFERROR(
        IF(INDIRECT("'"&amp;F634&amp;"'!$B$2")="Credit Limit",
            "Credit Accounts",
            IF(INDIRECT("'"&amp;F634&amp;"'!$E$2")="Location",
                "Cash Accounts",
                IF(INDIRECT("'"&amp;F634&amp;"'!$B$2")="Amount",
                    "Investments",
                    "Bill Accounts"
                )
            )
        ),
    "")
)</f>
        <v/>
      </c>
      <c r="I634" s="46" t="str" cm="1">
        <f t="array" aca="1" ref="I634" ca="1">IF(F634&lt;&gt;"",IF(OR(G634="Bill Accounts",G634="Investments", G634="Cash Accounts"),INDIRECT("'"&amp;F634&amp;"'!$C$10"),INDIRECT("'"&amp;F634&amp;"'!$C$8")),"")</f>
        <v/>
      </c>
      <c r="K634" s="48">
        <f t="shared" si="30"/>
        <v>640</v>
      </c>
      <c r="L634" s="114" t="str" cm="1">
        <f t="array" aca="1" ref="L634" ca="1">IF(F634&lt;&gt;"",INDIRECT("'"&amp;F634&amp;"'!$F$17"),"")</f>
        <v/>
      </c>
      <c r="M634" s="116" t="str">
        <f t="shared" ca="1" si="28"/>
        <v/>
      </c>
      <c r="O634" s="49" t="str">
        <f t="shared" ca="1" si="29"/>
        <v/>
      </c>
      <c r="P634" s="38" t="str">
        <f>IF(E634&lt;&gt;"",RANK(E634,$E$3:$E$2298)+COUNTIF($E$3:E634,E634)-1,"")</f>
        <v/>
      </c>
    </row>
    <row r="635" spans="4:16" x14ac:dyDescent="0.25">
      <c r="D635" s="36" t="str" cm="1">
        <f t="array" aca="1" ref="D635" ca="1">IFERROR(IF(INDIRECT("'"&amp;F635&amp;"'!$C$5")&gt;0,DATE(YEAR(Dashboard!$AL$2),Dashboard!$AU$4,INDIRECT("'"&amp;F635&amp;"'!$C$5")),""),"")</f>
        <v/>
      </c>
      <c r="G635" s="38" t="str" cm="1">
        <f t="array" aca="1" ref="G635" ca="1">IF(F635="",
    "",
    IFERROR(
        IF(INDIRECT("'"&amp;F635&amp;"'!$B$2")="Credit Limit",
            "Credit Accounts",
            IF(INDIRECT("'"&amp;F635&amp;"'!$E$2")="Location",
                "Cash Accounts",
                IF(INDIRECT("'"&amp;F635&amp;"'!$B$2")="Amount",
                    "Investments",
                    "Bill Accounts"
                )
            )
        ),
    "")
)</f>
        <v/>
      </c>
      <c r="I635" s="46" t="str" cm="1">
        <f t="array" aca="1" ref="I635" ca="1">IF(F635&lt;&gt;"",IF(OR(G635="Bill Accounts",G635="Investments", G635="Cash Accounts"),INDIRECT("'"&amp;F635&amp;"'!$C$10"),INDIRECT("'"&amp;F635&amp;"'!$C$8")),"")</f>
        <v/>
      </c>
      <c r="K635" s="48">
        <f t="shared" si="30"/>
        <v>641</v>
      </c>
      <c r="L635" s="114" t="str" cm="1">
        <f t="array" aca="1" ref="L635" ca="1">IF(F635&lt;&gt;"",INDIRECT("'"&amp;F635&amp;"'!$F$17"),"")</f>
        <v/>
      </c>
      <c r="M635" s="116" t="str">
        <f t="shared" ca="1" si="28"/>
        <v/>
      </c>
      <c r="O635" s="49" t="str">
        <f t="shared" ca="1" si="29"/>
        <v/>
      </c>
      <c r="P635" s="38" t="str">
        <f>IF(E635&lt;&gt;"",RANK(E635,$E$3:$E$2298)+COUNTIF($E$3:E635,E635)-1,"")</f>
        <v/>
      </c>
    </row>
    <row r="636" spans="4:16" x14ac:dyDescent="0.25">
      <c r="D636" s="36" t="str" cm="1">
        <f t="array" aca="1" ref="D636" ca="1">IFERROR(IF(INDIRECT("'"&amp;F636&amp;"'!$C$5")&gt;0,DATE(YEAR(Dashboard!$AL$2),Dashboard!$AU$4,INDIRECT("'"&amp;F636&amp;"'!$C$5")),""),"")</f>
        <v/>
      </c>
      <c r="G636" s="38" t="str" cm="1">
        <f t="array" aca="1" ref="G636" ca="1">IF(F636="",
    "",
    IFERROR(
        IF(INDIRECT("'"&amp;F636&amp;"'!$B$2")="Credit Limit",
            "Credit Accounts",
            IF(INDIRECT("'"&amp;F636&amp;"'!$E$2")="Location",
                "Cash Accounts",
                IF(INDIRECT("'"&amp;F636&amp;"'!$B$2")="Amount",
                    "Investments",
                    "Bill Accounts"
                )
            )
        ),
    "")
)</f>
        <v/>
      </c>
      <c r="I636" s="46" t="str" cm="1">
        <f t="array" aca="1" ref="I636" ca="1">IF(F636&lt;&gt;"",IF(OR(G636="Bill Accounts",G636="Investments", G636="Cash Accounts"),INDIRECT("'"&amp;F636&amp;"'!$C$10"),INDIRECT("'"&amp;F636&amp;"'!$C$8")),"")</f>
        <v/>
      </c>
      <c r="K636" s="48">
        <f t="shared" si="30"/>
        <v>642</v>
      </c>
      <c r="L636" s="114" t="str" cm="1">
        <f t="array" aca="1" ref="L636" ca="1">IF(F636&lt;&gt;"",INDIRECT("'"&amp;F636&amp;"'!$F$17"),"")</f>
        <v/>
      </c>
      <c r="M636" s="116" t="str">
        <f t="shared" ca="1" si="28"/>
        <v/>
      </c>
      <c r="O636" s="49" t="str">
        <f t="shared" ca="1" si="29"/>
        <v/>
      </c>
      <c r="P636" s="38" t="str">
        <f>IF(E636&lt;&gt;"",RANK(E636,$E$3:$E$2298)+COUNTIF($E$3:E636,E636)-1,"")</f>
        <v/>
      </c>
    </row>
    <row r="637" spans="4:16" x14ac:dyDescent="0.25">
      <c r="D637" s="36" t="str" cm="1">
        <f t="array" aca="1" ref="D637" ca="1">IFERROR(IF(INDIRECT("'"&amp;F637&amp;"'!$C$5")&gt;0,DATE(YEAR(Dashboard!$AL$2),Dashboard!$AU$4,INDIRECT("'"&amp;F637&amp;"'!$C$5")),""),"")</f>
        <v/>
      </c>
      <c r="G637" s="38" t="str" cm="1">
        <f t="array" aca="1" ref="G637" ca="1">IF(F637="",
    "",
    IFERROR(
        IF(INDIRECT("'"&amp;F637&amp;"'!$B$2")="Credit Limit",
            "Credit Accounts",
            IF(INDIRECT("'"&amp;F637&amp;"'!$E$2")="Location",
                "Cash Accounts",
                IF(INDIRECT("'"&amp;F637&amp;"'!$B$2")="Amount",
                    "Investments",
                    "Bill Accounts"
                )
            )
        ),
    "")
)</f>
        <v/>
      </c>
      <c r="I637" s="46" t="str" cm="1">
        <f t="array" aca="1" ref="I637" ca="1">IF(F637&lt;&gt;"",IF(OR(G637="Bill Accounts",G637="Investments", G637="Cash Accounts"),INDIRECT("'"&amp;F637&amp;"'!$C$10"),INDIRECT("'"&amp;F637&amp;"'!$C$8")),"")</f>
        <v/>
      </c>
      <c r="K637" s="48">
        <f t="shared" si="30"/>
        <v>643</v>
      </c>
      <c r="L637" s="114" t="str" cm="1">
        <f t="array" aca="1" ref="L637" ca="1">IF(F637&lt;&gt;"",INDIRECT("'"&amp;F637&amp;"'!$F$17"),"")</f>
        <v/>
      </c>
      <c r="M637" s="116" t="str">
        <f t="shared" ca="1" si="28"/>
        <v/>
      </c>
      <c r="O637" s="49" t="str">
        <f t="shared" ca="1" si="29"/>
        <v/>
      </c>
      <c r="P637" s="38" t="str">
        <f>IF(E637&lt;&gt;"",RANK(E637,$E$3:$E$2298)+COUNTIF($E$3:E637,E637)-1,"")</f>
        <v/>
      </c>
    </row>
    <row r="638" spans="4:16" x14ac:dyDescent="0.25">
      <c r="D638" s="36" t="str" cm="1">
        <f t="array" aca="1" ref="D638" ca="1">IFERROR(IF(INDIRECT("'"&amp;F638&amp;"'!$C$5")&gt;0,DATE(YEAR(Dashboard!$AL$2),Dashboard!$AU$4,INDIRECT("'"&amp;F638&amp;"'!$C$5")),""),"")</f>
        <v/>
      </c>
      <c r="G638" s="38" t="str" cm="1">
        <f t="array" aca="1" ref="G638" ca="1">IF(F638="",
    "",
    IFERROR(
        IF(INDIRECT("'"&amp;F638&amp;"'!$B$2")="Credit Limit",
            "Credit Accounts",
            IF(INDIRECT("'"&amp;F638&amp;"'!$E$2")="Location",
                "Cash Accounts",
                IF(INDIRECT("'"&amp;F638&amp;"'!$B$2")="Amount",
                    "Investments",
                    "Bill Accounts"
                )
            )
        ),
    "")
)</f>
        <v/>
      </c>
      <c r="I638" s="46" t="str" cm="1">
        <f t="array" aca="1" ref="I638" ca="1">IF(F638&lt;&gt;"",IF(OR(G638="Bill Accounts",G638="Investments", G638="Cash Accounts"),INDIRECT("'"&amp;F638&amp;"'!$C$10"),INDIRECT("'"&amp;F638&amp;"'!$C$8")),"")</f>
        <v/>
      </c>
      <c r="K638" s="48">
        <f t="shared" si="30"/>
        <v>644</v>
      </c>
      <c r="L638" s="114" t="str" cm="1">
        <f t="array" aca="1" ref="L638" ca="1">IF(F638&lt;&gt;"",INDIRECT("'"&amp;F638&amp;"'!$F$17"),"")</f>
        <v/>
      </c>
      <c r="M638" s="116" t="str">
        <f t="shared" ca="1" si="28"/>
        <v/>
      </c>
      <c r="O638" s="49" t="str">
        <f t="shared" ca="1" si="29"/>
        <v/>
      </c>
      <c r="P638" s="38" t="str">
        <f>IF(E638&lt;&gt;"",RANK(E638,$E$3:$E$2298)+COUNTIF($E$3:E638,E638)-1,"")</f>
        <v/>
      </c>
    </row>
    <row r="639" spans="4:16" x14ac:dyDescent="0.25">
      <c r="D639" s="36" t="str" cm="1">
        <f t="array" aca="1" ref="D639" ca="1">IFERROR(IF(INDIRECT("'"&amp;F639&amp;"'!$C$5")&gt;0,DATE(YEAR(Dashboard!$AL$2),Dashboard!$AU$4,INDIRECT("'"&amp;F639&amp;"'!$C$5")),""),"")</f>
        <v/>
      </c>
      <c r="G639" s="38" t="str" cm="1">
        <f t="array" aca="1" ref="G639" ca="1">IF(F639="",
    "",
    IFERROR(
        IF(INDIRECT("'"&amp;F639&amp;"'!$B$2")="Credit Limit",
            "Credit Accounts",
            IF(INDIRECT("'"&amp;F639&amp;"'!$E$2")="Location",
                "Cash Accounts",
                IF(INDIRECT("'"&amp;F639&amp;"'!$B$2")="Amount",
                    "Investments",
                    "Bill Accounts"
                )
            )
        ),
    "")
)</f>
        <v/>
      </c>
      <c r="I639" s="46" t="str" cm="1">
        <f t="array" aca="1" ref="I639" ca="1">IF(F639&lt;&gt;"",IF(OR(G639="Bill Accounts",G639="Investments", G639="Cash Accounts"),INDIRECT("'"&amp;F639&amp;"'!$C$10"),INDIRECT("'"&amp;F639&amp;"'!$C$8")),"")</f>
        <v/>
      </c>
      <c r="K639" s="48">
        <f t="shared" si="30"/>
        <v>645</v>
      </c>
      <c r="L639" s="114" t="str" cm="1">
        <f t="array" aca="1" ref="L639" ca="1">IF(F639&lt;&gt;"",INDIRECT("'"&amp;F639&amp;"'!$F$17"),"")</f>
        <v/>
      </c>
      <c r="M639" s="116" t="str">
        <f t="shared" ca="1" si="28"/>
        <v/>
      </c>
      <c r="O639" s="49" t="str">
        <f t="shared" ca="1" si="29"/>
        <v/>
      </c>
      <c r="P639" s="38" t="str">
        <f>IF(E639&lt;&gt;"",RANK(E639,$E$3:$E$2298)+COUNTIF($E$3:E639,E639)-1,"")</f>
        <v/>
      </c>
    </row>
    <row r="640" spans="4:16" x14ac:dyDescent="0.25">
      <c r="D640" s="36" t="str" cm="1">
        <f t="array" aca="1" ref="D640" ca="1">IFERROR(IF(INDIRECT("'"&amp;F640&amp;"'!$C$5")&gt;0,DATE(YEAR(Dashboard!$AL$2),Dashboard!$AU$4,INDIRECT("'"&amp;F640&amp;"'!$C$5")),""),"")</f>
        <v/>
      </c>
      <c r="G640" s="38" t="str" cm="1">
        <f t="array" aca="1" ref="G640" ca="1">IF(F640="",
    "",
    IFERROR(
        IF(INDIRECT("'"&amp;F640&amp;"'!$B$2")="Credit Limit",
            "Credit Accounts",
            IF(INDIRECT("'"&amp;F640&amp;"'!$E$2")="Location",
                "Cash Accounts",
                IF(INDIRECT("'"&amp;F640&amp;"'!$B$2")="Amount",
                    "Investments",
                    "Bill Accounts"
                )
            )
        ),
    "")
)</f>
        <v/>
      </c>
      <c r="I640" s="46" t="str" cm="1">
        <f t="array" aca="1" ref="I640" ca="1">IF(F640&lt;&gt;"",IF(OR(G640="Bill Accounts",G640="Investments", G640="Cash Accounts"),INDIRECT("'"&amp;F640&amp;"'!$C$10"),INDIRECT("'"&amp;F640&amp;"'!$C$8")),"")</f>
        <v/>
      </c>
      <c r="K640" s="48">
        <f t="shared" si="30"/>
        <v>646</v>
      </c>
      <c r="L640" s="114" t="str" cm="1">
        <f t="array" aca="1" ref="L640" ca="1">IF(F640&lt;&gt;"",INDIRECT("'"&amp;F640&amp;"'!$F$17"),"")</f>
        <v/>
      </c>
      <c r="M640" s="116" t="str">
        <f t="shared" ca="1" si="28"/>
        <v/>
      </c>
      <c r="O640" s="49" t="str">
        <f t="shared" ca="1" si="29"/>
        <v/>
      </c>
      <c r="P640" s="38" t="str">
        <f>IF(E640&lt;&gt;"",RANK(E640,$E$3:$E$2298)+COUNTIF($E$3:E640,E640)-1,"")</f>
        <v/>
      </c>
    </row>
    <row r="641" spans="4:16" x14ac:dyDescent="0.25">
      <c r="D641" s="36" t="str" cm="1">
        <f t="array" aca="1" ref="D641" ca="1">IFERROR(IF(INDIRECT("'"&amp;F641&amp;"'!$C$5")&gt;0,DATE(YEAR(Dashboard!$AL$2),Dashboard!$AU$4,INDIRECT("'"&amp;F641&amp;"'!$C$5")),""),"")</f>
        <v/>
      </c>
      <c r="G641" s="38" t="str" cm="1">
        <f t="array" aca="1" ref="G641" ca="1">IF(F641="",
    "",
    IFERROR(
        IF(INDIRECT("'"&amp;F641&amp;"'!$B$2")="Credit Limit",
            "Credit Accounts",
            IF(INDIRECT("'"&amp;F641&amp;"'!$E$2")="Location",
                "Cash Accounts",
                IF(INDIRECT("'"&amp;F641&amp;"'!$B$2")="Amount",
                    "Investments",
                    "Bill Accounts"
                )
            )
        ),
    "")
)</f>
        <v/>
      </c>
      <c r="I641" s="46" t="str" cm="1">
        <f t="array" aca="1" ref="I641" ca="1">IF(F641&lt;&gt;"",IF(OR(G641="Bill Accounts",G641="Investments", G641="Cash Accounts"),INDIRECT("'"&amp;F641&amp;"'!$C$10"),INDIRECT("'"&amp;F641&amp;"'!$C$8")),"")</f>
        <v/>
      </c>
      <c r="K641" s="48">
        <f t="shared" si="30"/>
        <v>647</v>
      </c>
      <c r="L641" s="114" t="str" cm="1">
        <f t="array" aca="1" ref="L641" ca="1">IF(F641&lt;&gt;"",INDIRECT("'"&amp;F641&amp;"'!$F$17"),"")</f>
        <v/>
      </c>
      <c r="M641" s="116" t="str">
        <f t="shared" ca="1" si="28"/>
        <v/>
      </c>
      <c r="O641" s="49" t="str">
        <f t="shared" ca="1" si="29"/>
        <v/>
      </c>
      <c r="P641" s="38" t="str">
        <f>IF(E641&lt;&gt;"",RANK(E641,$E$3:$E$2298)+COUNTIF($E$3:E641,E641)-1,"")</f>
        <v/>
      </c>
    </row>
    <row r="642" spans="4:16" x14ac:dyDescent="0.25">
      <c r="D642" s="36" t="str" cm="1">
        <f t="array" aca="1" ref="D642" ca="1">IFERROR(IF(INDIRECT("'"&amp;F642&amp;"'!$C$5")&gt;0,DATE(YEAR(Dashboard!$AL$2),Dashboard!$AU$4,INDIRECT("'"&amp;F642&amp;"'!$C$5")),""),"")</f>
        <v/>
      </c>
      <c r="G642" s="38" t="str" cm="1">
        <f t="array" aca="1" ref="G642" ca="1">IF(F642="",
    "",
    IFERROR(
        IF(INDIRECT("'"&amp;F642&amp;"'!$B$2")="Credit Limit",
            "Credit Accounts",
            IF(INDIRECT("'"&amp;F642&amp;"'!$E$2")="Location",
                "Cash Accounts",
                IF(INDIRECT("'"&amp;F642&amp;"'!$B$2")="Amount",
                    "Investments",
                    "Bill Accounts"
                )
            )
        ),
    "")
)</f>
        <v/>
      </c>
      <c r="I642" s="46" t="str" cm="1">
        <f t="array" aca="1" ref="I642" ca="1">IF(F642&lt;&gt;"",IF(OR(G642="Bill Accounts",G642="Investments", G642="Cash Accounts"),INDIRECT("'"&amp;F642&amp;"'!$C$10"),INDIRECT("'"&amp;F642&amp;"'!$C$8")),"")</f>
        <v/>
      </c>
      <c r="K642" s="48">
        <f t="shared" si="30"/>
        <v>648</v>
      </c>
      <c r="L642" s="114" t="str" cm="1">
        <f t="array" aca="1" ref="L642" ca="1">IF(F642&lt;&gt;"",INDIRECT("'"&amp;F642&amp;"'!$F$17"),"")</f>
        <v/>
      </c>
      <c r="M642" s="116" t="str">
        <f t="shared" ca="1" si="28"/>
        <v/>
      </c>
      <c r="O642" s="49" t="str">
        <f t="shared" ca="1" si="29"/>
        <v/>
      </c>
      <c r="P642" s="38" t="str">
        <f>IF(E642&lt;&gt;"",RANK(E642,$E$3:$E$2298)+COUNTIF($E$3:E642,E642)-1,"")</f>
        <v/>
      </c>
    </row>
    <row r="643" spans="4:16" x14ac:dyDescent="0.25">
      <c r="D643" s="36" t="str" cm="1">
        <f t="array" aca="1" ref="D643" ca="1">IFERROR(IF(INDIRECT("'"&amp;F643&amp;"'!$C$5")&gt;0,DATE(YEAR(Dashboard!$AL$2),Dashboard!$AU$4,INDIRECT("'"&amp;F643&amp;"'!$C$5")),""),"")</f>
        <v/>
      </c>
      <c r="G643" s="38" t="str" cm="1">
        <f t="array" aca="1" ref="G643" ca="1">IF(F643="",
    "",
    IFERROR(
        IF(INDIRECT("'"&amp;F643&amp;"'!$B$2")="Credit Limit",
            "Credit Accounts",
            IF(INDIRECT("'"&amp;F643&amp;"'!$E$2")="Location",
                "Cash Accounts",
                IF(INDIRECT("'"&amp;F643&amp;"'!$B$2")="Amount",
                    "Investments",
                    "Bill Accounts"
                )
            )
        ),
    "")
)</f>
        <v/>
      </c>
      <c r="I643" s="46" t="str" cm="1">
        <f t="array" aca="1" ref="I643" ca="1">IF(F643&lt;&gt;"",IF(OR(G643="Bill Accounts",G643="Investments", G643="Cash Accounts"),INDIRECT("'"&amp;F643&amp;"'!$C$10"),INDIRECT("'"&amp;F643&amp;"'!$C$8")),"")</f>
        <v/>
      </c>
      <c r="K643" s="48">
        <f t="shared" si="30"/>
        <v>649</v>
      </c>
      <c r="L643" s="114" t="str" cm="1">
        <f t="array" aca="1" ref="L643" ca="1">IF(F643&lt;&gt;"",INDIRECT("'"&amp;F643&amp;"'!$F$17"),"")</f>
        <v/>
      </c>
      <c r="M643" s="116" t="str">
        <f t="shared" ca="1" si="28"/>
        <v/>
      </c>
      <c r="O643" s="49" t="str">
        <f t="shared" ca="1" si="29"/>
        <v/>
      </c>
      <c r="P643" s="38" t="str">
        <f>IF(E643&lt;&gt;"",RANK(E643,$E$3:$E$2298)+COUNTIF($E$3:E643,E643)-1,"")</f>
        <v/>
      </c>
    </row>
    <row r="644" spans="4:16" x14ac:dyDescent="0.25">
      <c r="D644" s="36" t="str" cm="1">
        <f t="array" aca="1" ref="D644" ca="1">IFERROR(IF(INDIRECT("'"&amp;F644&amp;"'!$C$5")&gt;0,DATE(YEAR(Dashboard!$AL$2),Dashboard!$AU$4,INDIRECT("'"&amp;F644&amp;"'!$C$5")),""),"")</f>
        <v/>
      </c>
      <c r="G644" s="38" t="str" cm="1">
        <f t="array" aca="1" ref="G644" ca="1">IF(F644="",
    "",
    IFERROR(
        IF(INDIRECT("'"&amp;F644&amp;"'!$B$2")="Credit Limit",
            "Credit Accounts",
            IF(INDIRECT("'"&amp;F644&amp;"'!$E$2")="Location",
                "Cash Accounts",
                IF(INDIRECT("'"&amp;F644&amp;"'!$B$2")="Amount",
                    "Investments",
                    "Bill Accounts"
                )
            )
        ),
    "")
)</f>
        <v/>
      </c>
      <c r="I644" s="46" t="str" cm="1">
        <f t="array" aca="1" ref="I644" ca="1">IF(F644&lt;&gt;"",IF(OR(G644="Bill Accounts",G644="Investments", G644="Cash Accounts"),INDIRECT("'"&amp;F644&amp;"'!$C$10"),INDIRECT("'"&amp;F644&amp;"'!$C$8")),"")</f>
        <v/>
      </c>
      <c r="K644" s="48">
        <f t="shared" si="30"/>
        <v>650</v>
      </c>
      <c r="L644" s="114" t="str" cm="1">
        <f t="array" aca="1" ref="L644" ca="1">IF(F644&lt;&gt;"",INDIRECT("'"&amp;F644&amp;"'!$F$17"),"")</f>
        <v/>
      </c>
      <c r="M644" s="116" t="str">
        <f t="shared" ref="M644:M707" ca="1" si="31">IF(G644="Credit Accounts",EDATE(TODAY(),INDIRECT("'"&amp;F644&amp;"'!$C$14")),"")</f>
        <v/>
      </c>
      <c r="O644" s="49" t="str">
        <f t="shared" ref="O644:O707" ca="1" si="32">IF(D644&lt;&gt;"",DAY(D644),"")</f>
        <v/>
      </c>
      <c r="P644" s="38" t="str">
        <f>IF(E644&lt;&gt;"",RANK(E644,$E$3:$E$2298)+COUNTIF($E$3:E644,E644)-1,"")</f>
        <v/>
      </c>
    </row>
    <row r="645" spans="4:16" x14ac:dyDescent="0.25">
      <c r="D645" s="36" t="str" cm="1">
        <f t="array" aca="1" ref="D645" ca="1">IFERROR(IF(INDIRECT("'"&amp;F645&amp;"'!$C$5")&gt;0,DATE(YEAR(Dashboard!$AL$2),Dashboard!$AU$4,INDIRECT("'"&amp;F645&amp;"'!$C$5")),""),"")</f>
        <v/>
      </c>
      <c r="G645" s="38" t="str" cm="1">
        <f t="array" aca="1" ref="G645" ca="1">IF(F645="",
    "",
    IFERROR(
        IF(INDIRECT("'"&amp;F645&amp;"'!$B$2")="Credit Limit",
            "Credit Accounts",
            IF(INDIRECT("'"&amp;F645&amp;"'!$E$2")="Location",
                "Cash Accounts",
                IF(INDIRECT("'"&amp;F645&amp;"'!$B$2")="Amount",
                    "Investments",
                    "Bill Accounts"
                )
            )
        ),
    "")
)</f>
        <v/>
      </c>
      <c r="I645" s="46" t="str" cm="1">
        <f t="array" aca="1" ref="I645" ca="1">IF(F645&lt;&gt;"",IF(OR(G645="Bill Accounts",G645="Investments", G645="Cash Accounts"),INDIRECT("'"&amp;F645&amp;"'!$C$10"),INDIRECT("'"&amp;F645&amp;"'!$C$8")),"")</f>
        <v/>
      </c>
      <c r="K645" s="48">
        <f t="shared" si="30"/>
        <v>651</v>
      </c>
      <c r="L645" s="114" t="str" cm="1">
        <f t="array" aca="1" ref="L645" ca="1">IF(F645&lt;&gt;"",INDIRECT("'"&amp;F645&amp;"'!$F$17"),"")</f>
        <v/>
      </c>
      <c r="M645" s="116" t="str">
        <f t="shared" ca="1" si="31"/>
        <v/>
      </c>
      <c r="O645" s="49" t="str">
        <f t="shared" ca="1" si="32"/>
        <v/>
      </c>
      <c r="P645" s="38" t="str">
        <f>IF(E645&lt;&gt;"",RANK(E645,$E$3:$E$2298)+COUNTIF($E$3:E645,E645)-1,"")</f>
        <v/>
      </c>
    </row>
    <row r="646" spans="4:16" x14ac:dyDescent="0.25">
      <c r="D646" s="36" t="str" cm="1">
        <f t="array" aca="1" ref="D646" ca="1">IFERROR(IF(INDIRECT("'"&amp;F646&amp;"'!$C$5")&gt;0,DATE(YEAR(Dashboard!$AL$2),Dashboard!$AU$4,INDIRECT("'"&amp;F646&amp;"'!$C$5")),""),"")</f>
        <v/>
      </c>
      <c r="G646" s="38" t="str" cm="1">
        <f t="array" aca="1" ref="G646" ca="1">IF(F646="",
    "",
    IFERROR(
        IF(INDIRECT("'"&amp;F646&amp;"'!$B$2")="Credit Limit",
            "Credit Accounts",
            IF(INDIRECT("'"&amp;F646&amp;"'!$E$2")="Location",
                "Cash Accounts",
                IF(INDIRECT("'"&amp;F646&amp;"'!$B$2")="Amount",
                    "Investments",
                    "Bill Accounts"
                )
            )
        ),
    "")
)</f>
        <v/>
      </c>
      <c r="I646" s="46" t="str" cm="1">
        <f t="array" aca="1" ref="I646" ca="1">IF(F646&lt;&gt;"",IF(OR(G646="Bill Accounts",G646="Investments", G646="Cash Accounts"),INDIRECT("'"&amp;F646&amp;"'!$C$10"),INDIRECT("'"&amp;F646&amp;"'!$C$8")),"")</f>
        <v/>
      </c>
      <c r="K646" s="48">
        <f t="shared" si="30"/>
        <v>652</v>
      </c>
      <c r="L646" s="114" t="str" cm="1">
        <f t="array" aca="1" ref="L646" ca="1">IF(F646&lt;&gt;"",INDIRECT("'"&amp;F646&amp;"'!$F$17"),"")</f>
        <v/>
      </c>
      <c r="M646" s="116" t="str">
        <f t="shared" ca="1" si="31"/>
        <v/>
      </c>
      <c r="O646" s="49" t="str">
        <f t="shared" ca="1" si="32"/>
        <v/>
      </c>
      <c r="P646" s="38" t="str">
        <f>IF(E646&lt;&gt;"",RANK(E646,$E$3:$E$2298)+COUNTIF($E$3:E646,E646)-1,"")</f>
        <v/>
      </c>
    </row>
    <row r="647" spans="4:16" x14ac:dyDescent="0.25">
      <c r="D647" s="36" t="str" cm="1">
        <f t="array" aca="1" ref="D647" ca="1">IFERROR(IF(INDIRECT("'"&amp;F647&amp;"'!$C$5")&gt;0,DATE(YEAR(Dashboard!$AL$2),Dashboard!$AU$4,INDIRECT("'"&amp;F647&amp;"'!$C$5")),""),"")</f>
        <v/>
      </c>
      <c r="G647" s="38" t="str" cm="1">
        <f t="array" aca="1" ref="G647" ca="1">IF(F647="",
    "",
    IFERROR(
        IF(INDIRECT("'"&amp;F647&amp;"'!$B$2")="Credit Limit",
            "Credit Accounts",
            IF(INDIRECT("'"&amp;F647&amp;"'!$E$2")="Location",
                "Cash Accounts",
                IF(INDIRECT("'"&amp;F647&amp;"'!$B$2")="Amount",
                    "Investments",
                    "Bill Accounts"
                )
            )
        ),
    "")
)</f>
        <v/>
      </c>
      <c r="I647" s="46" t="str" cm="1">
        <f t="array" aca="1" ref="I647" ca="1">IF(F647&lt;&gt;"",IF(OR(G647="Bill Accounts",G647="Investments", G647="Cash Accounts"),INDIRECT("'"&amp;F647&amp;"'!$C$10"),INDIRECT("'"&amp;F647&amp;"'!$C$8")),"")</f>
        <v/>
      </c>
      <c r="K647" s="48">
        <f t="shared" si="30"/>
        <v>653</v>
      </c>
      <c r="L647" s="114" t="str" cm="1">
        <f t="array" aca="1" ref="L647" ca="1">IF(F647&lt;&gt;"",INDIRECT("'"&amp;F647&amp;"'!$F$17"),"")</f>
        <v/>
      </c>
      <c r="M647" s="116" t="str">
        <f t="shared" ca="1" si="31"/>
        <v/>
      </c>
      <c r="O647" s="49" t="str">
        <f t="shared" ca="1" si="32"/>
        <v/>
      </c>
      <c r="P647" s="38" t="str">
        <f>IF(E647&lt;&gt;"",RANK(E647,$E$3:$E$2298)+COUNTIF($E$3:E647,E647)-1,"")</f>
        <v/>
      </c>
    </row>
    <row r="648" spans="4:16" x14ac:dyDescent="0.25">
      <c r="D648" s="36" t="str" cm="1">
        <f t="array" aca="1" ref="D648" ca="1">IFERROR(IF(INDIRECT("'"&amp;F648&amp;"'!$C$5")&gt;0,DATE(YEAR(Dashboard!$AL$2),Dashboard!$AU$4,INDIRECT("'"&amp;F648&amp;"'!$C$5")),""),"")</f>
        <v/>
      </c>
      <c r="G648" s="38" t="str" cm="1">
        <f t="array" aca="1" ref="G648" ca="1">IF(F648="",
    "",
    IFERROR(
        IF(INDIRECT("'"&amp;F648&amp;"'!$B$2")="Credit Limit",
            "Credit Accounts",
            IF(INDIRECT("'"&amp;F648&amp;"'!$E$2")="Location",
                "Cash Accounts",
                IF(INDIRECT("'"&amp;F648&amp;"'!$B$2")="Amount",
                    "Investments",
                    "Bill Accounts"
                )
            )
        ),
    "")
)</f>
        <v/>
      </c>
      <c r="I648" s="46" t="str" cm="1">
        <f t="array" aca="1" ref="I648" ca="1">IF(F648&lt;&gt;"",IF(OR(G648="Bill Accounts",G648="Investments", G648="Cash Accounts"),INDIRECT("'"&amp;F648&amp;"'!$C$10"),INDIRECT("'"&amp;F648&amp;"'!$C$8")),"")</f>
        <v/>
      </c>
      <c r="K648" s="48">
        <f t="shared" ref="K648:K711" si="33">SUM(K647+1)</f>
        <v>654</v>
      </c>
      <c r="L648" s="114" t="str" cm="1">
        <f t="array" aca="1" ref="L648" ca="1">IF(F648&lt;&gt;"",INDIRECT("'"&amp;F648&amp;"'!$F$17"),"")</f>
        <v/>
      </c>
      <c r="M648" s="116" t="str">
        <f t="shared" ca="1" si="31"/>
        <v/>
      </c>
      <c r="O648" s="49" t="str">
        <f t="shared" ca="1" si="32"/>
        <v/>
      </c>
      <c r="P648" s="38" t="str">
        <f>IF(E648&lt;&gt;"",RANK(E648,$E$3:$E$2298)+COUNTIF($E$3:E648,E648)-1,"")</f>
        <v/>
      </c>
    </row>
    <row r="649" spans="4:16" x14ac:dyDescent="0.25">
      <c r="D649" s="36" t="str" cm="1">
        <f t="array" aca="1" ref="D649" ca="1">IFERROR(IF(INDIRECT("'"&amp;F649&amp;"'!$C$5")&gt;0,DATE(YEAR(Dashboard!$AL$2),Dashboard!$AU$4,INDIRECT("'"&amp;F649&amp;"'!$C$5")),""),"")</f>
        <v/>
      </c>
      <c r="G649" s="38" t="str" cm="1">
        <f t="array" aca="1" ref="G649" ca="1">IF(F649="",
    "",
    IFERROR(
        IF(INDIRECT("'"&amp;F649&amp;"'!$B$2")="Credit Limit",
            "Credit Accounts",
            IF(INDIRECT("'"&amp;F649&amp;"'!$E$2")="Location",
                "Cash Accounts",
                IF(INDIRECT("'"&amp;F649&amp;"'!$B$2")="Amount",
                    "Investments",
                    "Bill Accounts"
                )
            )
        ),
    "")
)</f>
        <v/>
      </c>
      <c r="I649" s="46" t="str" cm="1">
        <f t="array" aca="1" ref="I649" ca="1">IF(F649&lt;&gt;"",IF(OR(G649="Bill Accounts",G649="Investments", G649="Cash Accounts"),INDIRECT("'"&amp;F649&amp;"'!$C$10"),INDIRECT("'"&amp;F649&amp;"'!$C$8")),"")</f>
        <v/>
      </c>
      <c r="K649" s="48">
        <f t="shared" si="33"/>
        <v>655</v>
      </c>
      <c r="L649" s="114" t="str" cm="1">
        <f t="array" aca="1" ref="L649" ca="1">IF(F649&lt;&gt;"",INDIRECT("'"&amp;F649&amp;"'!$F$17"),"")</f>
        <v/>
      </c>
      <c r="M649" s="116" t="str">
        <f t="shared" ca="1" si="31"/>
        <v/>
      </c>
      <c r="O649" s="49" t="str">
        <f t="shared" ca="1" si="32"/>
        <v/>
      </c>
      <c r="P649" s="38" t="str">
        <f>IF(E649&lt;&gt;"",RANK(E649,$E$3:$E$2298)+COUNTIF($E$3:E649,E649)-1,"")</f>
        <v/>
      </c>
    </row>
    <row r="650" spans="4:16" x14ac:dyDescent="0.25">
      <c r="D650" s="36" t="str" cm="1">
        <f t="array" aca="1" ref="D650" ca="1">IFERROR(IF(INDIRECT("'"&amp;F650&amp;"'!$C$5")&gt;0,DATE(YEAR(Dashboard!$AL$2),Dashboard!$AU$4,INDIRECT("'"&amp;F650&amp;"'!$C$5")),""),"")</f>
        <v/>
      </c>
      <c r="G650" s="38" t="str" cm="1">
        <f t="array" aca="1" ref="G650" ca="1">IF(F650="",
    "",
    IFERROR(
        IF(INDIRECT("'"&amp;F650&amp;"'!$B$2")="Credit Limit",
            "Credit Accounts",
            IF(INDIRECT("'"&amp;F650&amp;"'!$E$2")="Location",
                "Cash Accounts",
                IF(INDIRECT("'"&amp;F650&amp;"'!$B$2")="Amount",
                    "Investments",
                    "Bill Accounts"
                )
            )
        ),
    "")
)</f>
        <v/>
      </c>
      <c r="I650" s="46" t="str" cm="1">
        <f t="array" aca="1" ref="I650" ca="1">IF(F650&lt;&gt;"",IF(OR(G650="Bill Accounts",G650="Investments", G650="Cash Accounts"),INDIRECT("'"&amp;F650&amp;"'!$C$10"),INDIRECT("'"&amp;F650&amp;"'!$C$8")),"")</f>
        <v/>
      </c>
      <c r="K650" s="48">
        <f t="shared" si="33"/>
        <v>656</v>
      </c>
      <c r="L650" s="114" t="str" cm="1">
        <f t="array" aca="1" ref="L650" ca="1">IF(F650&lt;&gt;"",INDIRECT("'"&amp;F650&amp;"'!$F$17"),"")</f>
        <v/>
      </c>
      <c r="M650" s="116" t="str">
        <f t="shared" ca="1" si="31"/>
        <v/>
      </c>
      <c r="O650" s="49" t="str">
        <f t="shared" ca="1" si="32"/>
        <v/>
      </c>
      <c r="P650" s="38" t="str">
        <f>IF(E650&lt;&gt;"",RANK(E650,$E$3:$E$2298)+COUNTIF($E$3:E650,E650)-1,"")</f>
        <v/>
      </c>
    </row>
    <row r="651" spans="4:16" x14ac:dyDescent="0.25">
      <c r="D651" s="36" t="str" cm="1">
        <f t="array" aca="1" ref="D651" ca="1">IFERROR(IF(INDIRECT("'"&amp;F651&amp;"'!$C$5")&gt;0,DATE(YEAR(Dashboard!$AL$2),Dashboard!$AU$4,INDIRECT("'"&amp;F651&amp;"'!$C$5")),""),"")</f>
        <v/>
      </c>
      <c r="G651" s="38" t="str" cm="1">
        <f t="array" aca="1" ref="G651" ca="1">IF(F651="",
    "",
    IFERROR(
        IF(INDIRECT("'"&amp;F651&amp;"'!$B$2")="Credit Limit",
            "Credit Accounts",
            IF(INDIRECT("'"&amp;F651&amp;"'!$E$2")="Location",
                "Cash Accounts",
                IF(INDIRECT("'"&amp;F651&amp;"'!$B$2")="Amount",
                    "Investments",
                    "Bill Accounts"
                )
            )
        ),
    "")
)</f>
        <v/>
      </c>
      <c r="I651" s="46" t="str" cm="1">
        <f t="array" aca="1" ref="I651" ca="1">IF(F651&lt;&gt;"",IF(OR(G651="Bill Accounts",G651="Investments", G651="Cash Accounts"),INDIRECT("'"&amp;F651&amp;"'!$C$10"),INDIRECT("'"&amp;F651&amp;"'!$C$8")),"")</f>
        <v/>
      </c>
      <c r="K651" s="48">
        <f t="shared" si="33"/>
        <v>657</v>
      </c>
      <c r="L651" s="114" t="str" cm="1">
        <f t="array" aca="1" ref="L651" ca="1">IF(F651&lt;&gt;"",INDIRECT("'"&amp;F651&amp;"'!$F$17"),"")</f>
        <v/>
      </c>
      <c r="M651" s="116" t="str">
        <f t="shared" ca="1" si="31"/>
        <v/>
      </c>
      <c r="O651" s="49" t="str">
        <f t="shared" ca="1" si="32"/>
        <v/>
      </c>
      <c r="P651" s="38" t="str">
        <f>IF(E651&lt;&gt;"",RANK(E651,$E$3:$E$2298)+COUNTIF($E$3:E651,E651)-1,"")</f>
        <v/>
      </c>
    </row>
    <row r="652" spans="4:16" x14ac:dyDescent="0.25">
      <c r="D652" s="36" t="str" cm="1">
        <f t="array" aca="1" ref="D652" ca="1">IFERROR(IF(INDIRECT("'"&amp;F652&amp;"'!$C$5")&gt;0,DATE(YEAR(Dashboard!$AL$2),Dashboard!$AU$4,INDIRECT("'"&amp;F652&amp;"'!$C$5")),""),"")</f>
        <v/>
      </c>
      <c r="G652" s="38" t="str" cm="1">
        <f t="array" aca="1" ref="G652" ca="1">IF(F652="",
    "",
    IFERROR(
        IF(INDIRECT("'"&amp;F652&amp;"'!$B$2")="Credit Limit",
            "Credit Accounts",
            IF(INDIRECT("'"&amp;F652&amp;"'!$E$2")="Location",
                "Cash Accounts",
                IF(INDIRECT("'"&amp;F652&amp;"'!$B$2")="Amount",
                    "Investments",
                    "Bill Accounts"
                )
            )
        ),
    "")
)</f>
        <v/>
      </c>
      <c r="I652" s="46" t="str" cm="1">
        <f t="array" aca="1" ref="I652" ca="1">IF(F652&lt;&gt;"",IF(OR(G652="Bill Accounts",G652="Investments", G652="Cash Accounts"),INDIRECT("'"&amp;F652&amp;"'!$C$10"),INDIRECT("'"&amp;F652&amp;"'!$C$8")),"")</f>
        <v/>
      </c>
      <c r="K652" s="48">
        <f t="shared" si="33"/>
        <v>658</v>
      </c>
      <c r="L652" s="114" t="str" cm="1">
        <f t="array" aca="1" ref="L652" ca="1">IF(F652&lt;&gt;"",INDIRECT("'"&amp;F652&amp;"'!$F$17"),"")</f>
        <v/>
      </c>
      <c r="M652" s="116" t="str">
        <f t="shared" ca="1" si="31"/>
        <v/>
      </c>
      <c r="O652" s="49" t="str">
        <f t="shared" ca="1" si="32"/>
        <v/>
      </c>
      <c r="P652" s="38" t="str">
        <f>IF(E652&lt;&gt;"",RANK(E652,$E$3:$E$2298)+COUNTIF($E$3:E652,E652)-1,"")</f>
        <v/>
      </c>
    </row>
    <row r="653" spans="4:16" x14ac:dyDescent="0.25">
      <c r="D653" s="36" t="str" cm="1">
        <f t="array" aca="1" ref="D653" ca="1">IFERROR(IF(INDIRECT("'"&amp;F653&amp;"'!$C$5")&gt;0,DATE(YEAR(Dashboard!$AL$2),Dashboard!$AU$4,INDIRECT("'"&amp;F653&amp;"'!$C$5")),""),"")</f>
        <v/>
      </c>
      <c r="G653" s="38" t="str" cm="1">
        <f t="array" aca="1" ref="G653" ca="1">IF(F653="",
    "",
    IFERROR(
        IF(INDIRECT("'"&amp;F653&amp;"'!$B$2")="Credit Limit",
            "Credit Accounts",
            IF(INDIRECT("'"&amp;F653&amp;"'!$E$2")="Location",
                "Cash Accounts",
                IF(INDIRECT("'"&amp;F653&amp;"'!$B$2")="Amount",
                    "Investments",
                    "Bill Accounts"
                )
            )
        ),
    "")
)</f>
        <v/>
      </c>
      <c r="I653" s="46" t="str" cm="1">
        <f t="array" aca="1" ref="I653" ca="1">IF(F653&lt;&gt;"",IF(OR(G653="Bill Accounts",G653="Investments", G653="Cash Accounts"),INDIRECT("'"&amp;F653&amp;"'!$C$10"),INDIRECT("'"&amp;F653&amp;"'!$C$8")),"")</f>
        <v/>
      </c>
      <c r="K653" s="48">
        <f t="shared" si="33"/>
        <v>659</v>
      </c>
      <c r="L653" s="114" t="str" cm="1">
        <f t="array" aca="1" ref="L653" ca="1">IF(F653&lt;&gt;"",INDIRECT("'"&amp;F653&amp;"'!$F$17"),"")</f>
        <v/>
      </c>
      <c r="M653" s="116" t="str">
        <f t="shared" ca="1" si="31"/>
        <v/>
      </c>
      <c r="O653" s="49" t="str">
        <f t="shared" ca="1" si="32"/>
        <v/>
      </c>
      <c r="P653" s="38" t="str">
        <f>IF(E653&lt;&gt;"",RANK(E653,$E$3:$E$2298)+COUNTIF($E$3:E653,E653)-1,"")</f>
        <v/>
      </c>
    </row>
    <row r="654" spans="4:16" x14ac:dyDescent="0.25">
      <c r="D654" s="36" t="str" cm="1">
        <f t="array" aca="1" ref="D654" ca="1">IFERROR(IF(INDIRECT("'"&amp;F654&amp;"'!$C$5")&gt;0,DATE(YEAR(Dashboard!$AL$2),Dashboard!$AU$4,INDIRECT("'"&amp;F654&amp;"'!$C$5")),""),"")</f>
        <v/>
      </c>
      <c r="G654" s="38" t="str" cm="1">
        <f t="array" aca="1" ref="G654" ca="1">IF(F654="",
    "",
    IFERROR(
        IF(INDIRECT("'"&amp;F654&amp;"'!$B$2")="Credit Limit",
            "Credit Accounts",
            IF(INDIRECT("'"&amp;F654&amp;"'!$E$2")="Location",
                "Cash Accounts",
                IF(INDIRECT("'"&amp;F654&amp;"'!$B$2")="Amount",
                    "Investments",
                    "Bill Accounts"
                )
            )
        ),
    "")
)</f>
        <v/>
      </c>
      <c r="I654" s="46" t="str" cm="1">
        <f t="array" aca="1" ref="I654" ca="1">IF(F654&lt;&gt;"",IF(OR(G654="Bill Accounts",G654="Investments", G654="Cash Accounts"),INDIRECT("'"&amp;F654&amp;"'!$C$10"),INDIRECT("'"&amp;F654&amp;"'!$C$8")),"")</f>
        <v/>
      </c>
      <c r="K654" s="48">
        <f t="shared" si="33"/>
        <v>660</v>
      </c>
      <c r="L654" s="114" t="str" cm="1">
        <f t="array" aca="1" ref="L654" ca="1">IF(F654&lt;&gt;"",INDIRECT("'"&amp;F654&amp;"'!$F$17"),"")</f>
        <v/>
      </c>
      <c r="M654" s="116" t="str">
        <f t="shared" ca="1" si="31"/>
        <v/>
      </c>
      <c r="O654" s="49" t="str">
        <f t="shared" ca="1" si="32"/>
        <v/>
      </c>
      <c r="P654" s="38" t="str">
        <f>IF(E654&lt;&gt;"",RANK(E654,$E$3:$E$2298)+COUNTIF($E$3:E654,E654)-1,"")</f>
        <v/>
      </c>
    </row>
    <row r="655" spans="4:16" x14ac:dyDescent="0.25">
      <c r="D655" s="36" t="str" cm="1">
        <f t="array" aca="1" ref="D655" ca="1">IFERROR(IF(INDIRECT("'"&amp;F655&amp;"'!$C$5")&gt;0,DATE(YEAR(Dashboard!$AL$2),Dashboard!$AU$4,INDIRECT("'"&amp;F655&amp;"'!$C$5")),""),"")</f>
        <v/>
      </c>
      <c r="G655" s="38" t="str" cm="1">
        <f t="array" aca="1" ref="G655" ca="1">IF(F655="",
    "",
    IFERROR(
        IF(INDIRECT("'"&amp;F655&amp;"'!$B$2")="Credit Limit",
            "Credit Accounts",
            IF(INDIRECT("'"&amp;F655&amp;"'!$E$2")="Location",
                "Cash Accounts",
                IF(INDIRECT("'"&amp;F655&amp;"'!$B$2")="Amount",
                    "Investments",
                    "Bill Accounts"
                )
            )
        ),
    "")
)</f>
        <v/>
      </c>
      <c r="I655" s="46" t="str" cm="1">
        <f t="array" aca="1" ref="I655" ca="1">IF(F655&lt;&gt;"",IF(OR(G655="Bill Accounts",G655="Investments", G655="Cash Accounts"),INDIRECT("'"&amp;F655&amp;"'!$C$10"),INDIRECT("'"&amp;F655&amp;"'!$C$8")),"")</f>
        <v/>
      </c>
      <c r="K655" s="48">
        <f t="shared" si="33"/>
        <v>661</v>
      </c>
      <c r="L655" s="114" t="str" cm="1">
        <f t="array" aca="1" ref="L655" ca="1">IF(F655&lt;&gt;"",INDIRECT("'"&amp;F655&amp;"'!$F$17"),"")</f>
        <v/>
      </c>
      <c r="M655" s="116" t="str">
        <f t="shared" ca="1" si="31"/>
        <v/>
      </c>
      <c r="O655" s="49" t="str">
        <f t="shared" ca="1" si="32"/>
        <v/>
      </c>
      <c r="P655" s="38" t="str">
        <f>IF(E655&lt;&gt;"",RANK(E655,$E$3:$E$2298)+COUNTIF($E$3:E655,E655)-1,"")</f>
        <v/>
      </c>
    </row>
    <row r="656" spans="4:16" x14ac:dyDescent="0.25">
      <c r="D656" s="36" t="str" cm="1">
        <f t="array" aca="1" ref="D656" ca="1">IFERROR(IF(INDIRECT("'"&amp;F656&amp;"'!$C$5")&gt;0,DATE(YEAR(Dashboard!$AL$2),Dashboard!$AU$4,INDIRECT("'"&amp;F656&amp;"'!$C$5")),""),"")</f>
        <v/>
      </c>
      <c r="G656" s="38" t="str" cm="1">
        <f t="array" aca="1" ref="G656" ca="1">IF(F656="",
    "",
    IFERROR(
        IF(INDIRECT("'"&amp;F656&amp;"'!$B$2")="Credit Limit",
            "Credit Accounts",
            IF(INDIRECT("'"&amp;F656&amp;"'!$E$2")="Location",
                "Cash Accounts",
                IF(INDIRECT("'"&amp;F656&amp;"'!$B$2")="Amount",
                    "Investments",
                    "Bill Accounts"
                )
            )
        ),
    "")
)</f>
        <v/>
      </c>
      <c r="I656" s="46" t="str" cm="1">
        <f t="array" aca="1" ref="I656" ca="1">IF(F656&lt;&gt;"",IF(OR(G656="Bill Accounts",G656="Investments", G656="Cash Accounts"),INDIRECT("'"&amp;F656&amp;"'!$C$10"),INDIRECT("'"&amp;F656&amp;"'!$C$8")),"")</f>
        <v/>
      </c>
      <c r="K656" s="48">
        <f t="shared" si="33"/>
        <v>662</v>
      </c>
      <c r="L656" s="114" t="str" cm="1">
        <f t="array" aca="1" ref="L656" ca="1">IF(F656&lt;&gt;"",INDIRECT("'"&amp;F656&amp;"'!$F$17"),"")</f>
        <v/>
      </c>
      <c r="M656" s="116" t="str">
        <f t="shared" ca="1" si="31"/>
        <v/>
      </c>
      <c r="O656" s="49" t="str">
        <f t="shared" ca="1" si="32"/>
        <v/>
      </c>
      <c r="P656" s="38" t="str">
        <f>IF(E656&lt;&gt;"",RANK(E656,$E$3:$E$2298)+COUNTIF($E$3:E656,E656)-1,"")</f>
        <v/>
      </c>
    </row>
    <row r="657" spans="4:16" x14ac:dyDescent="0.25">
      <c r="D657" s="36" t="str" cm="1">
        <f t="array" aca="1" ref="D657" ca="1">IFERROR(IF(INDIRECT("'"&amp;F657&amp;"'!$C$5")&gt;0,DATE(YEAR(Dashboard!$AL$2),Dashboard!$AU$4,INDIRECT("'"&amp;F657&amp;"'!$C$5")),""),"")</f>
        <v/>
      </c>
      <c r="G657" s="38" t="str" cm="1">
        <f t="array" aca="1" ref="G657" ca="1">IF(F657="",
    "",
    IFERROR(
        IF(INDIRECT("'"&amp;F657&amp;"'!$B$2")="Credit Limit",
            "Credit Accounts",
            IF(INDIRECT("'"&amp;F657&amp;"'!$E$2")="Location",
                "Cash Accounts",
                IF(INDIRECT("'"&amp;F657&amp;"'!$B$2")="Amount",
                    "Investments",
                    "Bill Accounts"
                )
            )
        ),
    "")
)</f>
        <v/>
      </c>
      <c r="I657" s="46" t="str" cm="1">
        <f t="array" aca="1" ref="I657" ca="1">IF(F657&lt;&gt;"",IF(OR(G657="Bill Accounts",G657="Investments", G657="Cash Accounts"),INDIRECT("'"&amp;F657&amp;"'!$C$10"),INDIRECT("'"&amp;F657&amp;"'!$C$8")),"")</f>
        <v/>
      </c>
      <c r="K657" s="48">
        <f t="shared" si="33"/>
        <v>663</v>
      </c>
      <c r="L657" s="114" t="str" cm="1">
        <f t="array" aca="1" ref="L657" ca="1">IF(F657&lt;&gt;"",INDIRECT("'"&amp;F657&amp;"'!$F$17"),"")</f>
        <v/>
      </c>
      <c r="M657" s="116" t="str">
        <f t="shared" ca="1" si="31"/>
        <v/>
      </c>
      <c r="O657" s="49" t="str">
        <f t="shared" ca="1" si="32"/>
        <v/>
      </c>
      <c r="P657" s="38" t="str">
        <f>IF(E657&lt;&gt;"",RANK(E657,$E$3:$E$2298)+COUNTIF($E$3:E657,E657)-1,"")</f>
        <v/>
      </c>
    </row>
    <row r="658" spans="4:16" x14ac:dyDescent="0.25">
      <c r="D658" s="36" t="str" cm="1">
        <f t="array" aca="1" ref="D658" ca="1">IFERROR(IF(INDIRECT("'"&amp;F658&amp;"'!$C$5")&gt;0,DATE(YEAR(Dashboard!$AL$2),Dashboard!$AU$4,INDIRECT("'"&amp;F658&amp;"'!$C$5")),""),"")</f>
        <v/>
      </c>
      <c r="G658" s="38" t="str" cm="1">
        <f t="array" aca="1" ref="G658" ca="1">IF(F658="",
    "",
    IFERROR(
        IF(INDIRECT("'"&amp;F658&amp;"'!$B$2")="Credit Limit",
            "Credit Accounts",
            IF(INDIRECT("'"&amp;F658&amp;"'!$E$2")="Location",
                "Cash Accounts",
                IF(INDIRECT("'"&amp;F658&amp;"'!$B$2")="Amount",
                    "Investments",
                    "Bill Accounts"
                )
            )
        ),
    "")
)</f>
        <v/>
      </c>
      <c r="I658" s="46" t="str" cm="1">
        <f t="array" aca="1" ref="I658" ca="1">IF(F658&lt;&gt;"",IF(OR(G658="Bill Accounts",G658="Investments", G658="Cash Accounts"),INDIRECT("'"&amp;F658&amp;"'!$C$10"),INDIRECT("'"&amp;F658&amp;"'!$C$8")),"")</f>
        <v/>
      </c>
      <c r="K658" s="48">
        <f t="shared" si="33"/>
        <v>664</v>
      </c>
      <c r="L658" s="114" t="str" cm="1">
        <f t="array" aca="1" ref="L658" ca="1">IF(F658&lt;&gt;"",INDIRECT("'"&amp;F658&amp;"'!$F$17"),"")</f>
        <v/>
      </c>
      <c r="M658" s="116" t="str">
        <f t="shared" ca="1" si="31"/>
        <v/>
      </c>
      <c r="O658" s="49" t="str">
        <f t="shared" ca="1" si="32"/>
        <v/>
      </c>
      <c r="P658" s="38" t="str">
        <f>IF(E658&lt;&gt;"",RANK(E658,$E$3:$E$2298)+COUNTIF($E$3:E658,E658)-1,"")</f>
        <v/>
      </c>
    </row>
    <row r="659" spans="4:16" x14ac:dyDescent="0.25">
      <c r="D659" s="36" t="str" cm="1">
        <f t="array" aca="1" ref="D659" ca="1">IFERROR(IF(INDIRECT("'"&amp;F659&amp;"'!$C$5")&gt;0,DATE(YEAR(Dashboard!$AL$2),Dashboard!$AU$4,INDIRECT("'"&amp;F659&amp;"'!$C$5")),""),"")</f>
        <v/>
      </c>
      <c r="G659" s="38" t="str" cm="1">
        <f t="array" aca="1" ref="G659" ca="1">IF(F659="",
    "",
    IFERROR(
        IF(INDIRECT("'"&amp;F659&amp;"'!$B$2")="Credit Limit",
            "Credit Accounts",
            IF(INDIRECT("'"&amp;F659&amp;"'!$E$2")="Location",
                "Cash Accounts",
                IF(INDIRECT("'"&amp;F659&amp;"'!$B$2")="Amount",
                    "Investments",
                    "Bill Accounts"
                )
            )
        ),
    "")
)</f>
        <v/>
      </c>
      <c r="I659" s="46" t="str" cm="1">
        <f t="array" aca="1" ref="I659" ca="1">IF(F659&lt;&gt;"",IF(OR(G659="Bill Accounts",G659="Investments", G659="Cash Accounts"),INDIRECT("'"&amp;F659&amp;"'!$C$10"),INDIRECT("'"&amp;F659&amp;"'!$C$8")),"")</f>
        <v/>
      </c>
      <c r="K659" s="48">
        <f t="shared" si="33"/>
        <v>665</v>
      </c>
      <c r="L659" s="114" t="str" cm="1">
        <f t="array" aca="1" ref="L659" ca="1">IF(F659&lt;&gt;"",INDIRECT("'"&amp;F659&amp;"'!$F$17"),"")</f>
        <v/>
      </c>
      <c r="M659" s="116" t="str">
        <f t="shared" ca="1" si="31"/>
        <v/>
      </c>
      <c r="O659" s="49" t="str">
        <f t="shared" ca="1" si="32"/>
        <v/>
      </c>
      <c r="P659" s="38" t="str">
        <f>IF(E659&lt;&gt;"",RANK(E659,$E$3:$E$2298)+COUNTIF($E$3:E659,E659)-1,"")</f>
        <v/>
      </c>
    </row>
    <row r="660" spans="4:16" x14ac:dyDescent="0.25">
      <c r="D660" s="36" t="str" cm="1">
        <f t="array" aca="1" ref="D660" ca="1">IFERROR(IF(INDIRECT("'"&amp;F660&amp;"'!$C$5")&gt;0,DATE(YEAR(Dashboard!$AL$2),Dashboard!$AU$4,INDIRECT("'"&amp;F660&amp;"'!$C$5")),""),"")</f>
        <v/>
      </c>
      <c r="G660" s="38" t="str" cm="1">
        <f t="array" aca="1" ref="G660" ca="1">IF(F660="",
    "",
    IFERROR(
        IF(INDIRECT("'"&amp;F660&amp;"'!$B$2")="Credit Limit",
            "Credit Accounts",
            IF(INDIRECT("'"&amp;F660&amp;"'!$E$2")="Location",
                "Cash Accounts",
                IF(INDIRECT("'"&amp;F660&amp;"'!$B$2")="Amount",
                    "Investments",
                    "Bill Accounts"
                )
            )
        ),
    "")
)</f>
        <v/>
      </c>
      <c r="I660" s="46" t="str" cm="1">
        <f t="array" aca="1" ref="I660" ca="1">IF(F660&lt;&gt;"",IF(OR(G660="Bill Accounts",G660="Investments", G660="Cash Accounts"),INDIRECT("'"&amp;F660&amp;"'!$C$10"),INDIRECT("'"&amp;F660&amp;"'!$C$8")),"")</f>
        <v/>
      </c>
      <c r="K660" s="48">
        <f t="shared" si="33"/>
        <v>666</v>
      </c>
      <c r="L660" s="114" t="str" cm="1">
        <f t="array" aca="1" ref="L660" ca="1">IF(F660&lt;&gt;"",INDIRECT("'"&amp;F660&amp;"'!$F$17"),"")</f>
        <v/>
      </c>
      <c r="M660" s="116" t="str">
        <f t="shared" ca="1" si="31"/>
        <v/>
      </c>
      <c r="O660" s="49" t="str">
        <f t="shared" ca="1" si="32"/>
        <v/>
      </c>
      <c r="P660" s="38" t="str">
        <f>IF(E660&lt;&gt;"",RANK(E660,$E$3:$E$2298)+COUNTIF($E$3:E660,E660)-1,"")</f>
        <v/>
      </c>
    </row>
    <row r="661" spans="4:16" x14ac:dyDescent="0.25">
      <c r="D661" s="36" t="str" cm="1">
        <f t="array" aca="1" ref="D661" ca="1">IFERROR(IF(INDIRECT("'"&amp;F661&amp;"'!$C$5")&gt;0,DATE(YEAR(Dashboard!$AL$2),Dashboard!$AU$4,INDIRECT("'"&amp;F661&amp;"'!$C$5")),""),"")</f>
        <v/>
      </c>
      <c r="G661" s="38" t="str" cm="1">
        <f t="array" aca="1" ref="G661" ca="1">IF(F661="",
    "",
    IFERROR(
        IF(INDIRECT("'"&amp;F661&amp;"'!$B$2")="Credit Limit",
            "Credit Accounts",
            IF(INDIRECT("'"&amp;F661&amp;"'!$E$2")="Location",
                "Cash Accounts",
                IF(INDIRECT("'"&amp;F661&amp;"'!$B$2")="Amount",
                    "Investments",
                    "Bill Accounts"
                )
            )
        ),
    "")
)</f>
        <v/>
      </c>
      <c r="I661" s="46" t="str" cm="1">
        <f t="array" aca="1" ref="I661" ca="1">IF(F661&lt;&gt;"",IF(OR(G661="Bill Accounts",G661="Investments", G661="Cash Accounts"),INDIRECT("'"&amp;F661&amp;"'!$C$10"),INDIRECT("'"&amp;F661&amp;"'!$C$8")),"")</f>
        <v/>
      </c>
      <c r="K661" s="48">
        <f t="shared" si="33"/>
        <v>667</v>
      </c>
      <c r="L661" s="114" t="str" cm="1">
        <f t="array" aca="1" ref="L661" ca="1">IF(F661&lt;&gt;"",INDIRECT("'"&amp;F661&amp;"'!$F$17"),"")</f>
        <v/>
      </c>
      <c r="M661" s="116" t="str">
        <f t="shared" ca="1" si="31"/>
        <v/>
      </c>
      <c r="O661" s="49" t="str">
        <f t="shared" ca="1" si="32"/>
        <v/>
      </c>
      <c r="P661" s="38" t="str">
        <f>IF(E661&lt;&gt;"",RANK(E661,$E$3:$E$2298)+COUNTIF($E$3:E661,E661)-1,"")</f>
        <v/>
      </c>
    </row>
    <row r="662" spans="4:16" x14ac:dyDescent="0.25">
      <c r="D662" s="36" t="str" cm="1">
        <f t="array" aca="1" ref="D662" ca="1">IFERROR(IF(INDIRECT("'"&amp;F662&amp;"'!$C$5")&gt;0,DATE(YEAR(Dashboard!$AL$2),Dashboard!$AU$4,INDIRECT("'"&amp;F662&amp;"'!$C$5")),""),"")</f>
        <v/>
      </c>
      <c r="G662" s="38" t="str" cm="1">
        <f t="array" aca="1" ref="G662" ca="1">IF(F662="",
    "",
    IFERROR(
        IF(INDIRECT("'"&amp;F662&amp;"'!$B$2")="Credit Limit",
            "Credit Accounts",
            IF(INDIRECT("'"&amp;F662&amp;"'!$E$2")="Location",
                "Cash Accounts",
                IF(INDIRECT("'"&amp;F662&amp;"'!$B$2")="Amount",
                    "Investments",
                    "Bill Accounts"
                )
            )
        ),
    "")
)</f>
        <v/>
      </c>
      <c r="I662" s="46" t="str" cm="1">
        <f t="array" aca="1" ref="I662" ca="1">IF(F662&lt;&gt;"",IF(OR(G662="Bill Accounts",G662="Investments", G662="Cash Accounts"),INDIRECT("'"&amp;F662&amp;"'!$C$10"),INDIRECT("'"&amp;F662&amp;"'!$C$8")),"")</f>
        <v/>
      </c>
      <c r="K662" s="48">
        <f t="shared" si="33"/>
        <v>668</v>
      </c>
      <c r="L662" s="114" t="str" cm="1">
        <f t="array" aca="1" ref="L662" ca="1">IF(F662&lt;&gt;"",INDIRECT("'"&amp;F662&amp;"'!$F$17"),"")</f>
        <v/>
      </c>
      <c r="M662" s="116" t="str">
        <f t="shared" ca="1" si="31"/>
        <v/>
      </c>
      <c r="O662" s="49" t="str">
        <f t="shared" ca="1" si="32"/>
        <v/>
      </c>
      <c r="P662" s="38" t="str">
        <f>IF(E662&lt;&gt;"",RANK(E662,$E$3:$E$2298)+COUNTIF($E$3:E662,E662)-1,"")</f>
        <v/>
      </c>
    </row>
    <row r="663" spans="4:16" x14ac:dyDescent="0.25">
      <c r="D663" s="36" t="str" cm="1">
        <f t="array" aca="1" ref="D663" ca="1">IFERROR(IF(INDIRECT("'"&amp;F663&amp;"'!$C$5")&gt;0,DATE(YEAR(Dashboard!$AL$2),Dashboard!$AU$4,INDIRECT("'"&amp;F663&amp;"'!$C$5")),""),"")</f>
        <v/>
      </c>
      <c r="G663" s="38" t="str" cm="1">
        <f t="array" aca="1" ref="G663" ca="1">IF(F663="",
    "",
    IFERROR(
        IF(INDIRECT("'"&amp;F663&amp;"'!$B$2")="Credit Limit",
            "Credit Accounts",
            IF(INDIRECT("'"&amp;F663&amp;"'!$E$2")="Location",
                "Cash Accounts",
                IF(INDIRECT("'"&amp;F663&amp;"'!$B$2")="Amount",
                    "Investments",
                    "Bill Accounts"
                )
            )
        ),
    "")
)</f>
        <v/>
      </c>
      <c r="I663" s="46" t="str" cm="1">
        <f t="array" aca="1" ref="I663" ca="1">IF(F663&lt;&gt;"",IF(OR(G663="Bill Accounts",G663="Investments", G663="Cash Accounts"),INDIRECT("'"&amp;F663&amp;"'!$C$10"),INDIRECT("'"&amp;F663&amp;"'!$C$8")),"")</f>
        <v/>
      </c>
      <c r="K663" s="48">
        <f t="shared" si="33"/>
        <v>669</v>
      </c>
      <c r="L663" s="114" t="str" cm="1">
        <f t="array" aca="1" ref="L663" ca="1">IF(F663&lt;&gt;"",INDIRECT("'"&amp;F663&amp;"'!$F$17"),"")</f>
        <v/>
      </c>
      <c r="M663" s="116" t="str">
        <f t="shared" ca="1" si="31"/>
        <v/>
      </c>
      <c r="O663" s="49" t="str">
        <f t="shared" ca="1" si="32"/>
        <v/>
      </c>
      <c r="P663" s="38" t="str">
        <f>IF(E663&lt;&gt;"",RANK(E663,$E$3:$E$2298)+COUNTIF($E$3:E663,E663)-1,"")</f>
        <v/>
      </c>
    </row>
    <row r="664" spans="4:16" x14ac:dyDescent="0.25">
      <c r="D664" s="36" t="str" cm="1">
        <f t="array" aca="1" ref="D664" ca="1">IFERROR(IF(INDIRECT("'"&amp;F664&amp;"'!$C$5")&gt;0,DATE(YEAR(Dashboard!$AL$2),Dashboard!$AU$4,INDIRECT("'"&amp;F664&amp;"'!$C$5")),""),"")</f>
        <v/>
      </c>
      <c r="G664" s="38" t="str" cm="1">
        <f t="array" aca="1" ref="G664" ca="1">IF(F664="",
    "",
    IFERROR(
        IF(INDIRECT("'"&amp;F664&amp;"'!$B$2")="Credit Limit",
            "Credit Accounts",
            IF(INDIRECT("'"&amp;F664&amp;"'!$E$2")="Location",
                "Cash Accounts",
                IF(INDIRECT("'"&amp;F664&amp;"'!$B$2")="Amount",
                    "Investments",
                    "Bill Accounts"
                )
            )
        ),
    "")
)</f>
        <v/>
      </c>
      <c r="I664" s="46" t="str" cm="1">
        <f t="array" aca="1" ref="I664" ca="1">IF(F664&lt;&gt;"",IF(OR(G664="Bill Accounts",G664="Investments", G664="Cash Accounts"),INDIRECT("'"&amp;F664&amp;"'!$C$10"),INDIRECT("'"&amp;F664&amp;"'!$C$8")),"")</f>
        <v/>
      </c>
      <c r="K664" s="48">
        <f t="shared" si="33"/>
        <v>670</v>
      </c>
      <c r="L664" s="114" t="str" cm="1">
        <f t="array" aca="1" ref="L664" ca="1">IF(F664&lt;&gt;"",INDIRECT("'"&amp;F664&amp;"'!$F$17"),"")</f>
        <v/>
      </c>
      <c r="M664" s="116" t="str">
        <f t="shared" ca="1" si="31"/>
        <v/>
      </c>
      <c r="O664" s="49" t="str">
        <f t="shared" ca="1" si="32"/>
        <v/>
      </c>
      <c r="P664" s="38" t="str">
        <f>IF(E664&lt;&gt;"",RANK(E664,$E$3:$E$2298)+COUNTIF($E$3:E664,E664)-1,"")</f>
        <v/>
      </c>
    </row>
    <row r="665" spans="4:16" x14ac:dyDescent="0.25">
      <c r="D665" s="36" t="str" cm="1">
        <f t="array" aca="1" ref="D665" ca="1">IFERROR(IF(INDIRECT("'"&amp;F665&amp;"'!$C$5")&gt;0,DATE(YEAR(Dashboard!$AL$2),Dashboard!$AU$4,INDIRECT("'"&amp;F665&amp;"'!$C$5")),""),"")</f>
        <v/>
      </c>
      <c r="G665" s="38" t="str" cm="1">
        <f t="array" aca="1" ref="G665" ca="1">IF(F665="",
    "",
    IFERROR(
        IF(INDIRECT("'"&amp;F665&amp;"'!$B$2")="Credit Limit",
            "Credit Accounts",
            IF(INDIRECT("'"&amp;F665&amp;"'!$E$2")="Location",
                "Cash Accounts",
                IF(INDIRECT("'"&amp;F665&amp;"'!$B$2")="Amount",
                    "Investments",
                    "Bill Accounts"
                )
            )
        ),
    "")
)</f>
        <v/>
      </c>
      <c r="I665" s="46" t="str" cm="1">
        <f t="array" aca="1" ref="I665" ca="1">IF(F665&lt;&gt;"",IF(OR(G665="Bill Accounts",G665="Investments", G665="Cash Accounts"),INDIRECT("'"&amp;F665&amp;"'!$C$10"),INDIRECT("'"&amp;F665&amp;"'!$C$8")),"")</f>
        <v/>
      </c>
      <c r="K665" s="48">
        <f t="shared" si="33"/>
        <v>671</v>
      </c>
      <c r="L665" s="114" t="str" cm="1">
        <f t="array" aca="1" ref="L665" ca="1">IF(F665&lt;&gt;"",INDIRECT("'"&amp;F665&amp;"'!$F$17"),"")</f>
        <v/>
      </c>
      <c r="M665" s="116" t="str">
        <f t="shared" ca="1" si="31"/>
        <v/>
      </c>
      <c r="O665" s="49" t="str">
        <f t="shared" ca="1" si="32"/>
        <v/>
      </c>
      <c r="P665" s="38" t="str">
        <f>IF(E665&lt;&gt;"",RANK(E665,$E$3:$E$2298)+COUNTIF($E$3:E665,E665)-1,"")</f>
        <v/>
      </c>
    </row>
    <row r="666" spans="4:16" x14ac:dyDescent="0.25">
      <c r="D666" s="36" t="str" cm="1">
        <f t="array" aca="1" ref="D666" ca="1">IFERROR(IF(INDIRECT("'"&amp;F666&amp;"'!$C$5")&gt;0,DATE(YEAR(Dashboard!$AL$2),Dashboard!$AU$4,INDIRECT("'"&amp;F666&amp;"'!$C$5")),""),"")</f>
        <v/>
      </c>
      <c r="G666" s="38" t="str" cm="1">
        <f t="array" aca="1" ref="G666" ca="1">IF(F666="",
    "",
    IFERROR(
        IF(INDIRECT("'"&amp;F666&amp;"'!$B$2")="Credit Limit",
            "Credit Accounts",
            IF(INDIRECT("'"&amp;F666&amp;"'!$E$2")="Location",
                "Cash Accounts",
                IF(INDIRECT("'"&amp;F666&amp;"'!$B$2")="Amount",
                    "Investments",
                    "Bill Accounts"
                )
            )
        ),
    "")
)</f>
        <v/>
      </c>
      <c r="I666" s="46" t="str" cm="1">
        <f t="array" aca="1" ref="I666" ca="1">IF(F666&lt;&gt;"",IF(OR(G666="Bill Accounts",G666="Investments", G666="Cash Accounts"),INDIRECT("'"&amp;F666&amp;"'!$C$10"),INDIRECT("'"&amp;F666&amp;"'!$C$8")),"")</f>
        <v/>
      </c>
      <c r="K666" s="48">
        <f t="shared" si="33"/>
        <v>672</v>
      </c>
      <c r="L666" s="114" t="str" cm="1">
        <f t="array" aca="1" ref="L666" ca="1">IF(F666&lt;&gt;"",INDIRECT("'"&amp;F666&amp;"'!$F$17"),"")</f>
        <v/>
      </c>
      <c r="M666" s="116" t="str">
        <f t="shared" ca="1" si="31"/>
        <v/>
      </c>
      <c r="O666" s="49" t="str">
        <f t="shared" ca="1" si="32"/>
        <v/>
      </c>
      <c r="P666" s="38" t="str">
        <f>IF(E666&lt;&gt;"",RANK(E666,$E$3:$E$2298)+COUNTIF($E$3:E666,E666)-1,"")</f>
        <v/>
      </c>
    </row>
    <row r="667" spans="4:16" x14ac:dyDescent="0.25">
      <c r="D667" s="36" t="str" cm="1">
        <f t="array" aca="1" ref="D667" ca="1">IFERROR(IF(INDIRECT("'"&amp;F667&amp;"'!$C$5")&gt;0,DATE(YEAR(Dashboard!$AL$2),Dashboard!$AU$4,INDIRECT("'"&amp;F667&amp;"'!$C$5")),""),"")</f>
        <v/>
      </c>
      <c r="G667" s="38" t="str" cm="1">
        <f t="array" aca="1" ref="G667" ca="1">IF(F667="",
    "",
    IFERROR(
        IF(INDIRECT("'"&amp;F667&amp;"'!$B$2")="Credit Limit",
            "Credit Accounts",
            IF(INDIRECT("'"&amp;F667&amp;"'!$E$2")="Location",
                "Cash Accounts",
                IF(INDIRECT("'"&amp;F667&amp;"'!$B$2")="Amount",
                    "Investments",
                    "Bill Accounts"
                )
            )
        ),
    "")
)</f>
        <v/>
      </c>
      <c r="I667" s="46" t="str" cm="1">
        <f t="array" aca="1" ref="I667" ca="1">IF(F667&lt;&gt;"",IF(OR(G667="Bill Accounts",G667="Investments", G667="Cash Accounts"),INDIRECT("'"&amp;F667&amp;"'!$C$10"),INDIRECT("'"&amp;F667&amp;"'!$C$8")),"")</f>
        <v/>
      </c>
      <c r="K667" s="48">
        <f t="shared" si="33"/>
        <v>673</v>
      </c>
      <c r="L667" s="114" t="str" cm="1">
        <f t="array" aca="1" ref="L667" ca="1">IF(F667&lt;&gt;"",INDIRECT("'"&amp;F667&amp;"'!$F$17"),"")</f>
        <v/>
      </c>
      <c r="M667" s="116" t="str">
        <f t="shared" ca="1" si="31"/>
        <v/>
      </c>
      <c r="O667" s="49" t="str">
        <f t="shared" ca="1" si="32"/>
        <v/>
      </c>
      <c r="P667" s="38" t="str">
        <f>IF(E667&lt;&gt;"",RANK(E667,$E$3:$E$2298)+COUNTIF($E$3:E667,E667)-1,"")</f>
        <v/>
      </c>
    </row>
    <row r="668" spans="4:16" x14ac:dyDescent="0.25">
      <c r="D668" s="36" t="str" cm="1">
        <f t="array" aca="1" ref="D668" ca="1">IFERROR(IF(INDIRECT("'"&amp;F668&amp;"'!$C$5")&gt;0,DATE(YEAR(Dashboard!$AL$2),Dashboard!$AU$4,INDIRECT("'"&amp;F668&amp;"'!$C$5")),""),"")</f>
        <v/>
      </c>
      <c r="G668" s="38" t="str" cm="1">
        <f t="array" aca="1" ref="G668" ca="1">IF(F668="",
    "",
    IFERROR(
        IF(INDIRECT("'"&amp;F668&amp;"'!$B$2")="Credit Limit",
            "Credit Accounts",
            IF(INDIRECT("'"&amp;F668&amp;"'!$E$2")="Location",
                "Cash Accounts",
                IF(INDIRECT("'"&amp;F668&amp;"'!$B$2")="Amount",
                    "Investments",
                    "Bill Accounts"
                )
            )
        ),
    "")
)</f>
        <v/>
      </c>
      <c r="I668" s="46" t="str" cm="1">
        <f t="array" aca="1" ref="I668" ca="1">IF(F668&lt;&gt;"",IF(OR(G668="Bill Accounts",G668="Investments", G668="Cash Accounts"),INDIRECT("'"&amp;F668&amp;"'!$C$10"),INDIRECT("'"&amp;F668&amp;"'!$C$8")),"")</f>
        <v/>
      </c>
      <c r="K668" s="48">
        <f t="shared" si="33"/>
        <v>674</v>
      </c>
      <c r="L668" s="114" t="str" cm="1">
        <f t="array" aca="1" ref="L668" ca="1">IF(F668&lt;&gt;"",INDIRECT("'"&amp;F668&amp;"'!$F$17"),"")</f>
        <v/>
      </c>
      <c r="M668" s="116" t="str">
        <f t="shared" ca="1" si="31"/>
        <v/>
      </c>
      <c r="O668" s="49" t="str">
        <f t="shared" ca="1" si="32"/>
        <v/>
      </c>
      <c r="P668" s="38" t="str">
        <f>IF(E668&lt;&gt;"",RANK(E668,$E$3:$E$2298)+COUNTIF($E$3:E668,E668)-1,"")</f>
        <v/>
      </c>
    </row>
    <row r="669" spans="4:16" x14ac:dyDescent="0.25">
      <c r="D669" s="36" t="str" cm="1">
        <f t="array" aca="1" ref="D669" ca="1">IFERROR(IF(INDIRECT("'"&amp;F669&amp;"'!$C$5")&gt;0,DATE(YEAR(Dashboard!$AL$2),Dashboard!$AU$4,INDIRECT("'"&amp;F669&amp;"'!$C$5")),""),"")</f>
        <v/>
      </c>
      <c r="G669" s="38" t="str" cm="1">
        <f t="array" aca="1" ref="G669" ca="1">IF(F669="",
    "",
    IFERROR(
        IF(INDIRECT("'"&amp;F669&amp;"'!$B$2")="Credit Limit",
            "Credit Accounts",
            IF(INDIRECT("'"&amp;F669&amp;"'!$E$2")="Location",
                "Cash Accounts",
                IF(INDIRECT("'"&amp;F669&amp;"'!$B$2")="Amount",
                    "Investments",
                    "Bill Accounts"
                )
            )
        ),
    "")
)</f>
        <v/>
      </c>
      <c r="I669" s="46" t="str" cm="1">
        <f t="array" aca="1" ref="I669" ca="1">IF(F669&lt;&gt;"",IF(OR(G669="Bill Accounts",G669="Investments", G669="Cash Accounts"),INDIRECT("'"&amp;F669&amp;"'!$C$10"),INDIRECT("'"&amp;F669&amp;"'!$C$8")),"")</f>
        <v/>
      </c>
      <c r="K669" s="48">
        <f t="shared" si="33"/>
        <v>675</v>
      </c>
      <c r="L669" s="114" t="str" cm="1">
        <f t="array" aca="1" ref="L669" ca="1">IF(F669&lt;&gt;"",INDIRECT("'"&amp;F669&amp;"'!$F$17"),"")</f>
        <v/>
      </c>
      <c r="M669" s="116" t="str">
        <f t="shared" ca="1" si="31"/>
        <v/>
      </c>
      <c r="O669" s="49" t="str">
        <f t="shared" ca="1" si="32"/>
        <v/>
      </c>
      <c r="P669" s="38" t="str">
        <f>IF(E669&lt;&gt;"",RANK(E669,$E$3:$E$2298)+COUNTIF($E$3:E669,E669)-1,"")</f>
        <v/>
      </c>
    </row>
    <row r="670" spans="4:16" x14ac:dyDescent="0.25">
      <c r="D670" s="36" t="str" cm="1">
        <f t="array" aca="1" ref="D670" ca="1">IFERROR(IF(INDIRECT("'"&amp;F670&amp;"'!$C$5")&gt;0,DATE(YEAR(Dashboard!$AL$2),Dashboard!$AU$4,INDIRECT("'"&amp;F670&amp;"'!$C$5")),""),"")</f>
        <v/>
      </c>
      <c r="G670" s="38" t="str" cm="1">
        <f t="array" aca="1" ref="G670" ca="1">IF(F670="",
    "",
    IFERROR(
        IF(INDIRECT("'"&amp;F670&amp;"'!$B$2")="Credit Limit",
            "Credit Accounts",
            IF(INDIRECT("'"&amp;F670&amp;"'!$E$2")="Location",
                "Cash Accounts",
                IF(INDIRECT("'"&amp;F670&amp;"'!$B$2")="Amount",
                    "Investments",
                    "Bill Accounts"
                )
            )
        ),
    "")
)</f>
        <v/>
      </c>
      <c r="I670" s="46" t="str" cm="1">
        <f t="array" aca="1" ref="I670" ca="1">IF(F670&lt;&gt;"",IF(OR(G670="Bill Accounts",G670="Investments", G670="Cash Accounts"),INDIRECT("'"&amp;F670&amp;"'!$C$10"),INDIRECT("'"&amp;F670&amp;"'!$C$8")),"")</f>
        <v/>
      </c>
      <c r="K670" s="48">
        <f t="shared" si="33"/>
        <v>676</v>
      </c>
      <c r="L670" s="114" t="str" cm="1">
        <f t="array" aca="1" ref="L670" ca="1">IF(F670&lt;&gt;"",INDIRECT("'"&amp;F670&amp;"'!$F$17"),"")</f>
        <v/>
      </c>
      <c r="M670" s="116" t="str">
        <f t="shared" ca="1" si="31"/>
        <v/>
      </c>
      <c r="O670" s="49" t="str">
        <f t="shared" ca="1" si="32"/>
        <v/>
      </c>
      <c r="P670" s="38" t="str">
        <f>IF(E670&lt;&gt;"",RANK(E670,$E$3:$E$2298)+COUNTIF($E$3:E670,E670)-1,"")</f>
        <v/>
      </c>
    </row>
    <row r="671" spans="4:16" x14ac:dyDescent="0.25">
      <c r="D671" s="36" t="str" cm="1">
        <f t="array" aca="1" ref="D671" ca="1">IFERROR(IF(INDIRECT("'"&amp;F671&amp;"'!$C$5")&gt;0,DATE(YEAR(Dashboard!$AL$2),Dashboard!$AU$4,INDIRECT("'"&amp;F671&amp;"'!$C$5")),""),"")</f>
        <v/>
      </c>
      <c r="G671" s="38" t="str" cm="1">
        <f t="array" aca="1" ref="G671" ca="1">IF(F671="",
    "",
    IFERROR(
        IF(INDIRECT("'"&amp;F671&amp;"'!$B$2")="Credit Limit",
            "Credit Accounts",
            IF(INDIRECT("'"&amp;F671&amp;"'!$E$2")="Location",
                "Cash Accounts",
                IF(INDIRECT("'"&amp;F671&amp;"'!$B$2")="Amount",
                    "Investments",
                    "Bill Accounts"
                )
            )
        ),
    "")
)</f>
        <v/>
      </c>
      <c r="I671" s="46" t="str" cm="1">
        <f t="array" aca="1" ref="I671" ca="1">IF(F671&lt;&gt;"",IF(OR(G671="Bill Accounts",G671="Investments", G671="Cash Accounts"),INDIRECT("'"&amp;F671&amp;"'!$C$10"),INDIRECT("'"&amp;F671&amp;"'!$C$8")),"")</f>
        <v/>
      </c>
      <c r="K671" s="48">
        <f t="shared" si="33"/>
        <v>677</v>
      </c>
      <c r="L671" s="114" t="str" cm="1">
        <f t="array" aca="1" ref="L671" ca="1">IF(F671&lt;&gt;"",INDIRECT("'"&amp;F671&amp;"'!$F$17"),"")</f>
        <v/>
      </c>
      <c r="M671" s="116" t="str">
        <f t="shared" ca="1" si="31"/>
        <v/>
      </c>
      <c r="O671" s="49" t="str">
        <f t="shared" ca="1" si="32"/>
        <v/>
      </c>
      <c r="P671" s="38" t="str">
        <f>IF(E671&lt;&gt;"",RANK(E671,$E$3:$E$2298)+COUNTIF($E$3:E671,E671)-1,"")</f>
        <v/>
      </c>
    </row>
    <row r="672" spans="4:16" x14ac:dyDescent="0.25">
      <c r="D672" s="36" t="str" cm="1">
        <f t="array" aca="1" ref="D672" ca="1">IFERROR(IF(INDIRECT("'"&amp;F672&amp;"'!$C$5")&gt;0,DATE(YEAR(Dashboard!$AL$2),Dashboard!$AU$4,INDIRECT("'"&amp;F672&amp;"'!$C$5")),""),"")</f>
        <v/>
      </c>
      <c r="G672" s="38" t="str" cm="1">
        <f t="array" aca="1" ref="G672" ca="1">IF(F672="",
    "",
    IFERROR(
        IF(INDIRECT("'"&amp;F672&amp;"'!$B$2")="Credit Limit",
            "Credit Accounts",
            IF(INDIRECT("'"&amp;F672&amp;"'!$E$2")="Location",
                "Cash Accounts",
                IF(INDIRECT("'"&amp;F672&amp;"'!$B$2")="Amount",
                    "Investments",
                    "Bill Accounts"
                )
            )
        ),
    "")
)</f>
        <v/>
      </c>
      <c r="I672" s="46" t="str" cm="1">
        <f t="array" aca="1" ref="I672" ca="1">IF(F672&lt;&gt;"",IF(OR(G672="Bill Accounts",G672="Investments", G672="Cash Accounts"),INDIRECT("'"&amp;F672&amp;"'!$C$10"),INDIRECT("'"&amp;F672&amp;"'!$C$8")),"")</f>
        <v/>
      </c>
      <c r="K672" s="48">
        <f t="shared" si="33"/>
        <v>678</v>
      </c>
      <c r="L672" s="114" t="str" cm="1">
        <f t="array" aca="1" ref="L672" ca="1">IF(F672&lt;&gt;"",INDIRECT("'"&amp;F672&amp;"'!$F$17"),"")</f>
        <v/>
      </c>
      <c r="M672" s="116" t="str">
        <f t="shared" ca="1" si="31"/>
        <v/>
      </c>
      <c r="O672" s="49" t="str">
        <f t="shared" ca="1" si="32"/>
        <v/>
      </c>
      <c r="P672" s="38" t="str">
        <f>IF(E672&lt;&gt;"",RANK(E672,$E$3:$E$2298)+COUNTIF($E$3:E672,E672)-1,"")</f>
        <v/>
      </c>
    </row>
    <row r="673" spans="4:16" x14ac:dyDescent="0.25">
      <c r="D673" s="36" t="str" cm="1">
        <f t="array" aca="1" ref="D673" ca="1">IFERROR(IF(INDIRECT("'"&amp;F673&amp;"'!$C$5")&gt;0,DATE(YEAR(Dashboard!$AL$2),Dashboard!$AU$4,INDIRECT("'"&amp;F673&amp;"'!$C$5")),""),"")</f>
        <v/>
      </c>
      <c r="G673" s="38" t="str" cm="1">
        <f t="array" aca="1" ref="G673" ca="1">IF(F673="",
    "",
    IFERROR(
        IF(INDIRECT("'"&amp;F673&amp;"'!$B$2")="Credit Limit",
            "Credit Accounts",
            IF(INDIRECT("'"&amp;F673&amp;"'!$E$2")="Location",
                "Cash Accounts",
                IF(INDIRECT("'"&amp;F673&amp;"'!$B$2")="Amount",
                    "Investments",
                    "Bill Accounts"
                )
            )
        ),
    "")
)</f>
        <v/>
      </c>
      <c r="I673" s="46" t="str" cm="1">
        <f t="array" aca="1" ref="I673" ca="1">IF(F673&lt;&gt;"",IF(OR(G673="Bill Accounts",G673="Investments", G673="Cash Accounts"),INDIRECT("'"&amp;F673&amp;"'!$C$10"),INDIRECT("'"&amp;F673&amp;"'!$C$8")),"")</f>
        <v/>
      </c>
      <c r="K673" s="48">
        <f t="shared" si="33"/>
        <v>679</v>
      </c>
      <c r="L673" s="114" t="str" cm="1">
        <f t="array" aca="1" ref="L673" ca="1">IF(F673&lt;&gt;"",INDIRECT("'"&amp;F673&amp;"'!$F$17"),"")</f>
        <v/>
      </c>
      <c r="M673" s="116" t="str">
        <f t="shared" ca="1" si="31"/>
        <v/>
      </c>
      <c r="O673" s="49" t="str">
        <f t="shared" ca="1" si="32"/>
        <v/>
      </c>
      <c r="P673" s="38" t="str">
        <f>IF(E673&lt;&gt;"",RANK(E673,$E$3:$E$2298)+COUNTIF($E$3:E673,E673)-1,"")</f>
        <v/>
      </c>
    </row>
    <row r="674" spans="4:16" x14ac:dyDescent="0.25">
      <c r="D674" s="36" t="str" cm="1">
        <f t="array" aca="1" ref="D674" ca="1">IFERROR(IF(INDIRECT("'"&amp;F674&amp;"'!$C$5")&gt;0,DATE(YEAR(Dashboard!$AL$2),Dashboard!$AU$4,INDIRECT("'"&amp;F674&amp;"'!$C$5")),""),"")</f>
        <v/>
      </c>
      <c r="G674" s="38" t="str" cm="1">
        <f t="array" aca="1" ref="G674" ca="1">IF(F674="",
    "",
    IFERROR(
        IF(INDIRECT("'"&amp;F674&amp;"'!$B$2")="Credit Limit",
            "Credit Accounts",
            IF(INDIRECT("'"&amp;F674&amp;"'!$E$2")="Location",
                "Cash Accounts",
                IF(INDIRECT("'"&amp;F674&amp;"'!$B$2")="Amount",
                    "Investments",
                    "Bill Accounts"
                )
            )
        ),
    "")
)</f>
        <v/>
      </c>
      <c r="I674" s="46" t="str" cm="1">
        <f t="array" aca="1" ref="I674" ca="1">IF(F674&lt;&gt;"",IF(OR(G674="Bill Accounts",G674="Investments", G674="Cash Accounts"),INDIRECT("'"&amp;F674&amp;"'!$C$10"),INDIRECT("'"&amp;F674&amp;"'!$C$8")),"")</f>
        <v/>
      </c>
      <c r="K674" s="48">
        <f t="shared" si="33"/>
        <v>680</v>
      </c>
      <c r="L674" s="114" t="str" cm="1">
        <f t="array" aca="1" ref="L674" ca="1">IF(F674&lt;&gt;"",INDIRECT("'"&amp;F674&amp;"'!$F$17"),"")</f>
        <v/>
      </c>
      <c r="M674" s="116" t="str">
        <f t="shared" ca="1" si="31"/>
        <v/>
      </c>
      <c r="O674" s="49" t="str">
        <f t="shared" ca="1" si="32"/>
        <v/>
      </c>
      <c r="P674" s="38" t="str">
        <f>IF(E674&lt;&gt;"",RANK(E674,$E$3:$E$2298)+COUNTIF($E$3:E674,E674)-1,"")</f>
        <v/>
      </c>
    </row>
    <row r="675" spans="4:16" x14ac:dyDescent="0.25">
      <c r="D675" s="36" t="str" cm="1">
        <f t="array" aca="1" ref="D675" ca="1">IFERROR(IF(INDIRECT("'"&amp;F675&amp;"'!$C$5")&gt;0,DATE(YEAR(Dashboard!$AL$2),Dashboard!$AU$4,INDIRECT("'"&amp;F675&amp;"'!$C$5")),""),"")</f>
        <v/>
      </c>
      <c r="G675" s="38" t="str" cm="1">
        <f t="array" aca="1" ref="G675" ca="1">IF(F675="",
    "",
    IFERROR(
        IF(INDIRECT("'"&amp;F675&amp;"'!$B$2")="Credit Limit",
            "Credit Accounts",
            IF(INDIRECT("'"&amp;F675&amp;"'!$E$2")="Location",
                "Cash Accounts",
                IF(INDIRECT("'"&amp;F675&amp;"'!$B$2")="Amount",
                    "Investments",
                    "Bill Accounts"
                )
            )
        ),
    "")
)</f>
        <v/>
      </c>
      <c r="I675" s="46" t="str" cm="1">
        <f t="array" aca="1" ref="I675" ca="1">IF(F675&lt;&gt;"",IF(OR(G675="Bill Accounts",G675="Investments", G675="Cash Accounts"),INDIRECT("'"&amp;F675&amp;"'!$C$10"),INDIRECT("'"&amp;F675&amp;"'!$C$8")),"")</f>
        <v/>
      </c>
      <c r="K675" s="48">
        <f t="shared" si="33"/>
        <v>681</v>
      </c>
      <c r="L675" s="114" t="str" cm="1">
        <f t="array" aca="1" ref="L675" ca="1">IF(F675&lt;&gt;"",INDIRECT("'"&amp;F675&amp;"'!$F$17"),"")</f>
        <v/>
      </c>
      <c r="M675" s="116" t="str">
        <f t="shared" ca="1" si="31"/>
        <v/>
      </c>
      <c r="O675" s="49" t="str">
        <f t="shared" ca="1" si="32"/>
        <v/>
      </c>
      <c r="P675" s="38" t="str">
        <f>IF(E675&lt;&gt;"",RANK(E675,$E$3:$E$2298)+COUNTIF($E$3:E675,E675)-1,"")</f>
        <v/>
      </c>
    </row>
    <row r="676" spans="4:16" x14ac:dyDescent="0.25">
      <c r="D676" s="36" t="str" cm="1">
        <f t="array" aca="1" ref="D676" ca="1">IFERROR(IF(INDIRECT("'"&amp;F676&amp;"'!$C$5")&gt;0,DATE(YEAR(Dashboard!$AL$2),Dashboard!$AU$4,INDIRECT("'"&amp;F676&amp;"'!$C$5")),""),"")</f>
        <v/>
      </c>
      <c r="G676" s="38" t="str" cm="1">
        <f t="array" aca="1" ref="G676" ca="1">IF(F676="",
    "",
    IFERROR(
        IF(INDIRECT("'"&amp;F676&amp;"'!$B$2")="Credit Limit",
            "Credit Accounts",
            IF(INDIRECT("'"&amp;F676&amp;"'!$E$2")="Location",
                "Cash Accounts",
                IF(INDIRECT("'"&amp;F676&amp;"'!$B$2")="Amount",
                    "Investments",
                    "Bill Accounts"
                )
            )
        ),
    "")
)</f>
        <v/>
      </c>
      <c r="I676" s="46" t="str" cm="1">
        <f t="array" aca="1" ref="I676" ca="1">IF(F676&lt;&gt;"",IF(OR(G676="Bill Accounts",G676="Investments", G676="Cash Accounts"),INDIRECT("'"&amp;F676&amp;"'!$C$10"),INDIRECT("'"&amp;F676&amp;"'!$C$8")),"")</f>
        <v/>
      </c>
      <c r="K676" s="48">
        <f t="shared" si="33"/>
        <v>682</v>
      </c>
      <c r="L676" s="114" t="str" cm="1">
        <f t="array" aca="1" ref="L676" ca="1">IF(F676&lt;&gt;"",INDIRECT("'"&amp;F676&amp;"'!$F$17"),"")</f>
        <v/>
      </c>
      <c r="M676" s="116" t="str">
        <f t="shared" ca="1" si="31"/>
        <v/>
      </c>
      <c r="O676" s="49" t="str">
        <f t="shared" ca="1" si="32"/>
        <v/>
      </c>
      <c r="P676" s="38" t="str">
        <f>IF(E676&lt;&gt;"",RANK(E676,$E$3:$E$2298)+COUNTIF($E$3:E676,E676)-1,"")</f>
        <v/>
      </c>
    </row>
    <row r="677" spans="4:16" x14ac:dyDescent="0.25">
      <c r="D677" s="36" t="str" cm="1">
        <f t="array" aca="1" ref="D677" ca="1">IFERROR(IF(INDIRECT("'"&amp;F677&amp;"'!$C$5")&gt;0,DATE(YEAR(Dashboard!$AL$2),Dashboard!$AU$4,INDIRECT("'"&amp;F677&amp;"'!$C$5")),""),"")</f>
        <v/>
      </c>
      <c r="G677" s="38" t="str" cm="1">
        <f t="array" aca="1" ref="G677" ca="1">IF(F677="",
    "",
    IFERROR(
        IF(INDIRECT("'"&amp;F677&amp;"'!$B$2")="Credit Limit",
            "Credit Accounts",
            IF(INDIRECT("'"&amp;F677&amp;"'!$E$2")="Location",
                "Cash Accounts",
                IF(INDIRECT("'"&amp;F677&amp;"'!$B$2")="Amount",
                    "Investments",
                    "Bill Accounts"
                )
            )
        ),
    "")
)</f>
        <v/>
      </c>
      <c r="I677" s="46" t="str" cm="1">
        <f t="array" aca="1" ref="I677" ca="1">IF(F677&lt;&gt;"",IF(OR(G677="Bill Accounts",G677="Investments", G677="Cash Accounts"),INDIRECT("'"&amp;F677&amp;"'!$C$10"),INDIRECT("'"&amp;F677&amp;"'!$C$8")),"")</f>
        <v/>
      </c>
      <c r="K677" s="48">
        <f t="shared" si="33"/>
        <v>683</v>
      </c>
      <c r="L677" s="114" t="str" cm="1">
        <f t="array" aca="1" ref="L677" ca="1">IF(F677&lt;&gt;"",INDIRECT("'"&amp;F677&amp;"'!$F$17"),"")</f>
        <v/>
      </c>
      <c r="M677" s="116" t="str">
        <f t="shared" ca="1" si="31"/>
        <v/>
      </c>
      <c r="O677" s="49" t="str">
        <f t="shared" ca="1" si="32"/>
        <v/>
      </c>
      <c r="P677" s="38" t="str">
        <f>IF(E677&lt;&gt;"",RANK(E677,$E$3:$E$2298)+COUNTIF($E$3:E677,E677)-1,"")</f>
        <v/>
      </c>
    </row>
    <row r="678" spans="4:16" x14ac:dyDescent="0.25">
      <c r="D678" s="36" t="str" cm="1">
        <f t="array" aca="1" ref="D678" ca="1">IFERROR(IF(INDIRECT("'"&amp;F678&amp;"'!$C$5")&gt;0,DATE(YEAR(Dashboard!$AL$2),Dashboard!$AU$4,INDIRECT("'"&amp;F678&amp;"'!$C$5")),""),"")</f>
        <v/>
      </c>
      <c r="G678" s="38" t="str" cm="1">
        <f t="array" aca="1" ref="G678" ca="1">IF(F678="",
    "",
    IFERROR(
        IF(INDIRECT("'"&amp;F678&amp;"'!$B$2")="Credit Limit",
            "Credit Accounts",
            IF(INDIRECT("'"&amp;F678&amp;"'!$E$2")="Location",
                "Cash Accounts",
                IF(INDIRECT("'"&amp;F678&amp;"'!$B$2")="Amount",
                    "Investments",
                    "Bill Accounts"
                )
            )
        ),
    "")
)</f>
        <v/>
      </c>
      <c r="I678" s="46" t="str" cm="1">
        <f t="array" aca="1" ref="I678" ca="1">IF(F678&lt;&gt;"",IF(OR(G678="Bill Accounts",G678="Investments", G678="Cash Accounts"),INDIRECT("'"&amp;F678&amp;"'!$C$10"),INDIRECT("'"&amp;F678&amp;"'!$C$8")),"")</f>
        <v/>
      </c>
      <c r="K678" s="48">
        <f t="shared" si="33"/>
        <v>684</v>
      </c>
      <c r="L678" s="114" t="str" cm="1">
        <f t="array" aca="1" ref="L678" ca="1">IF(F678&lt;&gt;"",INDIRECT("'"&amp;F678&amp;"'!$F$17"),"")</f>
        <v/>
      </c>
      <c r="M678" s="116" t="str">
        <f t="shared" ca="1" si="31"/>
        <v/>
      </c>
      <c r="O678" s="49" t="str">
        <f t="shared" ca="1" si="32"/>
        <v/>
      </c>
      <c r="P678" s="38" t="str">
        <f>IF(E678&lt;&gt;"",RANK(E678,$E$3:$E$2298)+COUNTIF($E$3:E678,E678)-1,"")</f>
        <v/>
      </c>
    </row>
    <row r="679" spans="4:16" x14ac:dyDescent="0.25">
      <c r="D679" s="36" t="str" cm="1">
        <f t="array" aca="1" ref="D679" ca="1">IFERROR(IF(INDIRECT("'"&amp;F679&amp;"'!$C$5")&gt;0,DATE(YEAR(Dashboard!$AL$2),Dashboard!$AU$4,INDIRECT("'"&amp;F679&amp;"'!$C$5")),""),"")</f>
        <v/>
      </c>
      <c r="G679" s="38" t="str" cm="1">
        <f t="array" aca="1" ref="G679" ca="1">IF(F679="",
    "",
    IFERROR(
        IF(INDIRECT("'"&amp;F679&amp;"'!$B$2")="Credit Limit",
            "Credit Accounts",
            IF(INDIRECT("'"&amp;F679&amp;"'!$E$2")="Location",
                "Cash Accounts",
                IF(INDIRECT("'"&amp;F679&amp;"'!$B$2")="Amount",
                    "Investments",
                    "Bill Accounts"
                )
            )
        ),
    "")
)</f>
        <v/>
      </c>
      <c r="I679" s="46" t="str" cm="1">
        <f t="array" aca="1" ref="I679" ca="1">IF(F679&lt;&gt;"",IF(OR(G679="Bill Accounts",G679="Investments", G679="Cash Accounts"),INDIRECT("'"&amp;F679&amp;"'!$C$10"),INDIRECT("'"&amp;F679&amp;"'!$C$8")),"")</f>
        <v/>
      </c>
      <c r="K679" s="48">
        <f t="shared" si="33"/>
        <v>685</v>
      </c>
      <c r="L679" s="114" t="str" cm="1">
        <f t="array" aca="1" ref="L679" ca="1">IF(F679&lt;&gt;"",INDIRECT("'"&amp;F679&amp;"'!$F$17"),"")</f>
        <v/>
      </c>
      <c r="M679" s="116" t="str">
        <f t="shared" ca="1" si="31"/>
        <v/>
      </c>
      <c r="O679" s="49" t="str">
        <f t="shared" ca="1" si="32"/>
        <v/>
      </c>
      <c r="P679" s="38" t="str">
        <f>IF(E679&lt;&gt;"",RANK(E679,$E$3:$E$2298)+COUNTIF($E$3:E679,E679)-1,"")</f>
        <v/>
      </c>
    </row>
    <row r="680" spans="4:16" x14ac:dyDescent="0.25">
      <c r="D680" s="36" t="str" cm="1">
        <f t="array" aca="1" ref="D680" ca="1">IFERROR(IF(INDIRECT("'"&amp;F680&amp;"'!$C$5")&gt;0,DATE(YEAR(Dashboard!$AL$2),Dashboard!$AU$4,INDIRECT("'"&amp;F680&amp;"'!$C$5")),""),"")</f>
        <v/>
      </c>
      <c r="G680" s="38" t="str" cm="1">
        <f t="array" aca="1" ref="G680" ca="1">IF(F680="",
    "",
    IFERROR(
        IF(INDIRECT("'"&amp;F680&amp;"'!$B$2")="Credit Limit",
            "Credit Accounts",
            IF(INDIRECT("'"&amp;F680&amp;"'!$E$2")="Location",
                "Cash Accounts",
                IF(INDIRECT("'"&amp;F680&amp;"'!$B$2")="Amount",
                    "Investments",
                    "Bill Accounts"
                )
            )
        ),
    "")
)</f>
        <v/>
      </c>
      <c r="I680" s="46" t="str" cm="1">
        <f t="array" aca="1" ref="I680" ca="1">IF(F680&lt;&gt;"",IF(OR(G680="Bill Accounts",G680="Investments", G680="Cash Accounts"),INDIRECT("'"&amp;F680&amp;"'!$C$10"),INDIRECT("'"&amp;F680&amp;"'!$C$8")),"")</f>
        <v/>
      </c>
      <c r="K680" s="48">
        <f t="shared" si="33"/>
        <v>686</v>
      </c>
      <c r="L680" s="114" t="str" cm="1">
        <f t="array" aca="1" ref="L680" ca="1">IF(F680&lt;&gt;"",INDIRECT("'"&amp;F680&amp;"'!$F$17"),"")</f>
        <v/>
      </c>
      <c r="M680" s="116" t="str">
        <f t="shared" ca="1" si="31"/>
        <v/>
      </c>
      <c r="O680" s="49" t="str">
        <f t="shared" ca="1" si="32"/>
        <v/>
      </c>
      <c r="P680" s="38" t="str">
        <f>IF(E680&lt;&gt;"",RANK(E680,$E$3:$E$2298)+COUNTIF($E$3:E680,E680)-1,"")</f>
        <v/>
      </c>
    </row>
    <row r="681" spans="4:16" x14ac:dyDescent="0.25">
      <c r="D681" s="36" t="str" cm="1">
        <f t="array" aca="1" ref="D681" ca="1">IFERROR(IF(INDIRECT("'"&amp;F681&amp;"'!$C$5")&gt;0,DATE(YEAR(Dashboard!$AL$2),Dashboard!$AU$4,INDIRECT("'"&amp;F681&amp;"'!$C$5")),""),"")</f>
        <v/>
      </c>
      <c r="G681" s="38" t="str" cm="1">
        <f t="array" aca="1" ref="G681" ca="1">IF(F681="",
    "",
    IFERROR(
        IF(INDIRECT("'"&amp;F681&amp;"'!$B$2")="Credit Limit",
            "Credit Accounts",
            IF(INDIRECT("'"&amp;F681&amp;"'!$E$2")="Location",
                "Cash Accounts",
                IF(INDIRECT("'"&amp;F681&amp;"'!$B$2")="Amount",
                    "Investments",
                    "Bill Accounts"
                )
            )
        ),
    "")
)</f>
        <v/>
      </c>
      <c r="I681" s="46" t="str" cm="1">
        <f t="array" aca="1" ref="I681" ca="1">IF(F681&lt;&gt;"",IF(OR(G681="Bill Accounts",G681="Investments", G681="Cash Accounts"),INDIRECT("'"&amp;F681&amp;"'!$C$10"),INDIRECT("'"&amp;F681&amp;"'!$C$8")),"")</f>
        <v/>
      </c>
      <c r="K681" s="48">
        <f t="shared" si="33"/>
        <v>687</v>
      </c>
      <c r="L681" s="114" t="str" cm="1">
        <f t="array" aca="1" ref="L681" ca="1">IF(F681&lt;&gt;"",INDIRECT("'"&amp;F681&amp;"'!$F$17"),"")</f>
        <v/>
      </c>
      <c r="M681" s="116" t="str">
        <f t="shared" ca="1" si="31"/>
        <v/>
      </c>
      <c r="O681" s="49" t="str">
        <f t="shared" ca="1" si="32"/>
        <v/>
      </c>
      <c r="P681" s="38" t="str">
        <f>IF(E681&lt;&gt;"",RANK(E681,$E$3:$E$2298)+COUNTIF($E$3:E681,E681)-1,"")</f>
        <v/>
      </c>
    </row>
    <row r="682" spans="4:16" x14ac:dyDescent="0.25">
      <c r="D682" s="36" t="str" cm="1">
        <f t="array" aca="1" ref="D682" ca="1">IFERROR(IF(INDIRECT("'"&amp;F682&amp;"'!$C$5")&gt;0,DATE(YEAR(Dashboard!$AL$2),Dashboard!$AU$4,INDIRECT("'"&amp;F682&amp;"'!$C$5")),""),"")</f>
        <v/>
      </c>
      <c r="G682" s="38" t="str" cm="1">
        <f t="array" aca="1" ref="G682" ca="1">IF(F682="",
    "",
    IFERROR(
        IF(INDIRECT("'"&amp;F682&amp;"'!$B$2")="Credit Limit",
            "Credit Accounts",
            IF(INDIRECT("'"&amp;F682&amp;"'!$E$2")="Location",
                "Cash Accounts",
                IF(INDIRECT("'"&amp;F682&amp;"'!$B$2")="Amount",
                    "Investments",
                    "Bill Accounts"
                )
            )
        ),
    "")
)</f>
        <v/>
      </c>
      <c r="I682" s="46" t="str" cm="1">
        <f t="array" aca="1" ref="I682" ca="1">IF(F682&lt;&gt;"",IF(OR(G682="Bill Accounts",G682="Investments", G682="Cash Accounts"),INDIRECT("'"&amp;F682&amp;"'!$C$10"),INDIRECT("'"&amp;F682&amp;"'!$C$8")),"")</f>
        <v/>
      </c>
      <c r="K682" s="48">
        <f t="shared" si="33"/>
        <v>688</v>
      </c>
      <c r="L682" s="114" t="str" cm="1">
        <f t="array" aca="1" ref="L682" ca="1">IF(F682&lt;&gt;"",INDIRECT("'"&amp;F682&amp;"'!$F$17"),"")</f>
        <v/>
      </c>
      <c r="M682" s="116" t="str">
        <f t="shared" ca="1" si="31"/>
        <v/>
      </c>
      <c r="O682" s="49" t="str">
        <f t="shared" ca="1" si="32"/>
        <v/>
      </c>
      <c r="P682" s="38" t="str">
        <f>IF(E682&lt;&gt;"",RANK(E682,$E$3:$E$2298)+COUNTIF($E$3:E682,E682)-1,"")</f>
        <v/>
      </c>
    </row>
    <row r="683" spans="4:16" x14ac:dyDescent="0.25">
      <c r="D683" s="36" t="str" cm="1">
        <f t="array" aca="1" ref="D683" ca="1">IFERROR(IF(INDIRECT("'"&amp;F683&amp;"'!$C$5")&gt;0,DATE(YEAR(Dashboard!$AL$2),Dashboard!$AU$4,INDIRECT("'"&amp;F683&amp;"'!$C$5")),""),"")</f>
        <v/>
      </c>
      <c r="G683" s="38" t="str" cm="1">
        <f t="array" aca="1" ref="G683" ca="1">IF(F683="",
    "",
    IFERROR(
        IF(INDIRECT("'"&amp;F683&amp;"'!$B$2")="Credit Limit",
            "Credit Accounts",
            IF(INDIRECT("'"&amp;F683&amp;"'!$E$2")="Location",
                "Cash Accounts",
                IF(INDIRECT("'"&amp;F683&amp;"'!$B$2")="Amount",
                    "Investments",
                    "Bill Accounts"
                )
            )
        ),
    "")
)</f>
        <v/>
      </c>
      <c r="I683" s="46" t="str" cm="1">
        <f t="array" aca="1" ref="I683" ca="1">IF(F683&lt;&gt;"",IF(OR(G683="Bill Accounts",G683="Investments", G683="Cash Accounts"),INDIRECT("'"&amp;F683&amp;"'!$C$10"),INDIRECT("'"&amp;F683&amp;"'!$C$8")),"")</f>
        <v/>
      </c>
      <c r="K683" s="48">
        <f t="shared" si="33"/>
        <v>689</v>
      </c>
      <c r="L683" s="114" t="str" cm="1">
        <f t="array" aca="1" ref="L683" ca="1">IF(F683&lt;&gt;"",INDIRECT("'"&amp;F683&amp;"'!$F$17"),"")</f>
        <v/>
      </c>
      <c r="M683" s="116" t="str">
        <f t="shared" ca="1" si="31"/>
        <v/>
      </c>
      <c r="O683" s="49" t="str">
        <f t="shared" ca="1" si="32"/>
        <v/>
      </c>
      <c r="P683" s="38" t="str">
        <f>IF(E683&lt;&gt;"",RANK(E683,$E$3:$E$2298)+COUNTIF($E$3:E683,E683)-1,"")</f>
        <v/>
      </c>
    </row>
    <row r="684" spans="4:16" x14ac:dyDescent="0.25">
      <c r="D684" s="36" t="str" cm="1">
        <f t="array" aca="1" ref="D684" ca="1">IFERROR(IF(INDIRECT("'"&amp;F684&amp;"'!$C$5")&gt;0,DATE(YEAR(Dashboard!$AL$2),Dashboard!$AU$4,INDIRECT("'"&amp;F684&amp;"'!$C$5")),""),"")</f>
        <v/>
      </c>
      <c r="G684" s="38" t="str" cm="1">
        <f t="array" aca="1" ref="G684" ca="1">IF(F684="",
    "",
    IFERROR(
        IF(INDIRECT("'"&amp;F684&amp;"'!$B$2")="Credit Limit",
            "Credit Accounts",
            IF(INDIRECT("'"&amp;F684&amp;"'!$E$2")="Location",
                "Cash Accounts",
                IF(INDIRECT("'"&amp;F684&amp;"'!$B$2")="Amount",
                    "Investments",
                    "Bill Accounts"
                )
            )
        ),
    "")
)</f>
        <v/>
      </c>
      <c r="I684" s="46" t="str" cm="1">
        <f t="array" aca="1" ref="I684" ca="1">IF(F684&lt;&gt;"",IF(OR(G684="Bill Accounts",G684="Investments", G684="Cash Accounts"),INDIRECT("'"&amp;F684&amp;"'!$C$10"),INDIRECT("'"&amp;F684&amp;"'!$C$8")),"")</f>
        <v/>
      </c>
      <c r="K684" s="48">
        <f t="shared" si="33"/>
        <v>690</v>
      </c>
      <c r="L684" s="114" t="str" cm="1">
        <f t="array" aca="1" ref="L684" ca="1">IF(F684&lt;&gt;"",INDIRECT("'"&amp;F684&amp;"'!$F$17"),"")</f>
        <v/>
      </c>
      <c r="M684" s="116" t="str">
        <f t="shared" ca="1" si="31"/>
        <v/>
      </c>
      <c r="O684" s="49" t="str">
        <f t="shared" ca="1" si="32"/>
        <v/>
      </c>
      <c r="P684" s="38" t="str">
        <f>IF(E684&lt;&gt;"",RANK(E684,$E$3:$E$2298)+COUNTIF($E$3:E684,E684)-1,"")</f>
        <v/>
      </c>
    </row>
    <row r="685" spans="4:16" x14ac:dyDescent="0.25">
      <c r="D685" s="36" t="str" cm="1">
        <f t="array" aca="1" ref="D685" ca="1">IFERROR(IF(INDIRECT("'"&amp;F685&amp;"'!$C$5")&gt;0,DATE(YEAR(Dashboard!$AL$2),Dashboard!$AU$4,INDIRECT("'"&amp;F685&amp;"'!$C$5")),""),"")</f>
        <v/>
      </c>
      <c r="G685" s="38" t="str" cm="1">
        <f t="array" aca="1" ref="G685" ca="1">IF(F685="",
    "",
    IFERROR(
        IF(INDIRECT("'"&amp;F685&amp;"'!$B$2")="Credit Limit",
            "Credit Accounts",
            IF(INDIRECT("'"&amp;F685&amp;"'!$E$2")="Location",
                "Cash Accounts",
                IF(INDIRECT("'"&amp;F685&amp;"'!$B$2")="Amount",
                    "Investments",
                    "Bill Accounts"
                )
            )
        ),
    "")
)</f>
        <v/>
      </c>
      <c r="I685" s="46" t="str" cm="1">
        <f t="array" aca="1" ref="I685" ca="1">IF(F685&lt;&gt;"",IF(OR(G685="Bill Accounts",G685="Investments", G685="Cash Accounts"),INDIRECT("'"&amp;F685&amp;"'!$C$10"),INDIRECT("'"&amp;F685&amp;"'!$C$8")),"")</f>
        <v/>
      </c>
      <c r="K685" s="48">
        <f t="shared" si="33"/>
        <v>691</v>
      </c>
      <c r="L685" s="114" t="str" cm="1">
        <f t="array" aca="1" ref="L685" ca="1">IF(F685&lt;&gt;"",INDIRECT("'"&amp;F685&amp;"'!$F$17"),"")</f>
        <v/>
      </c>
      <c r="M685" s="116" t="str">
        <f t="shared" ca="1" si="31"/>
        <v/>
      </c>
      <c r="O685" s="49" t="str">
        <f t="shared" ca="1" si="32"/>
        <v/>
      </c>
      <c r="P685" s="38" t="str">
        <f>IF(E685&lt;&gt;"",RANK(E685,$E$3:$E$2298)+COUNTIF($E$3:E685,E685)-1,"")</f>
        <v/>
      </c>
    </row>
    <row r="686" spans="4:16" x14ac:dyDescent="0.25">
      <c r="D686" s="36" t="str" cm="1">
        <f t="array" aca="1" ref="D686" ca="1">IFERROR(IF(INDIRECT("'"&amp;F686&amp;"'!$C$5")&gt;0,DATE(YEAR(Dashboard!$AL$2),Dashboard!$AU$4,INDIRECT("'"&amp;F686&amp;"'!$C$5")),""),"")</f>
        <v/>
      </c>
      <c r="G686" s="38" t="str" cm="1">
        <f t="array" aca="1" ref="G686" ca="1">IF(F686="",
    "",
    IFERROR(
        IF(INDIRECT("'"&amp;F686&amp;"'!$B$2")="Credit Limit",
            "Credit Accounts",
            IF(INDIRECT("'"&amp;F686&amp;"'!$E$2")="Location",
                "Cash Accounts",
                IF(INDIRECT("'"&amp;F686&amp;"'!$B$2")="Amount",
                    "Investments",
                    "Bill Accounts"
                )
            )
        ),
    "")
)</f>
        <v/>
      </c>
      <c r="I686" s="46" t="str" cm="1">
        <f t="array" aca="1" ref="I686" ca="1">IF(F686&lt;&gt;"",IF(OR(G686="Bill Accounts",G686="Investments", G686="Cash Accounts"),INDIRECT("'"&amp;F686&amp;"'!$C$10"),INDIRECT("'"&amp;F686&amp;"'!$C$8")),"")</f>
        <v/>
      </c>
      <c r="K686" s="48">
        <f t="shared" si="33"/>
        <v>692</v>
      </c>
      <c r="L686" s="114" t="str" cm="1">
        <f t="array" aca="1" ref="L686" ca="1">IF(F686&lt;&gt;"",INDIRECT("'"&amp;F686&amp;"'!$F$17"),"")</f>
        <v/>
      </c>
      <c r="M686" s="116" t="str">
        <f t="shared" ca="1" si="31"/>
        <v/>
      </c>
      <c r="O686" s="49" t="str">
        <f t="shared" ca="1" si="32"/>
        <v/>
      </c>
      <c r="P686" s="38" t="str">
        <f>IF(E686&lt;&gt;"",RANK(E686,$E$3:$E$2298)+COUNTIF($E$3:E686,E686)-1,"")</f>
        <v/>
      </c>
    </row>
    <row r="687" spans="4:16" x14ac:dyDescent="0.25">
      <c r="D687" s="36" t="str" cm="1">
        <f t="array" aca="1" ref="D687" ca="1">IFERROR(IF(INDIRECT("'"&amp;F687&amp;"'!$C$5")&gt;0,DATE(YEAR(Dashboard!$AL$2),Dashboard!$AU$4,INDIRECT("'"&amp;F687&amp;"'!$C$5")),""),"")</f>
        <v/>
      </c>
      <c r="G687" s="38" t="str" cm="1">
        <f t="array" aca="1" ref="G687" ca="1">IF(F687="",
    "",
    IFERROR(
        IF(INDIRECT("'"&amp;F687&amp;"'!$B$2")="Credit Limit",
            "Credit Accounts",
            IF(INDIRECT("'"&amp;F687&amp;"'!$E$2")="Location",
                "Cash Accounts",
                IF(INDIRECT("'"&amp;F687&amp;"'!$B$2")="Amount",
                    "Investments",
                    "Bill Accounts"
                )
            )
        ),
    "")
)</f>
        <v/>
      </c>
      <c r="I687" s="46" t="str" cm="1">
        <f t="array" aca="1" ref="I687" ca="1">IF(F687&lt;&gt;"",IF(OR(G687="Bill Accounts",G687="Investments", G687="Cash Accounts"),INDIRECT("'"&amp;F687&amp;"'!$C$10"),INDIRECT("'"&amp;F687&amp;"'!$C$8")),"")</f>
        <v/>
      </c>
      <c r="K687" s="48">
        <f t="shared" si="33"/>
        <v>693</v>
      </c>
      <c r="L687" s="114" t="str" cm="1">
        <f t="array" aca="1" ref="L687" ca="1">IF(F687&lt;&gt;"",INDIRECT("'"&amp;F687&amp;"'!$F$17"),"")</f>
        <v/>
      </c>
      <c r="M687" s="116" t="str">
        <f t="shared" ca="1" si="31"/>
        <v/>
      </c>
      <c r="O687" s="49" t="str">
        <f t="shared" ca="1" si="32"/>
        <v/>
      </c>
      <c r="P687" s="38" t="str">
        <f>IF(E687&lt;&gt;"",RANK(E687,$E$3:$E$2298)+COUNTIF($E$3:E687,E687)-1,"")</f>
        <v/>
      </c>
    </row>
    <row r="688" spans="4:16" x14ac:dyDescent="0.25">
      <c r="D688" s="36" t="str" cm="1">
        <f t="array" aca="1" ref="D688" ca="1">IFERROR(IF(INDIRECT("'"&amp;F688&amp;"'!$C$5")&gt;0,DATE(YEAR(Dashboard!$AL$2),Dashboard!$AU$4,INDIRECT("'"&amp;F688&amp;"'!$C$5")),""),"")</f>
        <v/>
      </c>
      <c r="G688" s="38" t="str" cm="1">
        <f t="array" aca="1" ref="G688" ca="1">IF(F688="",
    "",
    IFERROR(
        IF(INDIRECT("'"&amp;F688&amp;"'!$B$2")="Credit Limit",
            "Credit Accounts",
            IF(INDIRECT("'"&amp;F688&amp;"'!$E$2")="Location",
                "Cash Accounts",
                IF(INDIRECT("'"&amp;F688&amp;"'!$B$2")="Amount",
                    "Investments",
                    "Bill Accounts"
                )
            )
        ),
    "")
)</f>
        <v/>
      </c>
      <c r="I688" s="46" t="str" cm="1">
        <f t="array" aca="1" ref="I688" ca="1">IF(F688&lt;&gt;"",IF(OR(G688="Bill Accounts",G688="Investments", G688="Cash Accounts"),INDIRECT("'"&amp;F688&amp;"'!$C$10"),INDIRECT("'"&amp;F688&amp;"'!$C$8")),"")</f>
        <v/>
      </c>
      <c r="K688" s="48">
        <f t="shared" si="33"/>
        <v>694</v>
      </c>
      <c r="L688" s="114" t="str" cm="1">
        <f t="array" aca="1" ref="L688" ca="1">IF(F688&lt;&gt;"",INDIRECT("'"&amp;F688&amp;"'!$F$17"),"")</f>
        <v/>
      </c>
      <c r="M688" s="116" t="str">
        <f t="shared" ca="1" si="31"/>
        <v/>
      </c>
      <c r="O688" s="49" t="str">
        <f t="shared" ca="1" si="32"/>
        <v/>
      </c>
      <c r="P688" s="38" t="str">
        <f>IF(E688&lt;&gt;"",RANK(E688,$E$3:$E$2298)+COUNTIF($E$3:E688,E688)-1,"")</f>
        <v/>
      </c>
    </row>
    <row r="689" spans="4:16" x14ac:dyDescent="0.25">
      <c r="D689" s="36" t="str" cm="1">
        <f t="array" aca="1" ref="D689" ca="1">IFERROR(IF(INDIRECT("'"&amp;F689&amp;"'!$C$5")&gt;0,DATE(YEAR(Dashboard!$AL$2),Dashboard!$AU$4,INDIRECT("'"&amp;F689&amp;"'!$C$5")),""),"")</f>
        <v/>
      </c>
      <c r="G689" s="38" t="str" cm="1">
        <f t="array" aca="1" ref="G689" ca="1">IF(F689="",
    "",
    IFERROR(
        IF(INDIRECT("'"&amp;F689&amp;"'!$B$2")="Credit Limit",
            "Credit Accounts",
            IF(INDIRECT("'"&amp;F689&amp;"'!$E$2")="Location",
                "Cash Accounts",
                IF(INDIRECT("'"&amp;F689&amp;"'!$B$2")="Amount",
                    "Investments",
                    "Bill Accounts"
                )
            )
        ),
    "")
)</f>
        <v/>
      </c>
      <c r="I689" s="46" t="str" cm="1">
        <f t="array" aca="1" ref="I689" ca="1">IF(F689&lt;&gt;"",IF(OR(G689="Bill Accounts",G689="Investments", G689="Cash Accounts"),INDIRECT("'"&amp;F689&amp;"'!$C$10"),INDIRECT("'"&amp;F689&amp;"'!$C$8")),"")</f>
        <v/>
      </c>
      <c r="K689" s="48">
        <f t="shared" si="33"/>
        <v>695</v>
      </c>
      <c r="L689" s="114" t="str" cm="1">
        <f t="array" aca="1" ref="L689" ca="1">IF(F689&lt;&gt;"",INDIRECT("'"&amp;F689&amp;"'!$F$17"),"")</f>
        <v/>
      </c>
      <c r="M689" s="116" t="str">
        <f t="shared" ca="1" si="31"/>
        <v/>
      </c>
      <c r="O689" s="49" t="str">
        <f t="shared" ca="1" si="32"/>
        <v/>
      </c>
      <c r="P689" s="38" t="str">
        <f>IF(E689&lt;&gt;"",RANK(E689,$E$3:$E$2298)+COUNTIF($E$3:E689,E689)-1,"")</f>
        <v/>
      </c>
    </row>
    <row r="690" spans="4:16" x14ac:dyDescent="0.25">
      <c r="D690" s="36" t="str" cm="1">
        <f t="array" aca="1" ref="D690" ca="1">IFERROR(IF(INDIRECT("'"&amp;F690&amp;"'!$C$5")&gt;0,DATE(YEAR(Dashboard!$AL$2),Dashboard!$AU$4,INDIRECT("'"&amp;F690&amp;"'!$C$5")),""),"")</f>
        <v/>
      </c>
      <c r="G690" s="38" t="str" cm="1">
        <f t="array" aca="1" ref="G690" ca="1">IF(F690="",
    "",
    IFERROR(
        IF(INDIRECT("'"&amp;F690&amp;"'!$B$2")="Credit Limit",
            "Credit Accounts",
            IF(INDIRECT("'"&amp;F690&amp;"'!$E$2")="Location",
                "Cash Accounts",
                IF(INDIRECT("'"&amp;F690&amp;"'!$B$2")="Amount",
                    "Investments",
                    "Bill Accounts"
                )
            )
        ),
    "")
)</f>
        <v/>
      </c>
      <c r="I690" s="46" t="str" cm="1">
        <f t="array" aca="1" ref="I690" ca="1">IF(F690&lt;&gt;"",IF(OR(G690="Bill Accounts",G690="Investments", G690="Cash Accounts"),INDIRECT("'"&amp;F690&amp;"'!$C$10"),INDIRECT("'"&amp;F690&amp;"'!$C$8")),"")</f>
        <v/>
      </c>
      <c r="K690" s="48">
        <f t="shared" si="33"/>
        <v>696</v>
      </c>
      <c r="L690" s="114" t="str" cm="1">
        <f t="array" aca="1" ref="L690" ca="1">IF(F690&lt;&gt;"",INDIRECT("'"&amp;F690&amp;"'!$F$17"),"")</f>
        <v/>
      </c>
      <c r="M690" s="116" t="str">
        <f t="shared" ca="1" si="31"/>
        <v/>
      </c>
      <c r="O690" s="49" t="str">
        <f t="shared" ca="1" si="32"/>
        <v/>
      </c>
      <c r="P690" s="38" t="str">
        <f>IF(E690&lt;&gt;"",RANK(E690,$E$3:$E$2298)+COUNTIF($E$3:E690,E690)-1,"")</f>
        <v/>
      </c>
    </row>
    <row r="691" spans="4:16" x14ac:dyDescent="0.25">
      <c r="D691" s="36" t="str" cm="1">
        <f t="array" aca="1" ref="D691" ca="1">IFERROR(IF(INDIRECT("'"&amp;F691&amp;"'!$C$5")&gt;0,DATE(YEAR(Dashboard!$AL$2),Dashboard!$AU$4,INDIRECT("'"&amp;F691&amp;"'!$C$5")),""),"")</f>
        <v/>
      </c>
      <c r="G691" s="38" t="str" cm="1">
        <f t="array" aca="1" ref="G691" ca="1">IF(F691="",
    "",
    IFERROR(
        IF(INDIRECT("'"&amp;F691&amp;"'!$B$2")="Credit Limit",
            "Credit Accounts",
            IF(INDIRECT("'"&amp;F691&amp;"'!$E$2")="Location",
                "Cash Accounts",
                IF(INDIRECT("'"&amp;F691&amp;"'!$B$2")="Amount",
                    "Investments",
                    "Bill Accounts"
                )
            )
        ),
    "")
)</f>
        <v/>
      </c>
      <c r="I691" s="46" t="str" cm="1">
        <f t="array" aca="1" ref="I691" ca="1">IF(F691&lt;&gt;"",IF(OR(G691="Bill Accounts",G691="Investments", G691="Cash Accounts"),INDIRECT("'"&amp;F691&amp;"'!$C$10"),INDIRECT("'"&amp;F691&amp;"'!$C$8")),"")</f>
        <v/>
      </c>
      <c r="K691" s="48">
        <f t="shared" si="33"/>
        <v>697</v>
      </c>
      <c r="L691" s="114" t="str" cm="1">
        <f t="array" aca="1" ref="L691" ca="1">IF(F691&lt;&gt;"",INDIRECT("'"&amp;F691&amp;"'!$F$17"),"")</f>
        <v/>
      </c>
      <c r="M691" s="116" t="str">
        <f t="shared" ca="1" si="31"/>
        <v/>
      </c>
      <c r="O691" s="49" t="str">
        <f t="shared" ca="1" si="32"/>
        <v/>
      </c>
      <c r="P691" s="38" t="str">
        <f>IF(E691&lt;&gt;"",RANK(E691,$E$3:$E$2298)+COUNTIF($E$3:E691,E691)-1,"")</f>
        <v/>
      </c>
    </row>
    <row r="692" spans="4:16" x14ac:dyDescent="0.25">
      <c r="D692" s="36" t="str" cm="1">
        <f t="array" aca="1" ref="D692" ca="1">IFERROR(IF(INDIRECT("'"&amp;F692&amp;"'!$C$5")&gt;0,DATE(YEAR(Dashboard!$AL$2),Dashboard!$AU$4,INDIRECT("'"&amp;F692&amp;"'!$C$5")),""),"")</f>
        <v/>
      </c>
      <c r="G692" s="38" t="str" cm="1">
        <f t="array" aca="1" ref="G692" ca="1">IF(F692="",
    "",
    IFERROR(
        IF(INDIRECT("'"&amp;F692&amp;"'!$B$2")="Credit Limit",
            "Credit Accounts",
            IF(INDIRECT("'"&amp;F692&amp;"'!$E$2")="Location",
                "Cash Accounts",
                IF(INDIRECT("'"&amp;F692&amp;"'!$B$2")="Amount",
                    "Investments",
                    "Bill Accounts"
                )
            )
        ),
    "")
)</f>
        <v/>
      </c>
      <c r="I692" s="46" t="str" cm="1">
        <f t="array" aca="1" ref="I692" ca="1">IF(F692&lt;&gt;"",IF(OR(G692="Bill Accounts",G692="Investments", G692="Cash Accounts"),INDIRECT("'"&amp;F692&amp;"'!$C$10"),INDIRECT("'"&amp;F692&amp;"'!$C$8")),"")</f>
        <v/>
      </c>
      <c r="K692" s="48">
        <f t="shared" si="33"/>
        <v>698</v>
      </c>
      <c r="L692" s="114" t="str" cm="1">
        <f t="array" aca="1" ref="L692" ca="1">IF(F692&lt;&gt;"",INDIRECT("'"&amp;F692&amp;"'!$F$17"),"")</f>
        <v/>
      </c>
      <c r="M692" s="116" t="str">
        <f t="shared" ca="1" si="31"/>
        <v/>
      </c>
      <c r="O692" s="49" t="str">
        <f t="shared" ca="1" si="32"/>
        <v/>
      </c>
      <c r="P692" s="38" t="str">
        <f>IF(E692&lt;&gt;"",RANK(E692,$E$3:$E$2298)+COUNTIF($E$3:E692,E692)-1,"")</f>
        <v/>
      </c>
    </row>
    <row r="693" spans="4:16" x14ac:dyDescent="0.25">
      <c r="D693" s="36" t="str" cm="1">
        <f t="array" aca="1" ref="D693" ca="1">IFERROR(IF(INDIRECT("'"&amp;F693&amp;"'!$C$5")&gt;0,DATE(YEAR(Dashboard!$AL$2),Dashboard!$AU$4,INDIRECT("'"&amp;F693&amp;"'!$C$5")),""),"")</f>
        <v/>
      </c>
      <c r="G693" s="38" t="str" cm="1">
        <f t="array" aca="1" ref="G693" ca="1">IF(F693="",
    "",
    IFERROR(
        IF(INDIRECT("'"&amp;F693&amp;"'!$B$2")="Credit Limit",
            "Credit Accounts",
            IF(INDIRECT("'"&amp;F693&amp;"'!$E$2")="Location",
                "Cash Accounts",
                IF(INDIRECT("'"&amp;F693&amp;"'!$B$2")="Amount",
                    "Investments",
                    "Bill Accounts"
                )
            )
        ),
    "")
)</f>
        <v/>
      </c>
      <c r="I693" s="46" t="str" cm="1">
        <f t="array" aca="1" ref="I693" ca="1">IF(F693&lt;&gt;"",IF(OR(G693="Bill Accounts",G693="Investments", G693="Cash Accounts"),INDIRECT("'"&amp;F693&amp;"'!$C$10"),INDIRECT("'"&amp;F693&amp;"'!$C$8")),"")</f>
        <v/>
      </c>
      <c r="K693" s="48">
        <f t="shared" si="33"/>
        <v>699</v>
      </c>
      <c r="L693" s="114" t="str" cm="1">
        <f t="array" aca="1" ref="L693" ca="1">IF(F693&lt;&gt;"",INDIRECT("'"&amp;F693&amp;"'!$F$17"),"")</f>
        <v/>
      </c>
      <c r="M693" s="116" t="str">
        <f t="shared" ca="1" si="31"/>
        <v/>
      </c>
      <c r="O693" s="49" t="str">
        <f t="shared" ca="1" si="32"/>
        <v/>
      </c>
      <c r="P693" s="38" t="str">
        <f>IF(E693&lt;&gt;"",RANK(E693,$E$3:$E$2298)+COUNTIF($E$3:E693,E693)-1,"")</f>
        <v/>
      </c>
    </row>
    <row r="694" spans="4:16" x14ac:dyDescent="0.25">
      <c r="D694" s="36" t="str" cm="1">
        <f t="array" aca="1" ref="D694" ca="1">IFERROR(IF(INDIRECT("'"&amp;F694&amp;"'!$C$5")&gt;0,DATE(YEAR(Dashboard!$AL$2),Dashboard!$AU$4,INDIRECT("'"&amp;F694&amp;"'!$C$5")),""),"")</f>
        <v/>
      </c>
      <c r="G694" s="38" t="str" cm="1">
        <f t="array" aca="1" ref="G694" ca="1">IF(F694="",
    "",
    IFERROR(
        IF(INDIRECT("'"&amp;F694&amp;"'!$B$2")="Credit Limit",
            "Credit Accounts",
            IF(INDIRECT("'"&amp;F694&amp;"'!$E$2")="Location",
                "Cash Accounts",
                IF(INDIRECT("'"&amp;F694&amp;"'!$B$2")="Amount",
                    "Investments",
                    "Bill Accounts"
                )
            )
        ),
    "")
)</f>
        <v/>
      </c>
      <c r="I694" s="46" t="str" cm="1">
        <f t="array" aca="1" ref="I694" ca="1">IF(F694&lt;&gt;"",IF(OR(G694="Bill Accounts",G694="Investments", G694="Cash Accounts"),INDIRECT("'"&amp;F694&amp;"'!$C$10"),INDIRECT("'"&amp;F694&amp;"'!$C$8")),"")</f>
        <v/>
      </c>
      <c r="K694" s="48">
        <f t="shared" si="33"/>
        <v>700</v>
      </c>
      <c r="L694" s="114" t="str" cm="1">
        <f t="array" aca="1" ref="L694" ca="1">IF(F694&lt;&gt;"",INDIRECT("'"&amp;F694&amp;"'!$F$17"),"")</f>
        <v/>
      </c>
      <c r="M694" s="116" t="str">
        <f t="shared" ca="1" si="31"/>
        <v/>
      </c>
      <c r="O694" s="49" t="str">
        <f t="shared" ca="1" si="32"/>
        <v/>
      </c>
      <c r="P694" s="38" t="str">
        <f>IF(E694&lt;&gt;"",RANK(E694,$E$3:$E$2298)+COUNTIF($E$3:E694,E694)-1,"")</f>
        <v/>
      </c>
    </row>
    <row r="695" spans="4:16" x14ac:dyDescent="0.25">
      <c r="D695" s="36" t="str" cm="1">
        <f t="array" aca="1" ref="D695" ca="1">IFERROR(IF(INDIRECT("'"&amp;F695&amp;"'!$C$5")&gt;0,DATE(YEAR(Dashboard!$AL$2),Dashboard!$AU$4,INDIRECT("'"&amp;F695&amp;"'!$C$5")),""),"")</f>
        <v/>
      </c>
      <c r="G695" s="38" t="str" cm="1">
        <f t="array" aca="1" ref="G695" ca="1">IF(F695="",
    "",
    IFERROR(
        IF(INDIRECT("'"&amp;F695&amp;"'!$B$2")="Credit Limit",
            "Credit Accounts",
            IF(INDIRECT("'"&amp;F695&amp;"'!$E$2")="Location",
                "Cash Accounts",
                IF(INDIRECT("'"&amp;F695&amp;"'!$B$2")="Amount",
                    "Investments",
                    "Bill Accounts"
                )
            )
        ),
    "")
)</f>
        <v/>
      </c>
      <c r="I695" s="46" t="str" cm="1">
        <f t="array" aca="1" ref="I695" ca="1">IF(F695&lt;&gt;"",IF(OR(G695="Bill Accounts",G695="Investments", G695="Cash Accounts"),INDIRECT("'"&amp;F695&amp;"'!$C$10"),INDIRECT("'"&amp;F695&amp;"'!$C$8")),"")</f>
        <v/>
      </c>
      <c r="K695" s="48">
        <f t="shared" si="33"/>
        <v>701</v>
      </c>
      <c r="L695" s="114" t="str" cm="1">
        <f t="array" aca="1" ref="L695" ca="1">IF(F695&lt;&gt;"",INDIRECT("'"&amp;F695&amp;"'!$F$17"),"")</f>
        <v/>
      </c>
      <c r="M695" s="116" t="str">
        <f t="shared" ca="1" si="31"/>
        <v/>
      </c>
      <c r="O695" s="49" t="str">
        <f t="shared" ca="1" si="32"/>
        <v/>
      </c>
      <c r="P695" s="38" t="str">
        <f>IF(E695&lt;&gt;"",RANK(E695,$E$3:$E$2298)+COUNTIF($E$3:E695,E695)-1,"")</f>
        <v/>
      </c>
    </row>
    <row r="696" spans="4:16" x14ac:dyDescent="0.25">
      <c r="D696" s="36" t="str" cm="1">
        <f t="array" aca="1" ref="D696" ca="1">IFERROR(IF(INDIRECT("'"&amp;F696&amp;"'!$C$5")&gt;0,DATE(YEAR(Dashboard!$AL$2),Dashboard!$AU$4,INDIRECT("'"&amp;F696&amp;"'!$C$5")),""),"")</f>
        <v/>
      </c>
      <c r="G696" s="38" t="str" cm="1">
        <f t="array" aca="1" ref="G696" ca="1">IF(F696="",
    "",
    IFERROR(
        IF(INDIRECT("'"&amp;F696&amp;"'!$B$2")="Credit Limit",
            "Credit Accounts",
            IF(INDIRECT("'"&amp;F696&amp;"'!$E$2")="Location",
                "Cash Accounts",
                IF(INDIRECT("'"&amp;F696&amp;"'!$B$2")="Amount",
                    "Investments",
                    "Bill Accounts"
                )
            )
        ),
    "")
)</f>
        <v/>
      </c>
      <c r="I696" s="46" t="str" cm="1">
        <f t="array" aca="1" ref="I696" ca="1">IF(F696&lt;&gt;"",IF(OR(G696="Bill Accounts",G696="Investments", G696="Cash Accounts"),INDIRECT("'"&amp;F696&amp;"'!$C$10"),INDIRECT("'"&amp;F696&amp;"'!$C$8")),"")</f>
        <v/>
      </c>
      <c r="K696" s="48">
        <f t="shared" si="33"/>
        <v>702</v>
      </c>
      <c r="L696" s="114" t="str" cm="1">
        <f t="array" aca="1" ref="L696" ca="1">IF(F696&lt;&gt;"",INDIRECT("'"&amp;F696&amp;"'!$F$17"),"")</f>
        <v/>
      </c>
      <c r="M696" s="116" t="str">
        <f t="shared" ca="1" si="31"/>
        <v/>
      </c>
      <c r="O696" s="49" t="str">
        <f t="shared" ca="1" si="32"/>
        <v/>
      </c>
      <c r="P696" s="38" t="str">
        <f>IF(E696&lt;&gt;"",RANK(E696,$E$3:$E$2298)+COUNTIF($E$3:E696,E696)-1,"")</f>
        <v/>
      </c>
    </row>
    <row r="697" spans="4:16" x14ac:dyDescent="0.25">
      <c r="D697" s="36" t="str" cm="1">
        <f t="array" aca="1" ref="D697" ca="1">IFERROR(IF(INDIRECT("'"&amp;F697&amp;"'!$C$5")&gt;0,DATE(YEAR(Dashboard!$AL$2),Dashboard!$AU$4,INDIRECT("'"&amp;F697&amp;"'!$C$5")),""),"")</f>
        <v/>
      </c>
      <c r="G697" s="38" t="str" cm="1">
        <f t="array" aca="1" ref="G697" ca="1">IF(F697="",
    "",
    IFERROR(
        IF(INDIRECT("'"&amp;F697&amp;"'!$B$2")="Credit Limit",
            "Credit Accounts",
            IF(INDIRECT("'"&amp;F697&amp;"'!$E$2")="Location",
                "Cash Accounts",
                IF(INDIRECT("'"&amp;F697&amp;"'!$B$2")="Amount",
                    "Investments",
                    "Bill Accounts"
                )
            )
        ),
    "")
)</f>
        <v/>
      </c>
      <c r="I697" s="46" t="str" cm="1">
        <f t="array" aca="1" ref="I697" ca="1">IF(F697&lt;&gt;"",IF(OR(G697="Bill Accounts",G697="Investments", G697="Cash Accounts"),INDIRECT("'"&amp;F697&amp;"'!$C$10"),INDIRECT("'"&amp;F697&amp;"'!$C$8")),"")</f>
        <v/>
      </c>
      <c r="K697" s="48">
        <f t="shared" si="33"/>
        <v>703</v>
      </c>
      <c r="L697" s="114" t="str" cm="1">
        <f t="array" aca="1" ref="L697" ca="1">IF(F697&lt;&gt;"",INDIRECT("'"&amp;F697&amp;"'!$F$17"),"")</f>
        <v/>
      </c>
      <c r="M697" s="116" t="str">
        <f t="shared" ca="1" si="31"/>
        <v/>
      </c>
      <c r="O697" s="49" t="str">
        <f t="shared" ca="1" si="32"/>
        <v/>
      </c>
      <c r="P697" s="38" t="str">
        <f>IF(E697&lt;&gt;"",RANK(E697,$E$3:$E$2298)+COUNTIF($E$3:E697,E697)-1,"")</f>
        <v/>
      </c>
    </row>
    <row r="698" spans="4:16" x14ac:dyDescent="0.25">
      <c r="D698" s="36" t="str" cm="1">
        <f t="array" aca="1" ref="D698" ca="1">IFERROR(IF(INDIRECT("'"&amp;F698&amp;"'!$C$5")&gt;0,DATE(YEAR(Dashboard!$AL$2),Dashboard!$AU$4,INDIRECT("'"&amp;F698&amp;"'!$C$5")),""),"")</f>
        <v/>
      </c>
      <c r="G698" s="38" t="str" cm="1">
        <f t="array" aca="1" ref="G698" ca="1">IF(F698="",
    "",
    IFERROR(
        IF(INDIRECT("'"&amp;F698&amp;"'!$B$2")="Credit Limit",
            "Credit Accounts",
            IF(INDIRECT("'"&amp;F698&amp;"'!$E$2")="Location",
                "Cash Accounts",
                IF(INDIRECT("'"&amp;F698&amp;"'!$B$2")="Amount",
                    "Investments",
                    "Bill Accounts"
                )
            )
        ),
    "")
)</f>
        <v/>
      </c>
      <c r="I698" s="46" t="str" cm="1">
        <f t="array" aca="1" ref="I698" ca="1">IF(F698&lt;&gt;"",IF(OR(G698="Bill Accounts",G698="Investments", G698="Cash Accounts"),INDIRECT("'"&amp;F698&amp;"'!$C$10"),INDIRECT("'"&amp;F698&amp;"'!$C$8")),"")</f>
        <v/>
      </c>
      <c r="K698" s="48">
        <f t="shared" si="33"/>
        <v>704</v>
      </c>
      <c r="L698" s="114" t="str" cm="1">
        <f t="array" aca="1" ref="L698" ca="1">IF(F698&lt;&gt;"",INDIRECT("'"&amp;F698&amp;"'!$F$17"),"")</f>
        <v/>
      </c>
      <c r="M698" s="116" t="str">
        <f t="shared" ca="1" si="31"/>
        <v/>
      </c>
      <c r="O698" s="49" t="str">
        <f t="shared" ca="1" si="32"/>
        <v/>
      </c>
      <c r="P698" s="38" t="str">
        <f>IF(E698&lt;&gt;"",RANK(E698,$E$3:$E$2298)+COUNTIF($E$3:E698,E698)-1,"")</f>
        <v/>
      </c>
    </row>
    <row r="699" spans="4:16" x14ac:dyDescent="0.25">
      <c r="D699" s="36" t="str" cm="1">
        <f t="array" aca="1" ref="D699" ca="1">IFERROR(IF(INDIRECT("'"&amp;F699&amp;"'!$C$5")&gt;0,DATE(YEAR(Dashboard!$AL$2),Dashboard!$AU$4,INDIRECT("'"&amp;F699&amp;"'!$C$5")),""),"")</f>
        <v/>
      </c>
      <c r="G699" s="38" t="str" cm="1">
        <f t="array" aca="1" ref="G699" ca="1">IF(F699="",
    "",
    IFERROR(
        IF(INDIRECT("'"&amp;F699&amp;"'!$B$2")="Credit Limit",
            "Credit Accounts",
            IF(INDIRECT("'"&amp;F699&amp;"'!$E$2")="Location",
                "Cash Accounts",
                IF(INDIRECT("'"&amp;F699&amp;"'!$B$2")="Amount",
                    "Investments",
                    "Bill Accounts"
                )
            )
        ),
    "")
)</f>
        <v/>
      </c>
      <c r="I699" s="46" t="str" cm="1">
        <f t="array" aca="1" ref="I699" ca="1">IF(F699&lt;&gt;"",IF(OR(G699="Bill Accounts",G699="Investments", G699="Cash Accounts"),INDIRECT("'"&amp;F699&amp;"'!$C$10"),INDIRECT("'"&amp;F699&amp;"'!$C$8")),"")</f>
        <v/>
      </c>
      <c r="K699" s="48">
        <f t="shared" si="33"/>
        <v>705</v>
      </c>
      <c r="L699" s="114" t="str" cm="1">
        <f t="array" aca="1" ref="L699" ca="1">IF(F699&lt;&gt;"",INDIRECT("'"&amp;F699&amp;"'!$F$17"),"")</f>
        <v/>
      </c>
      <c r="M699" s="116" t="str">
        <f t="shared" ca="1" si="31"/>
        <v/>
      </c>
      <c r="O699" s="49" t="str">
        <f t="shared" ca="1" si="32"/>
        <v/>
      </c>
      <c r="P699" s="38" t="str">
        <f>IF(E699&lt;&gt;"",RANK(E699,$E$3:$E$2298)+COUNTIF($E$3:E699,E699)-1,"")</f>
        <v/>
      </c>
    </row>
    <row r="700" spans="4:16" x14ac:dyDescent="0.25">
      <c r="D700" s="36" t="str" cm="1">
        <f t="array" aca="1" ref="D700" ca="1">IFERROR(IF(INDIRECT("'"&amp;F700&amp;"'!$C$5")&gt;0,DATE(YEAR(Dashboard!$AL$2),Dashboard!$AU$4,INDIRECT("'"&amp;F700&amp;"'!$C$5")),""),"")</f>
        <v/>
      </c>
      <c r="G700" s="38" t="str" cm="1">
        <f t="array" aca="1" ref="G700" ca="1">IF(F700="",
    "",
    IFERROR(
        IF(INDIRECT("'"&amp;F700&amp;"'!$B$2")="Credit Limit",
            "Credit Accounts",
            IF(INDIRECT("'"&amp;F700&amp;"'!$E$2")="Location",
                "Cash Accounts",
                IF(INDIRECT("'"&amp;F700&amp;"'!$B$2")="Amount",
                    "Investments",
                    "Bill Accounts"
                )
            )
        ),
    "")
)</f>
        <v/>
      </c>
      <c r="I700" s="46" t="str" cm="1">
        <f t="array" aca="1" ref="I700" ca="1">IF(F700&lt;&gt;"",IF(OR(G700="Bill Accounts",G700="Investments", G700="Cash Accounts"),INDIRECT("'"&amp;F700&amp;"'!$C$10"),INDIRECT("'"&amp;F700&amp;"'!$C$8")),"")</f>
        <v/>
      </c>
      <c r="K700" s="48">
        <f t="shared" si="33"/>
        <v>706</v>
      </c>
      <c r="L700" s="114" t="str" cm="1">
        <f t="array" aca="1" ref="L700" ca="1">IF(F700&lt;&gt;"",INDIRECT("'"&amp;F700&amp;"'!$F$17"),"")</f>
        <v/>
      </c>
      <c r="M700" s="116" t="str">
        <f t="shared" ca="1" si="31"/>
        <v/>
      </c>
      <c r="O700" s="49" t="str">
        <f t="shared" ca="1" si="32"/>
        <v/>
      </c>
      <c r="P700" s="38" t="str">
        <f>IF(E700&lt;&gt;"",RANK(E700,$E$3:$E$2298)+COUNTIF($E$3:E700,E700)-1,"")</f>
        <v/>
      </c>
    </row>
    <row r="701" spans="4:16" x14ac:dyDescent="0.25">
      <c r="D701" s="36" t="str" cm="1">
        <f t="array" aca="1" ref="D701" ca="1">IFERROR(IF(INDIRECT("'"&amp;F701&amp;"'!$C$5")&gt;0,DATE(YEAR(Dashboard!$AL$2),Dashboard!$AU$4,INDIRECT("'"&amp;F701&amp;"'!$C$5")),""),"")</f>
        <v/>
      </c>
      <c r="G701" s="38" t="str" cm="1">
        <f t="array" aca="1" ref="G701" ca="1">IF(F701="",
    "",
    IFERROR(
        IF(INDIRECT("'"&amp;F701&amp;"'!$B$2")="Credit Limit",
            "Credit Accounts",
            IF(INDIRECT("'"&amp;F701&amp;"'!$E$2")="Location",
                "Cash Accounts",
                IF(INDIRECT("'"&amp;F701&amp;"'!$B$2")="Amount",
                    "Investments",
                    "Bill Accounts"
                )
            )
        ),
    "")
)</f>
        <v/>
      </c>
      <c r="I701" s="46" t="str" cm="1">
        <f t="array" aca="1" ref="I701" ca="1">IF(F701&lt;&gt;"",IF(OR(G701="Bill Accounts",G701="Investments", G701="Cash Accounts"),INDIRECT("'"&amp;F701&amp;"'!$C$10"),INDIRECT("'"&amp;F701&amp;"'!$C$8")),"")</f>
        <v/>
      </c>
      <c r="K701" s="48">
        <f t="shared" si="33"/>
        <v>707</v>
      </c>
      <c r="L701" s="114" t="str" cm="1">
        <f t="array" aca="1" ref="L701" ca="1">IF(F701&lt;&gt;"",INDIRECT("'"&amp;F701&amp;"'!$F$17"),"")</f>
        <v/>
      </c>
      <c r="M701" s="116" t="str">
        <f t="shared" ca="1" si="31"/>
        <v/>
      </c>
      <c r="O701" s="49" t="str">
        <f t="shared" ca="1" si="32"/>
        <v/>
      </c>
      <c r="P701" s="38" t="str">
        <f>IF(E701&lt;&gt;"",RANK(E701,$E$3:$E$2298)+COUNTIF($E$3:E701,E701)-1,"")</f>
        <v/>
      </c>
    </row>
    <row r="702" spans="4:16" x14ac:dyDescent="0.25">
      <c r="D702" s="36" t="str" cm="1">
        <f t="array" aca="1" ref="D702" ca="1">IFERROR(IF(INDIRECT("'"&amp;F702&amp;"'!$C$5")&gt;0,DATE(YEAR(Dashboard!$AL$2),Dashboard!$AU$4,INDIRECT("'"&amp;F702&amp;"'!$C$5")),""),"")</f>
        <v/>
      </c>
      <c r="G702" s="38" t="str" cm="1">
        <f t="array" aca="1" ref="G702" ca="1">IF(F702="",
    "",
    IFERROR(
        IF(INDIRECT("'"&amp;F702&amp;"'!$B$2")="Credit Limit",
            "Credit Accounts",
            IF(INDIRECT("'"&amp;F702&amp;"'!$E$2")="Location",
                "Cash Accounts",
                IF(INDIRECT("'"&amp;F702&amp;"'!$B$2")="Amount",
                    "Investments",
                    "Bill Accounts"
                )
            )
        ),
    "")
)</f>
        <v/>
      </c>
      <c r="I702" s="46" t="str" cm="1">
        <f t="array" aca="1" ref="I702" ca="1">IF(F702&lt;&gt;"",IF(OR(G702="Bill Accounts",G702="Investments", G702="Cash Accounts"),INDIRECT("'"&amp;F702&amp;"'!$C$10"),INDIRECT("'"&amp;F702&amp;"'!$C$8")),"")</f>
        <v/>
      </c>
      <c r="K702" s="48">
        <f t="shared" si="33"/>
        <v>708</v>
      </c>
      <c r="L702" s="114" t="str" cm="1">
        <f t="array" aca="1" ref="L702" ca="1">IF(F702&lt;&gt;"",INDIRECT("'"&amp;F702&amp;"'!$F$17"),"")</f>
        <v/>
      </c>
      <c r="M702" s="116" t="str">
        <f t="shared" ca="1" si="31"/>
        <v/>
      </c>
      <c r="O702" s="49" t="str">
        <f t="shared" ca="1" si="32"/>
        <v/>
      </c>
      <c r="P702" s="38" t="str">
        <f>IF(E702&lt;&gt;"",RANK(E702,$E$3:$E$2298)+COUNTIF($E$3:E702,E702)-1,"")</f>
        <v/>
      </c>
    </row>
    <row r="703" spans="4:16" x14ac:dyDescent="0.25">
      <c r="D703" s="36" t="str" cm="1">
        <f t="array" aca="1" ref="D703" ca="1">IFERROR(IF(INDIRECT("'"&amp;F703&amp;"'!$C$5")&gt;0,DATE(YEAR(Dashboard!$AL$2),Dashboard!$AU$4,INDIRECT("'"&amp;F703&amp;"'!$C$5")),""),"")</f>
        <v/>
      </c>
      <c r="G703" s="38" t="str" cm="1">
        <f t="array" aca="1" ref="G703" ca="1">IF(F703="",
    "",
    IFERROR(
        IF(INDIRECT("'"&amp;F703&amp;"'!$B$2")="Credit Limit",
            "Credit Accounts",
            IF(INDIRECT("'"&amp;F703&amp;"'!$E$2")="Location",
                "Cash Accounts",
                IF(INDIRECT("'"&amp;F703&amp;"'!$B$2")="Amount",
                    "Investments",
                    "Bill Accounts"
                )
            )
        ),
    "")
)</f>
        <v/>
      </c>
      <c r="I703" s="46" t="str" cm="1">
        <f t="array" aca="1" ref="I703" ca="1">IF(F703&lt;&gt;"",IF(OR(G703="Bill Accounts",G703="Investments", G703="Cash Accounts"),INDIRECT("'"&amp;F703&amp;"'!$C$10"),INDIRECT("'"&amp;F703&amp;"'!$C$8")),"")</f>
        <v/>
      </c>
      <c r="K703" s="48">
        <f t="shared" si="33"/>
        <v>709</v>
      </c>
      <c r="L703" s="114" t="str" cm="1">
        <f t="array" aca="1" ref="L703" ca="1">IF(F703&lt;&gt;"",INDIRECT("'"&amp;F703&amp;"'!$F$17"),"")</f>
        <v/>
      </c>
      <c r="M703" s="116" t="str">
        <f t="shared" ca="1" si="31"/>
        <v/>
      </c>
      <c r="O703" s="49" t="str">
        <f t="shared" ca="1" si="32"/>
        <v/>
      </c>
      <c r="P703" s="38" t="str">
        <f>IF(E703&lt;&gt;"",RANK(E703,$E$3:$E$2298)+COUNTIF($E$3:E703,E703)-1,"")</f>
        <v/>
      </c>
    </row>
    <row r="704" spans="4:16" x14ac:dyDescent="0.25">
      <c r="D704" s="36" t="str" cm="1">
        <f t="array" aca="1" ref="D704" ca="1">IFERROR(IF(INDIRECT("'"&amp;F704&amp;"'!$C$5")&gt;0,DATE(YEAR(Dashboard!$AL$2),Dashboard!$AU$4,INDIRECT("'"&amp;F704&amp;"'!$C$5")),""),"")</f>
        <v/>
      </c>
      <c r="G704" s="38" t="str" cm="1">
        <f t="array" aca="1" ref="G704" ca="1">IF(F704="",
    "",
    IFERROR(
        IF(INDIRECT("'"&amp;F704&amp;"'!$B$2")="Credit Limit",
            "Credit Accounts",
            IF(INDIRECT("'"&amp;F704&amp;"'!$E$2")="Location",
                "Cash Accounts",
                IF(INDIRECT("'"&amp;F704&amp;"'!$B$2")="Amount",
                    "Investments",
                    "Bill Accounts"
                )
            )
        ),
    "")
)</f>
        <v/>
      </c>
      <c r="I704" s="46" t="str" cm="1">
        <f t="array" aca="1" ref="I704" ca="1">IF(F704&lt;&gt;"",IF(OR(G704="Bill Accounts",G704="Investments", G704="Cash Accounts"),INDIRECT("'"&amp;F704&amp;"'!$C$10"),INDIRECT("'"&amp;F704&amp;"'!$C$8")),"")</f>
        <v/>
      </c>
      <c r="K704" s="48">
        <f t="shared" si="33"/>
        <v>710</v>
      </c>
      <c r="L704" s="114" t="str" cm="1">
        <f t="array" aca="1" ref="L704" ca="1">IF(F704&lt;&gt;"",INDIRECT("'"&amp;F704&amp;"'!$F$17"),"")</f>
        <v/>
      </c>
      <c r="M704" s="116" t="str">
        <f t="shared" ca="1" si="31"/>
        <v/>
      </c>
      <c r="O704" s="49" t="str">
        <f t="shared" ca="1" si="32"/>
        <v/>
      </c>
      <c r="P704" s="38" t="str">
        <f>IF(E704&lt;&gt;"",RANK(E704,$E$3:$E$2298)+COUNTIF($E$3:E704,E704)-1,"")</f>
        <v/>
      </c>
    </row>
    <row r="705" spans="4:16" x14ac:dyDescent="0.25">
      <c r="D705" s="36" t="str" cm="1">
        <f t="array" aca="1" ref="D705" ca="1">IFERROR(IF(INDIRECT("'"&amp;F705&amp;"'!$C$5")&gt;0,DATE(YEAR(Dashboard!$AL$2),Dashboard!$AU$4,INDIRECT("'"&amp;F705&amp;"'!$C$5")),""),"")</f>
        <v/>
      </c>
      <c r="G705" s="38" t="str" cm="1">
        <f t="array" aca="1" ref="G705" ca="1">IF(F705="",
    "",
    IFERROR(
        IF(INDIRECT("'"&amp;F705&amp;"'!$B$2")="Credit Limit",
            "Credit Accounts",
            IF(INDIRECT("'"&amp;F705&amp;"'!$E$2")="Location",
                "Cash Accounts",
                IF(INDIRECT("'"&amp;F705&amp;"'!$B$2")="Amount",
                    "Investments",
                    "Bill Accounts"
                )
            )
        ),
    "")
)</f>
        <v/>
      </c>
      <c r="I705" s="46" t="str" cm="1">
        <f t="array" aca="1" ref="I705" ca="1">IF(F705&lt;&gt;"",IF(OR(G705="Bill Accounts",G705="Investments", G705="Cash Accounts"),INDIRECT("'"&amp;F705&amp;"'!$C$10"),INDIRECT("'"&amp;F705&amp;"'!$C$8")),"")</f>
        <v/>
      </c>
      <c r="K705" s="48">
        <f t="shared" si="33"/>
        <v>711</v>
      </c>
      <c r="L705" s="114" t="str" cm="1">
        <f t="array" aca="1" ref="L705" ca="1">IF(F705&lt;&gt;"",INDIRECT("'"&amp;F705&amp;"'!$F$17"),"")</f>
        <v/>
      </c>
      <c r="M705" s="116" t="str">
        <f t="shared" ca="1" si="31"/>
        <v/>
      </c>
      <c r="O705" s="49" t="str">
        <f t="shared" ca="1" si="32"/>
        <v/>
      </c>
      <c r="P705" s="38" t="str">
        <f>IF(E705&lt;&gt;"",RANK(E705,$E$3:$E$2298)+COUNTIF($E$3:E705,E705)-1,"")</f>
        <v/>
      </c>
    </row>
    <row r="706" spans="4:16" x14ac:dyDescent="0.25">
      <c r="D706" s="36" t="str" cm="1">
        <f t="array" aca="1" ref="D706" ca="1">IFERROR(IF(INDIRECT("'"&amp;F706&amp;"'!$C$5")&gt;0,DATE(YEAR(Dashboard!$AL$2),Dashboard!$AU$4,INDIRECT("'"&amp;F706&amp;"'!$C$5")),""),"")</f>
        <v/>
      </c>
      <c r="G706" s="38" t="str" cm="1">
        <f t="array" aca="1" ref="G706" ca="1">IF(F706="",
    "",
    IFERROR(
        IF(INDIRECT("'"&amp;F706&amp;"'!$B$2")="Credit Limit",
            "Credit Accounts",
            IF(INDIRECT("'"&amp;F706&amp;"'!$E$2")="Location",
                "Cash Accounts",
                IF(INDIRECT("'"&amp;F706&amp;"'!$B$2")="Amount",
                    "Investments",
                    "Bill Accounts"
                )
            )
        ),
    "")
)</f>
        <v/>
      </c>
      <c r="I706" s="46" t="str" cm="1">
        <f t="array" aca="1" ref="I706" ca="1">IF(F706&lt;&gt;"",IF(OR(G706="Bill Accounts",G706="Investments", G706="Cash Accounts"),INDIRECT("'"&amp;F706&amp;"'!$C$10"),INDIRECT("'"&amp;F706&amp;"'!$C$8")),"")</f>
        <v/>
      </c>
      <c r="K706" s="48">
        <f t="shared" si="33"/>
        <v>712</v>
      </c>
      <c r="L706" s="114" t="str" cm="1">
        <f t="array" aca="1" ref="L706" ca="1">IF(F706&lt;&gt;"",INDIRECT("'"&amp;F706&amp;"'!$F$17"),"")</f>
        <v/>
      </c>
      <c r="M706" s="116" t="str">
        <f t="shared" ca="1" si="31"/>
        <v/>
      </c>
      <c r="O706" s="49" t="str">
        <f t="shared" ca="1" si="32"/>
        <v/>
      </c>
      <c r="P706" s="38" t="str">
        <f>IF(E706&lt;&gt;"",RANK(E706,$E$3:$E$2298)+COUNTIF($E$3:E706,E706)-1,"")</f>
        <v/>
      </c>
    </row>
    <row r="707" spans="4:16" x14ac:dyDescent="0.25">
      <c r="D707" s="36" t="str" cm="1">
        <f t="array" aca="1" ref="D707" ca="1">IFERROR(IF(INDIRECT("'"&amp;F707&amp;"'!$C$5")&gt;0,DATE(YEAR(Dashboard!$AL$2),Dashboard!$AU$4,INDIRECT("'"&amp;F707&amp;"'!$C$5")),""),"")</f>
        <v/>
      </c>
      <c r="G707" s="38" t="str" cm="1">
        <f t="array" aca="1" ref="G707" ca="1">IF(F707="",
    "",
    IFERROR(
        IF(INDIRECT("'"&amp;F707&amp;"'!$B$2")="Credit Limit",
            "Credit Accounts",
            IF(INDIRECT("'"&amp;F707&amp;"'!$E$2")="Location",
                "Cash Accounts",
                IF(INDIRECT("'"&amp;F707&amp;"'!$B$2")="Amount",
                    "Investments",
                    "Bill Accounts"
                )
            )
        ),
    "")
)</f>
        <v/>
      </c>
      <c r="I707" s="46" t="str" cm="1">
        <f t="array" aca="1" ref="I707" ca="1">IF(F707&lt;&gt;"",IF(OR(G707="Bill Accounts",G707="Investments", G707="Cash Accounts"),INDIRECT("'"&amp;F707&amp;"'!$C$10"),INDIRECT("'"&amp;F707&amp;"'!$C$8")),"")</f>
        <v/>
      </c>
      <c r="K707" s="48">
        <f t="shared" si="33"/>
        <v>713</v>
      </c>
      <c r="L707" s="114" t="str" cm="1">
        <f t="array" aca="1" ref="L707" ca="1">IF(F707&lt;&gt;"",INDIRECT("'"&amp;F707&amp;"'!$F$17"),"")</f>
        <v/>
      </c>
      <c r="M707" s="116" t="str">
        <f t="shared" ca="1" si="31"/>
        <v/>
      </c>
      <c r="O707" s="49" t="str">
        <f t="shared" ca="1" si="32"/>
        <v/>
      </c>
      <c r="P707" s="38" t="str">
        <f>IF(E707&lt;&gt;"",RANK(E707,$E$3:$E$2298)+COUNTIF($E$3:E707,E707)-1,"")</f>
        <v/>
      </c>
    </row>
    <row r="708" spans="4:16" x14ac:dyDescent="0.25">
      <c r="D708" s="36" t="str" cm="1">
        <f t="array" aca="1" ref="D708" ca="1">IFERROR(IF(INDIRECT("'"&amp;F708&amp;"'!$C$5")&gt;0,DATE(YEAR(Dashboard!$AL$2),Dashboard!$AU$4,INDIRECT("'"&amp;F708&amp;"'!$C$5")),""),"")</f>
        <v/>
      </c>
      <c r="G708" s="38" t="str" cm="1">
        <f t="array" aca="1" ref="G708" ca="1">IF(F708="",
    "",
    IFERROR(
        IF(INDIRECT("'"&amp;F708&amp;"'!$B$2")="Credit Limit",
            "Credit Accounts",
            IF(INDIRECT("'"&amp;F708&amp;"'!$E$2")="Location",
                "Cash Accounts",
                IF(INDIRECT("'"&amp;F708&amp;"'!$B$2")="Amount",
                    "Investments",
                    "Bill Accounts"
                )
            )
        ),
    "")
)</f>
        <v/>
      </c>
      <c r="I708" s="46" t="str" cm="1">
        <f t="array" aca="1" ref="I708" ca="1">IF(F708&lt;&gt;"",IF(OR(G708="Bill Accounts",G708="Investments", G708="Cash Accounts"),INDIRECT("'"&amp;F708&amp;"'!$C$10"),INDIRECT("'"&amp;F708&amp;"'!$C$8")),"")</f>
        <v/>
      </c>
      <c r="K708" s="48">
        <f t="shared" si="33"/>
        <v>714</v>
      </c>
      <c r="L708" s="114" t="str" cm="1">
        <f t="array" aca="1" ref="L708" ca="1">IF(F708&lt;&gt;"",INDIRECT("'"&amp;F708&amp;"'!$F$17"),"")</f>
        <v/>
      </c>
      <c r="M708" s="116" t="str">
        <f t="shared" ref="M708:M771" ca="1" si="34">IF(G708="Credit Accounts",EDATE(TODAY(),INDIRECT("'"&amp;F708&amp;"'!$C$14")),"")</f>
        <v/>
      </c>
      <c r="O708" s="49" t="str">
        <f t="shared" ref="O708:O771" ca="1" si="35">IF(D708&lt;&gt;"",DAY(D708),"")</f>
        <v/>
      </c>
      <c r="P708" s="38" t="str">
        <f>IF(E708&lt;&gt;"",RANK(E708,$E$3:$E$2298)+COUNTIF($E$3:E708,E708)-1,"")</f>
        <v/>
      </c>
    </row>
    <row r="709" spans="4:16" x14ac:dyDescent="0.25">
      <c r="D709" s="36" t="str" cm="1">
        <f t="array" aca="1" ref="D709" ca="1">IFERROR(IF(INDIRECT("'"&amp;F709&amp;"'!$C$5")&gt;0,DATE(YEAR(Dashboard!$AL$2),Dashboard!$AU$4,INDIRECT("'"&amp;F709&amp;"'!$C$5")),""),"")</f>
        <v/>
      </c>
      <c r="G709" s="38" t="str" cm="1">
        <f t="array" aca="1" ref="G709" ca="1">IF(F709="",
    "",
    IFERROR(
        IF(INDIRECT("'"&amp;F709&amp;"'!$B$2")="Credit Limit",
            "Credit Accounts",
            IF(INDIRECT("'"&amp;F709&amp;"'!$E$2")="Location",
                "Cash Accounts",
                IF(INDIRECT("'"&amp;F709&amp;"'!$B$2")="Amount",
                    "Investments",
                    "Bill Accounts"
                )
            )
        ),
    "")
)</f>
        <v/>
      </c>
      <c r="I709" s="46" t="str" cm="1">
        <f t="array" aca="1" ref="I709" ca="1">IF(F709&lt;&gt;"",IF(OR(G709="Bill Accounts",G709="Investments", G709="Cash Accounts"),INDIRECT("'"&amp;F709&amp;"'!$C$10"),INDIRECT("'"&amp;F709&amp;"'!$C$8")),"")</f>
        <v/>
      </c>
      <c r="K709" s="48">
        <f t="shared" si="33"/>
        <v>715</v>
      </c>
      <c r="L709" s="114" t="str" cm="1">
        <f t="array" aca="1" ref="L709" ca="1">IF(F709&lt;&gt;"",INDIRECT("'"&amp;F709&amp;"'!$F$17"),"")</f>
        <v/>
      </c>
      <c r="M709" s="116" t="str">
        <f t="shared" ca="1" si="34"/>
        <v/>
      </c>
      <c r="O709" s="49" t="str">
        <f t="shared" ca="1" si="35"/>
        <v/>
      </c>
      <c r="P709" s="38" t="str">
        <f>IF(E709&lt;&gt;"",RANK(E709,$E$3:$E$2298)+COUNTIF($E$3:E709,E709)-1,"")</f>
        <v/>
      </c>
    </row>
    <row r="710" spans="4:16" x14ac:dyDescent="0.25">
      <c r="D710" s="36" t="str" cm="1">
        <f t="array" aca="1" ref="D710" ca="1">IFERROR(IF(INDIRECT("'"&amp;F710&amp;"'!$C$5")&gt;0,DATE(YEAR(Dashboard!$AL$2),Dashboard!$AU$4,INDIRECT("'"&amp;F710&amp;"'!$C$5")),""),"")</f>
        <v/>
      </c>
      <c r="G710" s="38" t="str" cm="1">
        <f t="array" aca="1" ref="G710" ca="1">IF(F710="",
    "",
    IFERROR(
        IF(INDIRECT("'"&amp;F710&amp;"'!$B$2")="Credit Limit",
            "Credit Accounts",
            IF(INDIRECT("'"&amp;F710&amp;"'!$E$2")="Location",
                "Cash Accounts",
                IF(INDIRECT("'"&amp;F710&amp;"'!$B$2")="Amount",
                    "Investments",
                    "Bill Accounts"
                )
            )
        ),
    "")
)</f>
        <v/>
      </c>
      <c r="I710" s="46" t="str" cm="1">
        <f t="array" aca="1" ref="I710" ca="1">IF(F710&lt;&gt;"",IF(OR(G710="Bill Accounts",G710="Investments", G710="Cash Accounts"),INDIRECT("'"&amp;F710&amp;"'!$C$10"),INDIRECT("'"&amp;F710&amp;"'!$C$8")),"")</f>
        <v/>
      </c>
      <c r="K710" s="48">
        <f t="shared" si="33"/>
        <v>716</v>
      </c>
      <c r="L710" s="114" t="str" cm="1">
        <f t="array" aca="1" ref="L710" ca="1">IF(F710&lt;&gt;"",INDIRECT("'"&amp;F710&amp;"'!$F$17"),"")</f>
        <v/>
      </c>
      <c r="M710" s="116" t="str">
        <f t="shared" ca="1" si="34"/>
        <v/>
      </c>
      <c r="O710" s="49" t="str">
        <f t="shared" ca="1" si="35"/>
        <v/>
      </c>
      <c r="P710" s="38" t="str">
        <f>IF(E710&lt;&gt;"",RANK(E710,$E$3:$E$2298)+COUNTIF($E$3:E710,E710)-1,"")</f>
        <v/>
      </c>
    </row>
    <row r="711" spans="4:16" x14ac:dyDescent="0.25">
      <c r="D711" s="36" t="str" cm="1">
        <f t="array" aca="1" ref="D711" ca="1">IFERROR(IF(INDIRECT("'"&amp;F711&amp;"'!$C$5")&gt;0,DATE(YEAR(Dashboard!$AL$2),Dashboard!$AU$4,INDIRECT("'"&amp;F711&amp;"'!$C$5")),""),"")</f>
        <v/>
      </c>
      <c r="G711" s="38" t="str" cm="1">
        <f t="array" aca="1" ref="G711" ca="1">IF(F711="",
    "",
    IFERROR(
        IF(INDIRECT("'"&amp;F711&amp;"'!$B$2")="Credit Limit",
            "Credit Accounts",
            IF(INDIRECT("'"&amp;F711&amp;"'!$E$2")="Location",
                "Cash Accounts",
                IF(INDIRECT("'"&amp;F711&amp;"'!$B$2")="Amount",
                    "Investments",
                    "Bill Accounts"
                )
            )
        ),
    "")
)</f>
        <v/>
      </c>
      <c r="I711" s="46" t="str" cm="1">
        <f t="array" aca="1" ref="I711" ca="1">IF(F711&lt;&gt;"",IF(OR(G711="Bill Accounts",G711="Investments", G711="Cash Accounts"),INDIRECT("'"&amp;F711&amp;"'!$C$10"),INDIRECT("'"&amp;F711&amp;"'!$C$8")),"")</f>
        <v/>
      </c>
      <c r="K711" s="48">
        <f t="shared" si="33"/>
        <v>717</v>
      </c>
      <c r="L711" s="114" t="str" cm="1">
        <f t="array" aca="1" ref="L711" ca="1">IF(F711&lt;&gt;"",INDIRECT("'"&amp;F711&amp;"'!$F$17"),"")</f>
        <v/>
      </c>
      <c r="M711" s="116" t="str">
        <f t="shared" ca="1" si="34"/>
        <v/>
      </c>
      <c r="O711" s="49" t="str">
        <f t="shared" ca="1" si="35"/>
        <v/>
      </c>
      <c r="P711" s="38" t="str">
        <f>IF(E711&lt;&gt;"",RANK(E711,$E$3:$E$2298)+COUNTIF($E$3:E711,E711)-1,"")</f>
        <v/>
      </c>
    </row>
    <row r="712" spans="4:16" x14ac:dyDescent="0.25">
      <c r="D712" s="36" t="str" cm="1">
        <f t="array" aca="1" ref="D712" ca="1">IFERROR(IF(INDIRECT("'"&amp;F712&amp;"'!$C$5")&gt;0,DATE(YEAR(Dashboard!$AL$2),Dashboard!$AU$4,INDIRECT("'"&amp;F712&amp;"'!$C$5")),""),"")</f>
        <v/>
      </c>
      <c r="G712" s="38" t="str" cm="1">
        <f t="array" aca="1" ref="G712" ca="1">IF(F712="",
    "",
    IFERROR(
        IF(INDIRECT("'"&amp;F712&amp;"'!$B$2")="Credit Limit",
            "Credit Accounts",
            IF(INDIRECT("'"&amp;F712&amp;"'!$E$2")="Location",
                "Cash Accounts",
                IF(INDIRECT("'"&amp;F712&amp;"'!$B$2")="Amount",
                    "Investments",
                    "Bill Accounts"
                )
            )
        ),
    "")
)</f>
        <v/>
      </c>
      <c r="I712" s="46" t="str" cm="1">
        <f t="array" aca="1" ref="I712" ca="1">IF(F712&lt;&gt;"",IF(OR(G712="Bill Accounts",G712="Investments", G712="Cash Accounts"),INDIRECT("'"&amp;F712&amp;"'!$C$10"),INDIRECT("'"&amp;F712&amp;"'!$C$8")),"")</f>
        <v/>
      </c>
      <c r="K712" s="48">
        <f t="shared" ref="K712:K775" si="36">SUM(K711+1)</f>
        <v>718</v>
      </c>
      <c r="L712" s="114" t="str" cm="1">
        <f t="array" aca="1" ref="L712" ca="1">IF(F712&lt;&gt;"",INDIRECT("'"&amp;F712&amp;"'!$F$17"),"")</f>
        <v/>
      </c>
      <c r="M712" s="116" t="str">
        <f t="shared" ca="1" si="34"/>
        <v/>
      </c>
      <c r="O712" s="49" t="str">
        <f t="shared" ca="1" si="35"/>
        <v/>
      </c>
      <c r="P712" s="38" t="str">
        <f>IF(E712&lt;&gt;"",RANK(E712,$E$3:$E$2298)+COUNTIF($E$3:E712,E712)-1,"")</f>
        <v/>
      </c>
    </row>
    <row r="713" spans="4:16" x14ac:dyDescent="0.25">
      <c r="D713" s="36" t="str" cm="1">
        <f t="array" aca="1" ref="D713" ca="1">IFERROR(IF(INDIRECT("'"&amp;F713&amp;"'!$C$5")&gt;0,DATE(YEAR(Dashboard!$AL$2),Dashboard!$AU$4,INDIRECT("'"&amp;F713&amp;"'!$C$5")),""),"")</f>
        <v/>
      </c>
      <c r="G713" s="38" t="str" cm="1">
        <f t="array" aca="1" ref="G713" ca="1">IF(F713="",
    "",
    IFERROR(
        IF(INDIRECT("'"&amp;F713&amp;"'!$B$2")="Credit Limit",
            "Credit Accounts",
            IF(INDIRECT("'"&amp;F713&amp;"'!$E$2")="Location",
                "Cash Accounts",
                IF(INDIRECT("'"&amp;F713&amp;"'!$B$2")="Amount",
                    "Investments",
                    "Bill Accounts"
                )
            )
        ),
    "")
)</f>
        <v/>
      </c>
      <c r="I713" s="46" t="str" cm="1">
        <f t="array" aca="1" ref="I713" ca="1">IF(F713&lt;&gt;"",IF(OR(G713="Bill Accounts",G713="Investments", G713="Cash Accounts"),INDIRECT("'"&amp;F713&amp;"'!$C$10"),INDIRECT("'"&amp;F713&amp;"'!$C$8")),"")</f>
        <v/>
      </c>
      <c r="K713" s="48">
        <f t="shared" si="36"/>
        <v>719</v>
      </c>
      <c r="L713" s="114" t="str" cm="1">
        <f t="array" aca="1" ref="L713" ca="1">IF(F713&lt;&gt;"",INDIRECT("'"&amp;F713&amp;"'!$F$17"),"")</f>
        <v/>
      </c>
      <c r="M713" s="116" t="str">
        <f t="shared" ca="1" si="34"/>
        <v/>
      </c>
      <c r="O713" s="49" t="str">
        <f t="shared" ca="1" si="35"/>
        <v/>
      </c>
      <c r="P713" s="38" t="str">
        <f>IF(E713&lt;&gt;"",RANK(E713,$E$3:$E$2298)+COUNTIF($E$3:E713,E713)-1,"")</f>
        <v/>
      </c>
    </row>
    <row r="714" spans="4:16" x14ac:dyDescent="0.25">
      <c r="D714" s="36" t="str" cm="1">
        <f t="array" aca="1" ref="D714" ca="1">IFERROR(IF(INDIRECT("'"&amp;F714&amp;"'!$C$5")&gt;0,DATE(YEAR(Dashboard!$AL$2),Dashboard!$AU$4,INDIRECT("'"&amp;F714&amp;"'!$C$5")),""),"")</f>
        <v/>
      </c>
      <c r="G714" s="38" t="str" cm="1">
        <f t="array" aca="1" ref="G714" ca="1">IF(F714="",
    "",
    IFERROR(
        IF(INDIRECT("'"&amp;F714&amp;"'!$B$2")="Credit Limit",
            "Credit Accounts",
            IF(INDIRECT("'"&amp;F714&amp;"'!$E$2")="Location",
                "Cash Accounts",
                IF(INDIRECT("'"&amp;F714&amp;"'!$B$2")="Amount",
                    "Investments",
                    "Bill Accounts"
                )
            )
        ),
    "")
)</f>
        <v/>
      </c>
      <c r="I714" s="46" t="str" cm="1">
        <f t="array" aca="1" ref="I714" ca="1">IF(F714&lt;&gt;"",IF(OR(G714="Bill Accounts",G714="Investments", G714="Cash Accounts"),INDIRECT("'"&amp;F714&amp;"'!$C$10"),INDIRECT("'"&amp;F714&amp;"'!$C$8")),"")</f>
        <v/>
      </c>
      <c r="K714" s="48">
        <f t="shared" si="36"/>
        <v>720</v>
      </c>
      <c r="L714" s="114" t="str" cm="1">
        <f t="array" aca="1" ref="L714" ca="1">IF(F714&lt;&gt;"",INDIRECT("'"&amp;F714&amp;"'!$F$17"),"")</f>
        <v/>
      </c>
      <c r="M714" s="116" t="str">
        <f t="shared" ca="1" si="34"/>
        <v/>
      </c>
      <c r="O714" s="49" t="str">
        <f t="shared" ca="1" si="35"/>
        <v/>
      </c>
      <c r="P714" s="38" t="str">
        <f>IF(E714&lt;&gt;"",RANK(E714,$E$3:$E$2298)+COUNTIF($E$3:E714,E714)-1,"")</f>
        <v/>
      </c>
    </row>
    <row r="715" spans="4:16" x14ac:dyDescent="0.25">
      <c r="D715" s="36" t="str" cm="1">
        <f t="array" aca="1" ref="D715" ca="1">IFERROR(IF(INDIRECT("'"&amp;F715&amp;"'!$C$5")&gt;0,DATE(YEAR(Dashboard!$AL$2),Dashboard!$AU$4,INDIRECT("'"&amp;F715&amp;"'!$C$5")),""),"")</f>
        <v/>
      </c>
      <c r="G715" s="38" t="str" cm="1">
        <f t="array" aca="1" ref="G715" ca="1">IF(F715="",
    "",
    IFERROR(
        IF(INDIRECT("'"&amp;F715&amp;"'!$B$2")="Credit Limit",
            "Credit Accounts",
            IF(INDIRECT("'"&amp;F715&amp;"'!$E$2")="Location",
                "Cash Accounts",
                IF(INDIRECT("'"&amp;F715&amp;"'!$B$2")="Amount",
                    "Investments",
                    "Bill Accounts"
                )
            )
        ),
    "")
)</f>
        <v/>
      </c>
      <c r="I715" s="46" t="str" cm="1">
        <f t="array" aca="1" ref="I715" ca="1">IF(F715&lt;&gt;"",IF(OR(G715="Bill Accounts",G715="Investments", G715="Cash Accounts"),INDIRECT("'"&amp;F715&amp;"'!$C$10"),INDIRECT("'"&amp;F715&amp;"'!$C$8")),"")</f>
        <v/>
      </c>
      <c r="K715" s="48">
        <f t="shared" si="36"/>
        <v>721</v>
      </c>
      <c r="L715" s="114" t="str" cm="1">
        <f t="array" aca="1" ref="L715" ca="1">IF(F715&lt;&gt;"",INDIRECT("'"&amp;F715&amp;"'!$F$17"),"")</f>
        <v/>
      </c>
      <c r="M715" s="116" t="str">
        <f t="shared" ca="1" si="34"/>
        <v/>
      </c>
      <c r="O715" s="49" t="str">
        <f t="shared" ca="1" si="35"/>
        <v/>
      </c>
      <c r="P715" s="38" t="str">
        <f>IF(E715&lt;&gt;"",RANK(E715,$E$3:$E$2298)+COUNTIF($E$3:E715,E715)-1,"")</f>
        <v/>
      </c>
    </row>
    <row r="716" spans="4:16" x14ac:dyDescent="0.25">
      <c r="D716" s="36" t="str" cm="1">
        <f t="array" aca="1" ref="D716" ca="1">IFERROR(IF(INDIRECT("'"&amp;F716&amp;"'!$C$5")&gt;0,DATE(YEAR(Dashboard!$AL$2),Dashboard!$AU$4,INDIRECT("'"&amp;F716&amp;"'!$C$5")),""),"")</f>
        <v/>
      </c>
      <c r="G716" s="38" t="str" cm="1">
        <f t="array" aca="1" ref="G716" ca="1">IF(F716="",
    "",
    IFERROR(
        IF(INDIRECT("'"&amp;F716&amp;"'!$B$2")="Credit Limit",
            "Credit Accounts",
            IF(INDIRECT("'"&amp;F716&amp;"'!$E$2")="Location",
                "Cash Accounts",
                IF(INDIRECT("'"&amp;F716&amp;"'!$B$2")="Amount",
                    "Investments",
                    "Bill Accounts"
                )
            )
        ),
    "")
)</f>
        <v/>
      </c>
      <c r="I716" s="46" t="str" cm="1">
        <f t="array" aca="1" ref="I716" ca="1">IF(F716&lt;&gt;"",IF(OR(G716="Bill Accounts",G716="Investments", G716="Cash Accounts"),INDIRECT("'"&amp;F716&amp;"'!$C$10"),INDIRECT("'"&amp;F716&amp;"'!$C$8")),"")</f>
        <v/>
      </c>
      <c r="K716" s="48">
        <f t="shared" si="36"/>
        <v>722</v>
      </c>
      <c r="L716" s="114" t="str" cm="1">
        <f t="array" aca="1" ref="L716" ca="1">IF(F716&lt;&gt;"",INDIRECT("'"&amp;F716&amp;"'!$F$17"),"")</f>
        <v/>
      </c>
      <c r="M716" s="116" t="str">
        <f t="shared" ca="1" si="34"/>
        <v/>
      </c>
      <c r="O716" s="49" t="str">
        <f t="shared" ca="1" si="35"/>
        <v/>
      </c>
      <c r="P716" s="38" t="str">
        <f>IF(E716&lt;&gt;"",RANK(E716,$E$3:$E$2298)+COUNTIF($E$3:E716,E716)-1,"")</f>
        <v/>
      </c>
    </row>
    <row r="717" spans="4:16" x14ac:dyDescent="0.25">
      <c r="D717" s="36" t="str" cm="1">
        <f t="array" aca="1" ref="D717" ca="1">IFERROR(IF(INDIRECT("'"&amp;F717&amp;"'!$C$5")&gt;0,DATE(YEAR(Dashboard!$AL$2),Dashboard!$AU$4,INDIRECT("'"&amp;F717&amp;"'!$C$5")),""),"")</f>
        <v/>
      </c>
      <c r="G717" s="38" t="str" cm="1">
        <f t="array" aca="1" ref="G717" ca="1">IF(F717="",
    "",
    IFERROR(
        IF(INDIRECT("'"&amp;F717&amp;"'!$B$2")="Credit Limit",
            "Credit Accounts",
            IF(INDIRECT("'"&amp;F717&amp;"'!$E$2")="Location",
                "Cash Accounts",
                IF(INDIRECT("'"&amp;F717&amp;"'!$B$2")="Amount",
                    "Investments",
                    "Bill Accounts"
                )
            )
        ),
    "")
)</f>
        <v/>
      </c>
      <c r="I717" s="46" t="str" cm="1">
        <f t="array" aca="1" ref="I717" ca="1">IF(F717&lt;&gt;"",IF(OR(G717="Bill Accounts",G717="Investments", G717="Cash Accounts"),INDIRECT("'"&amp;F717&amp;"'!$C$10"),INDIRECT("'"&amp;F717&amp;"'!$C$8")),"")</f>
        <v/>
      </c>
      <c r="K717" s="48">
        <f t="shared" si="36"/>
        <v>723</v>
      </c>
      <c r="L717" s="114" t="str" cm="1">
        <f t="array" aca="1" ref="L717" ca="1">IF(F717&lt;&gt;"",INDIRECT("'"&amp;F717&amp;"'!$F$17"),"")</f>
        <v/>
      </c>
      <c r="M717" s="116" t="str">
        <f t="shared" ca="1" si="34"/>
        <v/>
      </c>
      <c r="O717" s="49" t="str">
        <f t="shared" ca="1" si="35"/>
        <v/>
      </c>
      <c r="P717" s="38" t="str">
        <f>IF(E717&lt;&gt;"",RANK(E717,$E$3:$E$2298)+COUNTIF($E$3:E717,E717)-1,"")</f>
        <v/>
      </c>
    </row>
    <row r="718" spans="4:16" x14ac:dyDescent="0.25">
      <c r="D718" s="36" t="str" cm="1">
        <f t="array" aca="1" ref="D718" ca="1">IFERROR(IF(INDIRECT("'"&amp;F718&amp;"'!$C$5")&gt;0,DATE(YEAR(Dashboard!$AL$2),Dashboard!$AU$4,INDIRECT("'"&amp;F718&amp;"'!$C$5")),""),"")</f>
        <v/>
      </c>
      <c r="G718" s="38" t="str" cm="1">
        <f t="array" aca="1" ref="G718" ca="1">IF(F718="",
    "",
    IFERROR(
        IF(INDIRECT("'"&amp;F718&amp;"'!$B$2")="Credit Limit",
            "Credit Accounts",
            IF(INDIRECT("'"&amp;F718&amp;"'!$E$2")="Location",
                "Cash Accounts",
                IF(INDIRECT("'"&amp;F718&amp;"'!$B$2")="Amount",
                    "Investments",
                    "Bill Accounts"
                )
            )
        ),
    "")
)</f>
        <v/>
      </c>
      <c r="I718" s="46" t="str" cm="1">
        <f t="array" aca="1" ref="I718" ca="1">IF(F718&lt;&gt;"",IF(OR(G718="Bill Accounts",G718="Investments", G718="Cash Accounts"),INDIRECT("'"&amp;F718&amp;"'!$C$10"),INDIRECT("'"&amp;F718&amp;"'!$C$8")),"")</f>
        <v/>
      </c>
      <c r="K718" s="48">
        <f t="shared" si="36"/>
        <v>724</v>
      </c>
      <c r="L718" s="114" t="str" cm="1">
        <f t="array" aca="1" ref="L718" ca="1">IF(F718&lt;&gt;"",INDIRECT("'"&amp;F718&amp;"'!$F$17"),"")</f>
        <v/>
      </c>
      <c r="M718" s="116" t="str">
        <f t="shared" ca="1" si="34"/>
        <v/>
      </c>
      <c r="O718" s="49" t="str">
        <f t="shared" ca="1" si="35"/>
        <v/>
      </c>
      <c r="P718" s="38" t="str">
        <f>IF(E718&lt;&gt;"",RANK(E718,$E$3:$E$2298)+COUNTIF($E$3:E718,E718)-1,"")</f>
        <v/>
      </c>
    </row>
    <row r="719" spans="4:16" x14ac:dyDescent="0.25">
      <c r="D719" s="36" t="str" cm="1">
        <f t="array" aca="1" ref="D719" ca="1">IFERROR(IF(INDIRECT("'"&amp;F719&amp;"'!$C$5")&gt;0,DATE(YEAR(Dashboard!$AL$2),Dashboard!$AU$4,INDIRECT("'"&amp;F719&amp;"'!$C$5")),""),"")</f>
        <v/>
      </c>
      <c r="G719" s="38" t="str" cm="1">
        <f t="array" aca="1" ref="G719" ca="1">IF(F719="",
    "",
    IFERROR(
        IF(INDIRECT("'"&amp;F719&amp;"'!$B$2")="Credit Limit",
            "Credit Accounts",
            IF(INDIRECT("'"&amp;F719&amp;"'!$E$2")="Location",
                "Cash Accounts",
                IF(INDIRECT("'"&amp;F719&amp;"'!$B$2")="Amount",
                    "Investments",
                    "Bill Accounts"
                )
            )
        ),
    "")
)</f>
        <v/>
      </c>
      <c r="I719" s="46" t="str" cm="1">
        <f t="array" aca="1" ref="I719" ca="1">IF(F719&lt;&gt;"",IF(OR(G719="Bill Accounts",G719="Investments", G719="Cash Accounts"),INDIRECT("'"&amp;F719&amp;"'!$C$10"),INDIRECT("'"&amp;F719&amp;"'!$C$8")),"")</f>
        <v/>
      </c>
      <c r="K719" s="48">
        <f t="shared" si="36"/>
        <v>725</v>
      </c>
      <c r="L719" s="114" t="str" cm="1">
        <f t="array" aca="1" ref="L719" ca="1">IF(F719&lt;&gt;"",INDIRECT("'"&amp;F719&amp;"'!$F$17"),"")</f>
        <v/>
      </c>
      <c r="M719" s="116" t="str">
        <f t="shared" ca="1" si="34"/>
        <v/>
      </c>
      <c r="O719" s="49" t="str">
        <f t="shared" ca="1" si="35"/>
        <v/>
      </c>
      <c r="P719" s="38" t="str">
        <f>IF(E719&lt;&gt;"",RANK(E719,$E$3:$E$2298)+COUNTIF($E$3:E719,E719)-1,"")</f>
        <v/>
      </c>
    </row>
    <row r="720" spans="4:16" x14ac:dyDescent="0.25">
      <c r="D720" s="36" t="str" cm="1">
        <f t="array" aca="1" ref="D720" ca="1">IFERROR(IF(INDIRECT("'"&amp;F720&amp;"'!$C$5")&gt;0,DATE(YEAR(Dashboard!$AL$2),Dashboard!$AU$4,INDIRECT("'"&amp;F720&amp;"'!$C$5")),""),"")</f>
        <v/>
      </c>
      <c r="G720" s="38" t="str" cm="1">
        <f t="array" aca="1" ref="G720" ca="1">IF(F720="",
    "",
    IFERROR(
        IF(INDIRECT("'"&amp;F720&amp;"'!$B$2")="Credit Limit",
            "Credit Accounts",
            IF(INDIRECT("'"&amp;F720&amp;"'!$E$2")="Location",
                "Cash Accounts",
                IF(INDIRECT("'"&amp;F720&amp;"'!$B$2")="Amount",
                    "Investments",
                    "Bill Accounts"
                )
            )
        ),
    "")
)</f>
        <v/>
      </c>
      <c r="I720" s="46" t="str" cm="1">
        <f t="array" aca="1" ref="I720" ca="1">IF(F720&lt;&gt;"",IF(OR(G720="Bill Accounts",G720="Investments", G720="Cash Accounts"),INDIRECT("'"&amp;F720&amp;"'!$C$10"),INDIRECT("'"&amp;F720&amp;"'!$C$8")),"")</f>
        <v/>
      </c>
      <c r="K720" s="48">
        <f t="shared" si="36"/>
        <v>726</v>
      </c>
      <c r="L720" s="114" t="str" cm="1">
        <f t="array" aca="1" ref="L720" ca="1">IF(F720&lt;&gt;"",INDIRECT("'"&amp;F720&amp;"'!$F$17"),"")</f>
        <v/>
      </c>
      <c r="M720" s="116" t="str">
        <f t="shared" ca="1" si="34"/>
        <v/>
      </c>
      <c r="O720" s="49" t="str">
        <f t="shared" ca="1" si="35"/>
        <v/>
      </c>
      <c r="P720" s="38" t="str">
        <f>IF(E720&lt;&gt;"",RANK(E720,$E$3:$E$2298)+COUNTIF($E$3:E720,E720)-1,"")</f>
        <v/>
      </c>
    </row>
    <row r="721" spans="4:16" x14ac:dyDescent="0.25">
      <c r="D721" s="36" t="str" cm="1">
        <f t="array" aca="1" ref="D721" ca="1">IFERROR(IF(INDIRECT("'"&amp;F721&amp;"'!$C$5")&gt;0,DATE(YEAR(Dashboard!$AL$2),Dashboard!$AU$4,INDIRECT("'"&amp;F721&amp;"'!$C$5")),""),"")</f>
        <v/>
      </c>
      <c r="G721" s="38" t="str" cm="1">
        <f t="array" aca="1" ref="G721" ca="1">IF(F721="",
    "",
    IFERROR(
        IF(INDIRECT("'"&amp;F721&amp;"'!$B$2")="Credit Limit",
            "Credit Accounts",
            IF(INDIRECT("'"&amp;F721&amp;"'!$E$2")="Location",
                "Cash Accounts",
                IF(INDIRECT("'"&amp;F721&amp;"'!$B$2")="Amount",
                    "Investments",
                    "Bill Accounts"
                )
            )
        ),
    "")
)</f>
        <v/>
      </c>
      <c r="I721" s="46" t="str" cm="1">
        <f t="array" aca="1" ref="I721" ca="1">IF(F721&lt;&gt;"",IF(OR(G721="Bill Accounts",G721="Investments", G721="Cash Accounts"),INDIRECT("'"&amp;F721&amp;"'!$C$10"),INDIRECT("'"&amp;F721&amp;"'!$C$8")),"")</f>
        <v/>
      </c>
      <c r="K721" s="48">
        <f t="shared" si="36"/>
        <v>727</v>
      </c>
      <c r="L721" s="114" t="str" cm="1">
        <f t="array" aca="1" ref="L721" ca="1">IF(F721&lt;&gt;"",INDIRECT("'"&amp;F721&amp;"'!$F$17"),"")</f>
        <v/>
      </c>
      <c r="M721" s="116" t="str">
        <f t="shared" ca="1" si="34"/>
        <v/>
      </c>
      <c r="O721" s="49" t="str">
        <f t="shared" ca="1" si="35"/>
        <v/>
      </c>
      <c r="P721" s="38" t="str">
        <f>IF(E721&lt;&gt;"",RANK(E721,$E$3:$E$2298)+COUNTIF($E$3:E721,E721)-1,"")</f>
        <v/>
      </c>
    </row>
    <row r="722" spans="4:16" x14ac:dyDescent="0.25">
      <c r="D722" s="36" t="str" cm="1">
        <f t="array" aca="1" ref="D722" ca="1">IFERROR(IF(INDIRECT("'"&amp;F722&amp;"'!$C$5")&gt;0,DATE(YEAR(Dashboard!$AL$2),Dashboard!$AU$4,INDIRECT("'"&amp;F722&amp;"'!$C$5")),""),"")</f>
        <v/>
      </c>
      <c r="G722" s="38" t="str" cm="1">
        <f t="array" aca="1" ref="G722" ca="1">IF(F722="",
    "",
    IFERROR(
        IF(INDIRECT("'"&amp;F722&amp;"'!$B$2")="Credit Limit",
            "Credit Accounts",
            IF(INDIRECT("'"&amp;F722&amp;"'!$E$2")="Location",
                "Cash Accounts",
                IF(INDIRECT("'"&amp;F722&amp;"'!$B$2")="Amount",
                    "Investments",
                    "Bill Accounts"
                )
            )
        ),
    "")
)</f>
        <v/>
      </c>
      <c r="I722" s="46" t="str" cm="1">
        <f t="array" aca="1" ref="I722" ca="1">IF(F722&lt;&gt;"",IF(OR(G722="Bill Accounts",G722="Investments", G722="Cash Accounts"),INDIRECT("'"&amp;F722&amp;"'!$C$10"),INDIRECT("'"&amp;F722&amp;"'!$C$8")),"")</f>
        <v/>
      </c>
      <c r="K722" s="48">
        <f t="shared" si="36"/>
        <v>728</v>
      </c>
      <c r="L722" s="114" t="str" cm="1">
        <f t="array" aca="1" ref="L722" ca="1">IF(F722&lt;&gt;"",INDIRECT("'"&amp;F722&amp;"'!$F$17"),"")</f>
        <v/>
      </c>
      <c r="M722" s="116" t="str">
        <f t="shared" ca="1" si="34"/>
        <v/>
      </c>
      <c r="O722" s="49" t="str">
        <f t="shared" ca="1" si="35"/>
        <v/>
      </c>
      <c r="P722" s="38" t="str">
        <f>IF(E722&lt;&gt;"",RANK(E722,$E$3:$E$2298)+COUNTIF($E$3:E722,E722)-1,"")</f>
        <v/>
      </c>
    </row>
    <row r="723" spans="4:16" x14ac:dyDescent="0.25">
      <c r="D723" s="36" t="str" cm="1">
        <f t="array" aca="1" ref="D723" ca="1">IFERROR(IF(INDIRECT("'"&amp;F723&amp;"'!$C$5")&gt;0,DATE(YEAR(Dashboard!$AL$2),Dashboard!$AU$4,INDIRECT("'"&amp;F723&amp;"'!$C$5")),""),"")</f>
        <v/>
      </c>
      <c r="G723" s="38" t="str" cm="1">
        <f t="array" aca="1" ref="G723" ca="1">IF(F723="",
    "",
    IFERROR(
        IF(INDIRECT("'"&amp;F723&amp;"'!$B$2")="Credit Limit",
            "Credit Accounts",
            IF(INDIRECT("'"&amp;F723&amp;"'!$E$2")="Location",
                "Cash Accounts",
                IF(INDIRECT("'"&amp;F723&amp;"'!$B$2")="Amount",
                    "Investments",
                    "Bill Accounts"
                )
            )
        ),
    "")
)</f>
        <v/>
      </c>
      <c r="I723" s="46" t="str" cm="1">
        <f t="array" aca="1" ref="I723" ca="1">IF(F723&lt;&gt;"",IF(OR(G723="Bill Accounts",G723="Investments", G723="Cash Accounts"),INDIRECT("'"&amp;F723&amp;"'!$C$10"),INDIRECT("'"&amp;F723&amp;"'!$C$8")),"")</f>
        <v/>
      </c>
      <c r="K723" s="48">
        <f t="shared" si="36"/>
        <v>729</v>
      </c>
      <c r="L723" s="114" t="str" cm="1">
        <f t="array" aca="1" ref="L723" ca="1">IF(F723&lt;&gt;"",INDIRECT("'"&amp;F723&amp;"'!$F$17"),"")</f>
        <v/>
      </c>
      <c r="M723" s="116" t="str">
        <f t="shared" ca="1" si="34"/>
        <v/>
      </c>
      <c r="O723" s="49" t="str">
        <f t="shared" ca="1" si="35"/>
        <v/>
      </c>
      <c r="P723" s="38" t="str">
        <f>IF(E723&lt;&gt;"",RANK(E723,$E$3:$E$2298)+COUNTIF($E$3:E723,E723)-1,"")</f>
        <v/>
      </c>
    </row>
    <row r="724" spans="4:16" x14ac:dyDescent="0.25">
      <c r="D724" s="36" t="str" cm="1">
        <f t="array" aca="1" ref="D724" ca="1">IFERROR(IF(INDIRECT("'"&amp;F724&amp;"'!$C$5")&gt;0,DATE(YEAR(Dashboard!$AL$2),Dashboard!$AU$4,INDIRECT("'"&amp;F724&amp;"'!$C$5")),""),"")</f>
        <v/>
      </c>
      <c r="G724" s="38" t="str" cm="1">
        <f t="array" aca="1" ref="G724" ca="1">IF(F724="",
    "",
    IFERROR(
        IF(INDIRECT("'"&amp;F724&amp;"'!$B$2")="Credit Limit",
            "Credit Accounts",
            IF(INDIRECT("'"&amp;F724&amp;"'!$E$2")="Location",
                "Cash Accounts",
                IF(INDIRECT("'"&amp;F724&amp;"'!$B$2")="Amount",
                    "Investments",
                    "Bill Accounts"
                )
            )
        ),
    "")
)</f>
        <v/>
      </c>
      <c r="I724" s="46" t="str" cm="1">
        <f t="array" aca="1" ref="I724" ca="1">IF(F724&lt;&gt;"",IF(OR(G724="Bill Accounts",G724="Investments", G724="Cash Accounts"),INDIRECT("'"&amp;F724&amp;"'!$C$10"),INDIRECT("'"&amp;F724&amp;"'!$C$8")),"")</f>
        <v/>
      </c>
      <c r="K724" s="48">
        <f t="shared" si="36"/>
        <v>730</v>
      </c>
      <c r="L724" s="114" t="str" cm="1">
        <f t="array" aca="1" ref="L724" ca="1">IF(F724&lt;&gt;"",INDIRECT("'"&amp;F724&amp;"'!$F$17"),"")</f>
        <v/>
      </c>
      <c r="M724" s="116" t="str">
        <f t="shared" ca="1" si="34"/>
        <v/>
      </c>
      <c r="O724" s="49" t="str">
        <f t="shared" ca="1" si="35"/>
        <v/>
      </c>
      <c r="P724" s="38" t="str">
        <f>IF(E724&lt;&gt;"",RANK(E724,$E$3:$E$2298)+COUNTIF($E$3:E724,E724)-1,"")</f>
        <v/>
      </c>
    </row>
    <row r="725" spans="4:16" x14ac:dyDescent="0.25">
      <c r="D725" s="36" t="str" cm="1">
        <f t="array" aca="1" ref="D725" ca="1">IFERROR(IF(INDIRECT("'"&amp;F725&amp;"'!$C$5")&gt;0,DATE(YEAR(Dashboard!$AL$2),Dashboard!$AU$4,INDIRECT("'"&amp;F725&amp;"'!$C$5")),""),"")</f>
        <v/>
      </c>
      <c r="G725" s="38" t="str" cm="1">
        <f t="array" aca="1" ref="G725" ca="1">IF(F725="",
    "",
    IFERROR(
        IF(INDIRECT("'"&amp;F725&amp;"'!$B$2")="Credit Limit",
            "Credit Accounts",
            IF(INDIRECT("'"&amp;F725&amp;"'!$E$2")="Location",
                "Cash Accounts",
                IF(INDIRECT("'"&amp;F725&amp;"'!$B$2")="Amount",
                    "Investments",
                    "Bill Accounts"
                )
            )
        ),
    "")
)</f>
        <v/>
      </c>
      <c r="I725" s="46" t="str" cm="1">
        <f t="array" aca="1" ref="I725" ca="1">IF(F725&lt;&gt;"",IF(OR(G725="Bill Accounts",G725="Investments", G725="Cash Accounts"),INDIRECT("'"&amp;F725&amp;"'!$C$10"),INDIRECT("'"&amp;F725&amp;"'!$C$8")),"")</f>
        <v/>
      </c>
      <c r="K725" s="48">
        <f t="shared" si="36"/>
        <v>731</v>
      </c>
      <c r="L725" s="114" t="str" cm="1">
        <f t="array" aca="1" ref="L725" ca="1">IF(F725&lt;&gt;"",INDIRECT("'"&amp;F725&amp;"'!$F$17"),"")</f>
        <v/>
      </c>
      <c r="M725" s="116" t="str">
        <f t="shared" ca="1" si="34"/>
        <v/>
      </c>
      <c r="O725" s="49" t="str">
        <f t="shared" ca="1" si="35"/>
        <v/>
      </c>
      <c r="P725" s="38" t="str">
        <f>IF(E725&lt;&gt;"",RANK(E725,$E$3:$E$2298)+COUNTIF($E$3:E725,E725)-1,"")</f>
        <v/>
      </c>
    </row>
    <row r="726" spans="4:16" x14ac:dyDescent="0.25">
      <c r="D726" s="36" t="str" cm="1">
        <f t="array" aca="1" ref="D726" ca="1">IFERROR(IF(INDIRECT("'"&amp;F726&amp;"'!$C$5")&gt;0,DATE(YEAR(Dashboard!$AL$2),Dashboard!$AU$4,INDIRECT("'"&amp;F726&amp;"'!$C$5")),""),"")</f>
        <v/>
      </c>
      <c r="G726" s="38" t="str" cm="1">
        <f t="array" aca="1" ref="G726" ca="1">IF(F726="",
    "",
    IFERROR(
        IF(INDIRECT("'"&amp;F726&amp;"'!$B$2")="Credit Limit",
            "Credit Accounts",
            IF(INDIRECT("'"&amp;F726&amp;"'!$E$2")="Location",
                "Cash Accounts",
                IF(INDIRECT("'"&amp;F726&amp;"'!$B$2")="Amount",
                    "Investments",
                    "Bill Accounts"
                )
            )
        ),
    "")
)</f>
        <v/>
      </c>
      <c r="I726" s="46" t="str" cm="1">
        <f t="array" aca="1" ref="I726" ca="1">IF(F726&lt;&gt;"",IF(OR(G726="Bill Accounts",G726="Investments", G726="Cash Accounts"),INDIRECT("'"&amp;F726&amp;"'!$C$10"),INDIRECT("'"&amp;F726&amp;"'!$C$8")),"")</f>
        <v/>
      </c>
      <c r="K726" s="48">
        <f t="shared" si="36"/>
        <v>732</v>
      </c>
      <c r="L726" s="114" t="str" cm="1">
        <f t="array" aca="1" ref="L726" ca="1">IF(F726&lt;&gt;"",INDIRECT("'"&amp;F726&amp;"'!$F$17"),"")</f>
        <v/>
      </c>
      <c r="M726" s="116" t="str">
        <f t="shared" ca="1" si="34"/>
        <v/>
      </c>
      <c r="O726" s="49" t="str">
        <f t="shared" ca="1" si="35"/>
        <v/>
      </c>
      <c r="P726" s="38" t="str">
        <f>IF(E726&lt;&gt;"",RANK(E726,$E$3:$E$2298)+COUNTIF($E$3:E726,E726)-1,"")</f>
        <v/>
      </c>
    </row>
    <row r="727" spans="4:16" x14ac:dyDescent="0.25">
      <c r="D727" s="36" t="str" cm="1">
        <f t="array" aca="1" ref="D727" ca="1">IFERROR(IF(INDIRECT("'"&amp;F727&amp;"'!$C$5")&gt;0,DATE(YEAR(Dashboard!$AL$2),Dashboard!$AU$4,INDIRECT("'"&amp;F727&amp;"'!$C$5")),""),"")</f>
        <v/>
      </c>
      <c r="G727" s="38" t="str" cm="1">
        <f t="array" aca="1" ref="G727" ca="1">IF(F727="",
    "",
    IFERROR(
        IF(INDIRECT("'"&amp;F727&amp;"'!$B$2")="Credit Limit",
            "Credit Accounts",
            IF(INDIRECT("'"&amp;F727&amp;"'!$E$2")="Location",
                "Cash Accounts",
                IF(INDIRECT("'"&amp;F727&amp;"'!$B$2")="Amount",
                    "Investments",
                    "Bill Accounts"
                )
            )
        ),
    "")
)</f>
        <v/>
      </c>
      <c r="I727" s="46" t="str" cm="1">
        <f t="array" aca="1" ref="I727" ca="1">IF(F727&lt;&gt;"",IF(OR(G727="Bill Accounts",G727="Investments", G727="Cash Accounts"),INDIRECT("'"&amp;F727&amp;"'!$C$10"),INDIRECT("'"&amp;F727&amp;"'!$C$8")),"")</f>
        <v/>
      </c>
      <c r="K727" s="48">
        <f t="shared" si="36"/>
        <v>733</v>
      </c>
      <c r="L727" s="114" t="str" cm="1">
        <f t="array" aca="1" ref="L727" ca="1">IF(F727&lt;&gt;"",INDIRECT("'"&amp;F727&amp;"'!$F$17"),"")</f>
        <v/>
      </c>
      <c r="M727" s="116" t="str">
        <f t="shared" ca="1" si="34"/>
        <v/>
      </c>
      <c r="O727" s="49" t="str">
        <f t="shared" ca="1" si="35"/>
        <v/>
      </c>
      <c r="P727" s="38" t="str">
        <f>IF(E727&lt;&gt;"",RANK(E727,$E$3:$E$2298)+COUNTIF($E$3:E727,E727)-1,"")</f>
        <v/>
      </c>
    </row>
    <row r="728" spans="4:16" x14ac:dyDescent="0.25">
      <c r="D728" s="36" t="str" cm="1">
        <f t="array" aca="1" ref="D728" ca="1">IFERROR(IF(INDIRECT("'"&amp;F728&amp;"'!$C$5")&gt;0,DATE(YEAR(Dashboard!$AL$2),Dashboard!$AU$4,INDIRECT("'"&amp;F728&amp;"'!$C$5")),""),"")</f>
        <v/>
      </c>
      <c r="G728" s="38" t="str" cm="1">
        <f t="array" aca="1" ref="G728" ca="1">IF(F728="",
    "",
    IFERROR(
        IF(INDIRECT("'"&amp;F728&amp;"'!$B$2")="Credit Limit",
            "Credit Accounts",
            IF(INDIRECT("'"&amp;F728&amp;"'!$E$2")="Location",
                "Cash Accounts",
                IF(INDIRECT("'"&amp;F728&amp;"'!$B$2")="Amount",
                    "Investments",
                    "Bill Accounts"
                )
            )
        ),
    "")
)</f>
        <v/>
      </c>
      <c r="I728" s="46" t="str" cm="1">
        <f t="array" aca="1" ref="I728" ca="1">IF(F728&lt;&gt;"",IF(OR(G728="Bill Accounts",G728="Investments", G728="Cash Accounts"),INDIRECT("'"&amp;F728&amp;"'!$C$10"),INDIRECT("'"&amp;F728&amp;"'!$C$8")),"")</f>
        <v/>
      </c>
      <c r="K728" s="48">
        <f t="shared" si="36"/>
        <v>734</v>
      </c>
      <c r="L728" s="114" t="str" cm="1">
        <f t="array" aca="1" ref="L728" ca="1">IF(F728&lt;&gt;"",INDIRECT("'"&amp;F728&amp;"'!$F$17"),"")</f>
        <v/>
      </c>
      <c r="M728" s="116" t="str">
        <f t="shared" ca="1" si="34"/>
        <v/>
      </c>
      <c r="O728" s="49" t="str">
        <f t="shared" ca="1" si="35"/>
        <v/>
      </c>
      <c r="P728" s="38" t="str">
        <f>IF(E728&lt;&gt;"",RANK(E728,$E$3:$E$2298)+COUNTIF($E$3:E728,E728)-1,"")</f>
        <v/>
      </c>
    </row>
    <row r="729" spans="4:16" x14ac:dyDescent="0.25">
      <c r="D729" s="36" t="str" cm="1">
        <f t="array" aca="1" ref="D729" ca="1">IFERROR(IF(INDIRECT("'"&amp;F729&amp;"'!$C$5")&gt;0,DATE(YEAR(Dashboard!$AL$2),Dashboard!$AU$4,INDIRECT("'"&amp;F729&amp;"'!$C$5")),""),"")</f>
        <v/>
      </c>
      <c r="G729" s="38" t="str" cm="1">
        <f t="array" aca="1" ref="G729" ca="1">IF(F729="",
    "",
    IFERROR(
        IF(INDIRECT("'"&amp;F729&amp;"'!$B$2")="Credit Limit",
            "Credit Accounts",
            IF(INDIRECT("'"&amp;F729&amp;"'!$E$2")="Location",
                "Cash Accounts",
                IF(INDIRECT("'"&amp;F729&amp;"'!$B$2")="Amount",
                    "Investments",
                    "Bill Accounts"
                )
            )
        ),
    "")
)</f>
        <v/>
      </c>
      <c r="I729" s="46" t="str" cm="1">
        <f t="array" aca="1" ref="I729" ca="1">IF(F729&lt;&gt;"",IF(OR(G729="Bill Accounts",G729="Investments", G729="Cash Accounts"),INDIRECT("'"&amp;F729&amp;"'!$C$10"),INDIRECT("'"&amp;F729&amp;"'!$C$8")),"")</f>
        <v/>
      </c>
      <c r="K729" s="48">
        <f t="shared" si="36"/>
        <v>735</v>
      </c>
      <c r="L729" s="114" t="str" cm="1">
        <f t="array" aca="1" ref="L729" ca="1">IF(F729&lt;&gt;"",INDIRECT("'"&amp;F729&amp;"'!$F$17"),"")</f>
        <v/>
      </c>
      <c r="M729" s="116" t="str">
        <f t="shared" ca="1" si="34"/>
        <v/>
      </c>
      <c r="O729" s="49" t="str">
        <f t="shared" ca="1" si="35"/>
        <v/>
      </c>
      <c r="P729" s="38" t="str">
        <f>IF(E729&lt;&gt;"",RANK(E729,$E$3:$E$2298)+COUNTIF($E$3:E729,E729)-1,"")</f>
        <v/>
      </c>
    </row>
    <row r="730" spans="4:16" x14ac:dyDescent="0.25">
      <c r="D730" s="36" t="str" cm="1">
        <f t="array" aca="1" ref="D730" ca="1">IFERROR(IF(INDIRECT("'"&amp;F730&amp;"'!$C$5")&gt;0,DATE(YEAR(Dashboard!$AL$2),Dashboard!$AU$4,INDIRECT("'"&amp;F730&amp;"'!$C$5")),""),"")</f>
        <v/>
      </c>
      <c r="G730" s="38" t="str" cm="1">
        <f t="array" aca="1" ref="G730" ca="1">IF(F730="",
    "",
    IFERROR(
        IF(INDIRECT("'"&amp;F730&amp;"'!$B$2")="Credit Limit",
            "Credit Accounts",
            IF(INDIRECT("'"&amp;F730&amp;"'!$E$2")="Location",
                "Cash Accounts",
                IF(INDIRECT("'"&amp;F730&amp;"'!$B$2")="Amount",
                    "Investments",
                    "Bill Accounts"
                )
            )
        ),
    "")
)</f>
        <v/>
      </c>
      <c r="I730" s="46" t="str" cm="1">
        <f t="array" aca="1" ref="I730" ca="1">IF(F730&lt;&gt;"",IF(OR(G730="Bill Accounts",G730="Investments", G730="Cash Accounts"),INDIRECT("'"&amp;F730&amp;"'!$C$10"),INDIRECT("'"&amp;F730&amp;"'!$C$8")),"")</f>
        <v/>
      </c>
      <c r="K730" s="48">
        <f t="shared" si="36"/>
        <v>736</v>
      </c>
      <c r="L730" s="114" t="str" cm="1">
        <f t="array" aca="1" ref="L730" ca="1">IF(F730&lt;&gt;"",INDIRECT("'"&amp;F730&amp;"'!$F$17"),"")</f>
        <v/>
      </c>
      <c r="M730" s="116" t="str">
        <f t="shared" ca="1" si="34"/>
        <v/>
      </c>
      <c r="O730" s="49" t="str">
        <f t="shared" ca="1" si="35"/>
        <v/>
      </c>
      <c r="P730" s="38" t="str">
        <f>IF(E730&lt;&gt;"",RANK(E730,$E$3:$E$2298)+COUNTIF($E$3:E730,E730)-1,"")</f>
        <v/>
      </c>
    </row>
    <row r="731" spans="4:16" x14ac:dyDescent="0.25">
      <c r="D731" s="36" t="str" cm="1">
        <f t="array" aca="1" ref="D731" ca="1">IFERROR(IF(INDIRECT("'"&amp;F731&amp;"'!$C$5")&gt;0,DATE(YEAR(Dashboard!$AL$2),Dashboard!$AU$4,INDIRECT("'"&amp;F731&amp;"'!$C$5")),""),"")</f>
        <v/>
      </c>
      <c r="G731" s="38" t="str" cm="1">
        <f t="array" aca="1" ref="G731" ca="1">IF(F731="",
    "",
    IFERROR(
        IF(INDIRECT("'"&amp;F731&amp;"'!$B$2")="Credit Limit",
            "Credit Accounts",
            IF(INDIRECT("'"&amp;F731&amp;"'!$E$2")="Location",
                "Cash Accounts",
                IF(INDIRECT("'"&amp;F731&amp;"'!$B$2")="Amount",
                    "Investments",
                    "Bill Accounts"
                )
            )
        ),
    "")
)</f>
        <v/>
      </c>
      <c r="I731" s="46" t="str" cm="1">
        <f t="array" aca="1" ref="I731" ca="1">IF(F731&lt;&gt;"",IF(OR(G731="Bill Accounts",G731="Investments", G731="Cash Accounts"),INDIRECT("'"&amp;F731&amp;"'!$C$10"),INDIRECT("'"&amp;F731&amp;"'!$C$8")),"")</f>
        <v/>
      </c>
      <c r="K731" s="48">
        <f t="shared" si="36"/>
        <v>737</v>
      </c>
      <c r="L731" s="114" t="str" cm="1">
        <f t="array" aca="1" ref="L731" ca="1">IF(F731&lt;&gt;"",INDIRECT("'"&amp;F731&amp;"'!$F$17"),"")</f>
        <v/>
      </c>
      <c r="M731" s="116" t="str">
        <f t="shared" ca="1" si="34"/>
        <v/>
      </c>
      <c r="O731" s="49" t="str">
        <f t="shared" ca="1" si="35"/>
        <v/>
      </c>
      <c r="P731" s="38" t="str">
        <f>IF(E731&lt;&gt;"",RANK(E731,$E$3:$E$2298)+COUNTIF($E$3:E731,E731)-1,"")</f>
        <v/>
      </c>
    </row>
    <row r="732" spans="4:16" x14ac:dyDescent="0.25">
      <c r="D732" s="36" t="str" cm="1">
        <f t="array" aca="1" ref="D732" ca="1">IFERROR(IF(INDIRECT("'"&amp;F732&amp;"'!$C$5")&gt;0,DATE(YEAR(Dashboard!$AL$2),Dashboard!$AU$4,INDIRECT("'"&amp;F732&amp;"'!$C$5")),""),"")</f>
        <v/>
      </c>
      <c r="G732" s="38" t="str" cm="1">
        <f t="array" aca="1" ref="G732" ca="1">IF(F732="",
    "",
    IFERROR(
        IF(INDIRECT("'"&amp;F732&amp;"'!$B$2")="Credit Limit",
            "Credit Accounts",
            IF(INDIRECT("'"&amp;F732&amp;"'!$E$2")="Location",
                "Cash Accounts",
                IF(INDIRECT("'"&amp;F732&amp;"'!$B$2")="Amount",
                    "Investments",
                    "Bill Accounts"
                )
            )
        ),
    "")
)</f>
        <v/>
      </c>
      <c r="I732" s="46" t="str" cm="1">
        <f t="array" aca="1" ref="I732" ca="1">IF(F732&lt;&gt;"",IF(OR(G732="Bill Accounts",G732="Investments", G732="Cash Accounts"),INDIRECT("'"&amp;F732&amp;"'!$C$10"),INDIRECT("'"&amp;F732&amp;"'!$C$8")),"")</f>
        <v/>
      </c>
      <c r="K732" s="48">
        <f t="shared" si="36"/>
        <v>738</v>
      </c>
      <c r="L732" s="114" t="str" cm="1">
        <f t="array" aca="1" ref="L732" ca="1">IF(F732&lt;&gt;"",INDIRECT("'"&amp;F732&amp;"'!$F$17"),"")</f>
        <v/>
      </c>
      <c r="M732" s="116" t="str">
        <f t="shared" ca="1" si="34"/>
        <v/>
      </c>
      <c r="O732" s="49" t="str">
        <f t="shared" ca="1" si="35"/>
        <v/>
      </c>
      <c r="P732" s="38" t="str">
        <f>IF(E732&lt;&gt;"",RANK(E732,$E$3:$E$2298)+COUNTIF($E$3:E732,E732)-1,"")</f>
        <v/>
      </c>
    </row>
    <row r="733" spans="4:16" x14ac:dyDescent="0.25">
      <c r="D733" s="36" t="str" cm="1">
        <f t="array" aca="1" ref="D733" ca="1">IFERROR(IF(INDIRECT("'"&amp;F733&amp;"'!$C$5")&gt;0,DATE(YEAR(Dashboard!$AL$2),Dashboard!$AU$4,INDIRECT("'"&amp;F733&amp;"'!$C$5")),""),"")</f>
        <v/>
      </c>
      <c r="G733" s="38" t="str" cm="1">
        <f t="array" aca="1" ref="G733" ca="1">IF(F733="",
    "",
    IFERROR(
        IF(INDIRECT("'"&amp;F733&amp;"'!$B$2")="Credit Limit",
            "Credit Accounts",
            IF(INDIRECT("'"&amp;F733&amp;"'!$E$2")="Location",
                "Cash Accounts",
                IF(INDIRECT("'"&amp;F733&amp;"'!$B$2")="Amount",
                    "Investments",
                    "Bill Accounts"
                )
            )
        ),
    "")
)</f>
        <v/>
      </c>
      <c r="I733" s="46" t="str" cm="1">
        <f t="array" aca="1" ref="I733" ca="1">IF(F733&lt;&gt;"",IF(OR(G733="Bill Accounts",G733="Investments", G733="Cash Accounts"),INDIRECT("'"&amp;F733&amp;"'!$C$10"),INDIRECT("'"&amp;F733&amp;"'!$C$8")),"")</f>
        <v/>
      </c>
      <c r="K733" s="48">
        <f t="shared" si="36"/>
        <v>739</v>
      </c>
      <c r="L733" s="114" t="str" cm="1">
        <f t="array" aca="1" ref="L733" ca="1">IF(F733&lt;&gt;"",INDIRECT("'"&amp;F733&amp;"'!$F$17"),"")</f>
        <v/>
      </c>
      <c r="M733" s="116" t="str">
        <f t="shared" ca="1" si="34"/>
        <v/>
      </c>
      <c r="O733" s="49" t="str">
        <f t="shared" ca="1" si="35"/>
        <v/>
      </c>
      <c r="P733" s="38" t="str">
        <f>IF(E733&lt;&gt;"",RANK(E733,$E$3:$E$2298)+COUNTIF($E$3:E733,E733)-1,"")</f>
        <v/>
      </c>
    </row>
    <row r="734" spans="4:16" x14ac:dyDescent="0.25">
      <c r="D734" s="36" t="str" cm="1">
        <f t="array" aca="1" ref="D734" ca="1">IFERROR(IF(INDIRECT("'"&amp;F734&amp;"'!$C$5")&gt;0,DATE(YEAR(Dashboard!$AL$2),Dashboard!$AU$4,INDIRECT("'"&amp;F734&amp;"'!$C$5")),""),"")</f>
        <v/>
      </c>
      <c r="G734" s="38" t="str" cm="1">
        <f t="array" aca="1" ref="G734" ca="1">IF(F734="",
    "",
    IFERROR(
        IF(INDIRECT("'"&amp;F734&amp;"'!$B$2")="Credit Limit",
            "Credit Accounts",
            IF(INDIRECT("'"&amp;F734&amp;"'!$E$2")="Location",
                "Cash Accounts",
                IF(INDIRECT("'"&amp;F734&amp;"'!$B$2")="Amount",
                    "Investments",
                    "Bill Accounts"
                )
            )
        ),
    "")
)</f>
        <v/>
      </c>
      <c r="I734" s="46" t="str" cm="1">
        <f t="array" aca="1" ref="I734" ca="1">IF(F734&lt;&gt;"",IF(OR(G734="Bill Accounts",G734="Investments", G734="Cash Accounts"),INDIRECT("'"&amp;F734&amp;"'!$C$10"),INDIRECT("'"&amp;F734&amp;"'!$C$8")),"")</f>
        <v/>
      </c>
      <c r="K734" s="48">
        <f t="shared" si="36"/>
        <v>740</v>
      </c>
      <c r="L734" s="114" t="str" cm="1">
        <f t="array" aca="1" ref="L734" ca="1">IF(F734&lt;&gt;"",INDIRECT("'"&amp;F734&amp;"'!$F$17"),"")</f>
        <v/>
      </c>
      <c r="M734" s="116" t="str">
        <f t="shared" ca="1" si="34"/>
        <v/>
      </c>
      <c r="O734" s="49" t="str">
        <f t="shared" ca="1" si="35"/>
        <v/>
      </c>
      <c r="P734" s="38" t="str">
        <f>IF(E734&lt;&gt;"",RANK(E734,$E$3:$E$2298)+COUNTIF($E$3:E734,E734)-1,"")</f>
        <v/>
      </c>
    </row>
    <row r="735" spans="4:16" x14ac:dyDescent="0.25">
      <c r="D735" s="36" t="str" cm="1">
        <f t="array" aca="1" ref="D735" ca="1">IFERROR(IF(INDIRECT("'"&amp;F735&amp;"'!$C$5")&gt;0,DATE(YEAR(Dashboard!$AL$2),Dashboard!$AU$4,INDIRECT("'"&amp;F735&amp;"'!$C$5")),""),"")</f>
        <v/>
      </c>
      <c r="G735" s="38" t="str" cm="1">
        <f t="array" aca="1" ref="G735" ca="1">IF(F735="",
    "",
    IFERROR(
        IF(INDIRECT("'"&amp;F735&amp;"'!$B$2")="Credit Limit",
            "Credit Accounts",
            IF(INDIRECT("'"&amp;F735&amp;"'!$E$2")="Location",
                "Cash Accounts",
                IF(INDIRECT("'"&amp;F735&amp;"'!$B$2")="Amount",
                    "Investments",
                    "Bill Accounts"
                )
            )
        ),
    "")
)</f>
        <v/>
      </c>
      <c r="I735" s="46" t="str" cm="1">
        <f t="array" aca="1" ref="I735" ca="1">IF(F735&lt;&gt;"",IF(OR(G735="Bill Accounts",G735="Investments", G735="Cash Accounts"),INDIRECT("'"&amp;F735&amp;"'!$C$10"),INDIRECT("'"&amp;F735&amp;"'!$C$8")),"")</f>
        <v/>
      </c>
      <c r="K735" s="48">
        <f t="shared" si="36"/>
        <v>741</v>
      </c>
      <c r="L735" s="114" t="str" cm="1">
        <f t="array" aca="1" ref="L735" ca="1">IF(F735&lt;&gt;"",INDIRECT("'"&amp;F735&amp;"'!$F$17"),"")</f>
        <v/>
      </c>
      <c r="M735" s="116" t="str">
        <f t="shared" ca="1" si="34"/>
        <v/>
      </c>
      <c r="O735" s="49" t="str">
        <f t="shared" ca="1" si="35"/>
        <v/>
      </c>
      <c r="P735" s="38" t="str">
        <f>IF(E735&lt;&gt;"",RANK(E735,$E$3:$E$2298)+COUNTIF($E$3:E735,E735)-1,"")</f>
        <v/>
      </c>
    </row>
    <row r="736" spans="4:16" x14ac:dyDescent="0.25">
      <c r="D736" s="36" t="str" cm="1">
        <f t="array" aca="1" ref="D736" ca="1">IFERROR(IF(INDIRECT("'"&amp;F736&amp;"'!$C$5")&gt;0,DATE(YEAR(Dashboard!$AL$2),Dashboard!$AU$4,INDIRECT("'"&amp;F736&amp;"'!$C$5")),""),"")</f>
        <v/>
      </c>
      <c r="G736" s="38" t="str" cm="1">
        <f t="array" aca="1" ref="G736" ca="1">IF(F736="",
    "",
    IFERROR(
        IF(INDIRECT("'"&amp;F736&amp;"'!$B$2")="Credit Limit",
            "Credit Accounts",
            IF(INDIRECT("'"&amp;F736&amp;"'!$E$2")="Location",
                "Cash Accounts",
                IF(INDIRECT("'"&amp;F736&amp;"'!$B$2")="Amount",
                    "Investments",
                    "Bill Accounts"
                )
            )
        ),
    "")
)</f>
        <v/>
      </c>
      <c r="I736" s="46" t="str" cm="1">
        <f t="array" aca="1" ref="I736" ca="1">IF(F736&lt;&gt;"",IF(OR(G736="Bill Accounts",G736="Investments", G736="Cash Accounts"),INDIRECT("'"&amp;F736&amp;"'!$C$10"),INDIRECT("'"&amp;F736&amp;"'!$C$8")),"")</f>
        <v/>
      </c>
      <c r="K736" s="48">
        <f t="shared" si="36"/>
        <v>742</v>
      </c>
      <c r="L736" s="114" t="str" cm="1">
        <f t="array" aca="1" ref="L736" ca="1">IF(F736&lt;&gt;"",INDIRECT("'"&amp;F736&amp;"'!$F$17"),"")</f>
        <v/>
      </c>
      <c r="M736" s="116" t="str">
        <f t="shared" ca="1" si="34"/>
        <v/>
      </c>
      <c r="O736" s="49" t="str">
        <f t="shared" ca="1" si="35"/>
        <v/>
      </c>
      <c r="P736" s="38" t="str">
        <f>IF(E736&lt;&gt;"",RANK(E736,$E$3:$E$2298)+COUNTIF($E$3:E736,E736)-1,"")</f>
        <v/>
      </c>
    </row>
    <row r="737" spans="4:16" x14ac:dyDescent="0.25">
      <c r="D737" s="36" t="str" cm="1">
        <f t="array" aca="1" ref="D737" ca="1">IFERROR(IF(INDIRECT("'"&amp;F737&amp;"'!$C$5")&gt;0,DATE(YEAR(Dashboard!$AL$2),Dashboard!$AU$4,INDIRECT("'"&amp;F737&amp;"'!$C$5")),""),"")</f>
        <v/>
      </c>
      <c r="G737" s="38" t="str" cm="1">
        <f t="array" aca="1" ref="G737" ca="1">IF(F737="",
    "",
    IFERROR(
        IF(INDIRECT("'"&amp;F737&amp;"'!$B$2")="Credit Limit",
            "Credit Accounts",
            IF(INDIRECT("'"&amp;F737&amp;"'!$E$2")="Location",
                "Cash Accounts",
                IF(INDIRECT("'"&amp;F737&amp;"'!$B$2")="Amount",
                    "Investments",
                    "Bill Accounts"
                )
            )
        ),
    "")
)</f>
        <v/>
      </c>
      <c r="I737" s="46" t="str" cm="1">
        <f t="array" aca="1" ref="I737" ca="1">IF(F737&lt;&gt;"",IF(OR(G737="Bill Accounts",G737="Investments", G737="Cash Accounts"),INDIRECT("'"&amp;F737&amp;"'!$C$10"),INDIRECT("'"&amp;F737&amp;"'!$C$8")),"")</f>
        <v/>
      </c>
      <c r="K737" s="48">
        <f t="shared" si="36"/>
        <v>743</v>
      </c>
      <c r="L737" s="114" t="str" cm="1">
        <f t="array" aca="1" ref="L737" ca="1">IF(F737&lt;&gt;"",INDIRECT("'"&amp;F737&amp;"'!$F$17"),"")</f>
        <v/>
      </c>
      <c r="M737" s="116" t="str">
        <f t="shared" ca="1" si="34"/>
        <v/>
      </c>
      <c r="O737" s="49" t="str">
        <f t="shared" ca="1" si="35"/>
        <v/>
      </c>
      <c r="P737" s="38" t="str">
        <f>IF(E737&lt;&gt;"",RANK(E737,$E$3:$E$2298)+COUNTIF($E$3:E737,E737)-1,"")</f>
        <v/>
      </c>
    </row>
    <row r="738" spans="4:16" x14ac:dyDescent="0.25">
      <c r="D738" s="36" t="str" cm="1">
        <f t="array" aca="1" ref="D738" ca="1">IFERROR(IF(INDIRECT("'"&amp;F738&amp;"'!$C$5")&gt;0,DATE(YEAR(Dashboard!$AL$2),Dashboard!$AU$4,INDIRECT("'"&amp;F738&amp;"'!$C$5")),""),"")</f>
        <v/>
      </c>
      <c r="G738" s="38" t="str" cm="1">
        <f t="array" aca="1" ref="G738" ca="1">IF(F738="",
    "",
    IFERROR(
        IF(INDIRECT("'"&amp;F738&amp;"'!$B$2")="Credit Limit",
            "Credit Accounts",
            IF(INDIRECT("'"&amp;F738&amp;"'!$E$2")="Location",
                "Cash Accounts",
                IF(INDIRECT("'"&amp;F738&amp;"'!$B$2")="Amount",
                    "Investments",
                    "Bill Accounts"
                )
            )
        ),
    "")
)</f>
        <v/>
      </c>
      <c r="I738" s="46" t="str" cm="1">
        <f t="array" aca="1" ref="I738" ca="1">IF(F738&lt;&gt;"",IF(OR(G738="Bill Accounts",G738="Investments", G738="Cash Accounts"),INDIRECT("'"&amp;F738&amp;"'!$C$10"),INDIRECT("'"&amp;F738&amp;"'!$C$8")),"")</f>
        <v/>
      </c>
      <c r="K738" s="48">
        <f t="shared" si="36"/>
        <v>744</v>
      </c>
      <c r="L738" s="114" t="str" cm="1">
        <f t="array" aca="1" ref="L738" ca="1">IF(F738&lt;&gt;"",INDIRECT("'"&amp;F738&amp;"'!$F$17"),"")</f>
        <v/>
      </c>
      <c r="M738" s="116" t="str">
        <f t="shared" ca="1" si="34"/>
        <v/>
      </c>
      <c r="O738" s="49" t="str">
        <f t="shared" ca="1" si="35"/>
        <v/>
      </c>
      <c r="P738" s="38" t="str">
        <f>IF(E738&lt;&gt;"",RANK(E738,$E$3:$E$2298)+COUNTIF($E$3:E738,E738)-1,"")</f>
        <v/>
      </c>
    </row>
    <row r="739" spans="4:16" x14ac:dyDescent="0.25">
      <c r="D739" s="36" t="str" cm="1">
        <f t="array" aca="1" ref="D739" ca="1">IFERROR(IF(INDIRECT("'"&amp;F739&amp;"'!$C$5")&gt;0,DATE(YEAR(Dashboard!$AL$2),Dashboard!$AU$4,INDIRECT("'"&amp;F739&amp;"'!$C$5")),""),"")</f>
        <v/>
      </c>
      <c r="G739" s="38" t="str" cm="1">
        <f t="array" aca="1" ref="G739" ca="1">IF(F739="",
    "",
    IFERROR(
        IF(INDIRECT("'"&amp;F739&amp;"'!$B$2")="Credit Limit",
            "Credit Accounts",
            IF(INDIRECT("'"&amp;F739&amp;"'!$E$2")="Location",
                "Cash Accounts",
                IF(INDIRECT("'"&amp;F739&amp;"'!$B$2")="Amount",
                    "Investments",
                    "Bill Accounts"
                )
            )
        ),
    "")
)</f>
        <v/>
      </c>
      <c r="I739" s="46" t="str" cm="1">
        <f t="array" aca="1" ref="I739" ca="1">IF(F739&lt;&gt;"",IF(OR(G739="Bill Accounts",G739="Investments", G739="Cash Accounts"),INDIRECT("'"&amp;F739&amp;"'!$C$10"),INDIRECT("'"&amp;F739&amp;"'!$C$8")),"")</f>
        <v/>
      </c>
      <c r="K739" s="48">
        <f t="shared" si="36"/>
        <v>745</v>
      </c>
      <c r="L739" s="114" t="str" cm="1">
        <f t="array" aca="1" ref="L739" ca="1">IF(F739&lt;&gt;"",INDIRECT("'"&amp;F739&amp;"'!$F$17"),"")</f>
        <v/>
      </c>
      <c r="M739" s="116" t="str">
        <f t="shared" ca="1" si="34"/>
        <v/>
      </c>
      <c r="O739" s="49" t="str">
        <f t="shared" ca="1" si="35"/>
        <v/>
      </c>
      <c r="P739" s="38" t="str">
        <f>IF(E739&lt;&gt;"",RANK(E739,$E$3:$E$2298)+COUNTIF($E$3:E739,E739)-1,"")</f>
        <v/>
      </c>
    </row>
    <row r="740" spans="4:16" x14ac:dyDescent="0.25">
      <c r="D740" s="36" t="str" cm="1">
        <f t="array" aca="1" ref="D740" ca="1">IFERROR(IF(INDIRECT("'"&amp;F740&amp;"'!$C$5")&gt;0,DATE(YEAR(Dashboard!$AL$2),Dashboard!$AU$4,INDIRECT("'"&amp;F740&amp;"'!$C$5")),""),"")</f>
        <v/>
      </c>
      <c r="G740" s="38" t="str" cm="1">
        <f t="array" aca="1" ref="G740" ca="1">IF(F740="",
    "",
    IFERROR(
        IF(INDIRECT("'"&amp;F740&amp;"'!$B$2")="Credit Limit",
            "Credit Accounts",
            IF(INDIRECT("'"&amp;F740&amp;"'!$E$2")="Location",
                "Cash Accounts",
                IF(INDIRECT("'"&amp;F740&amp;"'!$B$2")="Amount",
                    "Investments",
                    "Bill Accounts"
                )
            )
        ),
    "")
)</f>
        <v/>
      </c>
      <c r="I740" s="46" t="str" cm="1">
        <f t="array" aca="1" ref="I740" ca="1">IF(F740&lt;&gt;"",IF(OR(G740="Bill Accounts",G740="Investments", G740="Cash Accounts"),INDIRECT("'"&amp;F740&amp;"'!$C$10"),INDIRECT("'"&amp;F740&amp;"'!$C$8")),"")</f>
        <v/>
      </c>
      <c r="K740" s="48">
        <f t="shared" si="36"/>
        <v>746</v>
      </c>
      <c r="L740" s="114" t="str" cm="1">
        <f t="array" aca="1" ref="L740" ca="1">IF(F740&lt;&gt;"",INDIRECT("'"&amp;F740&amp;"'!$F$17"),"")</f>
        <v/>
      </c>
      <c r="M740" s="116" t="str">
        <f t="shared" ca="1" si="34"/>
        <v/>
      </c>
      <c r="O740" s="49" t="str">
        <f t="shared" ca="1" si="35"/>
        <v/>
      </c>
      <c r="P740" s="38" t="str">
        <f>IF(E740&lt;&gt;"",RANK(E740,$E$3:$E$2298)+COUNTIF($E$3:E740,E740)-1,"")</f>
        <v/>
      </c>
    </row>
    <row r="741" spans="4:16" x14ac:dyDescent="0.25">
      <c r="D741" s="36" t="str" cm="1">
        <f t="array" aca="1" ref="D741" ca="1">IFERROR(IF(INDIRECT("'"&amp;F741&amp;"'!$C$5")&gt;0,DATE(YEAR(Dashboard!$AL$2),Dashboard!$AU$4,INDIRECT("'"&amp;F741&amp;"'!$C$5")),""),"")</f>
        <v/>
      </c>
      <c r="G741" s="38" t="str" cm="1">
        <f t="array" aca="1" ref="G741" ca="1">IF(F741="",
    "",
    IFERROR(
        IF(INDIRECT("'"&amp;F741&amp;"'!$B$2")="Credit Limit",
            "Credit Accounts",
            IF(INDIRECT("'"&amp;F741&amp;"'!$E$2")="Location",
                "Cash Accounts",
                IF(INDIRECT("'"&amp;F741&amp;"'!$B$2")="Amount",
                    "Investments",
                    "Bill Accounts"
                )
            )
        ),
    "")
)</f>
        <v/>
      </c>
      <c r="I741" s="46" t="str" cm="1">
        <f t="array" aca="1" ref="I741" ca="1">IF(F741&lt;&gt;"",IF(OR(G741="Bill Accounts",G741="Investments", G741="Cash Accounts"),INDIRECT("'"&amp;F741&amp;"'!$C$10"),INDIRECT("'"&amp;F741&amp;"'!$C$8")),"")</f>
        <v/>
      </c>
      <c r="K741" s="48">
        <f t="shared" si="36"/>
        <v>747</v>
      </c>
      <c r="L741" s="114" t="str" cm="1">
        <f t="array" aca="1" ref="L741" ca="1">IF(F741&lt;&gt;"",INDIRECT("'"&amp;F741&amp;"'!$F$17"),"")</f>
        <v/>
      </c>
      <c r="M741" s="116" t="str">
        <f t="shared" ca="1" si="34"/>
        <v/>
      </c>
      <c r="O741" s="49" t="str">
        <f t="shared" ca="1" si="35"/>
        <v/>
      </c>
      <c r="P741" s="38" t="str">
        <f>IF(E741&lt;&gt;"",RANK(E741,$E$3:$E$2298)+COUNTIF($E$3:E741,E741)-1,"")</f>
        <v/>
      </c>
    </row>
    <row r="742" spans="4:16" x14ac:dyDescent="0.25">
      <c r="D742" s="36" t="str" cm="1">
        <f t="array" aca="1" ref="D742" ca="1">IFERROR(IF(INDIRECT("'"&amp;F742&amp;"'!$C$5")&gt;0,DATE(YEAR(Dashboard!$AL$2),Dashboard!$AU$4,INDIRECT("'"&amp;F742&amp;"'!$C$5")),""),"")</f>
        <v/>
      </c>
      <c r="G742" s="38" t="str" cm="1">
        <f t="array" aca="1" ref="G742" ca="1">IF(F742="",
    "",
    IFERROR(
        IF(INDIRECT("'"&amp;F742&amp;"'!$B$2")="Credit Limit",
            "Credit Accounts",
            IF(INDIRECT("'"&amp;F742&amp;"'!$E$2")="Location",
                "Cash Accounts",
                IF(INDIRECT("'"&amp;F742&amp;"'!$B$2")="Amount",
                    "Investments",
                    "Bill Accounts"
                )
            )
        ),
    "")
)</f>
        <v/>
      </c>
      <c r="I742" s="46" t="str" cm="1">
        <f t="array" aca="1" ref="I742" ca="1">IF(F742&lt;&gt;"",IF(OR(G742="Bill Accounts",G742="Investments", G742="Cash Accounts"),INDIRECT("'"&amp;F742&amp;"'!$C$10"),INDIRECT("'"&amp;F742&amp;"'!$C$8")),"")</f>
        <v/>
      </c>
      <c r="K742" s="48">
        <f t="shared" si="36"/>
        <v>748</v>
      </c>
      <c r="L742" s="114" t="str" cm="1">
        <f t="array" aca="1" ref="L742" ca="1">IF(F742&lt;&gt;"",INDIRECT("'"&amp;F742&amp;"'!$F$17"),"")</f>
        <v/>
      </c>
      <c r="M742" s="116" t="str">
        <f t="shared" ca="1" si="34"/>
        <v/>
      </c>
      <c r="O742" s="49" t="str">
        <f t="shared" ca="1" si="35"/>
        <v/>
      </c>
      <c r="P742" s="38" t="str">
        <f>IF(E742&lt;&gt;"",RANK(E742,$E$3:$E$2298)+COUNTIF($E$3:E742,E742)-1,"")</f>
        <v/>
      </c>
    </row>
    <row r="743" spans="4:16" x14ac:dyDescent="0.25">
      <c r="D743" s="36" t="str" cm="1">
        <f t="array" aca="1" ref="D743" ca="1">IFERROR(IF(INDIRECT("'"&amp;F743&amp;"'!$C$5")&gt;0,DATE(YEAR(Dashboard!$AL$2),Dashboard!$AU$4,INDIRECT("'"&amp;F743&amp;"'!$C$5")),""),"")</f>
        <v/>
      </c>
      <c r="G743" s="38" t="str" cm="1">
        <f t="array" aca="1" ref="G743" ca="1">IF(F743="",
    "",
    IFERROR(
        IF(INDIRECT("'"&amp;F743&amp;"'!$B$2")="Credit Limit",
            "Credit Accounts",
            IF(INDIRECT("'"&amp;F743&amp;"'!$E$2")="Location",
                "Cash Accounts",
                IF(INDIRECT("'"&amp;F743&amp;"'!$B$2")="Amount",
                    "Investments",
                    "Bill Accounts"
                )
            )
        ),
    "")
)</f>
        <v/>
      </c>
      <c r="I743" s="46" t="str" cm="1">
        <f t="array" aca="1" ref="I743" ca="1">IF(F743&lt;&gt;"",IF(OR(G743="Bill Accounts",G743="Investments", G743="Cash Accounts"),INDIRECT("'"&amp;F743&amp;"'!$C$10"),INDIRECT("'"&amp;F743&amp;"'!$C$8")),"")</f>
        <v/>
      </c>
      <c r="K743" s="48">
        <f t="shared" si="36"/>
        <v>749</v>
      </c>
      <c r="L743" s="114" t="str" cm="1">
        <f t="array" aca="1" ref="L743" ca="1">IF(F743&lt;&gt;"",INDIRECT("'"&amp;F743&amp;"'!$F$17"),"")</f>
        <v/>
      </c>
      <c r="M743" s="116" t="str">
        <f t="shared" ca="1" si="34"/>
        <v/>
      </c>
      <c r="O743" s="49" t="str">
        <f t="shared" ca="1" si="35"/>
        <v/>
      </c>
      <c r="P743" s="38" t="str">
        <f>IF(E743&lt;&gt;"",RANK(E743,$E$3:$E$2298)+COUNTIF($E$3:E743,E743)-1,"")</f>
        <v/>
      </c>
    </row>
    <row r="744" spans="4:16" x14ac:dyDescent="0.25">
      <c r="D744" s="36" t="str" cm="1">
        <f t="array" aca="1" ref="D744" ca="1">IFERROR(IF(INDIRECT("'"&amp;F744&amp;"'!$C$5")&gt;0,DATE(YEAR(Dashboard!$AL$2),Dashboard!$AU$4,INDIRECT("'"&amp;F744&amp;"'!$C$5")),""),"")</f>
        <v/>
      </c>
      <c r="G744" s="38" t="str" cm="1">
        <f t="array" aca="1" ref="G744" ca="1">IF(F744="",
    "",
    IFERROR(
        IF(INDIRECT("'"&amp;F744&amp;"'!$B$2")="Credit Limit",
            "Credit Accounts",
            IF(INDIRECT("'"&amp;F744&amp;"'!$E$2")="Location",
                "Cash Accounts",
                IF(INDIRECT("'"&amp;F744&amp;"'!$B$2")="Amount",
                    "Investments",
                    "Bill Accounts"
                )
            )
        ),
    "")
)</f>
        <v/>
      </c>
      <c r="I744" s="46" t="str" cm="1">
        <f t="array" aca="1" ref="I744" ca="1">IF(F744&lt;&gt;"",IF(OR(G744="Bill Accounts",G744="Investments", G744="Cash Accounts"),INDIRECT("'"&amp;F744&amp;"'!$C$10"),INDIRECT("'"&amp;F744&amp;"'!$C$8")),"")</f>
        <v/>
      </c>
      <c r="K744" s="48">
        <f t="shared" si="36"/>
        <v>750</v>
      </c>
      <c r="L744" s="114" t="str" cm="1">
        <f t="array" aca="1" ref="L744" ca="1">IF(F744&lt;&gt;"",INDIRECT("'"&amp;F744&amp;"'!$F$17"),"")</f>
        <v/>
      </c>
      <c r="M744" s="116" t="str">
        <f t="shared" ca="1" si="34"/>
        <v/>
      </c>
      <c r="O744" s="49" t="str">
        <f t="shared" ca="1" si="35"/>
        <v/>
      </c>
      <c r="P744" s="38" t="str">
        <f>IF(E744&lt;&gt;"",RANK(E744,$E$3:$E$2298)+COUNTIF($E$3:E744,E744)-1,"")</f>
        <v/>
      </c>
    </row>
    <row r="745" spans="4:16" x14ac:dyDescent="0.25">
      <c r="D745" s="36" t="str" cm="1">
        <f t="array" aca="1" ref="D745" ca="1">IFERROR(IF(INDIRECT("'"&amp;F745&amp;"'!$C$5")&gt;0,DATE(YEAR(Dashboard!$AL$2),Dashboard!$AU$4,INDIRECT("'"&amp;F745&amp;"'!$C$5")),""),"")</f>
        <v/>
      </c>
      <c r="G745" s="38" t="str" cm="1">
        <f t="array" aca="1" ref="G745" ca="1">IF(F745="",
    "",
    IFERROR(
        IF(INDIRECT("'"&amp;F745&amp;"'!$B$2")="Credit Limit",
            "Credit Accounts",
            IF(INDIRECT("'"&amp;F745&amp;"'!$E$2")="Location",
                "Cash Accounts",
                IF(INDIRECT("'"&amp;F745&amp;"'!$B$2")="Amount",
                    "Investments",
                    "Bill Accounts"
                )
            )
        ),
    "")
)</f>
        <v/>
      </c>
      <c r="I745" s="46" t="str" cm="1">
        <f t="array" aca="1" ref="I745" ca="1">IF(F745&lt;&gt;"",IF(OR(G745="Bill Accounts",G745="Investments", G745="Cash Accounts"),INDIRECT("'"&amp;F745&amp;"'!$C$10"),INDIRECT("'"&amp;F745&amp;"'!$C$8")),"")</f>
        <v/>
      </c>
      <c r="K745" s="48">
        <f t="shared" si="36"/>
        <v>751</v>
      </c>
      <c r="L745" s="114" t="str" cm="1">
        <f t="array" aca="1" ref="L745" ca="1">IF(F745&lt;&gt;"",INDIRECT("'"&amp;F745&amp;"'!$F$17"),"")</f>
        <v/>
      </c>
      <c r="M745" s="116" t="str">
        <f t="shared" ca="1" si="34"/>
        <v/>
      </c>
      <c r="O745" s="49" t="str">
        <f t="shared" ca="1" si="35"/>
        <v/>
      </c>
      <c r="P745" s="38" t="str">
        <f>IF(E745&lt;&gt;"",RANK(E745,$E$3:$E$2298)+COUNTIF($E$3:E745,E745)-1,"")</f>
        <v/>
      </c>
    </row>
    <row r="746" spans="4:16" x14ac:dyDescent="0.25">
      <c r="D746" s="36" t="str" cm="1">
        <f t="array" aca="1" ref="D746" ca="1">IFERROR(IF(INDIRECT("'"&amp;F746&amp;"'!$C$5")&gt;0,DATE(YEAR(Dashboard!$AL$2),Dashboard!$AU$4,INDIRECT("'"&amp;F746&amp;"'!$C$5")),""),"")</f>
        <v/>
      </c>
      <c r="G746" s="38" t="str" cm="1">
        <f t="array" aca="1" ref="G746" ca="1">IF(F746="",
    "",
    IFERROR(
        IF(INDIRECT("'"&amp;F746&amp;"'!$B$2")="Credit Limit",
            "Credit Accounts",
            IF(INDIRECT("'"&amp;F746&amp;"'!$E$2")="Location",
                "Cash Accounts",
                IF(INDIRECT("'"&amp;F746&amp;"'!$B$2")="Amount",
                    "Investments",
                    "Bill Accounts"
                )
            )
        ),
    "")
)</f>
        <v/>
      </c>
      <c r="I746" s="46" t="str" cm="1">
        <f t="array" aca="1" ref="I746" ca="1">IF(F746&lt;&gt;"",IF(OR(G746="Bill Accounts",G746="Investments", G746="Cash Accounts"),INDIRECT("'"&amp;F746&amp;"'!$C$10"),INDIRECT("'"&amp;F746&amp;"'!$C$8")),"")</f>
        <v/>
      </c>
      <c r="K746" s="48">
        <f t="shared" si="36"/>
        <v>752</v>
      </c>
      <c r="L746" s="114" t="str" cm="1">
        <f t="array" aca="1" ref="L746" ca="1">IF(F746&lt;&gt;"",INDIRECT("'"&amp;F746&amp;"'!$F$17"),"")</f>
        <v/>
      </c>
      <c r="M746" s="116" t="str">
        <f t="shared" ca="1" si="34"/>
        <v/>
      </c>
      <c r="O746" s="49" t="str">
        <f t="shared" ca="1" si="35"/>
        <v/>
      </c>
      <c r="P746" s="38" t="str">
        <f>IF(E746&lt;&gt;"",RANK(E746,$E$3:$E$2298)+COUNTIF($E$3:E746,E746)-1,"")</f>
        <v/>
      </c>
    </row>
    <row r="747" spans="4:16" x14ac:dyDescent="0.25">
      <c r="D747" s="36" t="str" cm="1">
        <f t="array" aca="1" ref="D747" ca="1">IFERROR(IF(INDIRECT("'"&amp;F747&amp;"'!$C$5")&gt;0,DATE(YEAR(Dashboard!$AL$2),Dashboard!$AU$4,INDIRECT("'"&amp;F747&amp;"'!$C$5")),""),"")</f>
        <v/>
      </c>
      <c r="G747" s="38" t="str" cm="1">
        <f t="array" aca="1" ref="G747" ca="1">IF(F747="",
    "",
    IFERROR(
        IF(INDIRECT("'"&amp;F747&amp;"'!$B$2")="Credit Limit",
            "Credit Accounts",
            IF(INDIRECT("'"&amp;F747&amp;"'!$E$2")="Location",
                "Cash Accounts",
                IF(INDIRECT("'"&amp;F747&amp;"'!$B$2")="Amount",
                    "Investments",
                    "Bill Accounts"
                )
            )
        ),
    "")
)</f>
        <v/>
      </c>
      <c r="I747" s="46" t="str" cm="1">
        <f t="array" aca="1" ref="I747" ca="1">IF(F747&lt;&gt;"",IF(OR(G747="Bill Accounts",G747="Investments", G747="Cash Accounts"),INDIRECT("'"&amp;F747&amp;"'!$C$10"),INDIRECT("'"&amp;F747&amp;"'!$C$8")),"")</f>
        <v/>
      </c>
      <c r="K747" s="48">
        <f t="shared" si="36"/>
        <v>753</v>
      </c>
      <c r="L747" s="114" t="str" cm="1">
        <f t="array" aca="1" ref="L747" ca="1">IF(F747&lt;&gt;"",INDIRECT("'"&amp;F747&amp;"'!$F$17"),"")</f>
        <v/>
      </c>
      <c r="M747" s="116" t="str">
        <f t="shared" ca="1" si="34"/>
        <v/>
      </c>
      <c r="O747" s="49" t="str">
        <f t="shared" ca="1" si="35"/>
        <v/>
      </c>
      <c r="P747" s="38" t="str">
        <f>IF(E747&lt;&gt;"",RANK(E747,$E$3:$E$2298)+COUNTIF($E$3:E747,E747)-1,"")</f>
        <v/>
      </c>
    </row>
    <row r="748" spans="4:16" x14ac:dyDescent="0.25">
      <c r="D748" s="36" t="str" cm="1">
        <f t="array" aca="1" ref="D748" ca="1">IFERROR(IF(INDIRECT("'"&amp;F748&amp;"'!$C$5")&gt;0,DATE(YEAR(Dashboard!$AL$2),Dashboard!$AU$4,INDIRECT("'"&amp;F748&amp;"'!$C$5")),""),"")</f>
        <v/>
      </c>
      <c r="G748" s="38" t="str" cm="1">
        <f t="array" aca="1" ref="G748" ca="1">IF(F748="",
    "",
    IFERROR(
        IF(INDIRECT("'"&amp;F748&amp;"'!$B$2")="Credit Limit",
            "Credit Accounts",
            IF(INDIRECT("'"&amp;F748&amp;"'!$E$2")="Location",
                "Cash Accounts",
                IF(INDIRECT("'"&amp;F748&amp;"'!$B$2")="Amount",
                    "Investments",
                    "Bill Accounts"
                )
            )
        ),
    "")
)</f>
        <v/>
      </c>
      <c r="I748" s="46" t="str" cm="1">
        <f t="array" aca="1" ref="I748" ca="1">IF(F748&lt;&gt;"",IF(OR(G748="Bill Accounts",G748="Investments", G748="Cash Accounts"),INDIRECT("'"&amp;F748&amp;"'!$C$10"),INDIRECT("'"&amp;F748&amp;"'!$C$8")),"")</f>
        <v/>
      </c>
      <c r="K748" s="48">
        <f t="shared" si="36"/>
        <v>754</v>
      </c>
      <c r="L748" s="114" t="str" cm="1">
        <f t="array" aca="1" ref="L748" ca="1">IF(F748&lt;&gt;"",INDIRECT("'"&amp;F748&amp;"'!$F$17"),"")</f>
        <v/>
      </c>
      <c r="M748" s="116" t="str">
        <f t="shared" ca="1" si="34"/>
        <v/>
      </c>
      <c r="O748" s="49" t="str">
        <f t="shared" ca="1" si="35"/>
        <v/>
      </c>
      <c r="P748" s="38" t="str">
        <f>IF(E748&lt;&gt;"",RANK(E748,$E$3:$E$2298)+COUNTIF($E$3:E748,E748)-1,"")</f>
        <v/>
      </c>
    </row>
    <row r="749" spans="4:16" x14ac:dyDescent="0.25">
      <c r="D749" s="36" t="str" cm="1">
        <f t="array" aca="1" ref="D749" ca="1">IFERROR(IF(INDIRECT("'"&amp;F749&amp;"'!$C$5")&gt;0,DATE(YEAR(Dashboard!$AL$2),Dashboard!$AU$4,INDIRECT("'"&amp;F749&amp;"'!$C$5")),""),"")</f>
        <v/>
      </c>
      <c r="G749" s="38" t="str" cm="1">
        <f t="array" aca="1" ref="G749" ca="1">IF(F749="",
    "",
    IFERROR(
        IF(INDIRECT("'"&amp;F749&amp;"'!$B$2")="Credit Limit",
            "Credit Accounts",
            IF(INDIRECT("'"&amp;F749&amp;"'!$E$2")="Location",
                "Cash Accounts",
                IF(INDIRECT("'"&amp;F749&amp;"'!$B$2")="Amount",
                    "Investments",
                    "Bill Accounts"
                )
            )
        ),
    "")
)</f>
        <v/>
      </c>
      <c r="I749" s="46" t="str" cm="1">
        <f t="array" aca="1" ref="I749" ca="1">IF(F749&lt;&gt;"",IF(OR(G749="Bill Accounts",G749="Investments", G749="Cash Accounts"),INDIRECT("'"&amp;F749&amp;"'!$C$10"),INDIRECT("'"&amp;F749&amp;"'!$C$8")),"")</f>
        <v/>
      </c>
      <c r="K749" s="48">
        <f t="shared" si="36"/>
        <v>755</v>
      </c>
      <c r="L749" s="114" t="str" cm="1">
        <f t="array" aca="1" ref="L749" ca="1">IF(F749&lt;&gt;"",INDIRECT("'"&amp;F749&amp;"'!$F$17"),"")</f>
        <v/>
      </c>
      <c r="M749" s="116" t="str">
        <f t="shared" ca="1" si="34"/>
        <v/>
      </c>
      <c r="O749" s="49" t="str">
        <f t="shared" ca="1" si="35"/>
        <v/>
      </c>
      <c r="P749" s="38" t="str">
        <f>IF(E749&lt;&gt;"",RANK(E749,$E$3:$E$2298)+COUNTIF($E$3:E749,E749)-1,"")</f>
        <v/>
      </c>
    </row>
    <row r="750" spans="4:16" x14ac:dyDescent="0.25">
      <c r="D750" s="36" t="str" cm="1">
        <f t="array" aca="1" ref="D750" ca="1">IFERROR(IF(INDIRECT("'"&amp;F750&amp;"'!$C$5")&gt;0,DATE(YEAR(Dashboard!$AL$2),Dashboard!$AU$4,INDIRECT("'"&amp;F750&amp;"'!$C$5")),""),"")</f>
        <v/>
      </c>
      <c r="G750" s="38" t="str" cm="1">
        <f t="array" aca="1" ref="G750" ca="1">IF(F750="",
    "",
    IFERROR(
        IF(INDIRECT("'"&amp;F750&amp;"'!$B$2")="Credit Limit",
            "Credit Accounts",
            IF(INDIRECT("'"&amp;F750&amp;"'!$E$2")="Location",
                "Cash Accounts",
                IF(INDIRECT("'"&amp;F750&amp;"'!$B$2")="Amount",
                    "Investments",
                    "Bill Accounts"
                )
            )
        ),
    "")
)</f>
        <v/>
      </c>
      <c r="I750" s="46" t="str" cm="1">
        <f t="array" aca="1" ref="I750" ca="1">IF(F750&lt;&gt;"",IF(OR(G750="Bill Accounts",G750="Investments", G750="Cash Accounts"),INDIRECT("'"&amp;F750&amp;"'!$C$10"),INDIRECT("'"&amp;F750&amp;"'!$C$8")),"")</f>
        <v/>
      </c>
      <c r="K750" s="48">
        <f t="shared" si="36"/>
        <v>756</v>
      </c>
      <c r="L750" s="114" t="str" cm="1">
        <f t="array" aca="1" ref="L750" ca="1">IF(F750&lt;&gt;"",INDIRECT("'"&amp;F750&amp;"'!$F$17"),"")</f>
        <v/>
      </c>
      <c r="M750" s="116" t="str">
        <f t="shared" ca="1" si="34"/>
        <v/>
      </c>
      <c r="O750" s="49" t="str">
        <f t="shared" ca="1" si="35"/>
        <v/>
      </c>
      <c r="P750" s="38" t="str">
        <f>IF(E750&lt;&gt;"",RANK(E750,$E$3:$E$2298)+COUNTIF($E$3:E750,E750)-1,"")</f>
        <v/>
      </c>
    </row>
    <row r="751" spans="4:16" x14ac:dyDescent="0.25">
      <c r="D751" s="36" t="str" cm="1">
        <f t="array" aca="1" ref="D751" ca="1">IFERROR(IF(INDIRECT("'"&amp;F751&amp;"'!$C$5")&gt;0,DATE(YEAR(Dashboard!$AL$2),Dashboard!$AU$4,INDIRECT("'"&amp;F751&amp;"'!$C$5")),""),"")</f>
        <v/>
      </c>
      <c r="G751" s="38" t="str" cm="1">
        <f t="array" aca="1" ref="G751" ca="1">IF(F751="",
    "",
    IFERROR(
        IF(INDIRECT("'"&amp;F751&amp;"'!$B$2")="Credit Limit",
            "Credit Accounts",
            IF(INDIRECT("'"&amp;F751&amp;"'!$E$2")="Location",
                "Cash Accounts",
                IF(INDIRECT("'"&amp;F751&amp;"'!$B$2")="Amount",
                    "Investments",
                    "Bill Accounts"
                )
            )
        ),
    "")
)</f>
        <v/>
      </c>
      <c r="I751" s="46" t="str" cm="1">
        <f t="array" aca="1" ref="I751" ca="1">IF(F751&lt;&gt;"",IF(OR(G751="Bill Accounts",G751="Investments", G751="Cash Accounts"),INDIRECT("'"&amp;F751&amp;"'!$C$10"),INDIRECT("'"&amp;F751&amp;"'!$C$8")),"")</f>
        <v/>
      </c>
      <c r="K751" s="48">
        <f t="shared" si="36"/>
        <v>757</v>
      </c>
      <c r="L751" s="114" t="str" cm="1">
        <f t="array" aca="1" ref="L751" ca="1">IF(F751&lt;&gt;"",INDIRECT("'"&amp;F751&amp;"'!$F$17"),"")</f>
        <v/>
      </c>
      <c r="M751" s="116" t="str">
        <f t="shared" ca="1" si="34"/>
        <v/>
      </c>
      <c r="O751" s="49" t="str">
        <f t="shared" ca="1" si="35"/>
        <v/>
      </c>
      <c r="P751" s="38" t="str">
        <f>IF(E751&lt;&gt;"",RANK(E751,$E$3:$E$2298)+COUNTIF($E$3:E751,E751)-1,"")</f>
        <v/>
      </c>
    </row>
    <row r="752" spans="4:16" x14ac:dyDescent="0.25">
      <c r="D752" s="36" t="str" cm="1">
        <f t="array" aca="1" ref="D752" ca="1">IFERROR(IF(INDIRECT("'"&amp;F752&amp;"'!$C$5")&gt;0,DATE(YEAR(Dashboard!$AL$2),Dashboard!$AU$4,INDIRECT("'"&amp;F752&amp;"'!$C$5")),""),"")</f>
        <v/>
      </c>
      <c r="G752" s="38" t="str" cm="1">
        <f t="array" aca="1" ref="G752" ca="1">IF(F752="",
    "",
    IFERROR(
        IF(INDIRECT("'"&amp;F752&amp;"'!$B$2")="Credit Limit",
            "Credit Accounts",
            IF(INDIRECT("'"&amp;F752&amp;"'!$E$2")="Location",
                "Cash Accounts",
                IF(INDIRECT("'"&amp;F752&amp;"'!$B$2")="Amount",
                    "Investments",
                    "Bill Accounts"
                )
            )
        ),
    "")
)</f>
        <v/>
      </c>
      <c r="I752" s="46" t="str" cm="1">
        <f t="array" aca="1" ref="I752" ca="1">IF(F752&lt;&gt;"",IF(OR(G752="Bill Accounts",G752="Investments", G752="Cash Accounts"),INDIRECT("'"&amp;F752&amp;"'!$C$10"),INDIRECT("'"&amp;F752&amp;"'!$C$8")),"")</f>
        <v/>
      </c>
      <c r="K752" s="48">
        <f t="shared" si="36"/>
        <v>758</v>
      </c>
      <c r="L752" s="114" t="str" cm="1">
        <f t="array" aca="1" ref="L752" ca="1">IF(F752&lt;&gt;"",INDIRECT("'"&amp;F752&amp;"'!$F$17"),"")</f>
        <v/>
      </c>
      <c r="M752" s="116" t="str">
        <f t="shared" ca="1" si="34"/>
        <v/>
      </c>
      <c r="O752" s="49" t="str">
        <f t="shared" ca="1" si="35"/>
        <v/>
      </c>
      <c r="P752" s="38" t="str">
        <f>IF(E752&lt;&gt;"",RANK(E752,$E$3:$E$2298)+COUNTIF($E$3:E752,E752)-1,"")</f>
        <v/>
      </c>
    </row>
    <row r="753" spans="4:16" x14ac:dyDescent="0.25">
      <c r="D753" s="36" t="str" cm="1">
        <f t="array" aca="1" ref="D753" ca="1">IFERROR(IF(INDIRECT("'"&amp;F753&amp;"'!$C$5")&gt;0,DATE(YEAR(Dashboard!$AL$2),Dashboard!$AU$4,INDIRECT("'"&amp;F753&amp;"'!$C$5")),""),"")</f>
        <v/>
      </c>
      <c r="G753" s="38" t="str" cm="1">
        <f t="array" aca="1" ref="G753" ca="1">IF(F753="",
    "",
    IFERROR(
        IF(INDIRECT("'"&amp;F753&amp;"'!$B$2")="Credit Limit",
            "Credit Accounts",
            IF(INDIRECT("'"&amp;F753&amp;"'!$E$2")="Location",
                "Cash Accounts",
                IF(INDIRECT("'"&amp;F753&amp;"'!$B$2")="Amount",
                    "Investments",
                    "Bill Accounts"
                )
            )
        ),
    "")
)</f>
        <v/>
      </c>
      <c r="I753" s="46" t="str" cm="1">
        <f t="array" aca="1" ref="I753" ca="1">IF(F753&lt;&gt;"",IF(OR(G753="Bill Accounts",G753="Investments", G753="Cash Accounts"),INDIRECT("'"&amp;F753&amp;"'!$C$10"),INDIRECT("'"&amp;F753&amp;"'!$C$8")),"")</f>
        <v/>
      </c>
      <c r="K753" s="48">
        <f t="shared" si="36"/>
        <v>759</v>
      </c>
      <c r="L753" s="114" t="str" cm="1">
        <f t="array" aca="1" ref="L753" ca="1">IF(F753&lt;&gt;"",INDIRECT("'"&amp;F753&amp;"'!$F$17"),"")</f>
        <v/>
      </c>
      <c r="M753" s="116" t="str">
        <f t="shared" ca="1" si="34"/>
        <v/>
      </c>
      <c r="O753" s="49" t="str">
        <f t="shared" ca="1" si="35"/>
        <v/>
      </c>
      <c r="P753" s="38" t="str">
        <f>IF(E753&lt;&gt;"",RANK(E753,$E$3:$E$2298)+COUNTIF($E$3:E753,E753)-1,"")</f>
        <v/>
      </c>
    </row>
    <row r="754" spans="4:16" x14ac:dyDescent="0.25">
      <c r="D754" s="36" t="str" cm="1">
        <f t="array" aca="1" ref="D754" ca="1">IFERROR(IF(INDIRECT("'"&amp;F754&amp;"'!$C$5")&gt;0,DATE(YEAR(Dashboard!$AL$2),Dashboard!$AU$4,INDIRECT("'"&amp;F754&amp;"'!$C$5")),""),"")</f>
        <v/>
      </c>
      <c r="G754" s="38" t="str" cm="1">
        <f t="array" aca="1" ref="G754" ca="1">IF(F754="",
    "",
    IFERROR(
        IF(INDIRECT("'"&amp;F754&amp;"'!$B$2")="Credit Limit",
            "Credit Accounts",
            IF(INDIRECT("'"&amp;F754&amp;"'!$E$2")="Location",
                "Cash Accounts",
                IF(INDIRECT("'"&amp;F754&amp;"'!$B$2")="Amount",
                    "Investments",
                    "Bill Accounts"
                )
            )
        ),
    "")
)</f>
        <v/>
      </c>
      <c r="I754" s="46" t="str" cm="1">
        <f t="array" aca="1" ref="I754" ca="1">IF(F754&lt;&gt;"",IF(OR(G754="Bill Accounts",G754="Investments", G754="Cash Accounts"),INDIRECT("'"&amp;F754&amp;"'!$C$10"),INDIRECT("'"&amp;F754&amp;"'!$C$8")),"")</f>
        <v/>
      </c>
      <c r="K754" s="48">
        <f t="shared" si="36"/>
        <v>760</v>
      </c>
      <c r="L754" s="114" t="str" cm="1">
        <f t="array" aca="1" ref="L754" ca="1">IF(F754&lt;&gt;"",INDIRECT("'"&amp;F754&amp;"'!$F$17"),"")</f>
        <v/>
      </c>
      <c r="M754" s="116" t="str">
        <f t="shared" ca="1" si="34"/>
        <v/>
      </c>
      <c r="O754" s="49" t="str">
        <f t="shared" ca="1" si="35"/>
        <v/>
      </c>
      <c r="P754" s="38" t="str">
        <f>IF(E754&lt;&gt;"",RANK(E754,$E$3:$E$2298)+COUNTIF($E$3:E754,E754)-1,"")</f>
        <v/>
      </c>
    </row>
    <row r="755" spans="4:16" x14ac:dyDescent="0.25">
      <c r="D755" s="36" t="str" cm="1">
        <f t="array" aca="1" ref="D755" ca="1">IFERROR(IF(INDIRECT("'"&amp;F755&amp;"'!$C$5")&gt;0,DATE(YEAR(Dashboard!$AL$2),Dashboard!$AU$4,INDIRECT("'"&amp;F755&amp;"'!$C$5")),""),"")</f>
        <v/>
      </c>
      <c r="G755" s="38" t="str" cm="1">
        <f t="array" aca="1" ref="G755" ca="1">IF(F755="",
    "",
    IFERROR(
        IF(INDIRECT("'"&amp;F755&amp;"'!$B$2")="Credit Limit",
            "Credit Accounts",
            IF(INDIRECT("'"&amp;F755&amp;"'!$E$2")="Location",
                "Cash Accounts",
                IF(INDIRECT("'"&amp;F755&amp;"'!$B$2")="Amount",
                    "Investments",
                    "Bill Accounts"
                )
            )
        ),
    "")
)</f>
        <v/>
      </c>
      <c r="I755" s="46" t="str" cm="1">
        <f t="array" aca="1" ref="I755" ca="1">IF(F755&lt;&gt;"",IF(OR(G755="Bill Accounts",G755="Investments", G755="Cash Accounts"),INDIRECT("'"&amp;F755&amp;"'!$C$10"),INDIRECT("'"&amp;F755&amp;"'!$C$8")),"")</f>
        <v/>
      </c>
      <c r="K755" s="48">
        <f t="shared" si="36"/>
        <v>761</v>
      </c>
      <c r="L755" s="114" t="str" cm="1">
        <f t="array" aca="1" ref="L755" ca="1">IF(F755&lt;&gt;"",INDIRECT("'"&amp;F755&amp;"'!$F$17"),"")</f>
        <v/>
      </c>
      <c r="M755" s="116" t="str">
        <f t="shared" ca="1" si="34"/>
        <v/>
      </c>
      <c r="O755" s="49" t="str">
        <f t="shared" ca="1" si="35"/>
        <v/>
      </c>
      <c r="P755" s="38" t="str">
        <f>IF(E755&lt;&gt;"",RANK(E755,$E$3:$E$2298)+COUNTIF($E$3:E755,E755)-1,"")</f>
        <v/>
      </c>
    </row>
    <row r="756" spans="4:16" x14ac:dyDescent="0.25">
      <c r="D756" s="36" t="str" cm="1">
        <f t="array" aca="1" ref="D756" ca="1">IFERROR(IF(INDIRECT("'"&amp;F756&amp;"'!$C$5")&gt;0,DATE(YEAR(Dashboard!$AL$2),Dashboard!$AU$4,INDIRECT("'"&amp;F756&amp;"'!$C$5")),""),"")</f>
        <v/>
      </c>
      <c r="G756" s="38" t="str" cm="1">
        <f t="array" aca="1" ref="G756" ca="1">IF(F756="",
    "",
    IFERROR(
        IF(INDIRECT("'"&amp;F756&amp;"'!$B$2")="Credit Limit",
            "Credit Accounts",
            IF(INDIRECT("'"&amp;F756&amp;"'!$E$2")="Location",
                "Cash Accounts",
                IF(INDIRECT("'"&amp;F756&amp;"'!$B$2")="Amount",
                    "Investments",
                    "Bill Accounts"
                )
            )
        ),
    "")
)</f>
        <v/>
      </c>
      <c r="I756" s="46" t="str" cm="1">
        <f t="array" aca="1" ref="I756" ca="1">IF(F756&lt;&gt;"",IF(OR(G756="Bill Accounts",G756="Investments", G756="Cash Accounts"),INDIRECT("'"&amp;F756&amp;"'!$C$10"),INDIRECT("'"&amp;F756&amp;"'!$C$8")),"")</f>
        <v/>
      </c>
      <c r="K756" s="48">
        <f t="shared" si="36"/>
        <v>762</v>
      </c>
      <c r="L756" s="114" t="str" cm="1">
        <f t="array" aca="1" ref="L756" ca="1">IF(F756&lt;&gt;"",INDIRECT("'"&amp;F756&amp;"'!$F$17"),"")</f>
        <v/>
      </c>
      <c r="M756" s="116" t="str">
        <f t="shared" ca="1" si="34"/>
        <v/>
      </c>
      <c r="O756" s="49" t="str">
        <f t="shared" ca="1" si="35"/>
        <v/>
      </c>
      <c r="P756" s="38" t="str">
        <f>IF(E756&lt;&gt;"",RANK(E756,$E$3:$E$2298)+COUNTIF($E$3:E756,E756)-1,"")</f>
        <v/>
      </c>
    </row>
    <row r="757" spans="4:16" x14ac:dyDescent="0.25">
      <c r="D757" s="36" t="str" cm="1">
        <f t="array" aca="1" ref="D757" ca="1">IFERROR(IF(INDIRECT("'"&amp;F757&amp;"'!$C$5")&gt;0,DATE(YEAR(Dashboard!$AL$2),Dashboard!$AU$4,INDIRECT("'"&amp;F757&amp;"'!$C$5")),""),"")</f>
        <v/>
      </c>
      <c r="G757" s="38" t="str" cm="1">
        <f t="array" aca="1" ref="G757" ca="1">IF(F757="",
    "",
    IFERROR(
        IF(INDIRECT("'"&amp;F757&amp;"'!$B$2")="Credit Limit",
            "Credit Accounts",
            IF(INDIRECT("'"&amp;F757&amp;"'!$E$2")="Location",
                "Cash Accounts",
                IF(INDIRECT("'"&amp;F757&amp;"'!$B$2")="Amount",
                    "Investments",
                    "Bill Accounts"
                )
            )
        ),
    "")
)</f>
        <v/>
      </c>
      <c r="I757" s="46" t="str" cm="1">
        <f t="array" aca="1" ref="I757" ca="1">IF(F757&lt;&gt;"",IF(OR(G757="Bill Accounts",G757="Investments", G757="Cash Accounts"),INDIRECT("'"&amp;F757&amp;"'!$C$10"),INDIRECT("'"&amp;F757&amp;"'!$C$8")),"")</f>
        <v/>
      </c>
      <c r="K757" s="48">
        <f t="shared" si="36"/>
        <v>763</v>
      </c>
      <c r="L757" s="114" t="str" cm="1">
        <f t="array" aca="1" ref="L757" ca="1">IF(F757&lt;&gt;"",INDIRECT("'"&amp;F757&amp;"'!$F$17"),"")</f>
        <v/>
      </c>
      <c r="M757" s="116" t="str">
        <f t="shared" ca="1" si="34"/>
        <v/>
      </c>
      <c r="O757" s="49" t="str">
        <f t="shared" ca="1" si="35"/>
        <v/>
      </c>
      <c r="P757" s="38" t="str">
        <f>IF(E757&lt;&gt;"",RANK(E757,$E$3:$E$2298)+COUNTIF($E$3:E757,E757)-1,"")</f>
        <v/>
      </c>
    </row>
    <row r="758" spans="4:16" x14ac:dyDescent="0.25">
      <c r="D758" s="36" t="str" cm="1">
        <f t="array" aca="1" ref="D758" ca="1">IFERROR(IF(INDIRECT("'"&amp;F758&amp;"'!$C$5")&gt;0,DATE(YEAR(Dashboard!$AL$2),Dashboard!$AU$4,INDIRECT("'"&amp;F758&amp;"'!$C$5")),""),"")</f>
        <v/>
      </c>
      <c r="G758" s="38" t="str" cm="1">
        <f t="array" aca="1" ref="G758" ca="1">IF(F758="",
    "",
    IFERROR(
        IF(INDIRECT("'"&amp;F758&amp;"'!$B$2")="Credit Limit",
            "Credit Accounts",
            IF(INDIRECT("'"&amp;F758&amp;"'!$E$2")="Location",
                "Cash Accounts",
                IF(INDIRECT("'"&amp;F758&amp;"'!$B$2")="Amount",
                    "Investments",
                    "Bill Accounts"
                )
            )
        ),
    "")
)</f>
        <v/>
      </c>
      <c r="I758" s="46" t="str" cm="1">
        <f t="array" aca="1" ref="I758" ca="1">IF(F758&lt;&gt;"",IF(OR(G758="Bill Accounts",G758="Investments", G758="Cash Accounts"),INDIRECT("'"&amp;F758&amp;"'!$C$10"),INDIRECT("'"&amp;F758&amp;"'!$C$8")),"")</f>
        <v/>
      </c>
      <c r="K758" s="48">
        <f t="shared" si="36"/>
        <v>764</v>
      </c>
      <c r="L758" s="114" t="str" cm="1">
        <f t="array" aca="1" ref="L758" ca="1">IF(F758&lt;&gt;"",INDIRECT("'"&amp;F758&amp;"'!$F$17"),"")</f>
        <v/>
      </c>
      <c r="M758" s="116" t="str">
        <f t="shared" ca="1" si="34"/>
        <v/>
      </c>
      <c r="O758" s="49" t="str">
        <f t="shared" ca="1" si="35"/>
        <v/>
      </c>
      <c r="P758" s="38" t="str">
        <f>IF(E758&lt;&gt;"",RANK(E758,$E$3:$E$2298)+COUNTIF($E$3:E758,E758)-1,"")</f>
        <v/>
      </c>
    </row>
    <row r="759" spans="4:16" x14ac:dyDescent="0.25">
      <c r="D759" s="36" t="str" cm="1">
        <f t="array" aca="1" ref="D759" ca="1">IFERROR(IF(INDIRECT("'"&amp;F759&amp;"'!$C$5")&gt;0,DATE(YEAR(Dashboard!$AL$2),Dashboard!$AU$4,INDIRECT("'"&amp;F759&amp;"'!$C$5")),""),"")</f>
        <v/>
      </c>
      <c r="G759" s="38" t="str" cm="1">
        <f t="array" aca="1" ref="G759" ca="1">IF(F759="",
    "",
    IFERROR(
        IF(INDIRECT("'"&amp;F759&amp;"'!$B$2")="Credit Limit",
            "Credit Accounts",
            IF(INDIRECT("'"&amp;F759&amp;"'!$E$2")="Location",
                "Cash Accounts",
                IF(INDIRECT("'"&amp;F759&amp;"'!$B$2")="Amount",
                    "Investments",
                    "Bill Accounts"
                )
            )
        ),
    "")
)</f>
        <v/>
      </c>
      <c r="I759" s="46" t="str" cm="1">
        <f t="array" aca="1" ref="I759" ca="1">IF(F759&lt;&gt;"",IF(OR(G759="Bill Accounts",G759="Investments", G759="Cash Accounts"),INDIRECT("'"&amp;F759&amp;"'!$C$10"),INDIRECT("'"&amp;F759&amp;"'!$C$8")),"")</f>
        <v/>
      </c>
      <c r="K759" s="48">
        <f t="shared" si="36"/>
        <v>765</v>
      </c>
      <c r="L759" s="114" t="str" cm="1">
        <f t="array" aca="1" ref="L759" ca="1">IF(F759&lt;&gt;"",INDIRECT("'"&amp;F759&amp;"'!$F$17"),"")</f>
        <v/>
      </c>
      <c r="M759" s="116" t="str">
        <f t="shared" ca="1" si="34"/>
        <v/>
      </c>
      <c r="O759" s="49" t="str">
        <f t="shared" ca="1" si="35"/>
        <v/>
      </c>
      <c r="P759" s="38" t="str">
        <f>IF(E759&lt;&gt;"",RANK(E759,$E$3:$E$2298)+COUNTIF($E$3:E759,E759)-1,"")</f>
        <v/>
      </c>
    </row>
    <row r="760" spans="4:16" x14ac:dyDescent="0.25">
      <c r="D760" s="36" t="str" cm="1">
        <f t="array" aca="1" ref="D760" ca="1">IFERROR(IF(INDIRECT("'"&amp;F760&amp;"'!$C$5")&gt;0,DATE(YEAR(Dashboard!$AL$2),Dashboard!$AU$4,INDIRECT("'"&amp;F760&amp;"'!$C$5")),""),"")</f>
        <v/>
      </c>
      <c r="G760" s="38" t="str" cm="1">
        <f t="array" aca="1" ref="G760" ca="1">IF(F760="",
    "",
    IFERROR(
        IF(INDIRECT("'"&amp;F760&amp;"'!$B$2")="Credit Limit",
            "Credit Accounts",
            IF(INDIRECT("'"&amp;F760&amp;"'!$E$2")="Location",
                "Cash Accounts",
                IF(INDIRECT("'"&amp;F760&amp;"'!$B$2")="Amount",
                    "Investments",
                    "Bill Accounts"
                )
            )
        ),
    "")
)</f>
        <v/>
      </c>
      <c r="I760" s="46" t="str" cm="1">
        <f t="array" aca="1" ref="I760" ca="1">IF(F760&lt;&gt;"",IF(OR(G760="Bill Accounts",G760="Investments", G760="Cash Accounts"),INDIRECT("'"&amp;F760&amp;"'!$C$10"),INDIRECT("'"&amp;F760&amp;"'!$C$8")),"")</f>
        <v/>
      </c>
      <c r="K760" s="48">
        <f t="shared" si="36"/>
        <v>766</v>
      </c>
      <c r="L760" s="114" t="str" cm="1">
        <f t="array" aca="1" ref="L760" ca="1">IF(F760&lt;&gt;"",INDIRECT("'"&amp;F760&amp;"'!$F$17"),"")</f>
        <v/>
      </c>
      <c r="M760" s="116" t="str">
        <f t="shared" ca="1" si="34"/>
        <v/>
      </c>
      <c r="O760" s="49" t="str">
        <f t="shared" ca="1" si="35"/>
        <v/>
      </c>
      <c r="P760" s="38" t="str">
        <f>IF(E760&lt;&gt;"",RANK(E760,$E$3:$E$2298)+COUNTIF($E$3:E760,E760)-1,"")</f>
        <v/>
      </c>
    </row>
    <row r="761" spans="4:16" x14ac:dyDescent="0.25">
      <c r="D761" s="36" t="str" cm="1">
        <f t="array" aca="1" ref="D761" ca="1">IFERROR(IF(INDIRECT("'"&amp;F761&amp;"'!$C$5")&gt;0,DATE(YEAR(Dashboard!$AL$2),Dashboard!$AU$4,INDIRECT("'"&amp;F761&amp;"'!$C$5")),""),"")</f>
        <v/>
      </c>
      <c r="G761" s="38" t="str" cm="1">
        <f t="array" aca="1" ref="G761" ca="1">IF(F761="",
    "",
    IFERROR(
        IF(INDIRECT("'"&amp;F761&amp;"'!$B$2")="Credit Limit",
            "Credit Accounts",
            IF(INDIRECT("'"&amp;F761&amp;"'!$E$2")="Location",
                "Cash Accounts",
                IF(INDIRECT("'"&amp;F761&amp;"'!$B$2")="Amount",
                    "Investments",
                    "Bill Accounts"
                )
            )
        ),
    "")
)</f>
        <v/>
      </c>
      <c r="I761" s="46" t="str" cm="1">
        <f t="array" aca="1" ref="I761" ca="1">IF(F761&lt;&gt;"",IF(OR(G761="Bill Accounts",G761="Investments", G761="Cash Accounts"),INDIRECT("'"&amp;F761&amp;"'!$C$10"),INDIRECT("'"&amp;F761&amp;"'!$C$8")),"")</f>
        <v/>
      </c>
      <c r="K761" s="48">
        <f t="shared" si="36"/>
        <v>767</v>
      </c>
      <c r="L761" s="114" t="str" cm="1">
        <f t="array" aca="1" ref="L761" ca="1">IF(F761&lt;&gt;"",INDIRECT("'"&amp;F761&amp;"'!$F$17"),"")</f>
        <v/>
      </c>
      <c r="M761" s="116" t="str">
        <f t="shared" ca="1" si="34"/>
        <v/>
      </c>
      <c r="O761" s="49" t="str">
        <f t="shared" ca="1" si="35"/>
        <v/>
      </c>
      <c r="P761" s="38" t="str">
        <f>IF(E761&lt;&gt;"",RANK(E761,$E$3:$E$2298)+COUNTIF($E$3:E761,E761)-1,"")</f>
        <v/>
      </c>
    </row>
    <row r="762" spans="4:16" x14ac:dyDescent="0.25">
      <c r="D762" s="36" t="str" cm="1">
        <f t="array" aca="1" ref="D762" ca="1">IFERROR(IF(INDIRECT("'"&amp;F762&amp;"'!$C$5")&gt;0,DATE(YEAR(Dashboard!$AL$2),Dashboard!$AU$4,INDIRECT("'"&amp;F762&amp;"'!$C$5")),""),"")</f>
        <v/>
      </c>
      <c r="G762" s="38" t="str" cm="1">
        <f t="array" aca="1" ref="G762" ca="1">IF(F762="",
    "",
    IFERROR(
        IF(INDIRECT("'"&amp;F762&amp;"'!$B$2")="Credit Limit",
            "Credit Accounts",
            IF(INDIRECT("'"&amp;F762&amp;"'!$E$2")="Location",
                "Cash Accounts",
                IF(INDIRECT("'"&amp;F762&amp;"'!$B$2")="Amount",
                    "Investments",
                    "Bill Accounts"
                )
            )
        ),
    "")
)</f>
        <v/>
      </c>
      <c r="I762" s="46" t="str" cm="1">
        <f t="array" aca="1" ref="I762" ca="1">IF(F762&lt;&gt;"",IF(OR(G762="Bill Accounts",G762="Investments", G762="Cash Accounts"),INDIRECT("'"&amp;F762&amp;"'!$C$10"),INDIRECT("'"&amp;F762&amp;"'!$C$8")),"")</f>
        <v/>
      </c>
      <c r="K762" s="48">
        <f t="shared" si="36"/>
        <v>768</v>
      </c>
      <c r="L762" s="114" t="str" cm="1">
        <f t="array" aca="1" ref="L762" ca="1">IF(F762&lt;&gt;"",INDIRECT("'"&amp;F762&amp;"'!$F$17"),"")</f>
        <v/>
      </c>
      <c r="M762" s="116" t="str">
        <f t="shared" ca="1" si="34"/>
        <v/>
      </c>
      <c r="O762" s="49" t="str">
        <f t="shared" ca="1" si="35"/>
        <v/>
      </c>
      <c r="P762" s="38" t="str">
        <f>IF(E762&lt;&gt;"",RANK(E762,$E$3:$E$2298)+COUNTIF($E$3:E762,E762)-1,"")</f>
        <v/>
      </c>
    </row>
    <row r="763" spans="4:16" x14ac:dyDescent="0.25">
      <c r="D763" s="36" t="str" cm="1">
        <f t="array" aca="1" ref="D763" ca="1">IFERROR(IF(INDIRECT("'"&amp;F763&amp;"'!$C$5")&gt;0,DATE(YEAR(Dashboard!$AL$2),Dashboard!$AU$4,INDIRECT("'"&amp;F763&amp;"'!$C$5")),""),"")</f>
        <v/>
      </c>
      <c r="G763" s="38" t="str" cm="1">
        <f t="array" aca="1" ref="G763" ca="1">IF(F763="",
    "",
    IFERROR(
        IF(INDIRECT("'"&amp;F763&amp;"'!$B$2")="Credit Limit",
            "Credit Accounts",
            IF(INDIRECT("'"&amp;F763&amp;"'!$E$2")="Location",
                "Cash Accounts",
                IF(INDIRECT("'"&amp;F763&amp;"'!$B$2")="Amount",
                    "Investments",
                    "Bill Accounts"
                )
            )
        ),
    "")
)</f>
        <v/>
      </c>
      <c r="I763" s="46" t="str" cm="1">
        <f t="array" aca="1" ref="I763" ca="1">IF(F763&lt;&gt;"",IF(OR(G763="Bill Accounts",G763="Investments", G763="Cash Accounts"),INDIRECT("'"&amp;F763&amp;"'!$C$10"),INDIRECT("'"&amp;F763&amp;"'!$C$8")),"")</f>
        <v/>
      </c>
      <c r="K763" s="48">
        <f t="shared" si="36"/>
        <v>769</v>
      </c>
      <c r="L763" s="114" t="str" cm="1">
        <f t="array" aca="1" ref="L763" ca="1">IF(F763&lt;&gt;"",INDIRECT("'"&amp;F763&amp;"'!$F$17"),"")</f>
        <v/>
      </c>
      <c r="M763" s="116" t="str">
        <f t="shared" ca="1" si="34"/>
        <v/>
      </c>
      <c r="O763" s="49" t="str">
        <f t="shared" ca="1" si="35"/>
        <v/>
      </c>
      <c r="P763" s="38" t="str">
        <f>IF(E763&lt;&gt;"",RANK(E763,$E$3:$E$2298)+COUNTIF($E$3:E763,E763)-1,"")</f>
        <v/>
      </c>
    </row>
    <row r="764" spans="4:16" x14ac:dyDescent="0.25">
      <c r="D764" s="36" t="str" cm="1">
        <f t="array" aca="1" ref="D764" ca="1">IFERROR(IF(INDIRECT("'"&amp;F764&amp;"'!$C$5")&gt;0,DATE(YEAR(Dashboard!$AL$2),Dashboard!$AU$4,INDIRECT("'"&amp;F764&amp;"'!$C$5")),""),"")</f>
        <v/>
      </c>
      <c r="G764" s="38" t="str" cm="1">
        <f t="array" aca="1" ref="G764" ca="1">IF(F764="",
    "",
    IFERROR(
        IF(INDIRECT("'"&amp;F764&amp;"'!$B$2")="Credit Limit",
            "Credit Accounts",
            IF(INDIRECT("'"&amp;F764&amp;"'!$E$2")="Location",
                "Cash Accounts",
                IF(INDIRECT("'"&amp;F764&amp;"'!$B$2")="Amount",
                    "Investments",
                    "Bill Accounts"
                )
            )
        ),
    "")
)</f>
        <v/>
      </c>
      <c r="I764" s="46" t="str" cm="1">
        <f t="array" aca="1" ref="I764" ca="1">IF(F764&lt;&gt;"",IF(OR(G764="Bill Accounts",G764="Investments", G764="Cash Accounts"),INDIRECT("'"&amp;F764&amp;"'!$C$10"),INDIRECT("'"&amp;F764&amp;"'!$C$8")),"")</f>
        <v/>
      </c>
      <c r="K764" s="48">
        <f t="shared" si="36"/>
        <v>770</v>
      </c>
      <c r="L764" s="114" t="str" cm="1">
        <f t="array" aca="1" ref="L764" ca="1">IF(F764&lt;&gt;"",INDIRECT("'"&amp;F764&amp;"'!$F$17"),"")</f>
        <v/>
      </c>
      <c r="M764" s="116" t="str">
        <f t="shared" ca="1" si="34"/>
        <v/>
      </c>
      <c r="O764" s="49" t="str">
        <f t="shared" ca="1" si="35"/>
        <v/>
      </c>
      <c r="P764" s="38" t="str">
        <f>IF(E764&lt;&gt;"",RANK(E764,$E$3:$E$2298)+COUNTIF($E$3:E764,E764)-1,"")</f>
        <v/>
      </c>
    </row>
    <row r="765" spans="4:16" x14ac:dyDescent="0.25">
      <c r="D765" s="36" t="str" cm="1">
        <f t="array" aca="1" ref="D765" ca="1">IFERROR(IF(INDIRECT("'"&amp;F765&amp;"'!$C$5")&gt;0,DATE(YEAR(Dashboard!$AL$2),Dashboard!$AU$4,INDIRECT("'"&amp;F765&amp;"'!$C$5")),""),"")</f>
        <v/>
      </c>
      <c r="G765" s="38" t="str" cm="1">
        <f t="array" aca="1" ref="G765" ca="1">IF(F765="",
    "",
    IFERROR(
        IF(INDIRECT("'"&amp;F765&amp;"'!$B$2")="Credit Limit",
            "Credit Accounts",
            IF(INDIRECT("'"&amp;F765&amp;"'!$E$2")="Location",
                "Cash Accounts",
                IF(INDIRECT("'"&amp;F765&amp;"'!$B$2")="Amount",
                    "Investments",
                    "Bill Accounts"
                )
            )
        ),
    "")
)</f>
        <v/>
      </c>
      <c r="I765" s="46" t="str" cm="1">
        <f t="array" aca="1" ref="I765" ca="1">IF(F765&lt;&gt;"",IF(OR(G765="Bill Accounts",G765="Investments", G765="Cash Accounts"),INDIRECT("'"&amp;F765&amp;"'!$C$10"),INDIRECT("'"&amp;F765&amp;"'!$C$8")),"")</f>
        <v/>
      </c>
      <c r="K765" s="48">
        <f t="shared" si="36"/>
        <v>771</v>
      </c>
      <c r="L765" s="114" t="str" cm="1">
        <f t="array" aca="1" ref="L765" ca="1">IF(F765&lt;&gt;"",INDIRECT("'"&amp;F765&amp;"'!$F$17"),"")</f>
        <v/>
      </c>
      <c r="M765" s="116" t="str">
        <f t="shared" ca="1" si="34"/>
        <v/>
      </c>
      <c r="O765" s="49" t="str">
        <f t="shared" ca="1" si="35"/>
        <v/>
      </c>
      <c r="P765" s="38" t="str">
        <f>IF(E765&lt;&gt;"",RANK(E765,$E$3:$E$2298)+COUNTIF($E$3:E765,E765)-1,"")</f>
        <v/>
      </c>
    </row>
    <row r="766" spans="4:16" x14ac:dyDescent="0.25">
      <c r="D766" s="36" t="str" cm="1">
        <f t="array" aca="1" ref="D766" ca="1">IFERROR(IF(INDIRECT("'"&amp;F766&amp;"'!$C$5")&gt;0,DATE(YEAR(Dashboard!$AL$2),Dashboard!$AU$4,INDIRECT("'"&amp;F766&amp;"'!$C$5")),""),"")</f>
        <v/>
      </c>
      <c r="G766" s="38" t="str" cm="1">
        <f t="array" aca="1" ref="G766" ca="1">IF(F766="",
    "",
    IFERROR(
        IF(INDIRECT("'"&amp;F766&amp;"'!$B$2")="Credit Limit",
            "Credit Accounts",
            IF(INDIRECT("'"&amp;F766&amp;"'!$E$2")="Location",
                "Cash Accounts",
                IF(INDIRECT("'"&amp;F766&amp;"'!$B$2")="Amount",
                    "Investments",
                    "Bill Accounts"
                )
            )
        ),
    "")
)</f>
        <v/>
      </c>
      <c r="I766" s="46" t="str" cm="1">
        <f t="array" aca="1" ref="I766" ca="1">IF(F766&lt;&gt;"",IF(OR(G766="Bill Accounts",G766="Investments", G766="Cash Accounts"),INDIRECT("'"&amp;F766&amp;"'!$C$10"),INDIRECT("'"&amp;F766&amp;"'!$C$8")),"")</f>
        <v/>
      </c>
      <c r="K766" s="48">
        <f t="shared" si="36"/>
        <v>772</v>
      </c>
      <c r="L766" s="114" t="str" cm="1">
        <f t="array" aca="1" ref="L766" ca="1">IF(F766&lt;&gt;"",INDIRECT("'"&amp;F766&amp;"'!$F$17"),"")</f>
        <v/>
      </c>
      <c r="M766" s="116" t="str">
        <f t="shared" ca="1" si="34"/>
        <v/>
      </c>
      <c r="O766" s="49" t="str">
        <f t="shared" ca="1" si="35"/>
        <v/>
      </c>
      <c r="P766" s="38" t="str">
        <f>IF(E766&lt;&gt;"",RANK(E766,$E$3:$E$2298)+COUNTIF($E$3:E766,E766)-1,"")</f>
        <v/>
      </c>
    </row>
    <row r="767" spans="4:16" x14ac:dyDescent="0.25">
      <c r="D767" s="36" t="str" cm="1">
        <f t="array" aca="1" ref="D767" ca="1">IFERROR(IF(INDIRECT("'"&amp;F767&amp;"'!$C$5")&gt;0,DATE(YEAR(Dashboard!$AL$2),Dashboard!$AU$4,INDIRECT("'"&amp;F767&amp;"'!$C$5")),""),"")</f>
        <v/>
      </c>
      <c r="G767" s="38" t="str" cm="1">
        <f t="array" aca="1" ref="G767" ca="1">IF(F767="",
    "",
    IFERROR(
        IF(INDIRECT("'"&amp;F767&amp;"'!$B$2")="Credit Limit",
            "Credit Accounts",
            IF(INDIRECT("'"&amp;F767&amp;"'!$E$2")="Location",
                "Cash Accounts",
                IF(INDIRECT("'"&amp;F767&amp;"'!$B$2")="Amount",
                    "Investments",
                    "Bill Accounts"
                )
            )
        ),
    "")
)</f>
        <v/>
      </c>
      <c r="I767" s="46" t="str" cm="1">
        <f t="array" aca="1" ref="I767" ca="1">IF(F767&lt;&gt;"",IF(OR(G767="Bill Accounts",G767="Investments", G767="Cash Accounts"),INDIRECT("'"&amp;F767&amp;"'!$C$10"),INDIRECT("'"&amp;F767&amp;"'!$C$8")),"")</f>
        <v/>
      </c>
      <c r="K767" s="48">
        <f t="shared" si="36"/>
        <v>773</v>
      </c>
      <c r="L767" s="114" t="str" cm="1">
        <f t="array" aca="1" ref="L767" ca="1">IF(F767&lt;&gt;"",INDIRECT("'"&amp;F767&amp;"'!$F$17"),"")</f>
        <v/>
      </c>
      <c r="M767" s="116" t="str">
        <f t="shared" ca="1" si="34"/>
        <v/>
      </c>
      <c r="O767" s="49" t="str">
        <f t="shared" ca="1" si="35"/>
        <v/>
      </c>
      <c r="P767" s="38" t="str">
        <f>IF(E767&lt;&gt;"",RANK(E767,$E$3:$E$2298)+COUNTIF($E$3:E767,E767)-1,"")</f>
        <v/>
      </c>
    </row>
    <row r="768" spans="4:16" x14ac:dyDescent="0.25">
      <c r="D768" s="36" t="str" cm="1">
        <f t="array" aca="1" ref="D768" ca="1">IFERROR(IF(INDIRECT("'"&amp;F768&amp;"'!$C$5")&gt;0,DATE(YEAR(Dashboard!$AL$2),Dashboard!$AU$4,INDIRECT("'"&amp;F768&amp;"'!$C$5")),""),"")</f>
        <v/>
      </c>
      <c r="G768" s="38" t="str" cm="1">
        <f t="array" aca="1" ref="G768" ca="1">IF(F768="",
    "",
    IFERROR(
        IF(INDIRECT("'"&amp;F768&amp;"'!$B$2")="Credit Limit",
            "Credit Accounts",
            IF(INDIRECT("'"&amp;F768&amp;"'!$E$2")="Location",
                "Cash Accounts",
                IF(INDIRECT("'"&amp;F768&amp;"'!$B$2")="Amount",
                    "Investments",
                    "Bill Accounts"
                )
            )
        ),
    "")
)</f>
        <v/>
      </c>
      <c r="I768" s="46" t="str" cm="1">
        <f t="array" aca="1" ref="I768" ca="1">IF(F768&lt;&gt;"",IF(OR(G768="Bill Accounts",G768="Investments", G768="Cash Accounts"),INDIRECT("'"&amp;F768&amp;"'!$C$10"),INDIRECT("'"&amp;F768&amp;"'!$C$8")),"")</f>
        <v/>
      </c>
      <c r="K768" s="48">
        <f t="shared" si="36"/>
        <v>774</v>
      </c>
      <c r="L768" s="114" t="str" cm="1">
        <f t="array" aca="1" ref="L768" ca="1">IF(F768&lt;&gt;"",INDIRECT("'"&amp;F768&amp;"'!$F$17"),"")</f>
        <v/>
      </c>
      <c r="M768" s="116" t="str">
        <f t="shared" ca="1" si="34"/>
        <v/>
      </c>
      <c r="O768" s="49" t="str">
        <f t="shared" ca="1" si="35"/>
        <v/>
      </c>
      <c r="P768" s="38" t="str">
        <f>IF(E768&lt;&gt;"",RANK(E768,$E$3:$E$2298)+COUNTIF($E$3:E768,E768)-1,"")</f>
        <v/>
      </c>
    </row>
    <row r="769" spans="4:16" x14ac:dyDescent="0.25">
      <c r="D769" s="36" t="str" cm="1">
        <f t="array" aca="1" ref="D769" ca="1">IFERROR(IF(INDIRECT("'"&amp;F769&amp;"'!$C$5")&gt;0,DATE(YEAR(Dashboard!$AL$2),Dashboard!$AU$4,INDIRECT("'"&amp;F769&amp;"'!$C$5")),""),"")</f>
        <v/>
      </c>
      <c r="G769" s="38" t="str" cm="1">
        <f t="array" aca="1" ref="G769" ca="1">IF(F769="",
    "",
    IFERROR(
        IF(INDIRECT("'"&amp;F769&amp;"'!$B$2")="Credit Limit",
            "Credit Accounts",
            IF(INDIRECT("'"&amp;F769&amp;"'!$E$2")="Location",
                "Cash Accounts",
                IF(INDIRECT("'"&amp;F769&amp;"'!$B$2")="Amount",
                    "Investments",
                    "Bill Accounts"
                )
            )
        ),
    "")
)</f>
        <v/>
      </c>
      <c r="I769" s="46" t="str" cm="1">
        <f t="array" aca="1" ref="I769" ca="1">IF(F769&lt;&gt;"",IF(OR(G769="Bill Accounts",G769="Investments", G769="Cash Accounts"),INDIRECT("'"&amp;F769&amp;"'!$C$10"),INDIRECT("'"&amp;F769&amp;"'!$C$8")),"")</f>
        <v/>
      </c>
      <c r="K769" s="48">
        <f t="shared" si="36"/>
        <v>775</v>
      </c>
      <c r="L769" s="114" t="str" cm="1">
        <f t="array" aca="1" ref="L769" ca="1">IF(F769&lt;&gt;"",INDIRECT("'"&amp;F769&amp;"'!$F$17"),"")</f>
        <v/>
      </c>
      <c r="M769" s="116" t="str">
        <f t="shared" ca="1" si="34"/>
        <v/>
      </c>
      <c r="O769" s="49" t="str">
        <f t="shared" ca="1" si="35"/>
        <v/>
      </c>
      <c r="P769" s="38" t="str">
        <f>IF(E769&lt;&gt;"",RANK(E769,$E$3:$E$2298)+COUNTIF($E$3:E769,E769)-1,"")</f>
        <v/>
      </c>
    </row>
    <row r="770" spans="4:16" x14ac:dyDescent="0.25">
      <c r="D770" s="36" t="str" cm="1">
        <f t="array" aca="1" ref="D770" ca="1">IFERROR(IF(INDIRECT("'"&amp;F770&amp;"'!$C$5")&gt;0,DATE(YEAR(Dashboard!$AL$2),Dashboard!$AU$4,INDIRECT("'"&amp;F770&amp;"'!$C$5")),""),"")</f>
        <v/>
      </c>
      <c r="G770" s="38" t="str" cm="1">
        <f t="array" aca="1" ref="G770" ca="1">IF(F770="",
    "",
    IFERROR(
        IF(INDIRECT("'"&amp;F770&amp;"'!$B$2")="Credit Limit",
            "Credit Accounts",
            IF(INDIRECT("'"&amp;F770&amp;"'!$E$2")="Location",
                "Cash Accounts",
                IF(INDIRECT("'"&amp;F770&amp;"'!$B$2")="Amount",
                    "Investments",
                    "Bill Accounts"
                )
            )
        ),
    "")
)</f>
        <v/>
      </c>
      <c r="I770" s="46" t="str" cm="1">
        <f t="array" aca="1" ref="I770" ca="1">IF(F770&lt;&gt;"",IF(OR(G770="Bill Accounts",G770="Investments", G770="Cash Accounts"),INDIRECT("'"&amp;F770&amp;"'!$C$10"),INDIRECT("'"&amp;F770&amp;"'!$C$8")),"")</f>
        <v/>
      </c>
      <c r="K770" s="48">
        <f t="shared" si="36"/>
        <v>776</v>
      </c>
      <c r="L770" s="114" t="str" cm="1">
        <f t="array" aca="1" ref="L770" ca="1">IF(F770&lt;&gt;"",INDIRECT("'"&amp;F770&amp;"'!$F$17"),"")</f>
        <v/>
      </c>
      <c r="M770" s="116" t="str">
        <f t="shared" ca="1" si="34"/>
        <v/>
      </c>
      <c r="O770" s="49" t="str">
        <f t="shared" ca="1" si="35"/>
        <v/>
      </c>
      <c r="P770" s="38" t="str">
        <f>IF(E770&lt;&gt;"",RANK(E770,$E$3:$E$2298)+COUNTIF($E$3:E770,E770)-1,"")</f>
        <v/>
      </c>
    </row>
    <row r="771" spans="4:16" x14ac:dyDescent="0.25">
      <c r="D771" s="36" t="str" cm="1">
        <f t="array" aca="1" ref="D771" ca="1">IFERROR(IF(INDIRECT("'"&amp;F771&amp;"'!$C$5")&gt;0,DATE(YEAR(Dashboard!$AL$2),Dashboard!$AU$4,INDIRECT("'"&amp;F771&amp;"'!$C$5")),""),"")</f>
        <v/>
      </c>
      <c r="G771" s="38" t="str" cm="1">
        <f t="array" aca="1" ref="G771" ca="1">IF(F771="",
    "",
    IFERROR(
        IF(INDIRECT("'"&amp;F771&amp;"'!$B$2")="Credit Limit",
            "Credit Accounts",
            IF(INDIRECT("'"&amp;F771&amp;"'!$E$2")="Location",
                "Cash Accounts",
                IF(INDIRECT("'"&amp;F771&amp;"'!$B$2")="Amount",
                    "Investments",
                    "Bill Accounts"
                )
            )
        ),
    "")
)</f>
        <v/>
      </c>
      <c r="I771" s="46" t="str" cm="1">
        <f t="array" aca="1" ref="I771" ca="1">IF(F771&lt;&gt;"",IF(OR(G771="Bill Accounts",G771="Investments", G771="Cash Accounts"),INDIRECT("'"&amp;F771&amp;"'!$C$10"),INDIRECT("'"&amp;F771&amp;"'!$C$8")),"")</f>
        <v/>
      </c>
      <c r="K771" s="48">
        <f t="shared" si="36"/>
        <v>777</v>
      </c>
      <c r="L771" s="114" t="str" cm="1">
        <f t="array" aca="1" ref="L771" ca="1">IF(F771&lt;&gt;"",INDIRECT("'"&amp;F771&amp;"'!$F$17"),"")</f>
        <v/>
      </c>
      <c r="M771" s="116" t="str">
        <f t="shared" ca="1" si="34"/>
        <v/>
      </c>
      <c r="O771" s="49" t="str">
        <f t="shared" ca="1" si="35"/>
        <v/>
      </c>
      <c r="P771" s="38" t="str">
        <f>IF(E771&lt;&gt;"",RANK(E771,$E$3:$E$2298)+COUNTIF($E$3:E771,E771)-1,"")</f>
        <v/>
      </c>
    </row>
    <row r="772" spans="4:16" x14ac:dyDescent="0.25">
      <c r="D772" s="36" t="str" cm="1">
        <f t="array" aca="1" ref="D772" ca="1">IFERROR(IF(INDIRECT("'"&amp;F772&amp;"'!$C$5")&gt;0,DATE(YEAR(Dashboard!$AL$2),Dashboard!$AU$4,INDIRECT("'"&amp;F772&amp;"'!$C$5")),""),"")</f>
        <v/>
      </c>
      <c r="G772" s="38" t="str" cm="1">
        <f t="array" aca="1" ref="G772" ca="1">IF(F772="",
    "",
    IFERROR(
        IF(INDIRECT("'"&amp;F772&amp;"'!$B$2")="Credit Limit",
            "Credit Accounts",
            IF(INDIRECT("'"&amp;F772&amp;"'!$E$2")="Location",
                "Cash Accounts",
                IF(INDIRECT("'"&amp;F772&amp;"'!$B$2")="Amount",
                    "Investments",
                    "Bill Accounts"
                )
            )
        ),
    "")
)</f>
        <v/>
      </c>
      <c r="I772" s="46" t="str" cm="1">
        <f t="array" aca="1" ref="I772" ca="1">IF(F772&lt;&gt;"",IF(OR(G772="Bill Accounts",G772="Investments", G772="Cash Accounts"),INDIRECT("'"&amp;F772&amp;"'!$C$10"),INDIRECT("'"&amp;F772&amp;"'!$C$8")),"")</f>
        <v/>
      </c>
      <c r="K772" s="48">
        <f t="shared" si="36"/>
        <v>778</v>
      </c>
      <c r="L772" s="114" t="str" cm="1">
        <f t="array" aca="1" ref="L772" ca="1">IF(F772&lt;&gt;"",INDIRECT("'"&amp;F772&amp;"'!$F$17"),"")</f>
        <v/>
      </c>
      <c r="M772" s="116" t="str">
        <f t="shared" ref="M772:M835" ca="1" si="37">IF(G772="Credit Accounts",EDATE(TODAY(),INDIRECT("'"&amp;F772&amp;"'!$C$14")),"")</f>
        <v/>
      </c>
      <c r="O772" s="49" t="str">
        <f t="shared" ref="O772:O835" ca="1" si="38">IF(D772&lt;&gt;"",DAY(D772),"")</f>
        <v/>
      </c>
      <c r="P772" s="38" t="str">
        <f>IF(E772&lt;&gt;"",RANK(E772,$E$3:$E$2298)+COUNTIF($E$3:E772,E772)-1,"")</f>
        <v/>
      </c>
    </row>
    <row r="773" spans="4:16" x14ac:dyDescent="0.25">
      <c r="D773" s="36" t="str" cm="1">
        <f t="array" aca="1" ref="D773" ca="1">IFERROR(IF(INDIRECT("'"&amp;F773&amp;"'!$C$5")&gt;0,DATE(YEAR(Dashboard!$AL$2),Dashboard!$AU$4,INDIRECT("'"&amp;F773&amp;"'!$C$5")),""),"")</f>
        <v/>
      </c>
      <c r="G773" s="38" t="str" cm="1">
        <f t="array" aca="1" ref="G773" ca="1">IF(F773="",
    "",
    IFERROR(
        IF(INDIRECT("'"&amp;F773&amp;"'!$B$2")="Credit Limit",
            "Credit Accounts",
            IF(INDIRECT("'"&amp;F773&amp;"'!$E$2")="Location",
                "Cash Accounts",
                IF(INDIRECT("'"&amp;F773&amp;"'!$B$2")="Amount",
                    "Investments",
                    "Bill Accounts"
                )
            )
        ),
    "")
)</f>
        <v/>
      </c>
      <c r="I773" s="46" t="str" cm="1">
        <f t="array" aca="1" ref="I773" ca="1">IF(F773&lt;&gt;"",IF(OR(G773="Bill Accounts",G773="Investments", G773="Cash Accounts"),INDIRECT("'"&amp;F773&amp;"'!$C$10"),INDIRECT("'"&amp;F773&amp;"'!$C$8")),"")</f>
        <v/>
      </c>
      <c r="K773" s="48">
        <f t="shared" si="36"/>
        <v>779</v>
      </c>
      <c r="L773" s="114" t="str" cm="1">
        <f t="array" aca="1" ref="L773" ca="1">IF(F773&lt;&gt;"",INDIRECT("'"&amp;F773&amp;"'!$F$17"),"")</f>
        <v/>
      </c>
      <c r="M773" s="116" t="str">
        <f t="shared" ca="1" si="37"/>
        <v/>
      </c>
      <c r="O773" s="49" t="str">
        <f t="shared" ca="1" si="38"/>
        <v/>
      </c>
      <c r="P773" s="38" t="str">
        <f>IF(E773&lt;&gt;"",RANK(E773,$E$3:$E$2298)+COUNTIF($E$3:E773,E773)-1,"")</f>
        <v/>
      </c>
    </row>
    <row r="774" spans="4:16" x14ac:dyDescent="0.25">
      <c r="D774" s="36" t="str" cm="1">
        <f t="array" aca="1" ref="D774" ca="1">IFERROR(IF(INDIRECT("'"&amp;F774&amp;"'!$C$5")&gt;0,DATE(YEAR(Dashboard!$AL$2),Dashboard!$AU$4,INDIRECT("'"&amp;F774&amp;"'!$C$5")),""),"")</f>
        <v/>
      </c>
      <c r="G774" s="38" t="str" cm="1">
        <f t="array" aca="1" ref="G774" ca="1">IF(F774="",
    "",
    IFERROR(
        IF(INDIRECT("'"&amp;F774&amp;"'!$B$2")="Credit Limit",
            "Credit Accounts",
            IF(INDIRECT("'"&amp;F774&amp;"'!$E$2")="Location",
                "Cash Accounts",
                IF(INDIRECT("'"&amp;F774&amp;"'!$B$2")="Amount",
                    "Investments",
                    "Bill Accounts"
                )
            )
        ),
    "")
)</f>
        <v/>
      </c>
      <c r="I774" s="46" t="str" cm="1">
        <f t="array" aca="1" ref="I774" ca="1">IF(F774&lt;&gt;"",IF(OR(G774="Bill Accounts",G774="Investments", G774="Cash Accounts"),INDIRECT("'"&amp;F774&amp;"'!$C$10"),INDIRECT("'"&amp;F774&amp;"'!$C$8")),"")</f>
        <v/>
      </c>
      <c r="K774" s="48">
        <f t="shared" si="36"/>
        <v>780</v>
      </c>
      <c r="L774" s="114" t="str" cm="1">
        <f t="array" aca="1" ref="L774" ca="1">IF(F774&lt;&gt;"",INDIRECT("'"&amp;F774&amp;"'!$F$17"),"")</f>
        <v/>
      </c>
      <c r="M774" s="116" t="str">
        <f t="shared" ca="1" si="37"/>
        <v/>
      </c>
      <c r="O774" s="49" t="str">
        <f t="shared" ca="1" si="38"/>
        <v/>
      </c>
      <c r="P774" s="38" t="str">
        <f>IF(E774&lt;&gt;"",RANK(E774,$E$3:$E$2298)+COUNTIF($E$3:E774,E774)-1,"")</f>
        <v/>
      </c>
    </row>
    <row r="775" spans="4:16" x14ac:dyDescent="0.25">
      <c r="D775" s="36" t="str" cm="1">
        <f t="array" aca="1" ref="D775" ca="1">IFERROR(IF(INDIRECT("'"&amp;F775&amp;"'!$C$5")&gt;0,DATE(YEAR(Dashboard!$AL$2),Dashboard!$AU$4,INDIRECT("'"&amp;F775&amp;"'!$C$5")),""),"")</f>
        <v/>
      </c>
      <c r="G775" s="38" t="str" cm="1">
        <f t="array" aca="1" ref="G775" ca="1">IF(F775="",
    "",
    IFERROR(
        IF(INDIRECT("'"&amp;F775&amp;"'!$B$2")="Credit Limit",
            "Credit Accounts",
            IF(INDIRECT("'"&amp;F775&amp;"'!$E$2")="Location",
                "Cash Accounts",
                IF(INDIRECT("'"&amp;F775&amp;"'!$B$2")="Amount",
                    "Investments",
                    "Bill Accounts"
                )
            )
        ),
    "")
)</f>
        <v/>
      </c>
      <c r="I775" s="46" t="str" cm="1">
        <f t="array" aca="1" ref="I775" ca="1">IF(F775&lt;&gt;"",IF(OR(G775="Bill Accounts",G775="Investments", G775="Cash Accounts"),INDIRECT("'"&amp;F775&amp;"'!$C$10"),INDIRECT("'"&amp;F775&amp;"'!$C$8")),"")</f>
        <v/>
      </c>
      <c r="K775" s="48">
        <f t="shared" si="36"/>
        <v>781</v>
      </c>
      <c r="L775" s="114" t="str" cm="1">
        <f t="array" aca="1" ref="L775" ca="1">IF(F775&lt;&gt;"",INDIRECT("'"&amp;F775&amp;"'!$F$17"),"")</f>
        <v/>
      </c>
      <c r="M775" s="116" t="str">
        <f t="shared" ca="1" si="37"/>
        <v/>
      </c>
      <c r="O775" s="49" t="str">
        <f t="shared" ca="1" si="38"/>
        <v/>
      </c>
      <c r="P775" s="38" t="str">
        <f>IF(E775&lt;&gt;"",RANK(E775,$E$3:$E$2298)+COUNTIF($E$3:E775,E775)-1,"")</f>
        <v/>
      </c>
    </row>
    <row r="776" spans="4:16" x14ac:dyDescent="0.25">
      <c r="D776" s="36" t="str" cm="1">
        <f t="array" aca="1" ref="D776" ca="1">IFERROR(IF(INDIRECT("'"&amp;F776&amp;"'!$C$5")&gt;0,DATE(YEAR(Dashboard!$AL$2),Dashboard!$AU$4,INDIRECT("'"&amp;F776&amp;"'!$C$5")),""),"")</f>
        <v/>
      </c>
      <c r="G776" s="38" t="str" cm="1">
        <f t="array" aca="1" ref="G776" ca="1">IF(F776="",
    "",
    IFERROR(
        IF(INDIRECT("'"&amp;F776&amp;"'!$B$2")="Credit Limit",
            "Credit Accounts",
            IF(INDIRECT("'"&amp;F776&amp;"'!$E$2")="Location",
                "Cash Accounts",
                IF(INDIRECT("'"&amp;F776&amp;"'!$B$2")="Amount",
                    "Investments",
                    "Bill Accounts"
                )
            )
        ),
    "")
)</f>
        <v/>
      </c>
      <c r="I776" s="46" t="str" cm="1">
        <f t="array" aca="1" ref="I776" ca="1">IF(F776&lt;&gt;"",IF(OR(G776="Bill Accounts",G776="Investments", G776="Cash Accounts"),INDIRECT("'"&amp;F776&amp;"'!$C$10"),INDIRECT("'"&amp;F776&amp;"'!$C$8")),"")</f>
        <v/>
      </c>
      <c r="K776" s="48">
        <f t="shared" ref="K776:K839" si="39">SUM(K775+1)</f>
        <v>782</v>
      </c>
      <c r="L776" s="114" t="str" cm="1">
        <f t="array" aca="1" ref="L776" ca="1">IF(F776&lt;&gt;"",INDIRECT("'"&amp;F776&amp;"'!$F$17"),"")</f>
        <v/>
      </c>
      <c r="M776" s="116" t="str">
        <f t="shared" ca="1" si="37"/>
        <v/>
      </c>
      <c r="O776" s="49" t="str">
        <f t="shared" ca="1" si="38"/>
        <v/>
      </c>
      <c r="P776" s="38" t="str">
        <f>IF(E776&lt;&gt;"",RANK(E776,$E$3:$E$2298)+COUNTIF($E$3:E776,E776)-1,"")</f>
        <v/>
      </c>
    </row>
    <row r="777" spans="4:16" x14ac:dyDescent="0.25">
      <c r="D777" s="36" t="str" cm="1">
        <f t="array" aca="1" ref="D777" ca="1">IFERROR(IF(INDIRECT("'"&amp;F777&amp;"'!$C$5")&gt;0,DATE(YEAR(Dashboard!$AL$2),Dashboard!$AU$4,INDIRECT("'"&amp;F777&amp;"'!$C$5")),""),"")</f>
        <v/>
      </c>
      <c r="G777" s="38" t="str" cm="1">
        <f t="array" aca="1" ref="G777" ca="1">IF(F777="",
    "",
    IFERROR(
        IF(INDIRECT("'"&amp;F777&amp;"'!$B$2")="Credit Limit",
            "Credit Accounts",
            IF(INDIRECT("'"&amp;F777&amp;"'!$E$2")="Location",
                "Cash Accounts",
                IF(INDIRECT("'"&amp;F777&amp;"'!$B$2")="Amount",
                    "Investments",
                    "Bill Accounts"
                )
            )
        ),
    "")
)</f>
        <v/>
      </c>
      <c r="I777" s="46" t="str" cm="1">
        <f t="array" aca="1" ref="I777" ca="1">IF(F777&lt;&gt;"",IF(OR(G777="Bill Accounts",G777="Investments", G777="Cash Accounts"),INDIRECT("'"&amp;F777&amp;"'!$C$10"),INDIRECT("'"&amp;F777&amp;"'!$C$8")),"")</f>
        <v/>
      </c>
      <c r="K777" s="48">
        <f t="shared" si="39"/>
        <v>783</v>
      </c>
      <c r="L777" s="114" t="str" cm="1">
        <f t="array" aca="1" ref="L777" ca="1">IF(F777&lt;&gt;"",INDIRECT("'"&amp;F777&amp;"'!$F$17"),"")</f>
        <v/>
      </c>
      <c r="M777" s="116" t="str">
        <f t="shared" ca="1" si="37"/>
        <v/>
      </c>
      <c r="O777" s="49" t="str">
        <f t="shared" ca="1" si="38"/>
        <v/>
      </c>
      <c r="P777" s="38" t="str">
        <f>IF(E777&lt;&gt;"",RANK(E777,$E$3:$E$2298)+COUNTIF($E$3:E777,E777)-1,"")</f>
        <v/>
      </c>
    </row>
    <row r="778" spans="4:16" x14ac:dyDescent="0.25">
      <c r="D778" s="36" t="str" cm="1">
        <f t="array" aca="1" ref="D778" ca="1">IFERROR(IF(INDIRECT("'"&amp;F778&amp;"'!$C$5")&gt;0,DATE(YEAR(Dashboard!$AL$2),Dashboard!$AU$4,INDIRECT("'"&amp;F778&amp;"'!$C$5")),""),"")</f>
        <v/>
      </c>
      <c r="G778" s="38" t="str" cm="1">
        <f t="array" aca="1" ref="G778" ca="1">IF(F778="",
    "",
    IFERROR(
        IF(INDIRECT("'"&amp;F778&amp;"'!$B$2")="Credit Limit",
            "Credit Accounts",
            IF(INDIRECT("'"&amp;F778&amp;"'!$E$2")="Location",
                "Cash Accounts",
                IF(INDIRECT("'"&amp;F778&amp;"'!$B$2")="Amount",
                    "Investments",
                    "Bill Accounts"
                )
            )
        ),
    "")
)</f>
        <v/>
      </c>
      <c r="I778" s="46" t="str" cm="1">
        <f t="array" aca="1" ref="I778" ca="1">IF(F778&lt;&gt;"",IF(OR(G778="Bill Accounts",G778="Investments", G778="Cash Accounts"),INDIRECT("'"&amp;F778&amp;"'!$C$10"),INDIRECT("'"&amp;F778&amp;"'!$C$8")),"")</f>
        <v/>
      </c>
      <c r="K778" s="48">
        <f t="shared" si="39"/>
        <v>784</v>
      </c>
      <c r="L778" s="114" t="str" cm="1">
        <f t="array" aca="1" ref="L778" ca="1">IF(F778&lt;&gt;"",INDIRECT("'"&amp;F778&amp;"'!$F$17"),"")</f>
        <v/>
      </c>
      <c r="M778" s="116" t="str">
        <f t="shared" ca="1" si="37"/>
        <v/>
      </c>
      <c r="O778" s="49" t="str">
        <f t="shared" ca="1" si="38"/>
        <v/>
      </c>
      <c r="P778" s="38" t="str">
        <f>IF(E778&lt;&gt;"",RANK(E778,$E$3:$E$2298)+COUNTIF($E$3:E778,E778)-1,"")</f>
        <v/>
      </c>
    </row>
    <row r="779" spans="4:16" x14ac:dyDescent="0.25">
      <c r="D779" s="36" t="str" cm="1">
        <f t="array" aca="1" ref="D779" ca="1">IFERROR(IF(INDIRECT("'"&amp;F779&amp;"'!$C$5")&gt;0,DATE(YEAR(Dashboard!$AL$2),Dashboard!$AU$4,INDIRECT("'"&amp;F779&amp;"'!$C$5")),""),"")</f>
        <v/>
      </c>
      <c r="G779" s="38" t="str" cm="1">
        <f t="array" aca="1" ref="G779" ca="1">IF(F779="",
    "",
    IFERROR(
        IF(INDIRECT("'"&amp;F779&amp;"'!$B$2")="Credit Limit",
            "Credit Accounts",
            IF(INDIRECT("'"&amp;F779&amp;"'!$E$2")="Location",
                "Cash Accounts",
                IF(INDIRECT("'"&amp;F779&amp;"'!$B$2")="Amount",
                    "Investments",
                    "Bill Accounts"
                )
            )
        ),
    "")
)</f>
        <v/>
      </c>
      <c r="I779" s="46" t="str" cm="1">
        <f t="array" aca="1" ref="I779" ca="1">IF(F779&lt;&gt;"",IF(OR(G779="Bill Accounts",G779="Investments", G779="Cash Accounts"),INDIRECT("'"&amp;F779&amp;"'!$C$10"),INDIRECT("'"&amp;F779&amp;"'!$C$8")),"")</f>
        <v/>
      </c>
      <c r="K779" s="48">
        <f t="shared" si="39"/>
        <v>785</v>
      </c>
      <c r="L779" s="114" t="str" cm="1">
        <f t="array" aca="1" ref="L779" ca="1">IF(F779&lt;&gt;"",INDIRECT("'"&amp;F779&amp;"'!$F$17"),"")</f>
        <v/>
      </c>
      <c r="M779" s="116" t="str">
        <f t="shared" ca="1" si="37"/>
        <v/>
      </c>
      <c r="O779" s="49" t="str">
        <f t="shared" ca="1" si="38"/>
        <v/>
      </c>
      <c r="P779" s="38" t="str">
        <f>IF(E779&lt;&gt;"",RANK(E779,$E$3:$E$2298)+COUNTIF($E$3:E779,E779)-1,"")</f>
        <v/>
      </c>
    </row>
    <row r="780" spans="4:16" x14ac:dyDescent="0.25">
      <c r="D780" s="36" t="str" cm="1">
        <f t="array" aca="1" ref="D780" ca="1">IFERROR(IF(INDIRECT("'"&amp;F780&amp;"'!$C$5")&gt;0,DATE(YEAR(Dashboard!$AL$2),Dashboard!$AU$4,INDIRECT("'"&amp;F780&amp;"'!$C$5")),""),"")</f>
        <v/>
      </c>
      <c r="G780" s="38" t="str" cm="1">
        <f t="array" aca="1" ref="G780" ca="1">IF(F780="",
    "",
    IFERROR(
        IF(INDIRECT("'"&amp;F780&amp;"'!$B$2")="Credit Limit",
            "Credit Accounts",
            IF(INDIRECT("'"&amp;F780&amp;"'!$E$2")="Location",
                "Cash Accounts",
                IF(INDIRECT("'"&amp;F780&amp;"'!$B$2")="Amount",
                    "Investments",
                    "Bill Accounts"
                )
            )
        ),
    "")
)</f>
        <v/>
      </c>
      <c r="I780" s="46" t="str" cm="1">
        <f t="array" aca="1" ref="I780" ca="1">IF(F780&lt;&gt;"",IF(OR(G780="Bill Accounts",G780="Investments", G780="Cash Accounts"),INDIRECT("'"&amp;F780&amp;"'!$C$10"),INDIRECT("'"&amp;F780&amp;"'!$C$8")),"")</f>
        <v/>
      </c>
      <c r="K780" s="48">
        <f t="shared" si="39"/>
        <v>786</v>
      </c>
      <c r="L780" s="114" t="str" cm="1">
        <f t="array" aca="1" ref="L780" ca="1">IF(F780&lt;&gt;"",INDIRECT("'"&amp;F780&amp;"'!$F$17"),"")</f>
        <v/>
      </c>
      <c r="M780" s="116" t="str">
        <f t="shared" ca="1" si="37"/>
        <v/>
      </c>
      <c r="O780" s="49" t="str">
        <f t="shared" ca="1" si="38"/>
        <v/>
      </c>
      <c r="P780" s="38" t="str">
        <f>IF(E780&lt;&gt;"",RANK(E780,$E$3:$E$2298)+COUNTIF($E$3:E780,E780)-1,"")</f>
        <v/>
      </c>
    </row>
    <row r="781" spans="4:16" x14ac:dyDescent="0.25">
      <c r="D781" s="36" t="str" cm="1">
        <f t="array" aca="1" ref="D781" ca="1">IFERROR(IF(INDIRECT("'"&amp;F781&amp;"'!$C$5")&gt;0,DATE(YEAR(Dashboard!$AL$2),Dashboard!$AU$4,INDIRECT("'"&amp;F781&amp;"'!$C$5")),""),"")</f>
        <v/>
      </c>
      <c r="G781" s="38" t="str" cm="1">
        <f t="array" aca="1" ref="G781" ca="1">IF(F781="",
    "",
    IFERROR(
        IF(INDIRECT("'"&amp;F781&amp;"'!$B$2")="Credit Limit",
            "Credit Accounts",
            IF(INDIRECT("'"&amp;F781&amp;"'!$E$2")="Location",
                "Cash Accounts",
                IF(INDIRECT("'"&amp;F781&amp;"'!$B$2")="Amount",
                    "Investments",
                    "Bill Accounts"
                )
            )
        ),
    "")
)</f>
        <v/>
      </c>
      <c r="I781" s="46" t="str" cm="1">
        <f t="array" aca="1" ref="I781" ca="1">IF(F781&lt;&gt;"",IF(OR(G781="Bill Accounts",G781="Investments", G781="Cash Accounts"),INDIRECT("'"&amp;F781&amp;"'!$C$10"),INDIRECT("'"&amp;F781&amp;"'!$C$8")),"")</f>
        <v/>
      </c>
      <c r="K781" s="48">
        <f t="shared" si="39"/>
        <v>787</v>
      </c>
      <c r="L781" s="114" t="str" cm="1">
        <f t="array" aca="1" ref="L781" ca="1">IF(F781&lt;&gt;"",INDIRECT("'"&amp;F781&amp;"'!$F$17"),"")</f>
        <v/>
      </c>
      <c r="M781" s="116" t="str">
        <f t="shared" ca="1" si="37"/>
        <v/>
      </c>
      <c r="O781" s="49" t="str">
        <f t="shared" ca="1" si="38"/>
        <v/>
      </c>
      <c r="P781" s="38" t="str">
        <f>IF(E781&lt;&gt;"",RANK(E781,$E$3:$E$2298)+COUNTIF($E$3:E781,E781)-1,"")</f>
        <v/>
      </c>
    </row>
    <row r="782" spans="4:16" x14ac:dyDescent="0.25">
      <c r="D782" s="36" t="str" cm="1">
        <f t="array" aca="1" ref="D782" ca="1">IFERROR(IF(INDIRECT("'"&amp;F782&amp;"'!$C$5")&gt;0,DATE(YEAR(Dashboard!$AL$2),Dashboard!$AU$4,INDIRECT("'"&amp;F782&amp;"'!$C$5")),""),"")</f>
        <v/>
      </c>
      <c r="G782" s="38" t="str" cm="1">
        <f t="array" aca="1" ref="G782" ca="1">IF(F782="",
    "",
    IFERROR(
        IF(INDIRECT("'"&amp;F782&amp;"'!$B$2")="Credit Limit",
            "Credit Accounts",
            IF(INDIRECT("'"&amp;F782&amp;"'!$E$2")="Location",
                "Cash Accounts",
                IF(INDIRECT("'"&amp;F782&amp;"'!$B$2")="Amount",
                    "Investments",
                    "Bill Accounts"
                )
            )
        ),
    "")
)</f>
        <v/>
      </c>
      <c r="I782" s="46" t="str" cm="1">
        <f t="array" aca="1" ref="I782" ca="1">IF(F782&lt;&gt;"",IF(OR(G782="Bill Accounts",G782="Investments", G782="Cash Accounts"),INDIRECT("'"&amp;F782&amp;"'!$C$10"),INDIRECT("'"&amp;F782&amp;"'!$C$8")),"")</f>
        <v/>
      </c>
      <c r="K782" s="48">
        <f t="shared" si="39"/>
        <v>788</v>
      </c>
      <c r="L782" s="114" t="str" cm="1">
        <f t="array" aca="1" ref="L782" ca="1">IF(F782&lt;&gt;"",INDIRECT("'"&amp;F782&amp;"'!$F$17"),"")</f>
        <v/>
      </c>
      <c r="M782" s="116" t="str">
        <f t="shared" ca="1" si="37"/>
        <v/>
      </c>
      <c r="O782" s="49" t="str">
        <f t="shared" ca="1" si="38"/>
        <v/>
      </c>
      <c r="P782" s="38" t="str">
        <f>IF(E782&lt;&gt;"",RANK(E782,$E$3:$E$2298)+COUNTIF($E$3:E782,E782)-1,"")</f>
        <v/>
      </c>
    </row>
    <row r="783" spans="4:16" x14ac:dyDescent="0.25">
      <c r="D783" s="36" t="str" cm="1">
        <f t="array" aca="1" ref="D783" ca="1">IFERROR(IF(INDIRECT("'"&amp;F783&amp;"'!$C$5")&gt;0,DATE(YEAR(Dashboard!$AL$2),Dashboard!$AU$4,INDIRECT("'"&amp;F783&amp;"'!$C$5")),""),"")</f>
        <v/>
      </c>
      <c r="G783" s="38" t="str" cm="1">
        <f t="array" aca="1" ref="G783" ca="1">IF(F783="",
    "",
    IFERROR(
        IF(INDIRECT("'"&amp;F783&amp;"'!$B$2")="Credit Limit",
            "Credit Accounts",
            IF(INDIRECT("'"&amp;F783&amp;"'!$E$2")="Location",
                "Cash Accounts",
                IF(INDIRECT("'"&amp;F783&amp;"'!$B$2")="Amount",
                    "Investments",
                    "Bill Accounts"
                )
            )
        ),
    "")
)</f>
        <v/>
      </c>
      <c r="I783" s="46" t="str" cm="1">
        <f t="array" aca="1" ref="I783" ca="1">IF(F783&lt;&gt;"",IF(OR(G783="Bill Accounts",G783="Investments", G783="Cash Accounts"),INDIRECT("'"&amp;F783&amp;"'!$C$10"),INDIRECT("'"&amp;F783&amp;"'!$C$8")),"")</f>
        <v/>
      </c>
      <c r="K783" s="48">
        <f t="shared" si="39"/>
        <v>789</v>
      </c>
      <c r="L783" s="114" t="str" cm="1">
        <f t="array" aca="1" ref="L783" ca="1">IF(F783&lt;&gt;"",INDIRECT("'"&amp;F783&amp;"'!$F$17"),"")</f>
        <v/>
      </c>
      <c r="M783" s="116" t="str">
        <f t="shared" ca="1" si="37"/>
        <v/>
      </c>
      <c r="O783" s="49" t="str">
        <f t="shared" ca="1" si="38"/>
        <v/>
      </c>
      <c r="P783" s="38" t="str">
        <f>IF(E783&lt;&gt;"",RANK(E783,$E$3:$E$2298)+COUNTIF($E$3:E783,E783)-1,"")</f>
        <v/>
      </c>
    </row>
    <row r="784" spans="4:16" x14ac:dyDescent="0.25">
      <c r="D784" s="36" t="str" cm="1">
        <f t="array" aca="1" ref="D784" ca="1">IFERROR(IF(INDIRECT("'"&amp;F784&amp;"'!$C$5")&gt;0,DATE(YEAR(Dashboard!$AL$2),Dashboard!$AU$4,INDIRECT("'"&amp;F784&amp;"'!$C$5")),""),"")</f>
        <v/>
      </c>
      <c r="G784" s="38" t="str" cm="1">
        <f t="array" aca="1" ref="G784" ca="1">IF(F784="",
    "",
    IFERROR(
        IF(INDIRECT("'"&amp;F784&amp;"'!$B$2")="Credit Limit",
            "Credit Accounts",
            IF(INDIRECT("'"&amp;F784&amp;"'!$E$2")="Location",
                "Cash Accounts",
                IF(INDIRECT("'"&amp;F784&amp;"'!$B$2")="Amount",
                    "Investments",
                    "Bill Accounts"
                )
            )
        ),
    "")
)</f>
        <v/>
      </c>
      <c r="I784" s="46" t="str" cm="1">
        <f t="array" aca="1" ref="I784" ca="1">IF(F784&lt;&gt;"",IF(OR(G784="Bill Accounts",G784="Investments", G784="Cash Accounts"),INDIRECT("'"&amp;F784&amp;"'!$C$10"),INDIRECT("'"&amp;F784&amp;"'!$C$8")),"")</f>
        <v/>
      </c>
      <c r="K784" s="48">
        <f t="shared" si="39"/>
        <v>790</v>
      </c>
      <c r="L784" s="114" t="str" cm="1">
        <f t="array" aca="1" ref="L784" ca="1">IF(F784&lt;&gt;"",INDIRECT("'"&amp;F784&amp;"'!$F$17"),"")</f>
        <v/>
      </c>
      <c r="M784" s="116" t="str">
        <f t="shared" ca="1" si="37"/>
        <v/>
      </c>
      <c r="O784" s="49" t="str">
        <f t="shared" ca="1" si="38"/>
        <v/>
      </c>
      <c r="P784" s="38" t="str">
        <f>IF(E784&lt;&gt;"",RANK(E784,$E$3:$E$2298)+COUNTIF($E$3:E784,E784)-1,"")</f>
        <v/>
      </c>
    </row>
    <row r="785" spans="4:16" x14ac:dyDescent="0.25">
      <c r="D785" s="36" t="str" cm="1">
        <f t="array" aca="1" ref="D785" ca="1">IFERROR(IF(INDIRECT("'"&amp;F785&amp;"'!$C$5")&gt;0,DATE(YEAR(Dashboard!$AL$2),Dashboard!$AU$4,INDIRECT("'"&amp;F785&amp;"'!$C$5")),""),"")</f>
        <v/>
      </c>
      <c r="G785" s="38" t="str" cm="1">
        <f t="array" aca="1" ref="G785" ca="1">IF(F785="",
    "",
    IFERROR(
        IF(INDIRECT("'"&amp;F785&amp;"'!$B$2")="Credit Limit",
            "Credit Accounts",
            IF(INDIRECT("'"&amp;F785&amp;"'!$E$2")="Location",
                "Cash Accounts",
                IF(INDIRECT("'"&amp;F785&amp;"'!$B$2")="Amount",
                    "Investments",
                    "Bill Accounts"
                )
            )
        ),
    "")
)</f>
        <v/>
      </c>
      <c r="I785" s="46" t="str" cm="1">
        <f t="array" aca="1" ref="I785" ca="1">IF(F785&lt;&gt;"",IF(OR(G785="Bill Accounts",G785="Investments", G785="Cash Accounts"),INDIRECT("'"&amp;F785&amp;"'!$C$10"),INDIRECT("'"&amp;F785&amp;"'!$C$8")),"")</f>
        <v/>
      </c>
      <c r="K785" s="48">
        <f t="shared" si="39"/>
        <v>791</v>
      </c>
      <c r="L785" s="114" t="str" cm="1">
        <f t="array" aca="1" ref="L785" ca="1">IF(F785&lt;&gt;"",INDIRECT("'"&amp;F785&amp;"'!$F$17"),"")</f>
        <v/>
      </c>
      <c r="M785" s="116" t="str">
        <f t="shared" ca="1" si="37"/>
        <v/>
      </c>
      <c r="O785" s="49" t="str">
        <f t="shared" ca="1" si="38"/>
        <v/>
      </c>
      <c r="P785" s="38" t="str">
        <f>IF(E785&lt;&gt;"",RANK(E785,$E$3:$E$2298)+COUNTIF($E$3:E785,E785)-1,"")</f>
        <v/>
      </c>
    </row>
    <row r="786" spans="4:16" x14ac:dyDescent="0.25">
      <c r="D786" s="36" t="str" cm="1">
        <f t="array" aca="1" ref="D786" ca="1">IFERROR(IF(INDIRECT("'"&amp;F786&amp;"'!$C$5")&gt;0,DATE(YEAR(Dashboard!$AL$2),Dashboard!$AU$4,INDIRECT("'"&amp;F786&amp;"'!$C$5")),""),"")</f>
        <v/>
      </c>
      <c r="G786" s="38" t="str" cm="1">
        <f t="array" aca="1" ref="G786" ca="1">IF(F786="",
    "",
    IFERROR(
        IF(INDIRECT("'"&amp;F786&amp;"'!$B$2")="Credit Limit",
            "Credit Accounts",
            IF(INDIRECT("'"&amp;F786&amp;"'!$E$2")="Location",
                "Cash Accounts",
                IF(INDIRECT("'"&amp;F786&amp;"'!$B$2")="Amount",
                    "Investments",
                    "Bill Accounts"
                )
            )
        ),
    "")
)</f>
        <v/>
      </c>
      <c r="I786" s="46" t="str" cm="1">
        <f t="array" aca="1" ref="I786" ca="1">IF(F786&lt;&gt;"",IF(OR(G786="Bill Accounts",G786="Investments", G786="Cash Accounts"),INDIRECT("'"&amp;F786&amp;"'!$C$10"),INDIRECT("'"&amp;F786&amp;"'!$C$8")),"")</f>
        <v/>
      </c>
      <c r="K786" s="48">
        <f t="shared" si="39"/>
        <v>792</v>
      </c>
      <c r="L786" s="114" t="str" cm="1">
        <f t="array" aca="1" ref="L786" ca="1">IF(F786&lt;&gt;"",INDIRECT("'"&amp;F786&amp;"'!$F$17"),"")</f>
        <v/>
      </c>
      <c r="M786" s="116" t="str">
        <f t="shared" ca="1" si="37"/>
        <v/>
      </c>
      <c r="O786" s="49" t="str">
        <f t="shared" ca="1" si="38"/>
        <v/>
      </c>
      <c r="P786" s="38" t="str">
        <f>IF(E786&lt;&gt;"",RANK(E786,$E$3:$E$2298)+COUNTIF($E$3:E786,E786)-1,"")</f>
        <v/>
      </c>
    </row>
    <row r="787" spans="4:16" x14ac:dyDescent="0.25">
      <c r="D787" s="36" t="str" cm="1">
        <f t="array" aca="1" ref="D787" ca="1">IFERROR(IF(INDIRECT("'"&amp;F787&amp;"'!$C$5")&gt;0,DATE(YEAR(Dashboard!$AL$2),Dashboard!$AU$4,INDIRECT("'"&amp;F787&amp;"'!$C$5")),""),"")</f>
        <v/>
      </c>
      <c r="G787" s="38" t="str" cm="1">
        <f t="array" aca="1" ref="G787" ca="1">IF(F787="",
    "",
    IFERROR(
        IF(INDIRECT("'"&amp;F787&amp;"'!$B$2")="Credit Limit",
            "Credit Accounts",
            IF(INDIRECT("'"&amp;F787&amp;"'!$E$2")="Location",
                "Cash Accounts",
                IF(INDIRECT("'"&amp;F787&amp;"'!$B$2")="Amount",
                    "Investments",
                    "Bill Accounts"
                )
            )
        ),
    "")
)</f>
        <v/>
      </c>
      <c r="I787" s="46" t="str" cm="1">
        <f t="array" aca="1" ref="I787" ca="1">IF(F787&lt;&gt;"",IF(OR(G787="Bill Accounts",G787="Investments", G787="Cash Accounts"),INDIRECT("'"&amp;F787&amp;"'!$C$10"),INDIRECT("'"&amp;F787&amp;"'!$C$8")),"")</f>
        <v/>
      </c>
      <c r="K787" s="48">
        <f t="shared" si="39"/>
        <v>793</v>
      </c>
      <c r="L787" s="114" t="str" cm="1">
        <f t="array" aca="1" ref="L787" ca="1">IF(F787&lt;&gt;"",INDIRECT("'"&amp;F787&amp;"'!$F$17"),"")</f>
        <v/>
      </c>
      <c r="M787" s="116" t="str">
        <f t="shared" ca="1" si="37"/>
        <v/>
      </c>
      <c r="O787" s="49" t="str">
        <f t="shared" ca="1" si="38"/>
        <v/>
      </c>
      <c r="P787" s="38" t="str">
        <f>IF(E787&lt;&gt;"",RANK(E787,$E$3:$E$2298)+COUNTIF($E$3:E787,E787)-1,"")</f>
        <v/>
      </c>
    </row>
    <row r="788" spans="4:16" x14ac:dyDescent="0.25">
      <c r="D788" s="36" t="str" cm="1">
        <f t="array" aca="1" ref="D788" ca="1">IFERROR(IF(INDIRECT("'"&amp;F788&amp;"'!$C$5")&gt;0,DATE(YEAR(Dashboard!$AL$2),Dashboard!$AU$4,INDIRECT("'"&amp;F788&amp;"'!$C$5")),""),"")</f>
        <v/>
      </c>
      <c r="G788" s="38" t="str" cm="1">
        <f t="array" aca="1" ref="G788" ca="1">IF(F788="",
    "",
    IFERROR(
        IF(INDIRECT("'"&amp;F788&amp;"'!$B$2")="Credit Limit",
            "Credit Accounts",
            IF(INDIRECT("'"&amp;F788&amp;"'!$E$2")="Location",
                "Cash Accounts",
                IF(INDIRECT("'"&amp;F788&amp;"'!$B$2")="Amount",
                    "Investments",
                    "Bill Accounts"
                )
            )
        ),
    "")
)</f>
        <v/>
      </c>
      <c r="I788" s="46" t="str" cm="1">
        <f t="array" aca="1" ref="I788" ca="1">IF(F788&lt;&gt;"",IF(OR(G788="Bill Accounts",G788="Investments", G788="Cash Accounts"),INDIRECT("'"&amp;F788&amp;"'!$C$10"),INDIRECT("'"&amp;F788&amp;"'!$C$8")),"")</f>
        <v/>
      </c>
      <c r="K788" s="48">
        <f t="shared" si="39"/>
        <v>794</v>
      </c>
      <c r="L788" s="114" t="str" cm="1">
        <f t="array" aca="1" ref="L788" ca="1">IF(F788&lt;&gt;"",INDIRECT("'"&amp;F788&amp;"'!$F$17"),"")</f>
        <v/>
      </c>
      <c r="M788" s="116" t="str">
        <f t="shared" ca="1" si="37"/>
        <v/>
      </c>
      <c r="O788" s="49" t="str">
        <f t="shared" ca="1" si="38"/>
        <v/>
      </c>
      <c r="P788" s="38" t="str">
        <f>IF(E788&lt;&gt;"",RANK(E788,$E$3:$E$2298)+COUNTIF($E$3:E788,E788)-1,"")</f>
        <v/>
      </c>
    </row>
    <row r="789" spans="4:16" x14ac:dyDescent="0.25">
      <c r="D789" s="36" t="str" cm="1">
        <f t="array" aca="1" ref="D789" ca="1">IFERROR(IF(INDIRECT("'"&amp;F789&amp;"'!$C$5")&gt;0,DATE(YEAR(Dashboard!$AL$2),Dashboard!$AU$4,INDIRECT("'"&amp;F789&amp;"'!$C$5")),""),"")</f>
        <v/>
      </c>
      <c r="G789" s="38" t="str" cm="1">
        <f t="array" aca="1" ref="G789" ca="1">IF(F789="",
    "",
    IFERROR(
        IF(INDIRECT("'"&amp;F789&amp;"'!$B$2")="Credit Limit",
            "Credit Accounts",
            IF(INDIRECT("'"&amp;F789&amp;"'!$E$2")="Location",
                "Cash Accounts",
                IF(INDIRECT("'"&amp;F789&amp;"'!$B$2")="Amount",
                    "Investments",
                    "Bill Accounts"
                )
            )
        ),
    "")
)</f>
        <v/>
      </c>
      <c r="I789" s="46" t="str" cm="1">
        <f t="array" aca="1" ref="I789" ca="1">IF(F789&lt;&gt;"",IF(OR(G789="Bill Accounts",G789="Investments", G789="Cash Accounts"),INDIRECT("'"&amp;F789&amp;"'!$C$10"),INDIRECT("'"&amp;F789&amp;"'!$C$8")),"")</f>
        <v/>
      </c>
      <c r="K789" s="48">
        <f t="shared" si="39"/>
        <v>795</v>
      </c>
      <c r="L789" s="114" t="str" cm="1">
        <f t="array" aca="1" ref="L789" ca="1">IF(F789&lt;&gt;"",INDIRECT("'"&amp;F789&amp;"'!$F$17"),"")</f>
        <v/>
      </c>
      <c r="M789" s="116" t="str">
        <f t="shared" ca="1" si="37"/>
        <v/>
      </c>
      <c r="O789" s="49" t="str">
        <f t="shared" ca="1" si="38"/>
        <v/>
      </c>
      <c r="P789" s="38" t="str">
        <f>IF(E789&lt;&gt;"",RANK(E789,$E$3:$E$2298)+COUNTIF($E$3:E789,E789)-1,"")</f>
        <v/>
      </c>
    </row>
    <row r="790" spans="4:16" x14ac:dyDescent="0.25">
      <c r="D790" s="36" t="str" cm="1">
        <f t="array" aca="1" ref="D790" ca="1">IFERROR(IF(INDIRECT("'"&amp;F790&amp;"'!$C$5")&gt;0,DATE(YEAR(Dashboard!$AL$2),Dashboard!$AU$4,INDIRECT("'"&amp;F790&amp;"'!$C$5")),""),"")</f>
        <v/>
      </c>
      <c r="G790" s="38" t="str" cm="1">
        <f t="array" aca="1" ref="G790" ca="1">IF(F790="",
    "",
    IFERROR(
        IF(INDIRECT("'"&amp;F790&amp;"'!$B$2")="Credit Limit",
            "Credit Accounts",
            IF(INDIRECT("'"&amp;F790&amp;"'!$E$2")="Location",
                "Cash Accounts",
                IF(INDIRECT("'"&amp;F790&amp;"'!$B$2")="Amount",
                    "Investments",
                    "Bill Accounts"
                )
            )
        ),
    "")
)</f>
        <v/>
      </c>
      <c r="I790" s="46" t="str" cm="1">
        <f t="array" aca="1" ref="I790" ca="1">IF(F790&lt;&gt;"",IF(OR(G790="Bill Accounts",G790="Investments", G790="Cash Accounts"),INDIRECT("'"&amp;F790&amp;"'!$C$10"),INDIRECT("'"&amp;F790&amp;"'!$C$8")),"")</f>
        <v/>
      </c>
      <c r="K790" s="48">
        <f t="shared" si="39"/>
        <v>796</v>
      </c>
      <c r="L790" s="114" t="str" cm="1">
        <f t="array" aca="1" ref="L790" ca="1">IF(F790&lt;&gt;"",INDIRECT("'"&amp;F790&amp;"'!$F$17"),"")</f>
        <v/>
      </c>
      <c r="M790" s="116" t="str">
        <f t="shared" ca="1" si="37"/>
        <v/>
      </c>
      <c r="O790" s="49" t="str">
        <f t="shared" ca="1" si="38"/>
        <v/>
      </c>
      <c r="P790" s="38" t="str">
        <f>IF(E790&lt;&gt;"",RANK(E790,$E$3:$E$2298)+COUNTIF($E$3:E790,E790)-1,"")</f>
        <v/>
      </c>
    </row>
    <row r="791" spans="4:16" x14ac:dyDescent="0.25">
      <c r="D791" s="36" t="str" cm="1">
        <f t="array" aca="1" ref="D791" ca="1">IFERROR(IF(INDIRECT("'"&amp;F791&amp;"'!$C$5")&gt;0,DATE(YEAR(Dashboard!$AL$2),Dashboard!$AU$4,INDIRECT("'"&amp;F791&amp;"'!$C$5")),""),"")</f>
        <v/>
      </c>
      <c r="G791" s="38" t="str" cm="1">
        <f t="array" aca="1" ref="G791" ca="1">IF(F791="",
    "",
    IFERROR(
        IF(INDIRECT("'"&amp;F791&amp;"'!$B$2")="Credit Limit",
            "Credit Accounts",
            IF(INDIRECT("'"&amp;F791&amp;"'!$E$2")="Location",
                "Cash Accounts",
                IF(INDIRECT("'"&amp;F791&amp;"'!$B$2")="Amount",
                    "Investments",
                    "Bill Accounts"
                )
            )
        ),
    "")
)</f>
        <v/>
      </c>
      <c r="I791" s="46" t="str" cm="1">
        <f t="array" aca="1" ref="I791" ca="1">IF(F791&lt;&gt;"",IF(OR(G791="Bill Accounts",G791="Investments", G791="Cash Accounts"),INDIRECT("'"&amp;F791&amp;"'!$C$10"),INDIRECT("'"&amp;F791&amp;"'!$C$8")),"")</f>
        <v/>
      </c>
      <c r="K791" s="48">
        <f t="shared" si="39"/>
        <v>797</v>
      </c>
      <c r="L791" s="114" t="str" cm="1">
        <f t="array" aca="1" ref="L791" ca="1">IF(F791&lt;&gt;"",INDIRECT("'"&amp;F791&amp;"'!$F$17"),"")</f>
        <v/>
      </c>
      <c r="M791" s="116" t="str">
        <f t="shared" ca="1" si="37"/>
        <v/>
      </c>
      <c r="O791" s="49" t="str">
        <f t="shared" ca="1" si="38"/>
        <v/>
      </c>
      <c r="P791" s="38" t="str">
        <f>IF(E791&lt;&gt;"",RANK(E791,$E$3:$E$2298)+COUNTIF($E$3:E791,E791)-1,"")</f>
        <v/>
      </c>
    </row>
    <row r="792" spans="4:16" x14ac:dyDescent="0.25">
      <c r="D792" s="36" t="str" cm="1">
        <f t="array" aca="1" ref="D792" ca="1">IFERROR(IF(INDIRECT("'"&amp;F792&amp;"'!$C$5")&gt;0,DATE(YEAR(Dashboard!$AL$2),Dashboard!$AU$4,INDIRECT("'"&amp;F792&amp;"'!$C$5")),""),"")</f>
        <v/>
      </c>
      <c r="G792" s="38" t="str" cm="1">
        <f t="array" aca="1" ref="G792" ca="1">IF(F792="",
    "",
    IFERROR(
        IF(INDIRECT("'"&amp;F792&amp;"'!$B$2")="Credit Limit",
            "Credit Accounts",
            IF(INDIRECT("'"&amp;F792&amp;"'!$E$2")="Location",
                "Cash Accounts",
                IF(INDIRECT("'"&amp;F792&amp;"'!$B$2")="Amount",
                    "Investments",
                    "Bill Accounts"
                )
            )
        ),
    "")
)</f>
        <v/>
      </c>
      <c r="I792" s="46" t="str" cm="1">
        <f t="array" aca="1" ref="I792" ca="1">IF(F792&lt;&gt;"",IF(OR(G792="Bill Accounts",G792="Investments", G792="Cash Accounts"),INDIRECT("'"&amp;F792&amp;"'!$C$10"),INDIRECT("'"&amp;F792&amp;"'!$C$8")),"")</f>
        <v/>
      </c>
      <c r="K792" s="48">
        <f t="shared" si="39"/>
        <v>798</v>
      </c>
      <c r="L792" s="114" t="str" cm="1">
        <f t="array" aca="1" ref="L792" ca="1">IF(F792&lt;&gt;"",INDIRECT("'"&amp;F792&amp;"'!$F$17"),"")</f>
        <v/>
      </c>
      <c r="M792" s="116" t="str">
        <f t="shared" ca="1" si="37"/>
        <v/>
      </c>
      <c r="O792" s="49" t="str">
        <f t="shared" ca="1" si="38"/>
        <v/>
      </c>
      <c r="P792" s="38" t="str">
        <f>IF(E792&lt;&gt;"",RANK(E792,$E$3:$E$2298)+COUNTIF($E$3:E792,E792)-1,"")</f>
        <v/>
      </c>
    </row>
    <row r="793" spans="4:16" x14ac:dyDescent="0.25">
      <c r="D793" s="36" t="str" cm="1">
        <f t="array" aca="1" ref="D793" ca="1">IFERROR(IF(INDIRECT("'"&amp;F793&amp;"'!$C$5")&gt;0,DATE(YEAR(Dashboard!$AL$2),Dashboard!$AU$4,INDIRECT("'"&amp;F793&amp;"'!$C$5")),""),"")</f>
        <v/>
      </c>
      <c r="G793" s="38" t="str" cm="1">
        <f t="array" aca="1" ref="G793" ca="1">IF(F793="",
    "",
    IFERROR(
        IF(INDIRECT("'"&amp;F793&amp;"'!$B$2")="Credit Limit",
            "Credit Accounts",
            IF(INDIRECT("'"&amp;F793&amp;"'!$E$2")="Location",
                "Cash Accounts",
                IF(INDIRECT("'"&amp;F793&amp;"'!$B$2")="Amount",
                    "Investments",
                    "Bill Accounts"
                )
            )
        ),
    "")
)</f>
        <v/>
      </c>
      <c r="I793" s="46" t="str" cm="1">
        <f t="array" aca="1" ref="I793" ca="1">IF(F793&lt;&gt;"",IF(OR(G793="Bill Accounts",G793="Investments", G793="Cash Accounts"),INDIRECT("'"&amp;F793&amp;"'!$C$10"),INDIRECT("'"&amp;F793&amp;"'!$C$8")),"")</f>
        <v/>
      </c>
      <c r="K793" s="48">
        <f t="shared" si="39"/>
        <v>799</v>
      </c>
      <c r="L793" s="114" t="str" cm="1">
        <f t="array" aca="1" ref="L793" ca="1">IF(F793&lt;&gt;"",INDIRECT("'"&amp;F793&amp;"'!$F$17"),"")</f>
        <v/>
      </c>
      <c r="M793" s="116" t="str">
        <f t="shared" ca="1" si="37"/>
        <v/>
      </c>
      <c r="O793" s="49" t="str">
        <f t="shared" ca="1" si="38"/>
        <v/>
      </c>
      <c r="P793" s="38" t="str">
        <f>IF(E793&lt;&gt;"",RANK(E793,$E$3:$E$2298)+COUNTIF($E$3:E793,E793)-1,"")</f>
        <v/>
      </c>
    </row>
    <row r="794" spans="4:16" x14ac:dyDescent="0.25">
      <c r="D794" s="36" t="str" cm="1">
        <f t="array" aca="1" ref="D794" ca="1">IFERROR(IF(INDIRECT("'"&amp;F794&amp;"'!$C$5")&gt;0,DATE(YEAR(Dashboard!$AL$2),Dashboard!$AU$4,INDIRECT("'"&amp;F794&amp;"'!$C$5")),""),"")</f>
        <v/>
      </c>
      <c r="G794" s="38" t="str" cm="1">
        <f t="array" aca="1" ref="G794" ca="1">IF(F794="",
    "",
    IFERROR(
        IF(INDIRECT("'"&amp;F794&amp;"'!$B$2")="Credit Limit",
            "Credit Accounts",
            IF(INDIRECT("'"&amp;F794&amp;"'!$E$2")="Location",
                "Cash Accounts",
                IF(INDIRECT("'"&amp;F794&amp;"'!$B$2")="Amount",
                    "Investments",
                    "Bill Accounts"
                )
            )
        ),
    "")
)</f>
        <v/>
      </c>
      <c r="I794" s="46" t="str" cm="1">
        <f t="array" aca="1" ref="I794" ca="1">IF(F794&lt;&gt;"",IF(OR(G794="Bill Accounts",G794="Investments", G794="Cash Accounts"),INDIRECT("'"&amp;F794&amp;"'!$C$10"),INDIRECT("'"&amp;F794&amp;"'!$C$8")),"")</f>
        <v/>
      </c>
      <c r="K794" s="48">
        <f t="shared" si="39"/>
        <v>800</v>
      </c>
      <c r="L794" s="114" t="str" cm="1">
        <f t="array" aca="1" ref="L794" ca="1">IF(F794&lt;&gt;"",INDIRECT("'"&amp;F794&amp;"'!$F$17"),"")</f>
        <v/>
      </c>
      <c r="M794" s="116" t="str">
        <f t="shared" ca="1" si="37"/>
        <v/>
      </c>
      <c r="O794" s="49" t="str">
        <f t="shared" ca="1" si="38"/>
        <v/>
      </c>
      <c r="P794" s="38" t="str">
        <f>IF(E794&lt;&gt;"",RANK(E794,$E$3:$E$2298)+COUNTIF($E$3:E794,E794)-1,"")</f>
        <v/>
      </c>
    </row>
    <row r="795" spans="4:16" x14ac:dyDescent="0.25">
      <c r="D795" s="36" t="str" cm="1">
        <f t="array" aca="1" ref="D795" ca="1">IFERROR(IF(INDIRECT("'"&amp;F795&amp;"'!$C$5")&gt;0,DATE(YEAR(Dashboard!$AL$2),Dashboard!$AU$4,INDIRECT("'"&amp;F795&amp;"'!$C$5")),""),"")</f>
        <v/>
      </c>
      <c r="G795" s="38" t="str" cm="1">
        <f t="array" aca="1" ref="G795" ca="1">IF(F795="",
    "",
    IFERROR(
        IF(INDIRECT("'"&amp;F795&amp;"'!$B$2")="Credit Limit",
            "Credit Accounts",
            IF(INDIRECT("'"&amp;F795&amp;"'!$E$2")="Location",
                "Cash Accounts",
                IF(INDIRECT("'"&amp;F795&amp;"'!$B$2")="Amount",
                    "Investments",
                    "Bill Accounts"
                )
            )
        ),
    "")
)</f>
        <v/>
      </c>
      <c r="I795" s="46" t="str" cm="1">
        <f t="array" aca="1" ref="I795" ca="1">IF(F795&lt;&gt;"",IF(OR(G795="Bill Accounts",G795="Investments", G795="Cash Accounts"),INDIRECT("'"&amp;F795&amp;"'!$C$10"),INDIRECT("'"&amp;F795&amp;"'!$C$8")),"")</f>
        <v/>
      </c>
      <c r="K795" s="48">
        <f t="shared" si="39"/>
        <v>801</v>
      </c>
      <c r="L795" s="114" t="str" cm="1">
        <f t="array" aca="1" ref="L795" ca="1">IF(F795&lt;&gt;"",INDIRECT("'"&amp;F795&amp;"'!$F$17"),"")</f>
        <v/>
      </c>
      <c r="M795" s="116" t="str">
        <f t="shared" ca="1" si="37"/>
        <v/>
      </c>
      <c r="O795" s="49" t="str">
        <f t="shared" ca="1" si="38"/>
        <v/>
      </c>
      <c r="P795" s="38" t="str">
        <f>IF(E795&lt;&gt;"",RANK(E795,$E$3:$E$2298)+COUNTIF($E$3:E795,E795)-1,"")</f>
        <v/>
      </c>
    </row>
    <row r="796" spans="4:16" x14ac:dyDescent="0.25">
      <c r="D796" s="36" t="str" cm="1">
        <f t="array" aca="1" ref="D796" ca="1">IFERROR(IF(INDIRECT("'"&amp;F796&amp;"'!$C$5")&gt;0,DATE(YEAR(Dashboard!$AL$2),Dashboard!$AU$4,INDIRECT("'"&amp;F796&amp;"'!$C$5")),""),"")</f>
        <v/>
      </c>
      <c r="G796" s="38" t="str" cm="1">
        <f t="array" aca="1" ref="G796" ca="1">IF(F796="",
    "",
    IFERROR(
        IF(INDIRECT("'"&amp;F796&amp;"'!$B$2")="Credit Limit",
            "Credit Accounts",
            IF(INDIRECT("'"&amp;F796&amp;"'!$E$2")="Location",
                "Cash Accounts",
                IF(INDIRECT("'"&amp;F796&amp;"'!$B$2")="Amount",
                    "Investments",
                    "Bill Accounts"
                )
            )
        ),
    "")
)</f>
        <v/>
      </c>
      <c r="I796" s="46" t="str" cm="1">
        <f t="array" aca="1" ref="I796" ca="1">IF(F796&lt;&gt;"",IF(OR(G796="Bill Accounts",G796="Investments", G796="Cash Accounts"),INDIRECT("'"&amp;F796&amp;"'!$C$10"),INDIRECT("'"&amp;F796&amp;"'!$C$8")),"")</f>
        <v/>
      </c>
      <c r="K796" s="48">
        <f t="shared" si="39"/>
        <v>802</v>
      </c>
      <c r="L796" s="114" t="str" cm="1">
        <f t="array" aca="1" ref="L796" ca="1">IF(F796&lt;&gt;"",INDIRECT("'"&amp;F796&amp;"'!$F$17"),"")</f>
        <v/>
      </c>
      <c r="M796" s="116" t="str">
        <f t="shared" ca="1" si="37"/>
        <v/>
      </c>
      <c r="O796" s="49" t="str">
        <f t="shared" ca="1" si="38"/>
        <v/>
      </c>
      <c r="P796" s="38" t="str">
        <f>IF(E796&lt;&gt;"",RANK(E796,$E$3:$E$2298)+COUNTIF($E$3:E796,E796)-1,"")</f>
        <v/>
      </c>
    </row>
    <row r="797" spans="4:16" x14ac:dyDescent="0.25">
      <c r="D797" s="36" t="str" cm="1">
        <f t="array" aca="1" ref="D797" ca="1">IFERROR(IF(INDIRECT("'"&amp;F797&amp;"'!$C$5")&gt;0,DATE(YEAR(Dashboard!$AL$2),Dashboard!$AU$4,INDIRECT("'"&amp;F797&amp;"'!$C$5")),""),"")</f>
        <v/>
      </c>
      <c r="G797" s="38" t="str" cm="1">
        <f t="array" aca="1" ref="G797" ca="1">IF(F797="",
    "",
    IFERROR(
        IF(INDIRECT("'"&amp;F797&amp;"'!$B$2")="Credit Limit",
            "Credit Accounts",
            IF(INDIRECT("'"&amp;F797&amp;"'!$E$2")="Location",
                "Cash Accounts",
                IF(INDIRECT("'"&amp;F797&amp;"'!$B$2")="Amount",
                    "Investments",
                    "Bill Accounts"
                )
            )
        ),
    "")
)</f>
        <v/>
      </c>
      <c r="I797" s="46" t="str" cm="1">
        <f t="array" aca="1" ref="I797" ca="1">IF(F797&lt;&gt;"",IF(OR(G797="Bill Accounts",G797="Investments", G797="Cash Accounts"),INDIRECT("'"&amp;F797&amp;"'!$C$10"),INDIRECT("'"&amp;F797&amp;"'!$C$8")),"")</f>
        <v/>
      </c>
      <c r="K797" s="48">
        <f t="shared" si="39"/>
        <v>803</v>
      </c>
      <c r="L797" s="114" t="str" cm="1">
        <f t="array" aca="1" ref="L797" ca="1">IF(F797&lt;&gt;"",INDIRECT("'"&amp;F797&amp;"'!$F$17"),"")</f>
        <v/>
      </c>
      <c r="M797" s="116" t="str">
        <f t="shared" ca="1" si="37"/>
        <v/>
      </c>
      <c r="O797" s="49" t="str">
        <f t="shared" ca="1" si="38"/>
        <v/>
      </c>
      <c r="P797" s="38" t="str">
        <f>IF(E797&lt;&gt;"",RANK(E797,$E$3:$E$2298)+COUNTIF($E$3:E797,E797)-1,"")</f>
        <v/>
      </c>
    </row>
    <row r="798" spans="4:16" x14ac:dyDescent="0.25">
      <c r="D798" s="36" t="str" cm="1">
        <f t="array" aca="1" ref="D798" ca="1">IFERROR(IF(INDIRECT("'"&amp;F798&amp;"'!$C$5")&gt;0,DATE(YEAR(Dashboard!$AL$2),Dashboard!$AU$4,INDIRECT("'"&amp;F798&amp;"'!$C$5")),""),"")</f>
        <v/>
      </c>
      <c r="G798" s="38" t="str" cm="1">
        <f t="array" aca="1" ref="G798" ca="1">IF(F798="",
    "",
    IFERROR(
        IF(INDIRECT("'"&amp;F798&amp;"'!$B$2")="Credit Limit",
            "Credit Accounts",
            IF(INDIRECT("'"&amp;F798&amp;"'!$E$2")="Location",
                "Cash Accounts",
                IF(INDIRECT("'"&amp;F798&amp;"'!$B$2")="Amount",
                    "Investments",
                    "Bill Accounts"
                )
            )
        ),
    "")
)</f>
        <v/>
      </c>
      <c r="I798" s="46" t="str" cm="1">
        <f t="array" aca="1" ref="I798" ca="1">IF(F798&lt;&gt;"",IF(OR(G798="Bill Accounts",G798="Investments", G798="Cash Accounts"),INDIRECT("'"&amp;F798&amp;"'!$C$10"),INDIRECT("'"&amp;F798&amp;"'!$C$8")),"")</f>
        <v/>
      </c>
      <c r="K798" s="48">
        <f t="shared" si="39"/>
        <v>804</v>
      </c>
      <c r="L798" s="114" t="str" cm="1">
        <f t="array" aca="1" ref="L798" ca="1">IF(F798&lt;&gt;"",INDIRECT("'"&amp;F798&amp;"'!$F$17"),"")</f>
        <v/>
      </c>
      <c r="M798" s="116" t="str">
        <f t="shared" ca="1" si="37"/>
        <v/>
      </c>
      <c r="O798" s="49" t="str">
        <f t="shared" ca="1" si="38"/>
        <v/>
      </c>
      <c r="P798" s="38" t="str">
        <f>IF(E798&lt;&gt;"",RANK(E798,$E$3:$E$2298)+COUNTIF($E$3:E798,E798)-1,"")</f>
        <v/>
      </c>
    </row>
    <row r="799" spans="4:16" x14ac:dyDescent="0.25">
      <c r="D799" s="36" t="str" cm="1">
        <f t="array" aca="1" ref="D799" ca="1">IFERROR(IF(INDIRECT("'"&amp;F799&amp;"'!$C$5")&gt;0,DATE(YEAR(Dashboard!$AL$2),Dashboard!$AU$4,INDIRECT("'"&amp;F799&amp;"'!$C$5")),""),"")</f>
        <v/>
      </c>
      <c r="G799" s="38" t="str" cm="1">
        <f t="array" aca="1" ref="G799" ca="1">IF(F799="",
    "",
    IFERROR(
        IF(INDIRECT("'"&amp;F799&amp;"'!$B$2")="Credit Limit",
            "Credit Accounts",
            IF(INDIRECT("'"&amp;F799&amp;"'!$E$2")="Location",
                "Cash Accounts",
                IF(INDIRECT("'"&amp;F799&amp;"'!$B$2")="Amount",
                    "Investments",
                    "Bill Accounts"
                )
            )
        ),
    "")
)</f>
        <v/>
      </c>
      <c r="I799" s="46" t="str" cm="1">
        <f t="array" aca="1" ref="I799" ca="1">IF(F799&lt;&gt;"",IF(OR(G799="Bill Accounts",G799="Investments", G799="Cash Accounts"),INDIRECT("'"&amp;F799&amp;"'!$C$10"),INDIRECT("'"&amp;F799&amp;"'!$C$8")),"")</f>
        <v/>
      </c>
      <c r="K799" s="48">
        <f t="shared" si="39"/>
        <v>805</v>
      </c>
      <c r="L799" s="114" t="str" cm="1">
        <f t="array" aca="1" ref="L799" ca="1">IF(F799&lt;&gt;"",INDIRECT("'"&amp;F799&amp;"'!$F$17"),"")</f>
        <v/>
      </c>
      <c r="M799" s="116" t="str">
        <f t="shared" ca="1" si="37"/>
        <v/>
      </c>
      <c r="O799" s="49" t="str">
        <f t="shared" ca="1" si="38"/>
        <v/>
      </c>
      <c r="P799" s="38" t="str">
        <f>IF(E799&lt;&gt;"",RANK(E799,$E$3:$E$2298)+COUNTIF($E$3:E799,E799)-1,"")</f>
        <v/>
      </c>
    </row>
    <row r="800" spans="4:16" x14ac:dyDescent="0.25">
      <c r="D800" s="36" t="str" cm="1">
        <f t="array" aca="1" ref="D800" ca="1">IFERROR(IF(INDIRECT("'"&amp;F800&amp;"'!$C$5")&gt;0,DATE(YEAR(Dashboard!$AL$2),Dashboard!$AU$4,INDIRECT("'"&amp;F800&amp;"'!$C$5")),""),"")</f>
        <v/>
      </c>
      <c r="G800" s="38" t="str" cm="1">
        <f t="array" aca="1" ref="G800" ca="1">IF(F800="",
    "",
    IFERROR(
        IF(INDIRECT("'"&amp;F800&amp;"'!$B$2")="Credit Limit",
            "Credit Accounts",
            IF(INDIRECT("'"&amp;F800&amp;"'!$E$2")="Location",
                "Cash Accounts",
                IF(INDIRECT("'"&amp;F800&amp;"'!$B$2")="Amount",
                    "Investments",
                    "Bill Accounts"
                )
            )
        ),
    "")
)</f>
        <v/>
      </c>
      <c r="I800" s="46" t="str" cm="1">
        <f t="array" aca="1" ref="I800" ca="1">IF(F800&lt;&gt;"",IF(OR(G800="Bill Accounts",G800="Investments", G800="Cash Accounts"),INDIRECT("'"&amp;F800&amp;"'!$C$10"),INDIRECT("'"&amp;F800&amp;"'!$C$8")),"")</f>
        <v/>
      </c>
      <c r="K800" s="48">
        <f t="shared" si="39"/>
        <v>806</v>
      </c>
      <c r="L800" s="114" t="str" cm="1">
        <f t="array" aca="1" ref="L800" ca="1">IF(F800&lt;&gt;"",INDIRECT("'"&amp;F800&amp;"'!$F$17"),"")</f>
        <v/>
      </c>
      <c r="M800" s="116" t="str">
        <f t="shared" ca="1" si="37"/>
        <v/>
      </c>
      <c r="O800" s="49" t="str">
        <f t="shared" ca="1" si="38"/>
        <v/>
      </c>
      <c r="P800" s="38" t="str">
        <f>IF(E800&lt;&gt;"",RANK(E800,$E$3:$E$2298)+COUNTIF($E$3:E800,E800)-1,"")</f>
        <v/>
      </c>
    </row>
    <row r="801" spans="4:16" x14ac:dyDescent="0.25">
      <c r="D801" s="36" t="str" cm="1">
        <f t="array" aca="1" ref="D801" ca="1">IFERROR(IF(INDIRECT("'"&amp;F801&amp;"'!$C$5")&gt;0,DATE(YEAR(Dashboard!$AL$2),Dashboard!$AU$4,INDIRECT("'"&amp;F801&amp;"'!$C$5")),""),"")</f>
        <v/>
      </c>
      <c r="G801" s="38" t="str" cm="1">
        <f t="array" aca="1" ref="G801" ca="1">IF(F801="",
    "",
    IFERROR(
        IF(INDIRECT("'"&amp;F801&amp;"'!$B$2")="Credit Limit",
            "Credit Accounts",
            IF(INDIRECT("'"&amp;F801&amp;"'!$E$2")="Location",
                "Cash Accounts",
                IF(INDIRECT("'"&amp;F801&amp;"'!$B$2")="Amount",
                    "Investments",
                    "Bill Accounts"
                )
            )
        ),
    "")
)</f>
        <v/>
      </c>
      <c r="I801" s="46" t="str" cm="1">
        <f t="array" aca="1" ref="I801" ca="1">IF(F801&lt;&gt;"",IF(OR(G801="Bill Accounts",G801="Investments", G801="Cash Accounts"),INDIRECT("'"&amp;F801&amp;"'!$C$10"),INDIRECT("'"&amp;F801&amp;"'!$C$8")),"")</f>
        <v/>
      </c>
      <c r="K801" s="48">
        <f t="shared" si="39"/>
        <v>807</v>
      </c>
      <c r="L801" s="114" t="str" cm="1">
        <f t="array" aca="1" ref="L801" ca="1">IF(F801&lt;&gt;"",INDIRECT("'"&amp;F801&amp;"'!$F$17"),"")</f>
        <v/>
      </c>
      <c r="M801" s="116" t="str">
        <f t="shared" ca="1" si="37"/>
        <v/>
      </c>
      <c r="O801" s="49" t="str">
        <f t="shared" ca="1" si="38"/>
        <v/>
      </c>
      <c r="P801" s="38" t="str">
        <f>IF(E801&lt;&gt;"",RANK(E801,$E$3:$E$2298)+COUNTIF($E$3:E801,E801)-1,"")</f>
        <v/>
      </c>
    </row>
    <row r="802" spans="4:16" x14ac:dyDescent="0.25">
      <c r="D802" s="36" t="str" cm="1">
        <f t="array" aca="1" ref="D802" ca="1">IFERROR(IF(INDIRECT("'"&amp;F802&amp;"'!$C$5")&gt;0,DATE(YEAR(Dashboard!$AL$2),Dashboard!$AU$4,INDIRECT("'"&amp;F802&amp;"'!$C$5")),""),"")</f>
        <v/>
      </c>
      <c r="G802" s="38" t="str" cm="1">
        <f t="array" aca="1" ref="G802" ca="1">IF(F802="",
    "",
    IFERROR(
        IF(INDIRECT("'"&amp;F802&amp;"'!$B$2")="Credit Limit",
            "Credit Accounts",
            IF(INDIRECT("'"&amp;F802&amp;"'!$E$2")="Location",
                "Cash Accounts",
                IF(INDIRECT("'"&amp;F802&amp;"'!$B$2")="Amount",
                    "Investments",
                    "Bill Accounts"
                )
            )
        ),
    "")
)</f>
        <v/>
      </c>
      <c r="I802" s="46" t="str" cm="1">
        <f t="array" aca="1" ref="I802" ca="1">IF(F802&lt;&gt;"",IF(OR(G802="Bill Accounts",G802="Investments", G802="Cash Accounts"),INDIRECT("'"&amp;F802&amp;"'!$C$10"),INDIRECT("'"&amp;F802&amp;"'!$C$8")),"")</f>
        <v/>
      </c>
      <c r="K802" s="48">
        <f t="shared" si="39"/>
        <v>808</v>
      </c>
      <c r="L802" s="114" t="str" cm="1">
        <f t="array" aca="1" ref="L802" ca="1">IF(F802&lt;&gt;"",INDIRECT("'"&amp;F802&amp;"'!$F$17"),"")</f>
        <v/>
      </c>
      <c r="M802" s="116" t="str">
        <f t="shared" ca="1" si="37"/>
        <v/>
      </c>
      <c r="O802" s="49" t="str">
        <f t="shared" ca="1" si="38"/>
        <v/>
      </c>
      <c r="P802" s="38" t="str">
        <f>IF(E802&lt;&gt;"",RANK(E802,$E$3:$E$2298)+COUNTIF($E$3:E802,E802)-1,"")</f>
        <v/>
      </c>
    </row>
    <row r="803" spans="4:16" x14ac:dyDescent="0.25">
      <c r="D803" s="36" t="str" cm="1">
        <f t="array" aca="1" ref="D803" ca="1">IFERROR(IF(INDIRECT("'"&amp;F803&amp;"'!$C$5")&gt;0,DATE(YEAR(Dashboard!$AL$2),Dashboard!$AU$4,INDIRECT("'"&amp;F803&amp;"'!$C$5")),""),"")</f>
        <v/>
      </c>
      <c r="G803" s="38" t="str" cm="1">
        <f t="array" aca="1" ref="G803" ca="1">IF(F803="",
    "",
    IFERROR(
        IF(INDIRECT("'"&amp;F803&amp;"'!$B$2")="Credit Limit",
            "Credit Accounts",
            IF(INDIRECT("'"&amp;F803&amp;"'!$E$2")="Location",
                "Cash Accounts",
                IF(INDIRECT("'"&amp;F803&amp;"'!$B$2")="Amount",
                    "Investments",
                    "Bill Accounts"
                )
            )
        ),
    "")
)</f>
        <v/>
      </c>
      <c r="I803" s="46" t="str" cm="1">
        <f t="array" aca="1" ref="I803" ca="1">IF(F803&lt;&gt;"",IF(OR(G803="Bill Accounts",G803="Investments", G803="Cash Accounts"),INDIRECT("'"&amp;F803&amp;"'!$C$10"),INDIRECT("'"&amp;F803&amp;"'!$C$8")),"")</f>
        <v/>
      </c>
      <c r="K803" s="48">
        <f t="shared" si="39"/>
        <v>809</v>
      </c>
      <c r="L803" s="114" t="str" cm="1">
        <f t="array" aca="1" ref="L803" ca="1">IF(F803&lt;&gt;"",INDIRECT("'"&amp;F803&amp;"'!$F$17"),"")</f>
        <v/>
      </c>
      <c r="M803" s="116" t="str">
        <f t="shared" ca="1" si="37"/>
        <v/>
      </c>
      <c r="O803" s="49" t="str">
        <f t="shared" ca="1" si="38"/>
        <v/>
      </c>
      <c r="P803" s="38" t="str">
        <f>IF(E803&lt;&gt;"",RANK(E803,$E$3:$E$2298)+COUNTIF($E$3:E803,E803)-1,"")</f>
        <v/>
      </c>
    </row>
    <row r="804" spans="4:16" x14ac:dyDescent="0.25">
      <c r="D804" s="36" t="str" cm="1">
        <f t="array" aca="1" ref="D804" ca="1">IFERROR(IF(INDIRECT("'"&amp;F804&amp;"'!$C$5")&gt;0,DATE(YEAR(Dashboard!$AL$2),Dashboard!$AU$4,INDIRECT("'"&amp;F804&amp;"'!$C$5")),""),"")</f>
        <v/>
      </c>
      <c r="G804" s="38" t="str" cm="1">
        <f t="array" aca="1" ref="G804" ca="1">IF(F804="",
    "",
    IFERROR(
        IF(INDIRECT("'"&amp;F804&amp;"'!$B$2")="Credit Limit",
            "Credit Accounts",
            IF(INDIRECT("'"&amp;F804&amp;"'!$E$2")="Location",
                "Cash Accounts",
                IF(INDIRECT("'"&amp;F804&amp;"'!$B$2")="Amount",
                    "Investments",
                    "Bill Accounts"
                )
            )
        ),
    "")
)</f>
        <v/>
      </c>
      <c r="I804" s="46" t="str" cm="1">
        <f t="array" aca="1" ref="I804" ca="1">IF(F804&lt;&gt;"",IF(OR(G804="Bill Accounts",G804="Investments", G804="Cash Accounts"),INDIRECT("'"&amp;F804&amp;"'!$C$10"),INDIRECT("'"&amp;F804&amp;"'!$C$8")),"")</f>
        <v/>
      </c>
      <c r="K804" s="48">
        <f t="shared" si="39"/>
        <v>810</v>
      </c>
      <c r="L804" s="114" t="str" cm="1">
        <f t="array" aca="1" ref="L804" ca="1">IF(F804&lt;&gt;"",INDIRECT("'"&amp;F804&amp;"'!$F$17"),"")</f>
        <v/>
      </c>
      <c r="M804" s="116" t="str">
        <f t="shared" ca="1" si="37"/>
        <v/>
      </c>
      <c r="O804" s="49" t="str">
        <f t="shared" ca="1" si="38"/>
        <v/>
      </c>
      <c r="P804" s="38" t="str">
        <f>IF(E804&lt;&gt;"",RANK(E804,$E$3:$E$2298)+COUNTIF($E$3:E804,E804)-1,"")</f>
        <v/>
      </c>
    </row>
    <row r="805" spans="4:16" x14ac:dyDescent="0.25">
      <c r="D805" s="36" t="str" cm="1">
        <f t="array" aca="1" ref="D805" ca="1">IFERROR(IF(INDIRECT("'"&amp;F805&amp;"'!$C$5")&gt;0,DATE(YEAR(Dashboard!$AL$2),Dashboard!$AU$4,INDIRECT("'"&amp;F805&amp;"'!$C$5")),""),"")</f>
        <v/>
      </c>
      <c r="G805" s="38" t="str" cm="1">
        <f t="array" aca="1" ref="G805" ca="1">IF(F805="",
    "",
    IFERROR(
        IF(INDIRECT("'"&amp;F805&amp;"'!$B$2")="Credit Limit",
            "Credit Accounts",
            IF(INDIRECT("'"&amp;F805&amp;"'!$E$2")="Location",
                "Cash Accounts",
                IF(INDIRECT("'"&amp;F805&amp;"'!$B$2")="Amount",
                    "Investments",
                    "Bill Accounts"
                )
            )
        ),
    "")
)</f>
        <v/>
      </c>
      <c r="I805" s="46" t="str" cm="1">
        <f t="array" aca="1" ref="I805" ca="1">IF(F805&lt;&gt;"",IF(OR(G805="Bill Accounts",G805="Investments", G805="Cash Accounts"),INDIRECT("'"&amp;F805&amp;"'!$C$10"),INDIRECT("'"&amp;F805&amp;"'!$C$8")),"")</f>
        <v/>
      </c>
      <c r="K805" s="48">
        <f t="shared" si="39"/>
        <v>811</v>
      </c>
      <c r="L805" s="114" t="str" cm="1">
        <f t="array" aca="1" ref="L805" ca="1">IF(F805&lt;&gt;"",INDIRECT("'"&amp;F805&amp;"'!$F$17"),"")</f>
        <v/>
      </c>
      <c r="M805" s="116" t="str">
        <f t="shared" ca="1" si="37"/>
        <v/>
      </c>
      <c r="O805" s="49" t="str">
        <f t="shared" ca="1" si="38"/>
        <v/>
      </c>
      <c r="P805" s="38" t="str">
        <f>IF(E805&lt;&gt;"",RANK(E805,$E$3:$E$2298)+COUNTIF($E$3:E805,E805)-1,"")</f>
        <v/>
      </c>
    </row>
    <row r="806" spans="4:16" x14ac:dyDescent="0.25">
      <c r="D806" s="36" t="str" cm="1">
        <f t="array" aca="1" ref="D806" ca="1">IFERROR(IF(INDIRECT("'"&amp;F806&amp;"'!$C$5")&gt;0,DATE(YEAR(Dashboard!$AL$2),Dashboard!$AU$4,INDIRECT("'"&amp;F806&amp;"'!$C$5")),""),"")</f>
        <v/>
      </c>
      <c r="G806" s="38" t="str" cm="1">
        <f t="array" aca="1" ref="G806" ca="1">IF(F806="",
    "",
    IFERROR(
        IF(INDIRECT("'"&amp;F806&amp;"'!$B$2")="Credit Limit",
            "Credit Accounts",
            IF(INDIRECT("'"&amp;F806&amp;"'!$E$2")="Location",
                "Cash Accounts",
                IF(INDIRECT("'"&amp;F806&amp;"'!$B$2")="Amount",
                    "Investments",
                    "Bill Accounts"
                )
            )
        ),
    "")
)</f>
        <v/>
      </c>
      <c r="I806" s="46" t="str" cm="1">
        <f t="array" aca="1" ref="I806" ca="1">IF(F806&lt;&gt;"",IF(OR(G806="Bill Accounts",G806="Investments", G806="Cash Accounts"),INDIRECT("'"&amp;F806&amp;"'!$C$10"),INDIRECT("'"&amp;F806&amp;"'!$C$8")),"")</f>
        <v/>
      </c>
      <c r="K806" s="48">
        <f t="shared" si="39"/>
        <v>812</v>
      </c>
      <c r="L806" s="114" t="str" cm="1">
        <f t="array" aca="1" ref="L806" ca="1">IF(F806&lt;&gt;"",INDIRECT("'"&amp;F806&amp;"'!$F$17"),"")</f>
        <v/>
      </c>
      <c r="M806" s="116" t="str">
        <f t="shared" ca="1" si="37"/>
        <v/>
      </c>
      <c r="O806" s="49" t="str">
        <f t="shared" ca="1" si="38"/>
        <v/>
      </c>
      <c r="P806" s="38" t="str">
        <f>IF(E806&lt;&gt;"",RANK(E806,$E$3:$E$2298)+COUNTIF($E$3:E806,E806)-1,"")</f>
        <v/>
      </c>
    </row>
    <row r="807" spans="4:16" x14ac:dyDescent="0.25">
      <c r="D807" s="36" t="str" cm="1">
        <f t="array" aca="1" ref="D807" ca="1">IFERROR(IF(INDIRECT("'"&amp;F807&amp;"'!$C$5")&gt;0,DATE(YEAR(Dashboard!$AL$2),Dashboard!$AU$4,INDIRECT("'"&amp;F807&amp;"'!$C$5")),""),"")</f>
        <v/>
      </c>
      <c r="G807" s="38" t="str" cm="1">
        <f t="array" aca="1" ref="G807" ca="1">IF(F807="",
    "",
    IFERROR(
        IF(INDIRECT("'"&amp;F807&amp;"'!$B$2")="Credit Limit",
            "Credit Accounts",
            IF(INDIRECT("'"&amp;F807&amp;"'!$E$2")="Location",
                "Cash Accounts",
                IF(INDIRECT("'"&amp;F807&amp;"'!$B$2")="Amount",
                    "Investments",
                    "Bill Accounts"
                )
            )
        ),
    "")
)</f>
        <v/>
      </c>
      <c r="I807" s="46" t="str" cm="1">
        <f t="array" aca="1" ref="I807" ca="1">IF(F807&lt;&gt;"",IF(OR(G807="Bill Accounts",G807="Investments", G807="Cash Accounts"),INDIRECT("'"&amp;F807&amp;"'!$C$10"),INDIRECT("'"&amp;F807&amp;"'!$C$8")),"")</f>
        <v/>
      </c>
      <c r="K807" s="48">
        <f t="shared" si="39"/>
        <v>813</v>
      </c>
      <c r="L807" s="114" t="str" cm="1">
        <f t="array" aca="1" ref="L807" ca="1">IF(F807&lt;&gt;"",INDIRECT("'"&amp;F807&amp;"'!$F$17"),"")</f>
        <v/>
      </c>
      <c r="M807" s="116" t="str">
        <f t="shared" ca="1" si="37"/>
        <v/>
      </c>
      <c r="O807" s="49" t="str">
        <f t="shared" ca="1" si="38"/>
        <v/>
      </c>
      <c r="P807" s="38" t="str">
        <f>IF(E807&lt;&gt;"",RANK(E807,$E$3:$E$2298)+COUNTIF($E$3:E807,E807)-1,"")</f>
        <v/>
      </c>
    </row>
    <row r="808" spans="4:16" x14ac:dyDescent="0.25">
      <c r="D808" s="36" t="str" cm="1">
        <f t="array" aca="1" ref="D808" ca="1">IFERROR(IF(INDIRECT("'"&amp;F808&amp;"'!$C$5")&gt;0,DATE(YEAR(Dashboard!$AL$2),Dashboard!$AU$4,INDIRECT("'"&amp;F808&amp;"'!$C$5")),""),"")</f>
        <v/>
      </c>
      <c r="G808" s="38" t="str" cm="1">
        <f t="array" aca="1" ref="G808" ca="1">IF(F808="",
    "",
    IFERROR(
        IF(INDIRECT("'"&amp;F808&amp;"'!$B$2")="Credit Limit",
            "Credit Accounts",
            IF(INDIRECT("'"&amp;F808&amp;"'!$E$2")="Location",
                "Cash Accounts",
                IF(INDIRECT("'"&amp;F808&amp;"'!$B$2")="Amount",
                    "Investments",
                    "Bill Accounts"
                )
            )
        ),
    "")
)</f>
        <v/>
      </c>
      <c r="I808" s="46" t="str" cm="1">
        <f t="array" aca="1" ref="I808" ca="1">IF(F808&lt;&gt;"",IF(OR(G808="Bill Accounts",G808="Investments", G808="Cash Accounts"),INDIRECT("'"&amp;F808&amp;"'!$C$10"),INDIRECT("'"&amp;F808&amp;"'!$C$8")),"")</f>
        <v/>
      </c>
      <c r="K808" s="48">
        <f t="shared" si="39"/>
        <v>814</v>
      </c>
      <c r="L808" s="114" t="str" cm="1">
        <f t="array" aca="1" ref="L808" ca="1">IF(F808&lt;&gt;"",INDIRECT("'"&amp;F808&amp;"'!$F$17"),"")</f>
        <v/>
      </c>
      <c r="M808" s="116" t="str">
        <f t="shared" ca="1" si="37"/>
        <v/>
      </c>
      <c r="O808" s="49" t="str">
        <f t="shared" ca="1" si="38"/>
        <v/>
      </c>
      <c r="P808" s="38" t="str">
        <f>IF(E808&lt;&gt;"",RANK(E808,$E$3:$E$2298)+COUNTIF($E$3:E808,E808)-1,"")</f>
        <v/>
      </c>
    </row>
    <row r="809" spans="4:16" x14ac:dyDescent="0.25">
      <c r="D809" s="36" t="str" cm="1">
        <f t="array" aca="1" ref="D809" ca="1">IFERROR(IF(INDIRECT("'"&amp;F809&amp;"'!$C$5")&gt;0,DATE(YEAR(Dashboard!$AL$2),Dashboard!$AU$4,INDIRECT("'"&amp;F809&amp;"'!$C$5")),""),"")</f>
        <v/>
      </c>
      <c r="G809" s="38" t="str" cm="1">
        <f t="array" aca="1" ref="G809" ca="1">IF(F809="",
    "",
    IFERROR(
        IF(INDIRECT("'"&amp;F809&amp;"'!$B$2")="Credit Limit",
            "Credit Accounts",
            IF(INDIRECT("'"&amp;F809&amp;"'!$E$2")="Location",
                "Cash Accounts",
                IF(INDIRECT("'"&amp;F809&amp;"'!$B$2")="Amount",
                    "Investments",
                    "Bill Accounts"
                )
            )
        ),
    "")
)</f>
        <v/>
      </c>
      <c r="I809" s="46" t="str" cm="1">
        <f t="array" aca="1" ref="I809" ca="1">IF(F809&lt;&gt;"",IF(OR(G809="Bill Accounts",G809="Investments", G809="Cash Accounts"),INDIRECT("'"&amp;F809&amp;"'!$C$10"),INDIRECT("'"&amp;F809&amp;"'!$C$8")),"")</f>
        <v/>
      </c>
      <c r="K809" s="48">
        <f t="shared" si="39"/>
        <v>815</v>
      </c>
      <c r="L809" s="114" t="str" cm="1">
        <f t="array" aca="1" ref="L809" ca="1">IF(F809&lt;&gt;"",INDIRECT("'"&amp;F809&amp;"'!$F$17"),"")</f>
        <v/>
      </c>
      <c r="M809" s="116" t="str">
        <f t="shared" ca="1" si="37"/>
        <v/>
      </c>
      <c r="O809" s="49" t="str">
        <f t="shared" ca="1" si="38"/>
        <v/>
      </c>
      <c r="P809" s="38" t="str">
        <f>IF(E809&lt;&gt;"",RANK(E809,$E$3:$E$2298)+COUNTIF($E$3:E809,E809)-1,"")</f>
        <v/>
      </c>
    </row>
    <row r="810" spans="4:16" x14ac:dyDescent="0.25">
      <c r="D810" s="36" t="str" cm="1">
        <f t="array" aca="1" ref="D810" ca="1">IFERROR(IF(INDIRECT("'"&amp;F810&amp;"'!$C$5")&gt;0,DATE(YEAR(Dashboard!$AL$2),Dashboard!$AU$4,INDIRECT("'"&amp;F810&amp;"'!$C$5")),""),"")</f>
        <v/>
      </c>
      <c r="G810" s="38" t="str" cm="1">
        <f t="array" aca="1" ref="G810" ca="1">IF(F810="",
    "",
    IFERROR(
        IF(INDIRECT("'"&amp;F810&amp;"'!$B$2")="Credit Limit",
            "Credit Accounts",
            IF(INDIRECT("'"&amp;F810&amp;"'!$E$2")="Location",
                "Cash Accounts",
                IF(INDIRECT("'"&amp;F810&amp;"'!$B$2")="Amount",
                    "Investments",
                    "Bill Accounts"
                )
            )
        ),
    "")
)</f>
        <v/>
      </c>
      <c r="I810" s="46" t="str" cm="1">
        <f t="array" aca="1" ref="I810" ca="1">IF(F810&lt;&gt;"",IF(OR(G810="Bill Accounts",G810="Investments", G810="Cash Accounts"),INDIRECT("'"&amp;F810&amp;"'!$C$10"),INDIRECT("'"&amp;F810&amp;"'!$C$8")),"")</f>
        <v/>
      </c>
      <c r="K810" s="48">
        <f t="shared" si="39"/>
        <v>816</v>
      </c>
      <c r="L810" s="114" t="str" cm="1">
        <f t="array" aca="1" ref="L810" ca="1">IF(F810&lt;&gt;"",INDIRECT("'"&amp;F810&amp;"'!$F$17"),"")</f>
        <v/>
      </c>
      <c r="M810" s="116" t="str">
        <f t="shared" ca="1" si="37"/>
        <v/>
      </c>
      <c r="O810" s="49" t="str">
        <f t="shared" ca="1" si="38"/>
        <v/>
      </c>
      <c r="P810" s="38" t="str">
        <f>IF(E810&lt;&gt;"",RANK(E810,$E$3:$E$2298)+COUNTIF($E$3:E810,E810)-1,"")</f>
        <v/>
      </c>
    </row>
    <row r="811" spans="4:16" x14ac:dyDescent="0.25">
      <c r="D811" s="36" t="str" cm="1">
        <f t="array" aca="1" ref="D811" ca="1">IFERROR(IF(INDIRECT("'"&amp;F811&amp;"'!$C$5")&gt;0,DATE(YEAR(Dashboard!$AL$2),Dashboard!$AU$4,INDIRECT("'"&amp;F811&amp;"'!$C$5")),""),"")</f>
        <v/>
      </c>
      <c r="G811" s="38" t="str" cm="1">
        <f t="array" aca="1" ref="G811" ca="1">IF(F811="",
    "",
    IFERROR(
        IF(INDIRECT("'"&amp;F811&amp;"'!$B$2")="Credit Limit",
            "Credit Accounts",
            IF(INDIRECT("'"&amp;F811&amp;"'!$E$2")="Location",
                "Cash Accounts",
                IF(INDIRECT("'"&amp;F811&amp;"'!$B$2")="Amount",
                    "Investments",
                    "Bill Accounts"
                )
            )
        ),
    "")
)</f>
        <v/>
      </c>
      <c r="I811" s="46" t="str" cm="1">
        <f t="array" aca="1" ref="I811" ca="1">IF(F811&lt;&gt;"",IF(OR(G811="Bill Accounts",G811="Investments", G811="Cash Accounts"),INDIRECT("'"&amp;F811&amp;"'!$C$10"),INDIRECT("'"&amp;F811&amp;"'!$C$8")),"")</f>
        <v/>
      </c>
      <c r="K811" s="48">
        <f t="shared" si="39"/>
        <v>817</v>
      </c>
      <c r="L811" s="114" t="str" cm="1">
        <f t="array" aca="1" ref="L811" ca="1">IF(F811&lt;&gt;"",INDIRECT("'"&amp;F811&amp;"'!$F$17"),"")</f>
        <v/>
      </c>
      <c r="M811" s="116" t="str">
        <f t="shared" ca="1" si="37"/>
        <v/>
      </c>
      <c r="O811" s="49" t="str">
        <f t="shared" ca="1" si="38"/>
        <v/>
      </c>
      <c r="P811" s="38" t="str">
        <f>IF(E811&lt;&gt;"",RANK(E811,$E$3:$E$2298)+COUNTIF($E$3:E811,E811)-1,"")</f>
        <v/>
      </c>
    </row>
    <row r="812" spans="4:16" x14ac:dyDescent="0.25">
      <c r="D812" s="36" t="str" cm="1">
        <f t="array" aca="1" ref="D812" ca="1">IFERROR(IF(INDIRECT("'"&amp;F812&amp;"'!$C$5")&gt;0,DATE(YEAR(Dashboard!$AL$2),Dashboard!$AU$4,INDIRECT("'"&amp;F812&amp;"'!$C$5")),""),"")</f>
        <v/>
      </c>
      <c r="G812" s="38" t="str" cm="1">
        <f t="array" aca="1" ref="G812" ca="1">IF(F812="",
    "",
    IFERROR(
        IF(INDIRECT("'"&amp;F812&amp;"'!$B$2")="Credit Limit",
            "Credit Accounts",
            IF(INDIRECT("'"&amp;F812&amp;"'!$E$2")="Location",
                "Cash Accounts",
                IF(INDIRECT("'"&amp;F812&amp;"'!$B$2")="Amount",
                    "Investments",
                    "Bill Accounts"
                )
            )
        ),
    "")
)</f>
        <v/>
      </c>
      <c r="I812" s="46" t="str" cm="1">
        <f t="array" aca="1" ref="I812" ca="1">IF(F812&lt;&gt;"",IF(OR(G812="Bill Accounts",G812="Investments", G812="Cash Accounts"),INDIRECT("'"&amp;F812&amp;"'!$C$10"),INDIRECT("'"&amp;F812&amp;"'!$C$8")),"")</f>
        <v/>
      </c>
      <c r="K812" s="48">
        <f t="shared" si="39"/>
        <v>818</v>
      </c>
      <c r="L812" s="114" t="str" cm="1">
        <f t="array" aca="1" ref="L812" ca="1">IF(F812&lt;&gt;"",INDIRECT("'"&amp;F812&amp;"'!$F$17"),"")</f>
        <v/>
      </c>
      <c r="M812" s="116" t="str">
        <f t="shared" ca="1" si="37"/>
        <v/>
      </c>
      <c r="O812" s="49" t="str">
        <f t="shared" ca="1" si="38"/>
        <v/>
      </c>
      <c r="P812" s="38" t="str">
        <f>IF(E812&lt;&gt;"",RANK(E812,$E$3:$E$2298)+COUNTIF($E$3:E812,E812)-1,"")</f>
        <v/>
      </c>
    </row>
    <row r="813" spans="4:16" x14ac:dyDescent="0.25">
      <c r="D813" s="36" t="str" cm="1">
        <f t="array" aca="1" ref="D813" ca="1">IFERROR(IF(INDIRECT("'"&amp;F813&amp;"'!$C$5")&gt;0,DATE(YEAR(Dashboard!$AL$2),Dashboard!$AU$4,INDIRECT("'"&amp;F813&amp;"'!$C$5")),""),"")</f>
        <v/>
      </c>
      <c r="G813" s="38" t="str" cm="1">
        <f t="array" aca="1" ref="G813" ca="1">IF(F813="",
    "",
    IFERROR(
        IF(INDIRECT("'"&amp;F813&amp;"'!$B$2")="Credit Limit",
            "Credit Accounts",
            IF(INDIRECT("'"&amp;F813&amp;"'!$E$2")="Location",
                "Cash Accounts",
                IF(INDIRECT("'"&amp;F813&amp;"'!$B$2")="Amount",
                    "Investments",
                    "Bill Accounts"
                )
            )
        ),
    "")
)</f>
        <v/>
      </c>
      <c r="I813" s="46" t="str" cm="1">
        <f t="array" aca="1" ref="I813" ca="1">IF(F813&lt;&gt;"",IF(OR(G813="Bill Accounts",G813="Investments", G813="Cash Accounts"),INDIRECT("'"&amp;F813&amp;"'!$C$10"),INDIRECT("'"&amp;F813&amp;"'!$C$8")),"")</f>
        <v/>
      </c>
      <c r="K813" s="48">
        <f t="shared" si="39"/>
        <v>819</v>
      </c>
      <c r="L813" s="114" t="str" cm="1">
        <f t="array" aca="1" ref="L813" ca="1">IF(F813&lt;&gt;"",INDIRECT("'"&amp;F813&amp;"'!$F$17"),"")</f>
        <v/>
      </c>
      <c r="M813" s="116" t="str">
        <f t="shared" ca="1" si="37"/>
        <v/>
      </c>
      <c r="O813" s="49" t="str">
        <f t="shared" ca="1" si="38"/>
        <v/>
      </c>
      <c r="P813" s="38" t="str">
        <f>IF(E813&lt;&gt;"",RANK(E813,$E$3:$E$2298)+COUNTIF($E$3:E813,E813)-1,"")</f>
        <v/>
      </c>
    </row>
    <row r="814" spans="4:16" x14ac:dyDescent="0.25">
      <c r="D814" s="36" t="str" cm="1">
        <f t="array" aca="1" ref="D814" ca="1">IFERROR(IF(INDIRECT("'"&amp;F814&amp;"'!$C$5")&gt;0,DATE(YEAR(Dashboard!$AL$2),Dashboard!$AU$4,INDIRECT("'"&amp;F814&amp;"'!$C$5")),""),"")</f>
        <v/>
      </c>
      <c r="G814" s="38" t="str" cm="1">
        <f t="array" aca="1" ref="G814" ca="1">IF(F814="",
    "",
    IFERROR(
        IF(INDIRECT("'"&amp;F814&amp;"'!$B$2")="Credit Limit",
            "Credit Accounts",
            IF(INDIRECT("'"&amp;F814&amp;"'!$E$2")="Location",
                "Cash Accounts",
                IF(INDIRECT("'"&amp;F814&amp;"'!$B$2")="Amount",
                    "Investments",
                    "Bill Accounts"
                )
            )
        ),
    "")
)</f>
        <v/>
      </c>
      <c r="I814" s="46" t="str" cm="1">
        <f t="array" aca="1" ref="I814" ca="1">IF(F814&lt;&gt;"",IF(OR(G814="Bill Accounts",G814="Investments", G814="Cash Accounts"),INDIRECT("'"&amp;F814&amp;"'!$C$10"),INDIRECT("'"&amp;F814&amp;"'!$C$8")),"")</f>
        <v/>
      </c>
      <c r="K814" s="48">
        <f t="shared" si="39"/>
        <v>820</v>
      </c>
      <c r="L814" s="114" t="str" cm="1">
        <f t="array" aca="1" ref="L814" ca="1">IF(F814&lt;&gt;"",INDIRECT("'"&amp;F814&amp;"'!$F$17"),"")</f>
        <v/>
      </c>
      <c r="M814" s="116" t="str">
        <f t="shared" ca="1" si="37"/>
        <v/>
      </c>
      <c r="O814" s="49" t="str">
        <f t="shared" ca="1" si="38"/>
        <v/>
      </c>
      <c r="P814" s="38" t="str">
        <f>IF(E814&lt;&gt;"",RANK(E814,$E$3:$E$2298)+COUNTIF($E$3:E814,E814)-1,"")</f>
        <v/>
      </c>
    </row>
    <row r="815" spans="4:16" x14ac:dyDescent="0.25">
      <c r="D815" s="36" t="str" cm="1">
        <f t="array" aca="1" ref="D815" ca="1">IFERROR(IF(INDIRECT("'"&amp;F815&amp;"'!$C$5")&gt;0,DATE(YEAR(Dashboard!$AL$2),Dashboard!$AU$4,INDIRECT("'"&amp;F815&amp;"'!$C$5")),""),"")</f>
        <v/>
      </c>
      <c r="G815" s="38" t="str" cm="1">
        <f t="array" aca="1" ref="G815" ca="1">IF(F815="",
    "",
    IFERROR(
        IF(INDIRECT("'"&amp;F815&amp;"'!$B$2")="Credit Limit",
            "Credit Accounts",
            IF(INDIRECT("'"&amp;F815&amp;"'!$E$2")="Location",
                "Cash Accounts",
                IF(INDIRECT("'"&amp;F815&amp;"'!$B$2")="Amount",
                    "Investments",
                    "Bill Accounts"
                )
            )
        ),
    "")
)</f>
        <v/>
      </c>
      <c r="I815" s="46" t="str" cm="1">
        <f t="array" aca="1" ref="I815" ca="1">IF(F815&lt;&gt;"",IF(OR(G815="Bill Accounts",G815="Investments", G815="Cash Accounts"),INDIRECT("'"&amp;F815&amp;"'!$C$10"),INDIRECT("'"&amp;F815&amp;"'!$C$8")),"")</f>
        <v/>
      </c>
      <c r="K815" s="48">
        <f t="shared" si="39"/>
        <v>821</v>
      </c>
      <c r="L815" s="114" t="str" cm="1">
        <f t="array" aca="1" ref="L815" ca="1">IF(F815&lt;&gt;"",INDIRECT("'"&amp;F815&amp;"'!$F$17"),"")</f>
        <v/>
      </c>
      <c r="M815" s="116" t="str">
        <f t="shared" ca="1" si="37"/>
        <v/>
      </c>
      <c r="O815" s="49" t="str">
        <f t="shared" ca="1" si="38"/>
        <v/>
      </c>
      <c r="P815" s="38" t="str">
        <f>IF(E815&lt;&gt;"",RANK(E815,$E$3:$E$2298)+COUNTIF($E$3:E815,E815)-1,"")</f>
        <v/>
      </c>
    </row>
    <row r="816" spans="4:16" x14ac:dyDescent="0.25">
      <c r="D816" s="36" t="str" cm="1">
        <f t="array" aca="1" ref="D816" ca="1">IFERROR(IF(INDIRECT("'"&amp;F816&amp;"'!$C$5")&gt;0,DATE(YEAR(Dashboard!$AL$2),Dashboard!$AU$4,INDIRECT("'"&amp;F816&amp;"'!$C$5")),""),"")</f>
        <v/>
      </c>
      <c r="G816" s="38" t="str" cm="1">
        <f t="array" aca="1" ref="G816" ca="1">IF(F816="",
    "",
    IFERROR(
        IF(INDIRECT("'"&amp;F816&amp;"'!$B$2")="Credit Limit",
            "Credit Accounts",
            IF(INDIRECT("'"&amp;F816&amp;"'!$E$2")="Location",
                "Cash Accounts",
                IF(INDIRECT("'"&amp;F816&amp;"'!$B$2")="Amount",
                    "Investments",
                    "Bill Accounts"
                )
            )
        ),
    "")
)</f>
        <v/>
      </c>
      <c r="I816" s="46" t="str" cm="1">
        <f t="array" aca="1" ref="I816" ca="1">IF(F816&lt;&gt;"",IF(OR(G816="Bill Accounts",G816="Investments", G816="Cash Accounts"),INDIRECT("'"&amp;F816&amp;"'!$C$10"),INDIRECT("'"&amp;F816&amp;"'!$C$8")),"")</f>
        <v/>
      </c>
      <c r="K816" s="48">
        <f t="shared" si="39"/>
        <v>822</v>
      </c>
      <c r="L816" s="114" t="str" cm="1">
        <f t="array" aca="1" ref="L816" ca="1">IF(F816&lt;&gt;"",INDIRECT("'"&amp;F816&amp;"'!$F$17"),"")</f>
        <v/>
      </c>
      <c r="M816" s="116" t="str">
        <f t="shared" ca="1" si="37"/>
        <v/>
      </c>
      <c r="O816" s="49" t="str">
        <f t="shared" ca="1" si="38"/>
        <v/>
      </c>
      <c r="P816" s="38" t="str">
        <f>IF(E816&lt;&gt;"",RANK(E816,$E$3:$E$2298)+COUNTIF($E$3:E816,E816)-1,"")</f>
        <v/>
      </c>
    </row>
    <row r="817" spans="4:16" x14ac:dyDescent="0.25">
      <c r="D817" s="36" t="str" cm="1">
        <f t="array" aca="1" ref="D817" ca="1">IFERROR(IF(INDIRECT("'"&amp;F817&amp;"'!$C$5")&gt;0,DATE(YEAR(Dashboard!$AL$2),Dashboard!$AU$4,INDIRECT("'"&amp;F817&amp;"'!$C$5")),""),"")</f>
        <v/>
      </c>
      <c r="G817" s="38" t="str" cm="1">
        <f t="array" aca="1" ref="G817" ca="1">IF(F817="",
    "",
    IFERROR(
        IF(INDIRECT("'"&amp;F817&amp;"'!$B$2")="Credit Limit",
            "Credit Accounts",
            IF(INDIRECT("'"&amp;F817&amp;"'!$E$2")="Location",
                "Cash Accounts",
                IF(INDIRECT("'"&amp;F817&amp;"'!$B$2")="Amount",
                    "Investments",
                    "Bill Accounts"
                )
            )
        ),
    "")
)</f>
        <v/>
      </c>
      <c r="I817" s="46" t="str" cm="1">
        <f t="array" aca="1" ref="I817" ca="1">IF(F817&lt;&gt;"",IF(OR(G817="Bill Accounts",G817="Investments", G817="Cash Accounts"),INDIRECT("'"&amp;F817&amp;"'!$C$10"),INDIRECT("'"&amp;F817&amp;"'!$C$8")),"")</f>
        <v/>
      </c>
      <c r="K817" s="48">
        <f t="shared" si="39"/>
        <v>823</v>
      </c>
      <c r="L817" s="114" t="str" cm="1">
        <f t="array" aca="1" ref="L817" ca="1">IF(F817&lt;&gt;"",INDIRECT("'"&amp;F817&amp;"'!$F$17"),"")</f>
        <v/>
      </c>
      <c r="M817" s="116" t="str">
        <f t="shared" ca="1" si="37"/>
        <v/>
      </c>
      <c r="O817" s="49" t="str">
        <f t="shared" ca="1" si="38"/>
        <v/>
      </c>
      <c r="P817" s="38" t="str">
        <f>IF(E817&lt;&gt;"",RANK(E817,$E$3:$E$2298)+COUNTIF($E$3:E817,E817)-1,"")</f>
        <v/>
      </c>
    </row>
    <row r="818" spans="4:16" x14ac:dyDescent="0.25">
      <c r="D818" s="36" t="str" cm="1">
        <f t="array" aca="1" ref="D818" ca="1">IFERROR(IF(INDIRECT("'"&amp;F818&amp;"'!$C$5")&gt;0,DATE(YEAR(Dashboard!$AL$2),Dashboard!$AU$4,INDIRECT("'"&amp;F818&amp;"'!$C$5")),""),"")</f>
        <v/>
      </c>
      <c r="G818" s="38" t="str" cm="1">
        <f t="array" aca="1" ref="G818" ca="1">IF(F818="",
    "",
    IFERROR(
        IF(INDIRECT("'"&amp;F818&amp;"'!$B$2")="Credit Limit",
            "Credit Accounts",
            IF(INDIRECT("'"&amp;F818&amp;"'!$E$2")="Location",
                "Cash Accounts",
                IF(INDIRECT("'"&amp;F818&amp;"'!$B$2")="Amount",
                    "Investments",
                    "Bill Accounts"
                )
            )
        ),
    "")
)</f>
        <v/>
      </c>
      <c r="I818" s="46" t="str" cm="1">
        <f t="array" aca="1" ref="I818" ca="1">IF(F818&lt;&gt;"",IF(OR(G818="Bill Accounts",G818="Investments", G818="Cash Accounts"),INDIRECT("'"&amp;F818&amp;"'!$C$10"),INDIRECT("'"&amp;F818&amp;"'!$C$8")),"")</f>
        <v/>
      </c>
      <c r="K818" s="48">
        <f t="shared" si="39"/>
        <v>824</v>
      </c>
      <c r="L818" s="114" t="str" cm="1">
        <f t="array" aca="1" ref="L818" ca="1">IF(F818&lt;&gt;"",INDIRECT("'"&amp;F818&amp;"'!$F$17"),"")</f>
        <v/>
      </c>
      <c r="M818" s="116" t="str">
        <f t="shared" ca="1" si="37"/>
        <v/>
      </c>
      <c r="O818" s="49" t="str">
        <f t="shared" ca="1" si="38"/>
        <v/>
      </c>
      <c r="P818" s="38" t="str">
        <f>IF(E818&lt;&gt;"",RANK(E818,$E$3:$E$2298)+COUNTIF($E$3:E818,E818)-1,"")</f>
        <v/>
      </c>
    </row>
    <row r="819" spans="4:16" x14ac:dyDescent="0.25">
      <c r="D819" s="36" t="str" cm="1">
        <f t="array" aca="1" ref="D819" ca="1">IFERROR(IF(INDIRECT("'"&amp;F819&amp;"'!$C$5")&gt;0,DATE(YEAR(Dashboard!$AL$2),Dashboard!$AU$4,INDIRECT("'"&amp;F819&amp;"'!$C$5")),""),"")</f>
        <v/>
      </c>
      <c r="G819" s="38" t="str" cm="1">
        <f t="array" aca="1" ref="G819" ca="1">IF(F819="",
    "",
    IFERROR(
        IF(INDIRECT("'"&amp;F819&amp;"'!$B$2")="Credit Limit",
            "Credit Accounts",
            IF(INDIRECT("'"&amp;F819&amp;"'!$E$2")="Location",
                "Cash Accounts",
                IF(INDIRECT("'"&amp;F819&amp;"'!$B$2")="Amount",
                    "Investments",
                    "Bill Accounts"
                )
            )
        ),
    "")
)</f>
        <v/>
      </c>
      <c r="I819" s="46" t="str" cm="1">
        <f t="array" aca="1" ref="I819" ca="1">IF(F819&lt;&gt;"",IF(OR(G819="Bill Accounts",G819="Investments", G819="Cash Accounts"),INDIRECT("'"&amp;F819&amp;"'!$C$10"),INDIRECT("'"&amp;F819&amp;"'!$C$8")),"")</f>
        <v/>
      </c>
      <c r="K819" s="48">
        <f t="shared" si="39"/>
        <v>825</v>
      </c>
      <c r="L819" s="114" t="str" cm="1">
        <f t="array" aca="1" ref="L819" ca="1">IF(F819&lt;&gt;"",INDIRECT("'"&amp;F819&amp;"'!$F$17"),"")</f>
        <v/>
      </c>
      <c r="M819" s="116" t="str">
        <f t="shared" ca="1" si="37"/>
        <v/>
      </c>
      <c r="O819" s="49" t="str">
        <f t="shared" ca="1" si="38"/>
        <v/>
      </c>
      <c r="P819" s="38" t="str">
        <f>IF(E819&lt;&gt;"",RANK(E819,$E$3:$E$2298)+COUNTIF($E$3:E819,E819)-1,"")</f>
        <v/>
      </c>
    </row>
    <row r="820" spans="4:16" x14ac:dyDescent="0.25">
      <c r="D820" s="36" t="str" cm="1">
        <f t="array" aca="1" ref="D820" ca="1">IFERROR(IF(INDIRECT("'"&amp;F820&amp;"'!$C$5")&gt;0,DATE(YEAR(Dashboard!$AL$2),Dashboard!$AU$4,INDIRECT("'"&amp;F820&amp;"'!$C$5")),""),"")</f>
        <v/>
      </c>
      <c r="G820" s="38" t="str" cm="1">
        <f t="array" aca="1" ref="G820" ca="1">IF(F820="",
    "",
    IFERROR(
        IF(INDIRECT("'"&amp;F820&amp;"'!$B$2")="Credit Limit",
            "Credit Accounts",
            IF(INDIRECT("'"&amp;F820&amp;"'!$E$2")="Location",
                "Cash Accounts",
                IF(INDIRECT("'"&amp;F820&amp;"'!$B$2")="Amount",
                    "Investments",
                    "Bill Accounts"
                )
            )
        ),
    "")
)</f>
        <v/>
      </c>
      <c r="I820" s="46" t="str" cm="1">
        <f t="array" aca="1" ref="I820" ca="1">IF(F820&lt;&gt;"",IF(OR(G820="Bill Accounts",G820="Investments", G820="Cash Accounts"),INDIRECT("'"&amp;F820&amp;"'!$C$10"),INDIRECT("'"&amp;F820&amp;"'!$C$8")),"")</f>
        <v/>
      </c>
      <c r="K820" s="48">
        <f t="shared" si="39"/>
        <v>826</v>
      </c>
      <c r="L820" s="114" t="str" cm="1">
        <f t="array" aca="1" ref="L820" ca="1">IF(F820&lt;&gt;"",INDIRECT("'"&amp;F820&amp;"'!$F$17"),"")</f>
        <v/>
      </c>
      <c r="M820" s="116" t="str">
        <f t="shared" ca="1" si="37"/>
        <v/>
      </c>
      <c r="O820" s="49" t="str">
        <f t="shared" ca="1" si="38"/>
        <v/>
      </c>
      <c r="P820" s="38" t="str">
        <f>IF(E820&lt;&gt;"",RANK(E820,$E$3:$E$2298)+COUNTIF($E$3:E820,E820)-1,"")</f>
        <v/>
      </c>
    </row>
    <row r="821" spans="4:16" x14ac:dyDescent="0.25">
      <c r="D821" s="36" t="str" cm="1">
        <f t="array" aca="1" ref="D821" ca="1">IFERROR(IF(INDIRECT("'"&amp;F821&amp;"'!$C$5")&gt;0,DATE(YEAR(Dashboard!$AL$2),Dashboard!$AU$4,INDIRECT("'"&amp;F821&amp;"'!$C$5")),""),"")</f>
        <v/>
      </c>
      <c r="G821" s="38" t="str" cm="1">
        <f t="array" aca="1" ref="G821" ca="1">IF(F821="",
    "",
    IFERROR(
        IF(INDIRECT("'"&amp;F821&amp;"'!$B$2")="Credit Limit",
            "Credit Accounts",
            IF(INDIRECT("'"&amp;F821&amp;"'!$E$2")="Location",
                "Cash Accounts",
                IF(INDIRECT("'"&amp;F821&amp;"'!$B$2")="Amount",
                    "Investments",
                    "Bill Accounts"
                )
            )
        ),
    "")
)</f>
        <v/>
      </c>
      <c r="I821" s="46" t="str" cm="1">
        <f t="array" aca="1" ref="I821" ca="1">IF(F821&lt;&gt;"",IF(OR(G821="Bill Accounts",G821="Investments", G821="Cash Accounts"),INDIRECT("'"&amp;F821&amp;"'!$C$10"),INDIRECT("'"&amp;F821&amp;"'!$C$8")),"")</f>
        <v/>
      </c>
      <c r="K821" s="48">
        <f t="shared" si="39"/>
        <v>827</v>
      </c>
      <c r="L821" s="114" t="str" cm="1">
        <f t="array" aca="1" ref="L821" ca="1">IF(F821&lt;&gt;"",INDIRECT("'"&amp;F821&amp;"'!$F$17"),"")</f>
        <v/>
      </c>
      <c r="M821" s="116" t="str">
        <f t="shared" ca="1" si="37"/>
        <v/>
      </c>
      <c r="O821" s="49" t="str">
        <f t="shared" ca="1" si="38"/>
        <v/>
      </c>
      <c r="P821" s="38" t="str">
        <f>IF(E821&lt;&gt;"",RANK(E821,$E$3:$E$2298)+COUNTIF($E$3:E821,E821)-1,"")</f>
        <v/>
      </c>
    </row>
    <row r="822" spans="4:16" x14ac:dyDescent="0.25">
      <c r="D822" s="36" t="str" cm="1">
        <f t="array" aca="1" ref="D822" ca="1">IFERROR(IF(INDIRECT("'"&amp;F822&amp;"'!$C$5")&gt;0,DATE(YEAR(Dashboard!$AL$2),Dashboard!$AU$4,INDIRECT("'"&amp;F822&amp;"'!$C$5")),""),"")</f>
        <v/>
      </c>
      <c r="G822" s="38" t="str" cm="1">
        <f t="array" aca="1" ref="G822" ca="1">IF(F822="",
    "",
    IFERROR(
        IF(INDIRECT("'"&amp;F822&amp;"'!$B$2")="Credit Limit",
            "Credit Accounts",
            IF(INDIRECT("'"&amp;F822&amp;"'!$E$2")="Location",
                "Cash Accounts",
                IF(INDIRECT("'"&amp;F822&amp;"'!$B$2")="Amount",
                    "Investments",
                    "Bill Accounts"
                )
            )
        ),
    "")
)</f>
        <v/>
      </c>
      <c r="I822" s="46" t="str" cm="1">
        <f t="array" aca="1" ref="I822" ca="1">IF(F822&lt;&gt;"",IF(OR(G822="Bill Accounts",G822="Investments", G822="Cash Accounts"),INDIRECT("'"&amp;F822&amp;"'!$C$10"),INDIRECT("'"&amp;F822&amp;"'!$C$8")),"")</f>
        <v/>
      </c>
      <c r="K822" s="48">
        <f t="shared" si="39"/>
        <v>828</v>
      </c>
      <c r="L822" s="114" t="str" cm="1">
        <f t="array" aca="1" ref="L822" ca="1">IF(F822&lt;&gt;"",INDIRECT("'"&amp;F822&amp;"'!$F$17"),"")</f>
        <v/>
      </c>
      <c r="M822" s="116" t="str">
        <f t="shared" ca="1" si="37"/>
        <v/>
      </c>
      <c r="O822" s="49" t="str">
        <f t="shared" ca="1" si="38"/>
        <v/>
      </c>
      <c r="P822" s="38" t="str">
        <f>IF(E822&lt;&gt;"",RANK(E822,$E$3:$E$2298)+COUNTIF($E$3:E822,E822)-1,"")</f>
        <v/>
      </c>
    </row>
    <row r="823" spans="4:16" x14ac:dyDescent="0.25">
      <c r="D823" s="36" t="str" cm="1">
        <f t="array" aca="1" ref="D823" ca="1">IFERROR(IF(INDIRECT("'"&amp;F823&amp;"'!$C$5")&gt;0,DATE(YEAR(Dashboard!$AL$2),Dashboard!$AU$4,INDIRECT("'"&amp;F823&amp;"'!$C$5")),""),"")</f>
        <v/>
      </c>
      <c r="G823" s="38" t="str" cm="1">
        <f t="array" aca="1" ref="G823" ca="1">IF(F823="",
    "",
    IFERROR(
        IF(INDIRECT("'"&amp;F823&amp;"'!$B$2")="Credit Limit",
            "Credit Accounts",
            IF(INDIRECT("'"&amp;F823&amp;"'!$E$2")="Location",
                "Cash Accounts",
                IF(INDIRECT("'"&amp;F823&amp;"'!$B$2")="Amount",
                    "Investments",
                    "Bill Accounts"
                )
            )
        ),
    "")
)</f>
        <v/>
      </c>
      <c r="I823" s="46" t="str" cm="1">
        <f t="array" aca="1" ref="I823" ca="1">IF(F823&lt;&gt;"",IF(OR(G823="Bill Accounts",G823="Investments", G823="Cash Accounts"),INDIRECT("'"&amp;F823&amp;"'!$C$10"),INDIRECT("'"&amp;F823&amp;"'!$C$8")),"")</f>
        <v/>
      </c>
      <c r="K823" s="48">
        <f t="shared" si="39"/>
        <v>829</v>
      </c>
      <c r="L823" s="114" t="str" cm="1">
        <f t="array" aca="1" ref="L823" ca="1">IF(F823&lt;&gt;"",INDIRECT("'"&amp;F823&amp;"'!$F$17"),"")</f>
        <v/>
      </c>
      <c r="M823" s="116" t="str">
        <f t="shared" ca="1" si="37"/>
        <v/>
      </c>
      <c r="O823" s="49" t="str">
        <f t="shared" ca="1" si="38"/>
        <v/>
      </c>
      <c r="P823" s="38" t="str">
        <f>IF(E823&lt;&gt;"",RANK(E823,$E$3:$E$2298)+COUNTIF($E$3:E823,E823)-1,"")</f>
        <v/>
      </c>
    </row>
    <row r="824" spans="4:16" x14ac:dyDescent="0.25">
      <c r="D824" s="36" t="str" cm="1">
        <f t="array" aca="1" ref="D824" ca="1">IFERROR(IF(INDIRECT("'"&amp;F824&amp;"'!$C$5")&gt;0,DATE(YEAR(Dashboard!$AL$2),Dashboard!$AU$4,INDIRECT("'"&amp;F824&amp;"'!$C$5")),""),"")</f>
        <v/>
      </c>
      <c r="G824" s="38" t="str" cm="1">
        <f t="array" aca="1" ref="G824" ca="1">IF(F824="",
    "",
    IFERROR(
        IF(INDIRECT("'"&amp;F824&amp;"'!$B$2")="Credit Limit",
            "Credit Accounts",
            IF(INDIRECT("'"&amp;F824&amp;"'!$E$2")="Location",
                "Cash Accounts",
                IF(INDIRECT("'"&amp;F824&amp;"'!$B$2")="Amount",
                    "Investments",
                    "Bill Accounts"
                )
            )
        ),
    "")
)</f>
        <v/>
      </c>
      <c r="I824" s="46" t="str" cm="1">
        <f t="array" aca="1" ref="I824" ca="1">IF(F824&lt;&gt;"",IF(OR(G824="Bill Accounts",G824="Investments", G824="Cash Accounts"),INDIRECT("'"&amp;F824&amp;"'!$C$10"),INDIRECT("'"&amp;F824&amp;"'!$C$8")),"")</f>
        <v/>
      </c>
      <c r="K824" s="48">
        <f t="shared" si="39"/>
        <v>830</v>
      </c>
      <c r="L824" s="114" t="str" cm="1">
        <f t="array" aca="1" ref="L824" ca="1">IF(F824&lt;&gt;"",INDIRECT("'"&amp;F824&amp;"'!$F$17"),"")</f>
        <v/>
      </c>
      <c r="M824" s="116" t="str">
        <f t="shared" ca="1" si="37"/>
        <v/>
      </c>
      <c r="O824" s="49" t="str">
        <f t="shared" ca="1" si="38"/>
        <v/>
      </c>
      <c r="P824" s="38" t="str">
        <f>IF(E824&lt;&gt;"",RANK(E824,$E$3:$E$2298)+COUNTIF($E$3:E824,E824)-1,"")</f>
        <v/>
      </c>
    </row>
    <row r="825" spans="4:16" x14ac:dyDescent="0.25">
      <c r="D825" s="36" t="str" cm="1">
        <f t="array" aca="1" ref="D825" ca="1">IFERROR(IF(INDIRECT("'"&amp;F825&amp;"'!$C$5")&gt;0,DATE(YEAR(Dashboard!$AL$2),Dashboard!$AU$4,INDIRECT("'"&amp;F825&amp;"'!$C$5")),""),"")</f>
        <v/>
      </c>
      <c r="G825" s="38" t="str" cm="1">
        <f t="array" aca="1" ref="G825" ca="1">IF(F825="",
    "",
    IFERROR(
        IF(INDIRECT("'"&amp;F825&amp;"'!$B$2")="Credit Limit",
            "Credit Accounts",
            IF(INDIRECT("'"&amp;F825&amp;"'!$E$2")="Location",
                "Cash Accounts",
                IF(INDIRECT("'"&amp;F825&amp;"'!$B$2")="Amount",
                    "Investments",
                    "Bill Accounts"
                )
            )
        ),
    "")
)</f>
        <v/>
      </c>
      <c r="I825" s="46" t="str" cm="1">
        <f t="array" aca="1" ref="I825" ca="1">IF(F825&lt;&gt;"",IF(OR(G825="Bill Accounts",G825="Investments", G825="Cash Accounts"),INDIRECT("'"&amp;F825&amp;"'!$C$10"),INDIRECT("'"&amp;F825&amp;"'!$C$8")),"")</f>
        <v/>
      </c>
      <c r="K825" s="48">
        <f t="shared" si="39"/>
        <v>831</v>
      </c>
      <c r="L825" s="114" t="str" cm="1">
        <f t="array" aca="1" ref="L825" ca="1">IF(F825&lt;&gt;"",INDIRECT("'"&amp;F825&amp;"'!$F$17"),"")</f>
        <v/>
      </c>
      <c r="M825" s="116" t="str">
        <f t="shared" ca="1" si="37"/>
        <v/>
      </c>
      <c r="O825" s="49" t="str">
        <f t="shared" ca="1" si="38"/>
        <v/>
      </c>
      <c r="P825" s="38" t="str">
        <f>IF(E825&lt;&gt;"",RANK(E825,$E$3:$E$2298)+COUNTIF($E$3:E825,E825)-1,"")</f>
        <v/>
      </c>
    </row>
    <row r="826" spans="4:16" x14ac:dyDescent="0.25">
      <c r="D826" s="36" t="str" cm="1">
        <f t="array" aca="1" ref="D826" ca="1">IFERROR(IF(INDIRECT("'"&amp;F826&amp;"'!$C$5")&gt;0,DATE(YEAR(Dashboard!$AL$2),Dashboard!$AU$4,INDIRECT("'"&amp;F826&amp;"'!$C$5")),""),"")</f>
        <v/>
      </c>
      <c r="G826" s="38" t="str" cm="1">
        <f t="array" aca="1" ref="G826" ca="1">IF(F826="",
    "",
    IFERROR(
        IF(INDIRECT("'"&amp;F826&amp;"'!$B$2")="Credit Limit",
            "Credit Accounts",
            IF(INDIRECT("'"&amp;F826&amp;"'!$E$2")="Location",
                "Cash Accounts",
                IF(INDIRECT("'"&amp;F826&amp;"'!$B$2")="Amount",
                    "Investments",
                    "Bill Accounts"
                )
            )
        ),
    "")
)</f>
        <v/>
      </c>
      <c r="I826" s="46" t="str" cm="1">
        <f t="array" aca="1" ref="I826" ca="1">IF(F826&lt;&gt;"",IF(OR(G826="Bill Accounts",G826="Investments", G826="Cash Accounts"),INDIRECT("'"&amp;F826&amp;"'!$C$10"),INDIRECT("'"&amp;F826&amp;"'!$C$8")),"")</f>
        <v/>
      </c>
      <c r="K826" s="48">
        <f t="shared" si="39"/>
        <v>832</v>
      </c>
      <c r="L826" s="114" t="str" cm="1">
        <f t="array" aca="1" ref="L826" ca="1">IF(F826&lt;&gt;"",INDIRECT("'"&amp;F826&amp;"'!$F$17"),"")</f>
        <v/>
      </c>
      <c r="M826" s="116" t="str">
        <f t="shared" ca="1" si="37"/>
        <v/>
      </c>
      <c r="O826" s="49" t="str">
        <f t="shared" ca="1" si="38"/>
        <v/>
      </c>
      <c r="P826" s="38" t="str">
        <f>IF(E826&lt;&gt;"",RANK(E826,$E$3:$E$2298)+COUNTIF($E$3:E826,E826)-1,"")</f>
        <v/>
      </c>
    </row>
    <row r="827" spans="4:16" x14ac:dyDescent="0.25">
      <c r="D827" s="36" t="str" cm="1">
        <f t="array" aca="1" ref="D827" ca="1">IFERROR(IF(INDIRECT("'"&amp;F827&amp;"'!$C$5")&gt;0,DATE(YEAR(Dashboard!$AL$2),Dashboard!$AU$4,INDIRECT("'"&amp;F827&amp;"'!$C$5")),""),"")</f>
        <v/>
      </c>
      <c r="G827" s="38" t="str" cm="1">
        <f t="array" aca="1" ref="G827" ca="1">IF(F827="",
    "",
    IFERROR(
        IF(INDIRECT("'"&amp;F827&amp;"'!$B$2")="Credit Limit",
            "Credit Accounts",
            IF(INDIRECT("'"&amp;F827&amp;"'!$E$2")="Location",
                "Cash Accounts",
                IF(INDIRECT("'"&amp;F827&amp;"'!$B$2")="Amount",
                    "Investments",
                    "Bill Accounts"
                )
            )
        ),
    "")
)</f>
        <v/>
      </c>
      <c r="I827" s="46" t="str" cm="1">
        <f t="array" aca="1" ref="I827" ca="1">IF(F827&lt;&gt;"",IF(OR(G827="Bill Accounts",G827="Investments", G827="Cash Accounts"),INDIRECT("'"&amp;F827&amp;"'!$C$10"),INDIRECT("'"&amp;F827&amp;"'!$C$8")),"")</f>
        <v/>
      </c>
      <c r="K827" s="48">
        <f t="shared" si="39"/>
        <v>833</v>
      </c>
      <c r="L827" s="114" t="str" cm="1">
        <f t="array" aca="1" ref="L827" ca="1">IF(F827&lt;&gt;"",INDIRECT("'"&amp;F827&amp;"'!$F$17"),"")</f>
        <v/>
      </c>
      <c r="M827" s="116" t="str">
        <f t="shared" ca="1" si="37"/>
        <v/>
      </c>
      <c r="O827" s="49" t="str">
        <f t="shared" ca="1" si="38"/>
        <v/>
      </c>
      <c r="P827" s="38" t="str">
        <f>IF(E827&lt;&gt;"",RANK(E827,$E$3:$E$2298)+COUNTIF($E$3:E827,E827)-1,"")</f>
        <v/>
      </c>
    </row>
    <row r="828" spans="4:16" x14ac:dyDescent="0.25">
      <c r="D828" s="36" t="str" cm="1">
        <f t="array" aca="1" ref="D828" ca="1">IFERROR(IF(INDIRECT("'"&amp;F828&amp;"'!$C$5")&gt;0,DATE(YEAR(Dashboard!$AL$2),Dashboard!$AU$4,INDIRECT("'"&amp;F828&amp;"'!$C$5")),""),"")</f>
        <v/>
      </c>
      <c r="G828" s="38" t="str" cm="1">
        <f t="array" aca="1" ref="G828" ca="1">IF(F828="",
    "",
    IFERROR(
        IF(INDIRECT("'"&amp;F828&amp;"'!$B$2")="Credit Limit",
            "Credit Accounts",
            IF(INDIRECT("'"&amp;F828&amp;"'!$E$2")="Location",
                "Cash Accounts",
                IF(INDIRECT("'"&amp;F828&amp;"'!$B$2")="Amount",
                    "Investments",
                    "Bill Accounts"
                )
            )
        ),
    "")
)</f>
        <v/>
      </c>
      <c r="I828" s="46" t="str" cm="1">
        <f t="array" aca="1" ref="I828" ca="1">IF(F828&lt;&gt;"",IF(OR(G828="Bill Accounts",G828="Investments", G828="Cash Accounts"),INDIRECT("'"&amp;F828&amp;"'!$C$10"),INDIRECT("'"&amp;F828&amp;"'!$C$8")),"")</f>
        <v/>
      </c>
      <c r="K828" s="48">
        <f t="shared" si="39"/>
        <v>834</v>
      </c>
      <c r="L828" s="114" t="str" cm="1">
        <f t="array" aca="1" ref="L828" ca="1">IF(F828&lt;&gt;"",INDIRECT("'"&amp;F828&amp;"'!$F$17"),"")</f>
        <v/>
      </c>
      <c r="M828" s="116" t="str">
        <f t="shared" ca="1" si="37"/>
        <v/>
      </c>
      <c r="O828" s="49" t="str">
        <f t="shared" ca="1" si="38"/>
        <v/>
      </c>
      <c r="P828" s="38" t="str">
        <f>IF(E828&lt;&gt;"",RANK(E828,$E$3:$E$2298)+COUNTIF($E$3:E828,E828)-1,"")</f>
        <v/>
      </c>
    </row>
    <row r="829" spans="4:16" x14ac:dyDescent="0.25">
      <c r="D829" s="36" t="str" cm="1">
        <f t="array" aca="1" ref="D829" ca="1">IFERROR(IF(INDIRECT("'"&amp;F829&amp;"'!$C$5")&gt;0,DATE(YEAR(Dashboard!$AL$2),Dashboard!$AU$4,INDIRECT("'"&amp;F829&amp;"'!$C$5")),""),"")</f>
        <v/>
      </c>
      <c r="G829" s="38" t="str" cm="1">
        <f t="array" aca="1" ref="G829" ca="1">IF(F829="",
    "",
    IFERROR(
        IF(INDIRECT("'"&amp;F829&amp;"'!$B$2")="Credit Limit",
            "Credit Accounts",
            IF(INDIRECT("'"&amp;F829&amp;"'!$E$2")="Location",
                "Cash Accounts",
                IF(INDIRECT("'"&amp;F829&amp;"'!$B$2")="Amount",
                    "Investments",
                    "Bill Accounts"
                )
            )
        ),
    "")
)</f>
        <v/>
      </c>
      <c r="I829" s="46" t="str" cm="1">
        <f t="array" aca="1" ref="I829" ca="1">IF(F829&lt;&gt;"",IF(OR(G829="Bill Accounts",G829="Investments", G829="Cash Accounts"),INDIRECT("'"&amp;F829&amp;"'!$C$10"),INDIRECT("'"&amp;F829&amp;"'!$C$8")),"")</f>
        <v/>
      </c>
      <c r="K829" s="48">
        <f t="shared" si="39"/>
        <v>835</v>
      </c>
      <c r="L829" s="114" t="str" cm="1">
        <f t="array" aca="1" ref="L829" ca="1">IF(F829&lt;&gt;"",INDIRECT("'"&amp;F829&amp;"'!$F$17"),"")</f>
        <v/>
      </c>
      <c r="M829" s="116" t="str">
        <f t="shared" ca="1" si="37"/>
        <v/>
      </c>
      <c r="O829" s="49" t="str">
        <f t="shared" ca="1" si="38"/>
        <v/>
      </c>
      <c r="P829" s="38" t="str">
        <f>IF(E829&lt;&gt;"",RANK(E829,$E$3:$E$2298)+COUNTIF($E$3:E829,E829)-1,"")</f>
        <v/>
      </c>
    </row>
    <row r="830" spans="4:16" x14ac:dyDescent="0.25">
      <c r="D830" s="36" t="str" cm="1">
        <f t="array" aca="1" ref="D830" ca="1">IFERROR(IF(INDIRECT("'"&amp;F830&amp;"'!$C$5")&gt;0,DATE(YEAR(Dashboard!$AL$2),Dashboard!$AU$4,INDIRECT("'"&amp;F830&amp;"'!$C$5")),""),"")</f>
        <v/>
      </c>
      <c r="G830" s="38" t="str" cm="1">
        <f t="array" aca="1" ref="G830" ca="1">IF(F830="",
    "",
    IFERROR(
        IF(INDIRECT("'"&amp;F830&amp;"'!$B$2")="Credit Limit",
            "Credit Accounts",
            IF(INDIRECT("'"&amp;F830&amp;"'!$E$2")="Location",
                "Cash Accounts",
                IF(INDIRECT("'"&amp;F830&amp;"'!$B$2")="Amount",
                    "Investments",
                    "Bill Accounts"
                )
            )
        ),
    "")
)</f>
        <v/>
      </c>
      <c r="I830" s="46" t="str" cm="1">
        <f t="array" aca="1" ref="I830" ca="1">IF(F830&lt;&gt;"",IF(OR(G830="Bill Accounts",G830="Investments", G830="Cash Accounts"),INDIRECT("'"&amp;F830&amp;"'!$C$10"),INDIRECT("'"&amp;F830&amp;"'!$C$8")),"")</f>
        <v/>
      </c>
      <c r="K830" s="48">
        <f t="shared" si="39"/>
        <v>836</v>
      </c>
      <c r="L830" s="114" t="str" cm="1">
        <f t="array" aca="1" ref="L830" ca="1">IF(F830&lt;&gt;"",INDIRECT("'"&amp;F830&amp;"'!$F$17"),"")</f>
        <v/>
      </c>
      <c r="M830" s="116" t="str">
        <f t="shared" ca="1" si="37"/>
        <v/>
      </c>
      <c r="O830" s="49" t="str">
        <f t="shared" ca="1" si="38"/>
        <v/>
      </c>
      <c r="P830" s="38" t="str">
        <f>IF(E830&lt;&gt;"",RANK(E830,$E$3:$E$2298)+COUNTIF($E$3:E830,E830)-1,"")</f>
        <v/>
      </c>
    </row>
    <row r="831" spans="4:16" x14ac:dyDescent="0.25">
      <c r="D831" s="36" t="str" cm="1">
        <f t="array" aca="1" ref="D831" ca="1">IFERROR(IF(INDIRECT("'"&amp;F831&amp;"'!$C$5")&gt;0,DATE(YEAR(Dashboard!$AL$2),Dashboard!$AU$4,INDIRECT("'"&amp;F831&amp;"'!$C$5")),""),"")</f>
        <v/>
      </c>
      <c r="G831" s="38" t="str" cm="1">
        <f t="array" aca="1" ref="G831" ca="1">IF(F831="",
    "",
    IFERROR(
        IF(INDIRECT("'"&amp;F831&amp;"'!$B$2")="Credit Limit",
            "Credit Accounts",
            IF(INDIRECT("'"&amp;F831&amp;"'!$E$2")="Location",
                "Cash Accounts",
                IF(INDIRECT("'"&amp;F831&amp;"'!$B$2")="Amount",
                    "Investments",
                    "Bill Accounts"
                )
            )
        ),
    "")
)</f>
        <v/>
      </c>
      <c r="I831" s="46" t="str" cm="1">
        <f t="array" aca="1" ref="I831" ca="1">IF(F831&lt;&gt;"",IF(OR(G831="Bill Accounts",G831="Investments", G831="Cash Accounts"),INDIRECT("'"&amp;F831&amp;"'!$C$10"),INDIRECT("'"&amp;F831&amp;"'!$C$8")),"")</f>
        <v/>
      </c>
      <c r="K831" s="48">
        <f t="shared" si="39"/>
        <v>837</v>
      </c>
      <c r="L831" s="114" t="str" cm="1">
        <f t="array" aca="1" ref="L831" ca="1">IF(F831&lt;&gt;"",INDIRECT("'"&amp;F831&amp;"'!$F$17"),"")</f>
        <v/>
      </c>
      <c r="M831" s="116" t="str">
        <f t="shared" ca="1" si="37"/>
        <v/>
      </c>
      <c r="O831" s="49" t="str">
        <f t="shared" ca="1" si="38"/>
        <v/>
      </c>
      <c r="P831" s="38" t="str">
        <f>IF(E831&lt;&gt;"",RANK(E831,$E$3:$E$2298)+COUNTIF($E$3:E831,E831)-1,"")</f>
        <v/>
      </c>
    </row>
    <row r="832" spans="4:16" x14ac:dyDescent="0.25">
      <c r="D832" s="36" t="str" cm="1">
        <f t="array" aca="1" ref="D832" ca="1">IFERROR(IF(INDIRECT("'"&amp;F832&amp;"'!$C$5")&gt;0,DATE(YEAR(Dashboard!$AL$2),Dashboard!$AU$4,INDIRECT("'"&amp;F832&amp;"'!$C$5")),""),"")</f>
        <v/>
      </c>
      <c r="G832" s="38" t="str" cm="1">
        <f t="array" aca="1" ref="G832" ca="1">IF(F832="",
    "",
    IFERROR(
        IF(INDIRECT("'"&amp;F832&amp;"'!$B$2")="Credit Limit",
            "Credit Accounts",
            IF(INDIRECT("'"&amp;F832&amp;"'!$E$2")="Location",
                "Cash Accounts",
                IF(INDIRECT("'"&amp;F832&amp;"'!$B$2")="Amount",
                    "Investments",
                    "Bill Accounts"
                )
            )
        ),
    "")
)</f>
        <v/>
      </c>
      <c r="I832" s="46" t="str" cm="1">
        <f t="array" aca="1" ref="I832" ca="1">IF(F832&lt;&gt;"",IF(OR(G832="Bill Accounts",G832="Investments", G832="Cash Accounts"),INDIRECT("'"&amp;F832&amp;"'!$C$10"),INDIRECT("'"&amp;F832&amp;"'!$C$8")),"")</f>
        <v/>
      </c>
      <c r="K832" s="48">
        <f t="shared" si="39"/>
        <v>838</v>
      </c>
      <c r="L832" s="114" t="str" cm="1">
        <f t="array" aca="1" ref="L832" ca="1">IF(F832&lt;&gt;"",INDIRECT("'"&amp;F832&amp;"'!$F$17"),"")</f>
        <v/>
      </c>
      <c r="M832" s="116" t="str">
        <f t="shared" ca="1" si="37"/>
        <v/>
      </c>
      <c r="O832" s="49" t="str">
        <f t="shared" ca="1" si="38"/>
        <v/>
      </c>
      <c r="P832" s="38" t="str">
        <f>IF(E832&lt;&gt;"",RANK(E832,$E$3:$E$2298)+COUNTIF($E$3:E832,E832)-1,"")</f>
        <v/>
      </c>
    </row>
    <row r="833" spans="4:16" x14ac:dyDescent="0.25">
      <c r="D833" s="36" t="str" cm="1">
        <f t="array" aca="1" ref="D833" ca="1">IFERROR(IF(INDIRECT("'"&amp;F833&amp;"'!$C$5")&gt;0,DATE(YEAR(Dashboard!$AL$2),Dashboard!$AU$4,INDIRECT("'"&amp;F833&amp;"'!$C$5")),""),"")</f>
        <v/>
      </c>
      <c r="G833" s="38" t="str" cm="1">
        <f t="array" aca="1" ref="G833" ca="1">IF(F833="",
    "",
    IFERROR(
        IF(INDIRECT("'"&amp;F833&amp;"'!$B$2")="Credit Limit",
            "Credit Accounts",
            IF(INDIRECT("'"&amp;F833&amp;"'!$E$2")="Location",
                "Cash Accounts",
                IF(INDIRECT("'"&amp;F833&amp;"'!$B$2")="Amount",
                    "Investments",
                    "Bill Accounts"
                )
            )
        ),
    "")
)</f>
        <v/>
      </c>
      <c r="I833" s="46" t="str" cm="1">
        <f t="array" aca="1" ref="I833" ca="1">IF(F833&lt;&gt;"",IF(OR(G833="Bill Accounts",G833="Investments", G833="Cash Accounts"),INDIRECT("'"&amp;F833&amp;"'!$C$10"),INDIRECT("'"&amp;F833&amp;"'!$C$8")),"")</f>
        <v/>
      </c>
      <c r="K833" s="48">
        <f t="shared" si="39"/>
        <v>839</v>
      </c>
      <c r="L833" s="114" t="str" cm="1">
        <f t="array" aca="1" ref="L833" ca="1">IF(F833&lt;&gt;"",INDIRECT("'"&amp;F833&amp;"'!$F$17"),"")</f>
        <v/>
      </c>
      <c r="M833" s="116" t="str">
        <f t="shared" ca="1" si="37"/>
        <v/>
      </c>
      <c r="O833" s="49" t="str">
        <f t="shared" ca="1" si="38"/>
        <v/>
      </c>
      <c r="P833" s="38" t="str">
        <f>IF(E833&lt;&gt;"",RANK(E833,$E$3:$E$2298)+COUNTIF($E$3:E833,E833)-1,"")</f>
        <v/>
      </c>
    </row>
    <row r="834" spans="4:16" x14ac:dyDescent="0.25">
      <c r="D834" s="36" t="str" cm="1">
        <f t="array" aca="1" ref="D834" ca="1">IFERROR(IF(INDIRECT("'"&amp;F834&amp;"'!$C$5")&gt;0,DATE(YEAR(Dashboard!$AL$2),Dashboard!$AU$4,INDIRECT("'"&amp;F834&amp;"'!$C$5")),""),"")</f>
        <v/>
      </c>
      <c r="G834" s="38" t="str" cm="1">
        <f t="array" aca="1" ref="G834" ca="1">IF(F834="",
    "",
    IFERROR(
        IF(INDIRECT("'"&amp;F834&amp;"'!$B$2")="Credit Limit",
            "Credit Accounts",
            IF(INDIRECT("'"&amp;F834&amp;"'!$E$2")="Location",
                "Cash Accounts",
                IF(INDIRECT("'"&amp;F834&amp;"'!$B$2")="Amount",
                    "Investments",
                    "Bill Accounts"
                )
            )
        ),
    "")
)</f>
        <v/>
      </c>
      <c r="I834" s="46" t="str" cm="1">
        <f t="array" aca="1" ref="I834" ca="1">IF(F834&lt;&gt;"",IF(OR(G834="Bill Accounts",G834="Investments", G834="Cash Accounts"),INDIRECT("'"&amp;F834&amp;"'!$C$10"),INDIRECT("'"&amp;F834&amp;"'!$C$8")),"")</f>
        <v/>
      </c>
      <c r="K834" s="48">
        <f t="shared" si="39"/>
        <v>840</v>
      </c>
      <c r="L834" s="114" t="str" cm="1">
        <f t="array" aca="1" ref="L834" ca="1">IF(F834&lt;&gt;"",INDIRECT("'"&amp;F834&amp;"'!$F$17"),"")</f>
        <v/>
      </c>
      <c r="M834" s="116" t="str">
        <f t="shared" ca="1" si="37"/>
        <v/>
      </c>
      <c r="O834" s="49" t="str">
        <f t="shared" ca="1" si="38"/>
        <v/>
      </c>
      <c r="P834" s="38" t="str">
        <f>IF(E834&lt;&gt;"",RANK(E834,$E$3:$E$2298)+COUNTIF($E$3:E834,E834)-1,"")</f>
        <v/>
      </c>
    </row>
    <row r="835" spans="4:16" x14ac:dyDescent="0.25">
      <c r="D835" s="36" t="str" cm="1">
        <f t="array" aca="1" ref="D835" ca="1">IFERROR(IF(INDIRECT("'"&amp;F835&amp;"'!$C$5")&gt;0,DATE(YEAR(Dashboard!$AL$2),Dashboard!$AU$4,INDIRECT("'"&amp;F835&amp;"'!$C$5")),""),"")</f>
        <v/>
      </c>
      <c r="G835" s="38" t="str" cm="1">
        <f t="array" aca="1" ref="G835" ca="1">IF(F835="",
    "",
    IFERROR(
        IF(INDIRECT("'"&amp;F835&amp;"'!$B$2")="Credit Limit",
            "Credit Accounts",
            IF(INDIRECT("'"&amp;F835&amp;"'!$E$2")="Location",
                "Cash Accounts",
                IF(INDIRECT("'"&amp;F835&amp;"'!$B$2")="Amount",
                    "Investments",
                    "Bill Accounts"
                )
            )
        ),
    "")
)</f>
        <v/>
      </c>
      <c r="I835" s="46" t="str" cm="1">
        <f t="array" aca="1" ref="I835" ca="1">IF(F835&lt;&gt;"",IF(OR(G835="Bill Accounts",G835="Investments", G835="Cash Accounts"),INDIRECT("'"&amp;F835&amp;"'!$C$10"),INDIRECT("'"&amp;F835&amp;"'!$C$8")),"")</f>
        <v/>
      </c>
      <c r="K835" s="48">
        <f t="shared" si="39"/>
        <v>841</v>
      </c>
      <c r="L835" s="114" t="str" cm="1">
        <f t="array" aca="1" ref="L835" ca="1">IF(F835&lt;&gt;"",INDIRECT("'"&amp;F835&amp;"'!$F$17"),"")</f>
        <v/>
      </c>
      <c r="M835" s="116" t="str">
        <f t="shared" ca="1" si="37"/>
        <v/>
      </c>
      <c r="O835" s="49" t="str">
        <f t="shared" ca="1" si="38"/>
        <v/>
      </c>
      <c r="P835" s="38" t="str">
        <f>IF(E835&lt;&gt;"",RANK(E835,$E$3:$E$2298)+COUNTIF($E$3:E835,E835)-1,"")</f>
        <v/>
      </c>
    </row>
    <row r="836" spans="4:16" x14ac:dyDescent="0.25">
      <c r="D836" s="36" t="str" cm="1">
        <f t="array" aca="1" ref="D836" ca="1">IFERROR(IF(INDIRECT("'"&amp;F836&amp;"'!$C$5")&gt;0,DATE(YEAR(Dashboard!$AL$2),Dashboard!$AU$4,INDIRECT("'"&amp;F836&amp;"'!$C$5")),""),"")</f>
        <v/>
      </c>
      <c r="G836" s="38" t="str" cm="1">
        <f t="array" aca="1" ref="G836" ca="1">IF(F836="",
    "",
    IFERROR(
        IF(INDIRECT("'"&amp;F836&amp;"'!$B$2")="Credit Limit",
            "Credit Accounts",
            IF(INDIRECT("'"&amp;F836&amp;"'!$E$2")="Location",
                "Cash Accounts",
                IF(INDIRECT("'"&amp;F836&amp;"'!$B$2")="Amount",
                    "Investments",
                    "Bill Accounts"
                )
            )
        ),
    "")
)</f>
        <v/>
      </c>
      <c r="I836" s="46" t="str" cm="1">
        <f t="array" aca="1" ref="I836" ca="1">IF(F836&lt;&gt;"",IF(OR(G836="Bill Accounts",G836="Investments", G836="Cash Accounts"),INDIRECT("'"&amp;F836&amp;"'!$C$10"),INDIRECT("'"&amp;F836&amp;"'!$C$8")),"")</f>
        <v/>
      </c>
      <c r="K836" s="48">
        <f t="shared" si="39"/>
        <v>842</v>
      </c>
      <c r="L836" s="114" t="str" cm="1">
        <f t="array" aca="1" ref="L836" ca="1">IF(F836&lt;&gt;"",INDIRECT("'"&amp;F836&amp;"'!$F$17"),"")</f>
        <v/>
      </c>
      <c r="M836" s="116" t="str">
        <f t="shared" ref="M836:M899" ca="1" si="40">IF(G836="Credit Accounts",EDATE(TODAY(),INDIRECT("'"&amp;F836&amp;"'!$C$14")),"")</f>
        <v/>
      </c>
      <c r="O836" s="49" t="str">
        <f t="shared" ref="O836:O899" ca="1" si="41">IF(D836&lt;&gt;"",DAY(D836),"")</f>
        <v/>
      </c>
      <c r="P836" s="38" t="str">
        <f>IF(E836&lt;&gt;"",RANK(E836,$E$3:$E$2298)+COUNTIF($E$3:E836,E836)-1,"")</f>
        <v/>
      </c>
    </row>
    <row r="837" spans="4:16" x14ac:dyDescent="0.25">
      <c r="D837" s="36" t="str" cm="1">
        <f t="array" aca="1" ref="D837" ca="1">IFERROR(IF(INDIRECT("'"&amp;F837&amp;"'!$C$5")&gt;0,DATE(YEAR(Dashboard!$AL$2),Dashboard!$AU$4,INDIRECT("'"&amp;F837&amp;"'!$C$5")),""),"")</f>
        <v/>
      </c>
      <c r="G837" s="38" t="str" cm="1">
        <f t="array" aca="1" ref="G837" ca="1">IF(F837="",
    "",
    IFERROR(
        IF(INDIRECT("'"&amp;F837&amp;"'!$B$2")="Credit Limit",
            "Credit Accounts",
            IF(INDIRECT("'"&amp;F837&amp;"'!$E$2")="Location",
                "Cash Accounts",
                IF(INDIRECT("'"&amp;F837&amp;"'!$B$2")="Amount",
                    "Investments",
                    "Bill Accounts"
                )
            )
        ),
    "")
)</f>
        <v/>
      </c>
      <c r="I837" s="46" t="str" cm="1">
        <f t="array" aca="1" ref="I837" ca="1">IF(F837&lt;&gt;"",IF(OR(G837="Bill Accounts",G837="Investments", G837="Cash Accounts"),INDIRECT("'"&amp;F837&amp;"'!$C$10"),INDIRECT("'"&amp;F837&amp;"'!$C$8")),"")</f>
        <v/>
      </c>
      <c r="K837" s="48">
        <f t="shared" si="39"/>
        <v>843</v>
      </c>
      <c r="L837" s="114" t="str" cm="1">
        <f t="array" aca="1" ref="L837" ca="1">IF(F837&lt;&gt;"",INDIRECT("'"&amp;F837&amp;"'!$F$17"),"")</f>
        <v/>
      </c>
      <c r="M837" s="116" t="str">
        <f t="shared" ca="1" si="40"/>
        <v/>
      </c>
      <c r="O837" s="49" t="str">
        <f t="shared" ca="1" si="41"/>
        <v/>
      </c>
      <c r="P837" s="38" t="str">
        <f>IF(E837&lt;&gt;"",RANK(E837,$E$3:$E$2298)+COUNTIF($E$3:E837,E837)-1,"")</f>
        <v/>
      </c>
    </row>
    <row r="838" spans="4:16" x14ac:dyDescent="0.25">
      <c r="D838" s="36" t="str" cm="1">
        <f t="array" aca="1" ref="D838" ca="1">IFERROR(IF(INDIRECT("'"&amp;F838&amp;"'!$C$5")&gt;0,DATE(YEAR(Dashboard!$AL$2),Dashboard!$AU$4,INDIRECT("'"&amp;F838&amp;"'!$C$5")),""),"")</f>
        <v/>
      </c>
      <c r="G838" s="38" t="str" cm="1">
        <f t="array" aca="1" ref="G838" ca="1">IF(F838="",
    "",
    IFERROR(
        IF(INDIRECT("'"&amp;F838&amp;"'!$B$2")="Credit Limit",
            "Credit Accounts",
            IF(INDIRECT("'"&amp;F838&amp;"'!$E$2")="Location",
                "Cash Accounts",
                IF(INDIRECT("'"&amp;F838&amp;"'!$B$2")="Amount",
                    "Investments",
                    "Bill Accounts"
                )
            )
        ),
    "")
)</f>
        <v/>
      </c>
      <c r="I838" s="46" t="str" cm="1">
        <f t="array" aca="1" ref="I838" ca="1">IF(F838&lt;&gt;"",IF(OR(G838="Bill Accounts",G838="Investments", G838="Cash Accounts"),INDIRECT("'"&amp;F838&amp;"'!$C$10"),INDIRECT("'"&amp;F838&amp;"'!$C$8")),"")</f>
        <v/>
      </c>
      <c r="K838" s="48">
        <f t="shared" si="39"/>
        <v>844</v>
      </c>
      <c r="L838" s="114" t="str" cm="1">
        <f t="array" aca="1" ref="L838" ca="1">IF(F838&lt;&gt;"",INDIRECT("'"&amp;F838&amp;"'!$F$17"),"")</f>
        <v/>
      </c>
      <c r="M838" s="116" t="str">
        <f t="shared" ca="1" si="40"/>
        <v/>
      </c>
      <c r="O838" s="49" t="str">
        <f t="shared" ca="1" si="41"/>
        <v/>
      </c>
      <c r="P838" s="38" t="str">
        <f>IF(E838&lt;&gt;"",RANK(E838,$E$3:$E$2298)+COUNTIF($E$3:E838,E838)-1,"")</f>
        <v/>
      </c>
    </row>
    <row r="839" spans="4:16" x14ac:dyDescent="0.25">
      <c r="D839" s="36" t="str" cm="1">
        <f t="array" aca="1" ref="D839" ca="1">IFERROR(IF(INDIRECT("'"&amp;F839&amp;"'!$C$5")&gt;0,DATE(YEAR(Dashboard!$AL$2),Dashboard!$AU$4,INDIRECT("'"&amp;F839&amp;"'!$C$5")),""),"")</f>
        <v/>
      </c>
      <c r="G839" s="38" t="str" cm="1">
        <f t="array" aca="1" ref="G839" ca="1">IF(F839="",
    "",
    IFERROR(
        IF(INDIRECT("'"&amp;F839&amp;"'!$B$2")="Credit Limit",
            "Credit Accounts",
            IF(INDIRECT("'"&amp;F839&amp;"'!$E$2")="Location",
                "Cash Accounts",
                IF(INDIRECT("'"&amp;F839&amp;"'!$B$2")="Amount",
                    "Investments",
                    "Bill Accounts"
                )
            )
        ),
    "")
)</f>
        <v/>
      </c>
      <c r="I839" s="46" t="str" cm="1">
        <f t="array" aca="1" ref="I839" ca="1">IF(F839&lt;&gt;"",IF(OR(G839="Bill Accounts",G839="Investments", G839="Cash Accounts"),INDIRECT("'"&amp;F839&amp;"'!$C$10"),INDIRECT("'"&amp;F839&amp;"'!$C$8")),"")</f>
        <v/>
      </c>
      <c r="K839" s="48">
        <f t="shared" si="39"/>
        <v>845</v>
      </c>
      <c r="L839" s="114" t="str" cm="1">
        <f t="array" aca="1" ref="L839" ca="1">IF(F839&lt;&gt;"",INDIRECT("'"&amp;F839&amp;"'!$F$17"),"")</f>
        <v/>
      </c>
      <c r="M839" s="116" t="str">
        <f t="shared" ca="1" si="40"/>
        <v/>
      </c>
      <c r="O839" s="49" t="str">
        <f t="shared" ca="1" si="41"/>
        <v/>
      </c>
      <c r="P839" s="38" t="str">
        <f>IF(E839&lt;&gt;"",RANK(E839,$E$3:$E$2298)+COUNTIF($E$3:E839,E839)-1,"")</f>
        <v/>
      </c>
    </row>
    <row r="840" spans="4:16" x14ac:dyDescent="0.25">
      <c r="D840" s="36" t="str" cm="1">
        <f t="array" aca="1" ref="D840" ca="1">IFERROR(IF(INDIRECT("'"&amp;F840&amp;"'!$C$5")&gt;0,DATE(YEAR(Dashboard!$AL$2),Dashboard!$AU$4,INDIRECT("'"&amp;F840&amp;"'!$C$5")),""),"")</f>
        <v/>
      </c>
      <c r="G840" s="38" t="str" cm="1">
        <f t="array" aca="1" ref="G840" ca="1">IF(F840="",
    "",
    IFERROR(
        IF(INDIRECT("'"&amp;F840&amp;"'!$B$2")="Credit Limit",
            "Credit Accounts",
            IF(INDIRECT("'"&amp;F840&amp;"'!$E$2")="Location",
                "Cash Accounts",
                IF(INDIRECT("'"&amp;F840&amp;"'!$B$2")="Amount",
                    "Investments",
                    "Bill Accounts"
                )
            )
        ),
    "")
)</f>
        <v/>
      </c>
      <c r="I840" s="46" t="str" cm="1">
        <f t="array" aca="1" ref="I840" ca="1">IF(F840&lt;&gt;"",IF(OR(G840="Bill Accounts",G840="Investments", G840="Cash Accounts"),INDIRECT("'"&amp;F840&amp;"'!$C$10"),INDIRECT("'"&amp;F840&amp;"'!$C$8")),"")</f>
        <v/>
      </c>
      <c r="K840" s="48">
        <f t="shared" ref="K840:K903" si="42">SUM(K839+1)</f>
        <v>846</v>
      </c>
      <c r="L840" s="114" t="str" cm="1">
        <f t="array" aca="1" ref="L840" ca="1">IF(F840&lt;&gt;"",INDIRECT("'"&amp;F840&amp;"'!$F$17"),"")</f>
        <v/>
      </c>
      <c r="M840" s="116" t="str">
        <f t="shared" ca="1" si="40"/>
        <v/>
      </c>
      <c r="O840" s="49" t="str">
        <f t="shared" ca="1" si="41"/>
        <v/>
      </c>
      <c r="P840" s="38" t="str">
        <f>IF(E840&lt;&gt;"",RANK(E840,$E$3:$E$2298)+COUNTIF($E$3:E840,E840)-1,"")</f>
        <v/>
      </c>
    </row>
    <row r="841" spans="4:16" x14ac:dyDescent="0.25">
      <c r="D841" s="36" t="str" cm="1">
        <f t="array" aca="1" ref="D841" ca="1">IFERROR(IF(INDIRECT("'"&amp;F841&amp;"'!$C$5")&gt;0,DATE(YEAR(Dashboard!$AL$2),Dashboard!$AU$4,INDIRECT("'"&amp;F841&amp;"'!$C$5")),""),"")</f>
        <v/>
      </c>
      <c r="G841" s="38" t="str" cm="1">
        <f t="array" aca="1" ref="G841" ca="1">IF(F841="",
    "",
    IFERROR(
        IF(INDIRECT("'"&amp;F841&amp;"'!$B$2")="Credit Limit",
            "Credit Accounts",
            IF(INDIRECT("'"&amp;F841&amp;"'!$E$2")="Location",
                "Cash Accounts",
                IF(INDIRECT("'"&amp;F841&amp;"'!$B$2")="Amount",
                    "Investments",
                    "Bill Accounts"
                )
            )
        ),
    "")
)</f>
        <v/>
      </c>
      <c r="I841" s="46" t="str" cm="1">
        <f t="array" aca="1" ref="I841" ca="1">IF(F841&lt;&gt;"",IF(OR(G841="Bill Accounts",G841="Investments", G841="Cash Accounts"),INDIRECT("'"&amp;F841&amp;"'!$C$10"),INDIRECT("'"&amp;F841&amp;"'!$C$8")),"")</f>
        <v/>
      </c>
      <c r="K841" s="48">
        <f t="shared" si="42"/>
        <v>847</v>
      </c>
      <c r="L841" s="114" t="str" cm="1">
        <f t="array" aca="1" ref="L841" ca="1">IF(F841&lt;&gt;"",INDIRECT("'"&amp;F841&amp;"'!$F$17"),"")</f>
        <v/>
      </c>
      <c r="M841" s="116" t="str">
        <f t="shared" ca="1" si="40"/>
        <v/>
      </c>
      <c r="O841" s="49" t="str">
        <f t="shared" ca="1" si="41"/>
        <v/>
      </c>
      <c r="P841" s="38" t="str">
        <f>IF(E841&lt;&gt;"",RANK(E841,$E$3:$E$2298)+COUNTIF($E$3:E841,E841)-1,"")</f>
        <v/>
      </c>
    </row>
    <row r="842" spans="4:16" x14ac:dyDescent="0.25">
      <c r="D842" s="36" t="str" cm="1">
        <f t="array" aca="1" ref="D842" ca="1">IFERROR(IF(INDIRECT("'"&amp;F842&amp;"'!$C$5")&gt;0,DATE(YEAR(Dashboard!$AL$2),Dashboard!$AU$4,INDIRECT("'"&amp;F842&amp;"'!$C$5")),""),"")</f>
        <v/>
      </c>
      <c r="G842" s="38" t="str" cm="1">
        <f t="array" aca="1" ref="G842" ca="1">IF(F842="",
    "",
    IFERROR(
        IF(INDIRECT("'"&amp;F842&amp;"'!$B$2")="Credit Limit",
            "Credit Accounts",
            IF(INDIRECT("'"&amp;F842&amp;"'!$E$2")="Location",
                "Cash Accounts",
                IF(INDIRECT("'"&amp;F842&amp;"'!$B$2")="Amount",
                    "Investments",
                    "Bill Accounts"
                )
            )
        ),
    "")
)</f>
        <v/>
      </c>
      <c r="I842" s="46" t="str" cm="1">
        <f t="array" aca="1" ref="I842" ca="1">IF(F842&lt;&gt;"",IF(OR(G842="Bill Accounts",G842="Investments", G842="Cash Accounts"),INDIRECT("'"&amp;F842&amp;"'!$C$10"),INDIRECT("'"&amp;F842&amp;"'!$C$8")),"")</f>
        <v/>
      </c>
      <c r="K842" s="48">
        <f t="shared" si="42"/>
        <v>848</v>
      </c>
      <c r="L842" s="114" t="str" cm="1">
        <f t="array" aca="1" ref="L842" ca="1">IF(F842&lt;&gt;"",INDIRECT("'"&amp;F842&amp;"'!$F$17"),"")</f>
        <v/>
      </c>
      <c r="M842" s="116" t="str">
        <f t="shared" ca="1" si="40"/>
        <v/>
      </c>
      <c r="O842" s="49" t="str">
        <f t="shared" ca="1" si="41"/>
        <v/>
      </c>
      <c r="P842" s="38" t="str">
        <f>IF(E842&lt;&gt;"",RANK(E842,$E$3:$E$2298)+COUNTIF($E$3:E842,E842)-1,"")</f>
        <v/>
      </c>
    </row>
    <row r="843" spans="4:16" x14ac:dyDescent="0.25">
      <c r="D843" s="36" t="str" cm="1">
        <f t="array" aca="1" ref="D843" ca="1">IFERROR(IF(INDIRECT("'"&amp;F843&amp;"'!$C$5")&gt;0,DATE(YEAR(Dashboard!$AL$2),Dashboard!$AU$4,INDIRECT("'"&amp;F843&amp;"'!$C$5")),""),"")</f>
        <v/>
      </c>
      <c r="G843" s="38" t="str" cm="1">
        <f t="array" aca="1" ref="G843" ca="1">IF(F843="",
    "",
    IFERROR(
        IF(INDIRECT("'"&amp;F843&amp;"'!$B$2")="Credit Limit",
            "Credit Accounts",
            IF(INDIRECT("'"&amp;F843&amp;"'!$E$2")="Location",
                "Cash Accounts",
                IF(INDIRECT("'"&amp;F843&amp;"'!$B$2")="Amount",
                    "Investments",
                    "Bill Accounts"
                )
            )
        ),
    "")
)</f>
        <v/>
      </c>
      <c r="I843" s="46" t="str" cm="1">
        <f t="array" aca="1" ref="I843" ca="1">IF(F843&lt;&gt;"",IF(OR(G843="Bill Accounts",G843="Investments", G843="Cash Accounts"),INDIRECT("'"&amp;F843&amp;"'!$C$10"),INDIRECT("'"&amp;F843&amp;"'!$C$8")),"")</f>
        <v/>
      </c>
      <c r="K843" s="48">
        <f t="shared" si="42"/>
        <v>849</v>
      </c>
      <c r="L843" s="114" t="str" cm="1">
        <f t="array" aca="1" ref="L843" ca="1">IF(F843&lt;&gt;"",INDIRECT("'"&amp;F843&amp;"'!$F$17"),"")</f>
        <v/>
      </c>
      <c r="M843" s="116" t="str">
        <f t="shared" ca="1" si="40"/>
        <v/>
      </c>
      <c r="O843" s="49" t="str">
        <f t="shared" ca="1" si="41"/>
        <v/>
      </c>
      <c r="P843" s="38" t="str">
        <f>IF(E843&lt;&gt;"",RANK(E843,$E$3:$E$2298)+COUNTIF($E$3:E843,E843)-1,"")</f>
        <v/>
      </c>
    </row>
    <row r="844" spans="4:16" x14ac:dyDescent="0.25">
      <c r="D844" s="36" t="str" cm="1">
        <f t="array" aca="1" ref="D844" ca="1">IFERROR(IF(INDIRECT("'"&amp;F844&amp;"'!$C$5")&gt;0,DATE(YEAR(Dashboard!$AL$2),Dashboard!$AU$4,INDIRECT("'"&amp;F844&amp;"'!$C$5")),""),"")</f>
        <v/>
      </c>
      <c r="G844" s="38" t="str" cm="1">
        <f t="array" aca="1" ref="G844" ca="1">IF(F844="",
    "",
    IFERROR(
        IF(INDIRECT("'"&amp;F844&amp;"'!$B$2")="Credit Limit",
            "Credit Accounts",
            IF(INDIRECT("'"&amp;F844&amp;"'!$E$2")="Location",
                "Cash Accounts",
                IF(INDIRECT("'"&amp;F844&amp;"'!$B$2")="Amount",
                    "Investments",
                    "Bill Accounts"
                )
            )
        ),
    "")
)</f>
        <v/>
      </c>
      <c r="I844" s="46" t="str" cm="1">
        <f t="array" aca="1" ref="I844" ca="1">IF(F844&lt;&gt;"",IF(OR(G844="Bill Accounts",G844="Investments", G844="Cash Accounts"),INDIRECT("'"&amp;F844&amp;"'!$C$10"),INDIRECT("'"&amp;F844&amp;"'!$C$8")),"")</f>
        <v/>
      </c>
      <c r="K844" s="48">
        <f t="shared" si="42"/>
        <v>850</v>
      </c>
      <c r="L844" s="114" t="str" cm="1">
        <f t="array" aca="1" ref="L844" ca="1">IF(F844&lt;&gt;"",INDIRECT("'"&amp;F844&amp;"'!$F$17"),"")</f>
        <v/>
      </c>
      <c r="M844" s="116" t="str">
        <f t="shared" ca="1" si="40"/>
        <v/>
      </c>
      <c r="O844" s="49" t="str">
        <f t="shared" ca="1" si="41"/>
        <v/>
      </c>
      <c r="P844" s="38" t="str">
        <f>IF(E844&lt;&gt;"",RANK(E844,$E$3:$E$2298)+COUNTIF($E$3:E844,E844)-1,"")</f>
        <v/>
      </c>
    </row>
    <row r="845" spans="4:16" x14ac:dyDescent="0.25">
      <c r="D845" s="36" t="str" cm="1">
        <f t="array" aca="1" ref="D845" ca="1">IFERROR(IF(INDIRECT("'"&amp;F845&amp;"'!$C$5")&gt;0,DATE(YEAR(Dashboard!$AL$2),Dashboard!$AU$4,INDIRECT("'"&amp;F845&amp;"'!$C$5")),""),"")</f>
        <v/>
      </c>
      <c r="G845" s="38" t="str" cm="1">
        <f t="array" aca="1" ref="G845" ca="1">IF(F845="",
    "",
    IFERROR(
        IF(INDIRECT("'"&amp;F845&amp;"'!$B$2")="Credit Limit",
            "Credit Accounts",
            IF(INDIRECT("'"&amp;F845&amp;"'!$E$2")="Location",
                "Cash Accounts",
                IF(INDIRECT("'"&amp;F845&amp;"'!$B$2")="Amount",
                    "Investments",
                    "Bill Accounts"
                )
            )
        ),
    "")
)</f>
        <v/>
      </c>
      <c r="I845" s="46" t="str" cm="1">
        <f t="array" aca="1" ref="I845" ca="1">IF(F845&lt;&gt;"",IF(OR(G845="Bill Accounts",G845="Investments", G845="Cash Accounts"),INDIRECT("'"&amp;F845&amp;"'!$C$10"),INDIRECT("'"&amp;F845&amp;"'!$C$8")),"")</f>
        <v/>
      </c>
      <c r="K845" s="48">
        <f t="shared" si="42"/>
        <v>851</v>
      </c>
      <c r="L845" s="114" t="str" cm="1">
        <f t="array" aca="1" ref="L845" ca="1">IF(F845&lt;&gt;"",INDIRECT("'"&amp;F845&amp;"'!$F$17"),"")</f>
        <v/>
      </c>
      <c r="M845" s="116" t="str">
        <f t="shared" ca="1" si="40"/>
        <v/>
      </c>
      <c r="O845" s="49" t="str">
        <f t="shared" ca="1" si="41"/>
        <v/>
      </c>
      <c r="P845" s="38" t="str">
        <f>IF(E845&lt;&gt;"",RANK(E845,$E$3:$E$2298)+COUNTIF($E$3:E845,E845)-1,"")</f>
        <v/>
      </c>
    </row>
    <row r="846" spans="4:16" x14ac:dyDescent="0.25">
      <c r="D846" s="36" t="str" cm="1">
        <f t="array" aca="1" ref="D846" ca="1">IFERROR(IF(INDIRECT("'"&amp;F846&amp;"'!$C$5")&gt;0,DATE(YEAR(Dashboard!$AL$2),Dashboard!$AU$4,INDIRECT("'"&amp;F846&amp;"'!$C$5")),""),"")</f>
        <v/>
      </c>
      <c r="G846" s="38" t="str" cm="1">
        <f t="array" aca="1" ref="G846" ca="1">IF(F846="",
    "",
    IFERROR(
        IF(INDIRECT("'"&amp;F846&amp;"'!$B$2")="Credit Limit",
            "Credit Accounts",
            IF(INDIRECT("'"&amp;F846&amp;"'!$E$2")="Location",
                "Cash Accounts",
                IF(INDIRECT("'"&amp;F846&amp;"'!$B$2")="Amount",
                    "Investments",
                    "Bill Accounts"
                )
            )
        ),
    "")
)</f>
        <v/>
      </c>
      <c r="I846" s="46" t="str" cm="1">
        <f t="array" aca="1" ref="I846" ca="1">IF(F846&lt;&gt;"",IF(OR(G846="Bill Accounts",G846="Investments", G846="Cash Accounts"),INDIRECT("'"&amp;F846&amp;"'!$C$10"),INDIRECT("'"&amp;F846&amp;"'!$C$8")),"")</f>
        <v/>
      </c>
      <c r="K846" s="48">
        <f t="shared" si="42"/>
        <v>852</v>
      </c>
      <c r="L846" s="114" t="str" cm="1">
        <f t="array" aca="1" ref="L846" ca="1">IF(F846&lt;&gt;"",INDIRECT("'"&amp;F846&amp;"'!$F$17"),"")</f>
        <v/>
      </c>
      <c r="M846" s="116" t="str">
        <f t="shared" ca="1" si="40"/>
        <v/>
      </c>
      <c r="O846" s="49" t="str">
        <f t="shared" ca="1" si="41"/>
        <v/>
      </c>
      <c r="P846" s="38" t="str">
        <f>IF(E846&lt;&gt;"",RANK(E846,$E$3:$E$2298)+COUNTIF($E$3:E846,E846)-1,"")</f>
        <v/>
      </c>
    </row>
    <row r="847" spans="4:16" x14ac:dyDescent="0.25">
      <c r="D847" s="36" t="str" cm="1">
        <f t="array" aca="1" ref="D847" ca="1">IFERROR(IF(INDIRECT("'"&amp;F847&amp;"'!$C$5")&gt;0,DATE(YEAR(Dashboard!$AL$2),Dashboard!$AU$4,INDIRECT("'"&amp;F847&amp;"'!$C$5")),""),"")</f>
        <v/>
      </c>
      <c r="G847" s="38" t="str" cm="1">
        <f t="array" aca="1" ref="G847" ca="1">IF(F847="",
    "",
    IFERROR(
        IF(INDIRECT("'"&amp;F847&amp;"'!$B$2")="Credit Limit",
            "Credit Accounts",
            IF(INDIRECT("'"&amp;F847&amp;"'!$E$2")="Location",
                "Cash Accounts",
                IF(INDIRECT("'"&amp;F847&amp;"'!$B$2")="Amount",
                    "Investments",
                    "Bill Accounts"
                )
            )
        ),
    "")
)</f>
        <v/>
      </c>
      <c r="I847" s="46" t="str" cm="1">
        <f t="array" aca="1" ref="I847" ca="1">IF(F847&lt;&gt;"",IF(OR(G847="Bill Accounts",G847="Investments", G847="Cash Accounts"),INDIRECT("'"&amp;F847&amp;"'!$C$10"),INDIRECT("'"&amp;F847&amp;"'!$C$8")),"")</f>
        <v/>
      </c>
      <c r="K847" s="48">
        <f t="shared" si="42"/>
        <v>853</v>
      </c>
      <c r="L847" s="114" t="str" cm="1">
        <f t="array" aca="1" ref="L847" ca="1">IF(F847&lt;&gt;"",INDIRECT("'"&amp;F847&amp;"'!$F$17"),"")</f>
        <v/>
      </c>
      <c r="M847" s="116" t="str">
        <f t="shared" ca="1" si="40"/>
        <v/>
      </c>
      <c r="O847" s="49" t="str">
        <f t="shared" ca="1" si="41"/>
        <v/>
      </c>
      <c r="P847" s="38" t="str">
        <f>IF(E847&lt;&gt;"",RANK(E847,$E$3:$E$2298)+COUNTIF($E$3:E847,E847)-1,"")</f>
        <v/>
      </c>
    </row>
    <row r="848" spans="4:16" x14ac:dyDescent="0.25">
      <c r="D848" s="36" t="str" cm="1">
        <f t="array" aca="1" ref="D848" ca="1">IFERROR(IF(INDIRECT("'"&amp;F848&amp;"'!$C$5")&gt;0,DATE(YEAR(Dashboard!$AL$2),Dashboard!$AU$4,INDIRECT("'"&amp;F848&amp;"'!$C$5")),""),"")</f>
        <v/>
      </c>
      <c r="G848" s="38" t="str" cm="1">
        <f t="array" aca="1" ref="G848" ca="1">IF(F848="",
    "",
    IFERROR(
        IF(INDIRECT("'"&amp;F848&amp;"'!$B$2")="Credit Limit",
            "Credit Accounts",
            IF(INDIRECT("'"&amp;F848&amp;"'!$E$2")="Location",
                "Cash Accounts",
                IF(INDIRECT("'"&amp;F848&amp;"'!$B$2")="Amount",
                    "Investments",
                    "Bill Accounts"
                )
            )
        ),
    "")
)</f>
        <v/>
      </c>
      <c r="I848" s="46" t="str" cm="1">
        <f t="array" aca="1" ref="I848" ca="1">IF(F848&lt;&gt;"",IF(OR(G848="Bill Accounts",G848="Investments", G848="Cash Accounts"),INDIRECT("'"&amp;F848&amp;"'!$C$10"),INDIRECT("'"&amp;F848&amp;"'!$C$8")),"")</f>
        <v/>
      </c>
      <c r="K848" s="48">
        <f t="shared" si="42"/>
        <v>854</v>
      </c>
      <c r="L848" s="114" t="str" cm="1">
        <f t="array" aca="1" ref="L848" ca="1">IF(F848&lt;&gt;"",INDIRECT("'"&amp;F848&amp;"'!$F$17"),"")</f>
        <v/>
      </c>
      <c r="M848" s="116" t="str">
        <f t="shared" ca="1" si="40"/>
        <v/>
      </c>
      <c r="O848" s="49" t="str">
        <f t="shared" ca="1" si="41"/>
        <v/>
      </c>
      <c r="P848" s="38" t="str">
        <f>IF(E848&lt;&gt;"",RANK(E848,$E$3:$E$2298)+COUNTIF($E$3:E848,E848)-1,"")</f>
        <v/>
      </c>
    </row>
    <row r="849" spans="4:16" x14ac:dyDescent="0.25">
      <c r="D849" s="36" t="str" cm="1">
        <f t="array" aca="1" ref="D849" ca="1">IFERROR(IF(INDIRECT("'"&amp;F849&amp;"'!$C$5")&gt;0,DATE(YEAR(Dashboard!$AL$2),Dashboard!$AU$4,INDIRECT("'"&amp;F849&amp;"'!$C$5")),""),"")</f>
        <v/>
      </c>
      <c r="G849" s="38" t="str" cm="1">
        <f t="array" aca="1" ref="G849" ca="1">IF(F849="",
    "",
    IFERROR(
        IF(INDIRECT("'"&amp;F849&amp;"'!$B$2")="Credit Limit",
            "Credit Accounts",
            IF(INDIRECT("'"&amp;F849&amp;"'!$E$2")="Location",
                "Cash Accounts",
                IF(INDIRECT("'"&amp;F849&amp;"'!$B$2")="Amount",
                    "Investments",
                    "Bill Accounts"
                )
            )
        ),
    "")
)</f>
        <v/>
      </c>
      <c r="I849" s="46" t="str" cm="1">
        <f t="array" aca="1" ref="I849" ca="1">IF(F849&lt;&gt;"",IF(OR(G849="Bill Accounts",G849="Investments", G849="Cash Accounts"),INDIRECT("'"&amp;F849&amp;"'!$C$10"),INDIRECT("'"&amp;F849&amp;"'!$C$8")),"")</f>
        <v/>
      </c>
      <c r="K849" s="48">
        <f t="shared" si="42"/>
        <v>855</v>
      </c>
      <c r="L849" s="114" t="str" cm="1">
        <f t="array" aca="1" ref="L849" ca="1">IF(F849&lt;&gt;"",INDIRECT("'"&amp;F849&amp;"'!$F$17"),"")</f>
        <v/>
      </c>
      <c r="M849" s="116" t="str">
        <f t="shared" ca="1" si="40"/>
        <v/>
      </c>
      <c r="O849" s="49" t="str">
        <f t="shared" ca="1" si="41"/>
        <v/>
      </c>
      <c r="P849" s="38" t="str">
        <f>IF(E849&lt;&gt;"",RANK(E849,$E$3:$E$2298)+COUNTIF($E$3:E849,E849)-1,"")</f>
        <v/>
      </c>
    </row>
    <row r="850" spans="4:16" x14ac:dyDescent="0.25">
      <c r="D850" s="36" t="str" cm="1">
        <f t="array" aca="1" ref="D850" ca="1">IFERROR(IF(INDIRECT("'"&amp;F850&amp;"'!$C$5")&gt;0,DATE(YEAR(Dashboard!$AL$2),Dashboard!$AU$4,INDIRECT("'"&amp;F850&amp;"'!$C$5")),""),"")</f>
        <v/>
      </c>
      <c r="G850" s="38" t="str" cm="1">
        <f t="array" aca="1" ref="G850" ca="1">IF(F850="",
    "",
    IFERROR(
        IF(INDIRECT("'"&amp;F850&amp;"'!$B$2")="Credit Limit",
            "Credit Accounts",
            IF(INDIRECT("'"&amp;F850&amp;"'!$E$2")="Location",
                "Cash Accounts",
                IF(INDIRECT("'"&amp;F850&amp;"'!$B$2")="Amount",
                    "Investments",
                    "Bill Accounts"
                )
            )
        ),
    "")
)</f>
        <v/>
      </c>
      <c r="I850" s="46" t="str" cm="1">
        <f t="array" aca="1" ref="I850" ca="1">IF(F850&lt;&gt;"",IF(OR(G850="Bill Accounts",G850="Investments", G850="Cash Accounts"),INDIRECT("'"&amp;F850&amp;"'!$C$10"),INDIRECT("'"&amp;F850&amp;"'!$C$8")),"")</f>
        <v/>
      </c>
      <c r="K850" s="48">
        <f t="shared" si="42"/>
        <v>856</v>
      </c>
      <c r="L850" s="114" t="str" cm="1">
        <f t="array" aca="1" ref="L850" ca="1">IF(F850&lt;&gt;"",INDIRECT("'"&amp;F850&amp;"'!$F$17"),"")</f>
        <v/>
      </c>
      <c r="M850" s="116" t="str">
        <f t="shared" ca="1" si="40"/>
        <v/>
      </c>
      <c r="O850" s="49" t="str">
        <f t="shared" ca="1" si="41"/>
        <v/>
      </c>
      <c r="P850" s="38" t="str">
        <f>IF(E850&lt;&gt;"",RANK(E850,$E$3:$E$2298)+COUNTIF($E$3:E850,E850)-1,"")</f>
        <v/>
      </c>
    </row>
    <row r="851" spans="4:16" x14ac:dyDescent="0.25">
      <c r="D851" s="36" t="str" cm="1">
        <f t="array" aca="1" ref="D851" ca="1">IFERROR(IF(INDIRECT("'"&amp;F851&amp;"'!$C$5")&gt;0,DATE(YEAR(Dashboard!$AL$2),Dashboard!$AU$4,INDIRECT("'"&amp;F851&amp;"'!$C$5")),""),"")</f>
        <v/>
      </c>
      <c r="G851" s="38" t="str" cm="1">
        <f t="array" aca="1" ref="G851" ca="1">IF(F851="",
    "",
    IFERROR(
        IF(INDIRECT("'"&amp;F851&amp;"'!$B$2")="Credit Limit",
            "Credit Accounts",
            IF(INDIRECT("'"&amp;F851&amp;"'!$E$2")="Location",
                "Cash Accounts",
                IF(INDIRECT("'"&amp;F851&amp;"'!$B$2")="Amount",
                    "Investments",
                    "Bill Accounts"
                )
            )
        ),
    "")
)</f>
        <v/>
      </c>
      <c r="I851" s="46" t="str" cm="1">
        <f t="array" aca="1" ref="I851" ca="1">IF(F851&lt;&gt;"",IF(OR(G851="Bill Accounts",G851="Investments", G851="Cash Accounts"),INDIRECT("'"&amp;F851&amp;"'!$C$10"),INDIRECT("'"&amp;F851&amp;"'!$C$8")),"")</f>
        <v/>
      </c>
      <c r="K851" s="48">
        <f t="shared" si="42"/>
        <v>857</v>
      </c>
      <c r="L851" s="114" t="str" cm="1">
        <f t="array" aca="1" ref="L851" ca="1">IF(F851&lt;&gt;"",INDIRECT("'"&amp;F851&amp;"'!$F$17"),"")</f>
        <v/>
      </c>
      <c r="M851" s="116" t="str">
        <f t="shared" ca="1" si="40"/>
        <v/>
      </c>
      <c r="O851" s="49" t="str">
        <f t="shared" ca="1" si="41"/>
        <v/>
      </c>
      <c r="P851" s="38" t="str">
        <f>IF(E851&lt;&gt;"",RANK(E851,$E$3:$E$2298)+COUNTIF($E$3:E851,E851)-1,"")</f>
        <v/>
      </c>
    </row>
    <row r="852" spans="4:16" x14ac:dyDescent="0.25">
      <c r="D852" s="36" t="str" cm="1">
        <f t="array" aca="1" ref="D852" ca="1">IFERROR(IF(INDIRECT("'"&amp;F852&amp;"'!$C$5")&gt;0,DATE(YEAR(Dashboard!$AL$2),Dashboard!$AU$4,INDIRECT("'"&amp;F852&amp;"'!$C$5")),""),"")</f>
        <v/>
      </c>
      <c r="G852" s="38" t="str" cm="1">
        <f t="array" aca="1" ref="G852" ca="1">IF(F852="",
    "",
    IFERROR(
        IF(INDIRECT("'"&amp;F852&amp;"'!$B$2")="Credit Limit",
            "Credit Accounts",
            IF(INDIRECT("'"&amp;F852&amp;"'!$E$2")="Location",
                "Cash Accounts",
                IF(INDIRECT("'"&amp;F852&amp;"'!$B$2")="Amount",
                    "Investments",
                    "Bill Accounts"
                )
            )
        ),
    "")
)</f>
        <v/>
      </c>
      <c r="I852" s="46" t="str" cm="1">
        <f t="array" aca="1" ref="I852" ca="1">IF(F852&lt;&gt;"",IF(OR(G852="Bill Accounts",G852="Investments", G852="Cash Accounts"),INDIRECT("'"&amp;F852&amp;"'!$C$10"),INDIRECT("'"&amp;F852&amp;"'!$C$8")),"")</f>
        <v/>
      </c>
      <c r="K852" s="48">
        <f t="shared" si="42"/>
        <v>858</v>
      </c>
      <c r="L852" s="114" t="str" cm="1">
        <f t="array" aca="1" ref="L852" ca="1">IF(F852&lt;&gt;"",INDIRECT("'"&amp;F852&amp;"'!$F$17"),"")</f>
        <v/>
      </c>
      <c r="M852" s="116" t="str">
        <f t="shared" ca="1" si="40"/>
        <v/>
      </c>
      <c r="O852" s="49" t="str">
        <f t="shared" ca="1" si="41"/>
        <v/>
      </c>
      <c r="P852" s="38" t="str">
        <f>IF(E852&lt;&gt;"",RANK(E852,$E$3:$E$2298)+COUNTIF($E$3:E852,E852)-1,"")</f>
        <v/>
      </c>
    </row>
    <row r="853" spans="4:16" x14ac:dyDescent="0.25">
      <c r="D853" s="36" t="str" cm="1">
        <f t="array" aca="1" ref="D853" ca="1">IFERROR(IF(INDIRECT("'"&amp;F853&amp;"'!$C$5")&gt;0,DATE(YEAR(Dashboard!$AL$2),Dashboard!$AU$4,INDIRECT("'"&amp;F853&amp;"'!$C$5")),""),"")</f>
        <v/>
      </c>
      <c r="G853" s="38" t="str" cm="1">
        <f t="array" aca="1" ref="G853" ca="1">IF(F853="",
    "",
    IFERROR(
        IF(INDIRECT("'"&amp;F853&amp;"'!$B$2")="Credit Limit",
            "Credit Accounts",
            IF(INDIRECT("'"&amp;F853&amp;"'!$E$2")="Location",
                "Cash Accounts",
                IF(INDIRECT("'"&amp;F853&amp;"'!$B$2")="Amount",
                    "Investments",
                    "Bill Accounts"
                )
            )
        ),
    "")
)</f>
        <v/>
      </c>
      <c r="I853" s="46" t="str" cm="1">
        <f t="array" aca="1" ref="I853" ca="1">IF(F853&lt;&gt;"",IF(OR(G853="Bill Accounts",G853="Investments", G853="Cash Accounts"),INDIRECT("'"&amp;F853&amp;"'!$C$10"),INDIRECT("'"&amp;F853&amp;"'!$C$8")),"")</f>
        <v/>
      </c>
      <c r="K853" s="48">
        <f t="shared" si="42"/>
        <v>859</v>
      </c>
      <c r="L853" s="114" t="str" cm="1">
        <f t="array" aca="1" ref="L853" ca="1">IF(F853&lt;&gt;"",INDIRECT("'"&amp;F853&amp;"'!$F$17"),"")</f>
        <v/>
      </c>
      <c r="M853" s="116" t="str">
        <f t="shared" ca="1" si="40"/>
        <v/>
      </c>
      <c r="O853" s="49" t="str">
        <f t="shared" ca="1" si="41"/>
        <v/>
      </c>
      <c r="P853" s="38" t="str">
        <f>IF(E853&lt;&gt;"",RANK(E853,$E$3:$E$2298)+COUNTIF($E$3:E853,E853)-1,"")</f>
        <v/>
      </c>
    </row>
    <row r="854" spans="4:16" x14ac:dyDescent="0.25">
      <c r="D854" s="36" t="str" cm="1">
        <f t="array" aca="1" ref="D854" ca="1">IFERROR(IF(INDIRECT("'"&amp;F854&amp;"'!$C$5")&gt;0,DATE(YEAR(Dashboard!$AL$2),Dashboard!$AU$4,INDIRECT("'"&amp;F854&amp;"'!$C$5")),""),"")</f>
        <v/>
      </c>
      <c r="G854" s="38" t="str" cm="1">
        <f t="array" aca="1" ref="G854" ca="1">IF(F854="",
    "",
    IFERROR(
        IF(INDIRECT("'"&amp;F854&amp;"'!$B$2")="Credit Limit",
            "Credit Accounts",
            IF(INDIRECT("'"&amp;F854&amp;"'!$E$2")="Location",
                "Cash Accounts",
                IF(INDIRECT("'"&amp;F854&amp;"'!$B$2")="Amount",
                    "Investments",
                    "Bill Accounts"
                )
            )
        ),
    "")
)</f>
        <v/>
      </c>
      <c r="I854" s="46" t="str" cm="1">
        <f t="array" aca="1" ref="I854" ca="1">IF(F854&lt;&gt;"",IF(OR(G854="Bill Accounts",G854="Investments", G854="Cash Accounts"),INDIRECT("'"&amp;F854&amp;"'!$C$10"),INDIRECT("'"&amp;F854&amp;"'!$C$8")),"")</f>
        <v/>
      </c>
      <c r="K854" s="48">
        <f t="shared" si="42"/>
        <v>860</v>
      </c>
      <c r="L854" s="114" t="str" cm="1">
        <f t="array" aca="1" ref="L854" ca="1">IF(F854&lt;&gt;"",INDIRECT("'"&amp;F854&amp;"'!$F$17"),"")</f>
        <v/>
      </c>
      <c r="M854" s="116" t="str">
        <f t="shared" ca="1" si="40"/>
        <v/>
      </c>
      <c r="O854" s="49" t="str">
        <f t="shared" ca="1" si="41"/>
        <v/>
      </c>
      <c r="P854" s="38" t="str">
        <f>IF(E854&lt;&gt;"",RANK(E854,$E$3:$E$2298)+COUNTIF($E$3:E854,E854)-1,"")</f>
        <v/>
      </c>
    </row>
    <row r="855" spans="4:16" x14ac:dyDescent="0.25">
      <c r="D855" s="36" t="str" cm="1">
        <f t="array" aca="1" ref="D855" ca="1">IFERROR(IF(INDIRECT("'"&amp;F855&amp;"'!$C$5")&gt;0,DATE(YEAR(Dashboard!$AL$2),Dashboard!$AU$4,INDIRECT("'"&amp;F855&amp;"'!$C$5")),""),"")</f>
        <v/>
      </c>
      <c r="G855" s="38" t="str" cm="1">
        <f t="array" aca="1" ref="G855" ca="1">IF(F855="",
    "",
    IFERROR(
        IF(INDIRECT("'"&amp;F855&amp;"'!$B$2")="Credit Limit",
            "Credit Accounts",
            IF(INDIRECT("'"&amp;F855&amp;"'!$E$2")="Location",
                "Cash Accounts",
                IF(INDIRECT("'"&amp;F855&amp;"'!$B$2")="Amount",
                    "Investments",
                    "Bill Accounts"
                )
            )
        ),
    "")
)</f>
        <v/>
      </c>
      <c r="I855" s="46" t="str" cm="1">
        <f t="array" aca="1" ref="I855" ca="1">IF(F855&lt;&gt;"",IF(OR(G855="Bill Accounts",G855="Investments", G855="Cash Accounts"),INDIRECT("'"&amp;F855&amp;"'!$C$10"),INDIRECT("'"&amp;F855&amp;"'!$C$8")),"")</f>
        <v/>
      </c>
      <c r="K855" s="48">
        <f t="shared" si="42"/>
        <v>861</v>
      </c>
      <c r="L855" s="114" t="str" cm="1">
        <f t="array" aca="1" ref="L855" ca="1">IF(F855&lt;&gt;"",INDIRECT("'"&amp;F855&amp;"'!$F$17"),"")</f>
        <v/>
      </c>
      <c r="M855" s="116" t="str">
        <f t="shared" ca="1" si="40"/>
        <v/>
      </c>
      <c r="O855" s="49" t="str">
        <f t="shared" ca="1" si="41"/>
        <v/>
      </c>
      <c r="P855" s="38" t="str">
        <f>IF(E855&lt;&gt;"",RANK(E855,$E$3:$E$2298)+COUNTIF($E$3:E855,E855)-1,"")</f>
        <v/>
      </c>
    </row>
    <row r="856" spans="4:16" x14ac:dyDescent="0.25">
      <c r="D856" s="36" t="str" cm="1">
        <f t="array" aca="1" ref="D856" ca="1">IFERROR(IF(INDIRECT("'"&amp;F856&amp;"'!$C$5")&gt;0,DATE(YEAR(Dashboard!$AL$2),Dashboard!$AU$4,INDIRECT("'"&amp;F856&amp;"'!$C$5")),""),"")</f>
        <v/>
      </c>
      <c r="G856" s="38" t="str" cm="1">
        <f t="array" aca="1" ref="G856" ca="1">IF(F856="",
    "",
    IFERROR(
        IF(INDIRECT("'"&amp;F856&amp;"'!$B$2")="Credit Limit",
            "Credit Accounts",
            IF(INDIRECT("'"&amp;F856&amp;"'!$E$2")="Location",
                "Cash Accounts",
                IF(INDIRECT("'"&amp;F856&amp;"'!$B$2")="Amount",
                    "Investments",
                    "Bill Accounts"
                )
            )
        ),
    "")
)</f>
        <v/>
      </c>
      <c r="I856" s="46" t="str" cm="1">
        <f t="array" aca="1" ref="I856" ca="1">IF(F856&lt;&gt;"",IF(OR(G856="Bill Accounts",G856="Investments", G856="Cash Accounts"),INDIRECT("'"&amp;F856&amp;"'!$C$10"),INDIRECT("'"&amp;F856&amp;"'!$C$8")),"")</f>
        <v/>
      </c>
      <c r="K856" s="48">
        <f t="shared" si="42"/>
        <v>862</v>
      </c>
      <c r="L856" s="114" t="str" cm="1">
        <f t="array" aca="1" ref="L856" ca="1">IF(F856&lt;&gt;"",INDIRECT("'"&amp;F856&amp;"'!$F$17"),"")</f>
        <v/>
      </c>
      <c r="M856" s="116" t="str">
        <f t="shared" ca="1" si="40"/>
        <v/>
      </c>
      <c r="O856" s="49" t="str">
        <f t="shared" ca="1" si="41"/>
        <v/>
      </c>
      <c r="P856" s="38" t="str">
        <f>IF(E856&lt;&gt;"",RANK(E856,$E$3:$E$2298)+COUNTIF($E$3:E856,E856)-1,"")</f>
        <v/>
      </c>
    </row>
    <row r="857" spans="4:16" x14ac:dyDescent="0.25">
      <c r="D857" s="36" t="str" cm="1">
        <f t="array" aca="1" ref="D857" ca="1">IFERROR(IF(INDIRECT("'"&amp;F857&amp;"'!$C$5")&gt;0,DATE(YEAR(Dashboard!$AL$2),Dashboard!$AU$4,INDIRECT("'"&amp;F857&amp;"'!$C$5")),""),"")</f>
        <v/>
      </c>
      <c r="G857" s="38" t="str" cm="1">
        <f t="array" aca="1" ref="G857" ca="1">IF(F857="",
    "",
    IFERROR(
        IF(INDIRECT("'"&amp;F857&amp;"'!$B$2")="Credit Limit",
            "Credit Accounts",
            IF(INDIRECT("'"&amp;F857&amp;"'!$E$2")="Location",
                "Cash Accounts",
                IF(INDIRECT("'"&amp;F857&amp;"'!$B$2")="Amount",
                    "Investments",
                    "Bill Accounts"
                )
            )
        ),
    "")
)</f>
        <v/>
      </c>
      <c r="I857" s="46" t="str" cm="1">
        <f t="array" aca="1" ref="I857" ca="1">IF(F857&lt;&gt;"",IF(OR(G857="Bill Accounts",G857="Investments", G857="Cash Accounts"),INDIRECT("'"&amp;F857&amp;"'!$C$10"),INDIRECT("'"&amp;F857&amp;"'!$C$8")),"")</f>
        <v/>
      </c>
      <c r="K857" s="48">
        <f t="shared" si="42"/>
        <v>863</v>
      </c>
      <c r="L857" s="114" t="str" cm="1">
        <f t="array" aca="1" ref="L857" ca="1">IF(F857&lt;&gt;"",INDIRECT("'"&amp;F857&amp;"'!$F$17"),"")</f>
        <v/>
      </c>
      <c r="M857" s="116" t="str">
        <f t="shared" ca="1" si="40"/>
        <v/>
      </c>
      <c r="O857" s="49" t="str">
        <f t="shared" ca="1" si="41"/>
        <v/>
      </c>
      <c r="P857" s="38" t="str">
        <f>IF(E857&lt;&gt;"",RANK(E857,$E$3:$E$2298)+COUNTIF($E$3:E857,E857)-1,"")</f>
        <v/>
      </c>
    </row>
    <row r="858" spans="4:16" x14ac:dyDescent="0.25">
      <c r="D858" s="36" t="str" cm="1">
        <f t="array" aca="1" ref="D858" ca="1">IFERROR(IF(INDIRECT("'"&amp;F858&amp;"'!$C$5")&gt;0,DATE(YEAR(Dashboard!$AL$2),Dashboard!$AU$4,INDIRECT("'"&amp;F858&amp;"'!$C$5")),""),"")</f>
        <v/>
      </c>
      <c r="G858" s="38" t="str" cm="1">
        <f t="array" aca="1" ref="G858" ca="1">IF(F858="",
    "",
    IFERROR(
        IF(INDIRECT("'"&amp;F858&amp;"'!$B$2")="Credit Limit",
            "Credit Accounts",
            IF(INDIRECT("'"&amp;F858&amp;"'!$E$2")="Location",
                "Cash Accounts",
                IF(INDIRECT("'"&amp;F858&amp;"'!$B$2")="Amount",
                    "Investments",
                    "Bill Accounts"
                )
            )
        ),
    "")
)</f>
        <v/>
      </c>
      <c r="I858" s="46" t="str" cm="1">
        <f t="array" aca="1" ref="I858" ca="1">IF(F858&lt;&gt;"",IF(OR(G858="Bill Accounts",G858="Investments", G858="Cash Accounts"),INDIRECT("'"&amp;F858&amp;"'!$C$10"),INDIRECT("'"&amp;F858&amp;"'!$C$8")),"")</f>
        <v/>
      </c>
      <c r="K858" s="48">
        <f t="shared" si="42"/>
        <v>864</v>
      </c>
      <c r="L858" s="114" t="str" cm="1">
        <f t="array" aca="1" ref="L858" ca="1">IF(F858&lt;&gt;"",INDIRECT("'"&amp;F858&amp;"'!$F$17"),"")</f>
        <v/>
      </c>
      <c r="M858" s="116" t="str">
        <f t="shared" ca="1" si="40"/>
        <v/>
      </c>
      <c r="O858" s="49" t="str">
        <f t="shared" ca="1" si="41"/>
        <v/>
      </c>
      <c r="P858" s="38" t="str">
        <f>IF(E858&lt;&gt;"",RANK(E858,$E$3:$E$2298)+COUNTIF($E$3:E858,E858)-1,"")</f>
        <v/>
      </c>
    </row>
    <row r="859" spans="4:16" x14ac:dyDescent="0.25">
      <c r="D859" s="36" t="str" cm="1">
        <f t="array" aca="1" ref="D859" ca="1">IFERROR(IF(INDIRECT("'"&amp;F859&amp;"'!$C$5")&gt;0,DATE(YEAR(Dashboard!$AL$2),Dashboard!$AU$4,INDIRECT("'"&amp;F859&amp;"'!$C$5")),""),"")</f>
        <v/>
      </c>
      <c r="G859" s="38" t="str" cm="1">
        <f t="array" aca="1" ref="G859" ca="1">IF(F859="",
    "",
    IFERROR(
        IF(INDIRECT("'"&amp;F859&amp;"'!$B$2")="Credit Limit",
            "Credit Accounts",
            IF(INDIRECT("'"&amp;F859&amp;"'!$E$2")="Location",
                "Cash Accounts",
                IF(INDIRECT("'"&amp;F859&amp;"'!$B$2")="Amount",
                    "Investments",
                    "Bill Accounts"
                )
            )
        ),
    "")
)</f>
        <v/>
      </c>
      <c r="I859" s="46" t="str" cm="1">
        <f t="array" aca="1" ref="I859" ca="1">IF(F859&lt;&gt;"",IF(OR(G859="Bill Accounts",G859="Investments", G859="Cash Accounts"),INDIRECT("'"&amp;F859&amp;"'!$C$10"),INDIRECT("'"&amp;F859&amp;"'!$C$8")),"")</f>
        <v/>
      </c>
      <c r="K859" s="48">
        <f t="shared" si="42"/>
        <v>865</v>
      </c>
      <c r="L859" s="114" t="str" cm="1">
        <f t="array" aca="1" ref="L859" ca="1">IF(F859&lt;&gt;"",INDIRECT("'"&amp;F859&amp;"'!$F$17"),"")</f>
        <v/>
      </c>
      <c r="M859" s="116" t="str">
        <f t="shared" ca="1" si="40"/>
        <v/>
      </c>
      <c r="O859" s="49" t="str">
        <f t="shared" ca="1" si="41"/>
        <v/>
      </c>
      <c r="P859" s="38" t="str">
        <f>IF(E859&lt;&gt;"",RANK(E859,$E$3:$E$2298)+COUNTIF($E$3:E859,E859)-1,"")</f>
        <v/>
      </c>
    </row>
    <row r="860" spans="4:16" x14ac:dyDescent="0.25">
      <c r="D860" s="36" t="str" cm="1">
        <f t="array" aca="1" ref="D860" ca="1">IFERROR(IF(INDIRECT("'"&amp;F860&amp;"'!$C$5")&gt;0,DATE(YEAR(Dashboard!$AL$2),Dashboard!$AU$4,INDIRECT("'"&amp;F860&amp;"'!$C$5")),""),"")</f>
        <v/>
      </c>
      <c r="G860" s="38" t="str" cm="1">
        <f t="array" aca="1" ref="G860" ca="1">IF(F860="",
    "",
    IFERROR(
        IF(INDIRECT("'"&amp;F860&amp;"'!$B$2")="Credit Limit",
            "Credit Accounts",
            IF(INDIRECT("'"&amp;F860&amp;"'!$E$2")="Location",
                "Cash Accounts",
                IF(INDIRECT("'"&amp;F860&amp;"'!$B$2")="Amount",
                    "Investments",
                    "Bill Accounts"
                )
            )
        ),
    "")
)</f>
        <v/>
      </c>
      <c r="I860" s="46" t="str" cm="1">
        <f t="array" aca="1" ref="I860" ca="1">IF(F860&lt;&gt;"",IF(OR(G860="Bill Accounts",G860="Investments", G860="Cash Accounts"),INDIRECT("'"&amp;F860&amp;"'!$C$10"),INDIRECT("'"&amp;F860&amp;"'!$C$8")),"")</f>
        <v/>
      </c>
      <c r="K860" s="48">
        <f t="shared" si="42"/>
        <v>866</v>
      </c>
      <c r="L860" s="114" t="str" cm="1">
        <f t="array" aca="1" ref="L860" ca="1">IF(F860&lt;&gt;"",INDIRECT("'"&amp;F860&amp;"'!$F$17"),"")</f>
        <v/>
      </c>
      <c r="M860" s="116" t="str">
        <f t="shared" ca="1" si="40"/>
        <v/>
      </c>
      <c r="O860" s="49" t="str">
        <f t="shared" ca="1" si="41"/>
        <v/>
      </c>
      <c r="P860" s="38" t="str">
        <f>IF(E860&lt;&gt;"",RANK(E860,$E$3:$E$2298)+COUNTIF($E$3:E860,E860)-1,"")</f>
        <v/>
      </c>
    </row>
    <row r="861" spans="4:16" x14ac:dyDescent="0.25">
      <c r="D861" s="36" t="str" cm="1">
        <f t="array" aca="1" ref="D861" ca="1">IFERROR(IF(INDIRECT("'"&amp;F861&amp;"'!$C$5")&gt;0,DATE(YEAR(Dashboard!$AL$2),Dashboard!$AU$4,INDIRECT("'"&amp;F861&amp;"'!$C$5")),""),"")</f>
        <v/>
      </c>
      <c r="G861" s="38" t="str" cm="1">
        <f t="array" aca="1" ref="G861" ca="1">IF(F861="",
    "",
    IFERROR(
        IF(INDIRECT("'"&amp;F861&amp;"'!$B$2")="Credit Limit",
            "Credit Accounts",
            IF(INDIRECT("'"&amp;F861&amp;"'!$E$2")="Location",
                "Cash Accounts",
                IF(INDIRECT("'"&amp;F861&amp;"'!$B$2")="Amount",
                    "Investments",
                    "Bill Accounts"
                )
            )
        ),
    "")
)</f>
        <v/>
      </c>
      <c r="I861" s="46" t="str" cm="1">
        <f t="array" aca="1" ref="I861" ca="1">IF(F861&lt;&gt;"",IF(OR(G861="Bill Accounts",G861="Investments", G861="Cash Accounts"),INDIRECT("'"&amp;F861&amp;"'!$C$10"),INDIRECT("'"&amp;F861&amp;"'!$C$8")),"")</f>
        <v/>
      </c>
      <c r="K861" s="48">
        <f t="shared" si="42"/>
        <v>867</v>
      </c>
      <c r="L861" s="114" t="str" cm="1">
        <f t="array" aca="1" ref="L861" ca="1">IF(F861&lt;&gt;"",INDIRECT("'"&amp;F861&amp;"'!$F$17"),"")</f>
        <v/>
      </c>
      <c r="M861" s="116" t="str">
        <f t="shared" ca="1" si="40"/>
        <v/>
      </c>
      <c r="O861" s="49" t="str">
        <f t="shared" ca="1" si="41"/>
        <v/>
      </c>
      <c r="P861" s="38" t="str">
        <f>IF(E861&lt;&gt;"",RANK(E861,$E$3:$E$2298)+COUNTIF($E$3:E861,E861)-1,"")</f>
        <v/>
      </c>
    </row>
    <row r="862" spans="4:16" x14ac:dyDescent="0.25">
      <c r="D862" s="36" t="str" cm="1">
        <f t="array" aca="1" ref="D862" ca="1">IFERROR(IF(INDIRECT("'"&amp;F862&amp;"'!$C$5")&gt;0,DATE(YEAR(Dashboard!$AL$2),Dashboard!$AU$4,INDIRECT("'"&amp;F862&amp;"'!$C$5")),""),"")</f>
        <v/>
      </c>
      <c r="G862" s="38" t="str" cm="1">
        <f t="array" aca="1" ref="G862" ca="1">IF(F862="",
    "",
    IFERROR(
        IF(INDIRECT("'"&amp;F862&amp;"'!$B$2")="Credit Limit",
            "Credit Accounts",
            IF(INDIRECT("'"&amp;F862&amp;"'!$E$2")="Location",
                "Cash Accounts",
                IF(INDIRECT("'"&amp;F862&amp;"'!$B$2")="Amount",
                    "Investments",
                    "Bill Accounts"
                )
            )
        ),
    "")
)</f>
        <v/>
      </c>
      <c r="I862" s="46" t="str" cm="1">
        <f t="array" aca="1" ref="I862" ca="1">IF(F862&lt;&gt;"",IF(OR(G862="Bill Accounts",G862="Investments", G862="Cash Accounts"),INDIRECT("'"&amp;F862&amp;"'!$C$10"),INDIRECT("'"&amp;F862&amp;"'!$C$8")),"")</f>
        <v/>
      </c>
      <c r="K862" s="48">
        <f t="shared" si="42"/>
        <v>868</v>
      </c>
      <c r="L862" s="114" t="str" cm="1">
        <f t="array" aca="1" ref="L862" ca="1">IF(F862&lt;&gt;"",INDIRECT("'"&amp;F862&amp;"'!$F$17"),"")</f>
        <v/>
      </c>
      <c r="M862" s="116" t="str">
        <f t="shared" ca="1" si="40"/>
        <v/>
      </c>
      <c r="O862" s="49" t="str">
        <f t="shared" ca="1" si="41"/>
        <v/>
      </c>
      <c r="P862" s="38" t="str">
        <f>IF(E862&lt;&gt;"",RANK(E862,$E$3:$E$2298)+COUNTIF($E$3:E862,E862)-1,"")</f>
        <v/>
      </c>
    </row>
    <row r="863" spans="4:16" x14ac:dyDescent="0.25">
      <c r="D863" s="36" t="str" cm="1">
        <f t="array" aca="1" ref="D863" ca="1">IFERROR(IF(INDIRECT("'"&amp;F863&amp;"'!$C$5")&gt;0,DATE(YEAR(Dashboard!$AL$2),Dashboard!$AU$4,INDIRECT("'"&amp;F863&amp;"'!$C$5")),""),"")</f>
        <v/>
      </c>
      <c r="G863" s="38" t="str" cm="1">
        <f t="array" aca="1" ref="G863" ca="1">IF(F863="",
    "",
    IFERROR(
        IF(INDIRECT("'"&amp;F863&amp;"'!$B$2")="Credit Limit",
            "Credit Accounts",
            IF(INDIRECT("'"&amp;F863&amp;"'!$E$2")="Location",
                "Cash Accounts",
                IF(INDIRECT("'"&amp;F863&amp;"'!$B$2")="Amount",
                    "Investments",
                    "Bill Accounts"
                )
            )
        ),
    "")
)</f>
        <v/>
      </c>
      <c r="I863" s="46" t="str" cm="1">
        <f t="array" aca="1" ref="I863" ca="1">IF(F863&lt;&gt;"",IF(OR(G863="Bill Accounts",G863="Investments", G863="Cash Accounts"),INDIRECT("'"&amp;F863&amp;"'!$C$10"),INDIRECT("'"&amp;F863&amp;"'!$C$8")),"")</f>
        <v/>
      </c>
      <c r="K863" s="48">
        <f t="shared" si="42"/>
        <v>869</v>
      </c>
      <c r="L863" s="114" t="str" cm="1">
        <f t="array" aca="1" ref="L863" ca="1">IF(F863&lt;&gt;"",INDIRECT("'"&amp;F863&amp;"'!$F$17"),"")</f>
        <v/>
      </c>
      <c r="M863" s="116" t="str">
        <f t="shared" ca="1" si="40"/>
        <v/>
      </c>
      <c r="O863" s="49" t="str">
        <f t="shared" ca="1" si="41"/>
        <v/>
      </c>
      <c r="P863" s="38" t="str">
        <f>IF(E863&lt;&gt;"",RANK(E863,$E$3:$E$2298)+COUNTIF($E$3:E863,E863)-1,"")</f>
        <v/>
      </c>
    </row>
    <row r="864" spans="4:16" x14ac:dyDescent="0.25">
      <c r="D864" s="36" t="str" cm="1">
        <f t="array" aca="1" ref="D864" ca="1">IFERROR(IF(INDIRECT("'"&amp;F864&amp;"'!$C$5")&gt;0,DATE(YEAR(Dashboard!$AL$2),Dashboard!$AU$4,INDIRECT("'"&amp;F864&amp;"'!$C$5")),""),"")</f>
        <v/>
      </c>
      <c r="G864" s="38" t="str" cm="1">
        <f t="array" aca="1" ref="G864" ca="1">IF(F864="",
    "",
    IFERROR(
        IF(INDIRECT("'"&amp;F864&amp;"'!$B$2")="Credit Limit",
            "Credit Accounts",
            IF(INDIRECT("'"&amp;F864&amp;"'!$E$2")="Location",
                "Cash Accounts",
                IF(INDIRECT("'"&amp;F864&amp;"'!$B$2")="Amount",
                    "Investments",
                    "Bill Accounts"
                )
            )
        ),
    "")
)</f>
        <v/>
      </c>
      <c r="I864" s="46" t="str" cm="1">
        <f t="array" aca="1" ref="I864" ca="1">IF(F864&lt;&gt;"",IF(OR(G864="Bill Accounts",G864="Investments", G864="Cash Accounts"),INDIRECT("'"&amp;F864&amp;"'!$C$10"),INDIRECT("'"&amp;F864&amp;"'!$C$8")),"")</f>
        <v/>
      </c>
      <c r="K864" s="48">
        <f t="shared" si="42"/>
        <v>870</v>
      </c>
      <c r="L864" s="114" t="str" cm="1">
        <f t="array" aca="1" ref="L864" ca="1">IF(F864&lt;&gt;"",INDIRECT("'"&amp;F864&amp;"'!$F$17"),"")</f>
        <v/>
      </c>
      <c r="M864" s="116" t="str">
        <f t="shared" ca="1" si="40"/>
        <v/>
      </c>
      <c r="O864" s="49" t="str">
        <f t="shared" ca="1" si="41"/>
        <v/>
      </c>
      <c r="P864" s="38" t="str">
        <f>IF(E864&lt;&gt;"",RANK(E864,$E$3:$E$2298)+COUNTIF($E$3:E864,E864)-1,"")</f>
        <v/>
      </c>
    </row>
    <row r="865" spans="4:16" x14ac:dyDescent="0.25">
      <c r="D865" s="36" t="str" cm="1">
        <f t="array" aca="1" ref="D865" ca="1">IFERROR(IF(INDIRECT("'"&amp;F865&amp;"'!$C$5")&gt;0,DATE(YEAR(Dashboard!$AL$2),Dashboard!$AU$4,INDIRECT("'"&amp;F865&amp;"'!$C$5")),""),"")</f>
        <v/>
      </c>
      <c r="G865" s="38" t="str" cm="1">
        <f t="array" aca="1" ref="G865" ca="1">IF(F865="",
    "",
    IFERROR(
        IF(INDIRECT("'"&amp;F865&amp;"'!$B$2")="Credit Limit",
            "Credit Accounts",
            IF(INDIRECT("'"&amp;F865&amp;"'!$E$2")="Location",
                "Cash Accounts",
                IF(INDIRECT("'"&amp;F865&amp;"'!$B$2")="Amount",
                    "Investments",
                    "Bill Accounts"
                )
            )
        ),
    "")
)</f>
        <v/>
      </c>
      <c r="I865" s="46" t="str" cm="1">
        <f t="array" aca="1" ref="I865" ca="1">IF(F865&lt;&gt;"",IF(OR(G865="Bill Accounts",G865="Investments", G865="Cash Accounts"),INDIRECT("'"&amp;F865&amp;"'!$C$10"),INDIRECT("'"&amp;F865&amp;"'!$C$8")),"")</f>
        <v/>
      </c>
      <c r="K865" s="48">
        <f t="shared" si="42"/>
        <v>871</v>
      </c>
      <c r="L865" s="114" t="str" cm="1">
        <f t="array" aca="1" ref="L865" ca="1">IF(F865&lt;&gt;"",INDIRECT("'"&amp;F865&amp;"'!$F$17"),"")</f>
        <v/>
      </c>
      <c r="M865" s="116" t="str">
        <f t="shared" ca="1" si="40"/>
        <v/>
      </c>
      <c r="O865" s="49" t="str">
        <f t="shared" ca="1" si="41"/>
        <v/>
      </c>
      <c r="P865" s="38" t="str">
        <f>IF(E865&lt;&gt;"",RANK(E865,$E$3:$E$2298)+COUNTIF($E$3:E865,E865)-1,"")</f>
        <v/>
      </c>
    </row>
    <row r="866" spans="4:16" x14ac:dyDescent="0.25">
      <c r="D866" s="36" t="str" cm="1">
        <f t="array" aca="1" ref="D866" ca="1">IFERROR(IF(INDIRECT("'"&amp;F866&amp;"'!$C$5")&gt;0,DATE(YEAR(Dashboard!$AL$2),Dashboard!$AU$4,INDIRECT("'"&amp;F866&amp;"'!$C$5")),""),"")</f>
        <v/>
      </c>
      <c r="G866" s="38" t="str" cm="1">
        <f t="array" aca="1" ref="G866" ca="1">IF(F866="",
    "",
    IFERROR(
        IF(INDIRECT("'"&amp;F866&amp;"'!$B$2")="Credit Limit",
            "Credit Accounts",
            IF(INDIRECT("'"&amp;F866&amp;"'!$E$2")="Location",
                "Cash Accounts",
                IF(INDIRECT("'"&amp;F866&amp;"'!$B$2")="Amount",
                    "Investments",
                    "Bill Accounts"
                )
            )
        ),
    "")
)</f>
        <v/>
      </c>
      <c r="I866" s="46" t="str" cm="1">
        <f t="array" aca="1" ref="I866" ca="1">IF(F866&lt;&gt;"",IF(OR(G866="Bill Accounts",G866="Investments", G866="Cash Accounts"),INDIRECT("'"&amp;F866&amp;"'!$C$10"),INDIRECT("'"&amp;F866&amp;"'!$C$8")),"")</f>
        <v/>
      </c>
      <c r="K866" s="48">
        <f t="shared" si="42"/>
        <v>872</v>
      </c>
      <c r="L866" s="114" t="str" cm="1">
        <f t="array" aca="1" ref="L866" ca="1">IF(F866&lt;&gt;"",INDIRECT("'"&amp;F866&amp;"'!$F$17"),"")</f>
        <v/>
      </c>
      <c r="M866" s="116" t="str">
        <f t="shared" ca="1" si="40"/>
        <v/>
      </c>
      <c r="O866" s="49" t="str">
        <f t="shared" ca="1" si="41"/>
        <v/>
      </c>
      <c r="P866" s="38" t="str">
        <f>IF(E866&lt;&gt;"",RANK(E866,$E$3:$E$2298)+COUNTIF($E$3:E866,E866)-1,"")</f>
        <v/>
      </c>
    </row>
    <row r="867" spans="4:16" x14ac:dyDescent="0.25">
      <c r="D867" s="36" t="str" cm="1">
        <f t="array" aca="1" ref="D867" ca="1">IFERROR(IF(INDIRECT("'"&amp;F867&amp;"'!$C$5")&gt;0,DATE(YEAR(Dashboard!$AL$2),Dashboard!$AU$4,INDIRECT("'"&amp;F867&amp;"'!$C$5")),""),"")</f>
        <v/>
      </c>
      <c r="G867" s="38" t="str" cm="1">
        <f t="array" aca="1" ref="G867" ca="1">IF(F867="",
    "",
    IFERROR(
        IF(INDIRECT("'"&amp;F867&amp;"'!$B$2")="Credit Limit",
            "Credit Accounts",
            IF(INDIRECT("'"&amp;F867&amp;"'!$E$2")="Location",
                "Cash Accounts",
                IF(INDIRECT("'"&amp;F867&amp;"'!$B$2")="Amount",
                    "Investments",
                    "Bill Accounts"
                )
            )
        ),
    "")
)</f>
        <v/>
      </c>
      <c r="I867" s="46" t="str" cm="1">
        <f t="array" aca="1" ref="I867" ca="1">IF(F867&lt;&gt;"",IF(OR(G867="Bill Accounts",G867="Investments", G867="Cash Accounts"),INDIRECT("'"&amp;F867&amp;"'!$C$10"),INDIRECT("'"&amp;F867&amp;"'!$C$8")),"")</f>
        <v/>
      </c>
      <c r="K867" s="48">
        <f t="shared" si="42"/>
        <v>873</v>
      </c>
      <c r="L867" s="114" t="str" cm="1">
        <f t="array" aca="1" ref="L867" ca="1">IF(F867&lt;&gt;"",INDIRECT("'"&amp;F867&amp;"'!$F$17"),"")</f>
        <v/>
      </c>
      <c r="M867" s="116" t="str">
        <f t="shared" ca="1" si="40"/>
        <v/>
      </c>
      <c r="O867" s="49" t="str">
        <f t="shared" ca="1" si="41"/>
        <v/>
      </c>
      <c r="P867" s="38" t="str">
        <f>IF(E867&lt;&gt;"",RANK(E867,$E$3:$E$2298)+COUNTIF($E$3:E867,E867)-1,"")</f>
        <v/>
      </c>
    </row>
    <row r="868" spans="4:16" x14ac:dyDescent="0.25">
      <c r="D868" s="36" t="str" cm="1">
        <f t="array" aca="1" ref="D868" ca="1">IFERROR(IF(INDIRECT("'"&amp;F868&amp;"'!$C$5")&gt;0,DATE(YEAR(Dashboard!$AL$2),Dashboard!$AU$4,INDIRECT("'"&amp;F868&amp;"'!$C$5")),""),"")</f>
        <v/>
      </c>
      <c r="G868" s="38" t="str" cm="1">
        <f t="array" aca="1" ref="G868" ca="1">IF(F868="",
    "",
    IFERROR(
        IF(INDIRECT("'"&amp;F868&amp;"'!$B$2")="Credit Limit",
            "Credit Accounts",
            IF(INDIRECT("'"&amp;F868&amp;"'!$E$2")="Location",
                "Cash Accounts",
                IF(INDIRECT("'"&amp;F868&amp;"'!$B$2")="Amount",
                    "Investments",
                    "Bill Accounts"
                )
            )
        ),
    "")
)</f>
        <v/>
      </c>
      <c r="I868" s="46" t="str" cm="1">
        <f t="array" aca="1" ref="I868" ca="1">IF(F868&lt;&gt;"",IF(OR(G868="Bill Accounts",G868="Investments", G868="Cash Accounts"),INDIRECT("'"&amp;F868&amp;"'!$C$10"),INDIRECT("'"&amp;F868&amp;"'!$C$8")),"")</f>
        <v/>
      </c>
      <c r="K868" s="48">
        <f t="shared" si="42"/>
        <v>874</v>
      </c>
      <c r="L868" s="114" t="str" cm="1">
        <f t="array" aca="1" ref="L868" ca="1">IF(F868&lt;&gt;"",INDIRECT("'"&amp;F868&amp;"'!$F$17"),"")</f>
        <v/>
      </c>
      <c r="M868" s="116" t="str">
        <f t="shared" ca="1" si="40"/>
        <v/>
      </c>
      <c r="O868" s="49" t="str">
        <f t="shared" ca="1" si="41"/>
        <v/>
      </c>
      <c r="P868" s="38" t="str">
        <f>IF(E868&lt;&gt;"",RANK(E868,$E$3:$E$2298)+COUNTIF($E$3:E868,E868)-1,"")</f>
        <v/>
      </c>
    </row>
    <row r="869" spans="4:16" x14ac:dyDescent="0.25">
      <c r="D869" s="36" t="str" cm="1">
        <f t="array" aca="1" ref="D869" ca="1">IFERROR(IF(INDIRECT("'"&amp;F869&amp;"'!$C$5")&gt;0,DATE(YEAR(Dashboard!$AL$2),Dashboard!$AU$4,INDIRECT("'"&amp;F869&amp;"'!$C$5")),""),"")</f>
        <v/>
      </c>
      <c r="G869" s="38" t="str" cm="1">
        <f t="array" aca="1" ref="G869" ca="1">IF(F869="",
    "",
    IFERROR(
        IF(INDIRECT("'"&amp;F869&amp;"'!$B$2")="Credit Limit",
            "Credit Accounts",
            IF(INDIRECT("'"&amp;F869&amp;"'!$E$2")="Location",
                "Cash Accounts",
                IF(INDIRECT("'"&amp;F869&amp;"'!$B$2")="Amount",
                    "Investments",
                    "Bill Accounts"
                )
            )
        ),
    "")
)</f>
        <v/>
      </c>
      <c r="I869" s="46" t="str" cm="1">
        <f t="array" aca="1" ref="I869" ca="1">IF(F869&lt;&gt;"",IF(OR(G869="Bill Accounts",G869="Investments", G869="Cash Accounts"),INDIRECT("'"&amp;F869&amp;"'!$C$10"),INDIRECT("'"&amp;F869&amp;"'!$C$8")),"")</f>
        <v/>
      </c>
      <c r="K869" s="48">
        <f t="shared" si="42"/>
        <v>875</v>
      </c>
      <c r="L869" s="114" t="str" cm="1">
        <f t="array" aca="1" ref="L869" ca="1">IF(F869&lt;&gt;"",INDIRECT("'"&amp;F869&amp;"'!$F$17"),"")</f>
        <v/>
      </c>
      <c r="M869" s="116" t="str">
        <f t="shared" ca="1" si="40"/>
        <v/>
      </c>
      <c r="O869" s="49" t="str">
        <f t="shared" ca="1" si="41"/>
        <v/>
      </c>
      <c r="P869" s="38" t="str">
        <f>IF(E869&lt;&gt;"",RANK(E869,$E$3:$E$2298)+COUNTIF($E$3:E869,E869)-1,"")</f>
        <v/>
      </c>
    </row>
    <row r="870" spans="4:16" x14ac:dyDescent="0.25">
      <c r="D870" s="36" t="str" cm="1">
        <f t="array" aca="1" ref="D870" ca="1">IFERROR(IF(INDIRECT("'"&amp;F870&amp;"'!$C$5")&gt;0,DATE(YEAR(Dashboard!$AL$2),Dashboard!$AU$4,INDIRECT("'"&amp;F870&amp;"'!$C$5")),""),"")</f>
        <v/>
      </c>
      <c r="G870" s="38" t="str" cm="1">
        <f t="array" aca="1" ref="G870" ca="1">IF(F870="",
    "",
    IFERROR(
        IF(INDIRECT("'"&amp;F870&amp;"'!$B$2")="Credit Limit",
            "Credit Accounts",
            IF(INDIRECT("'"&amp;F870&amp;"'!$E$2")="Location",
                "Cash Accounts",
                IF(INDIRECT("'"&amp;F870&amp;"'!$B$2")="Amount",
                    "Investments",
                    "Bill Accounts"
                )
            )
        ),
    "")
)</f>
        <v/>
      </c>
      <c r="I870" s="46" t="str" cm="1">
        <f t="array" aca="1" ref="I870" ca="1">IF(F870&lt;&gt;"",IF(OR(G870="Bill Accounts",G870="Investments", G870="Cash Accounts"),INDIRECT("'"&amp;F870&amp;"'!$C$10"),INDIRECT("'"&amp;F870&amp;"'!$C$8")),"")</f>
        <v/>
      </c>
      <c r="K870" s="48">
        <f t="shared" si="42"/>
        <v>876</v>
      </c>
      <c r="L870" s="114" t="str" cm="1">
        <f t="array" aca="1" ref="L870" ca="1">IF(F870&lt;&gt;"",INDIRECT("'"&amp;F870&amp;"'!$F$17"),"")</f>
        <v/>
      </c>
      <c r="M870" s="116" t="str">
        <f t="shared" ca="1" si="40"/>
        <v/>
      </c>
      <c r="O870" s="49" t="str">
        <f t="shared" ca="1" si="41"/>
        <v/>
      </c>
      <c r="P870" s="38" t="str">
        <f>IF(E870&lt;&gt;"",RANK(E870,$E$3:$E$2298)+COUNTIF($E$3:E870,E870)-1,"")</f>
        <v/>
      </c>
    </row>
    <row r="871" spans="4:16" x14ac:dyDescent="0.25">
      <c r="D871" s="36" t="str" cm="1">
        <f t="array" aca="1" ref="D871" ca="1">IFERROR(IF(INDIRECT("'"&amp;F871&amp;"'!$C$5")&gt;0,DATE(YEAR(Dashboard!$AL$2),Dashboard!$AU$4,INDIRECT("'"&amp;F871&amp;"'!$C$5")),""),"")</f>
        <v/>
      </c>
      <c r="G871" s="38" t="str" cm="1">
        <f t="array" aca="1" ref="G871" ca="1">IF(F871="",
    "",
    IFERROR(
        IF(INDIRECT("'"&amp;F871&amp;"'!$B$2")="Credit Limit",
            "Credit Accounts",
            IF(INDIRECT("'"&amp;F871&amp;"'!$E$2")="Location",
                "Cash Accounts",
                IF(INDIRECT("'"&amp;F871&amp;"'!$B$2")="Amount",
                    "Investments",
                    "Bill Accounts"
                )
            )
        ),
    "")
)</f>
        <v/>
      </c>
      <c r="I871" s="46" t="str" cm="1">
        <f t="array" aca="1" ref="I871" ca="1">IF(F871&lt;&gt;"",IF(OR(G871="Bill Accounts",G871="Investments", G871="Cash Accounts"),INDIRECT("'"&amp;F871&amp;"'!$C$10"),INDIRECT("'"&amp;F871&amp;"'!$C$8")),"")</f>
        <v/>
      </c>
      <c r="K871" s="48">
        <f t="shared" si="42"/>
        <v>877</v>
      </c>
      <c r="L871" s="114" t="str" cm="1">
        <f t="array" aca="1" ref="L871" ca="1">IF(F871&lt;&gt;"",INDIRECT("'"&amp;F871&amp;"'!$F$17"),"")</f>
        <v/>
      </c>
      <c r="M871" s="116" t="str">
        <f t="shared" ca="1" si="40"/>
        <v/>
      </c>
      <c r="O871" s="49" t="str">
        <f t="shared" ca="1" si="41"/>
        <v/>
      </c>
      <c r="P871" s="38" t="str">
        <f>IF(E871&lt;&gt;"",RANK(E871,$E$3:$E$2298)+COUNTIF($E$3:E871,E871)-1,"")</f>
        <v/>
      </c>
    </row>
    <row r="872" spans="4:16" x14ac:dyDescent="0.25">
      <c r="D872" s="36" t="str" cm="1">
        <f t="array" aca="1" ref="D872" ca="1">IFERROR(IF(INDIRECT("'"&amp;F872&amp;"'!$C$5")&gt;0,DATE(YEAR(Dashboard!$AL$2),Dashboard!$AU$4,INDIRECT("'"&amp;F872&amp;"'!$C$5")),""),"")</f>
        <v/>
      </c>
      <c r="G872" s="38" t="str" cm="1">
        <f t="array" aca="1" ref="G872" ca="1">IF(F872="",
    "",
    IFERROR(
        IF(INDIRECT("'"&amp;F872&amp;"'!$B$2")="Credit Limit",
            "Credit Accounts",
            IF(INDIRECT("'"&amp;F872&amp;"'!$E$2")="Location",
                "Cash Accounts",
                IF(INDIRECT("'"&amp;F872&amp;"'!$B$2")="Amount",
                    "Investments",
                    "Bill Accounts"
                )
            )
        ),
    "")
)</f>
        <v/>
      </c>
      <c r="I872" s="46" t="str" cm="1">
        <f t="array" aca="1" ref="I872" ca="1">IF(F872&lt;&gt;"",IF(OR(G872="Bill Accounts",G872="Investments", G872="Cash Accounts"),INDIRECT("'"&amp;F872&amp;"'!$C$10"),INDIRECT("'"&amp;F872&amp;"'!$C$8")),"")</f>
        <v/>
      </c>
      <c r="K872" s="48">
        <f t="shared" si="42"/>
        <v>878</v>
      </c>
      <c r="L872" s="114" t="str" cm="1">
        <f t="array" aca="1" ref="L872" ca="1">IF(F872&lt;&gt;"",INDIRECT("'"&amp;F872&amp;"'!$F$17"),"")</f>
        <v/>
      </c>
      <c r="M872" s="116" t="str">
        <f t="shared" ca="1" si="40"/>
        <v/>
      </c>
      <c r="O872" s="49" t="str">
        <f t="shared" ca="1" si="41"/>
        <v/>
      </c>
      <c r="P872" s="38" t="str">
        <f>IF(E872&lt;&gt;"",RANK(E872,$E$3:$E$2298)+COUNTIF($E$3:E872,E872)-1,"")</f>
        <v/>
      </c>
    </row>
    <row r="873" spans="4:16" x14ac:dyDescent="0.25">
      <c r="D873" s="36" t="str" cm="1">
        <f t="array" aca="1" ref="D873" ca="1">IFERROR(IF(INDIRECT("'"&amp;F873&amp;"'!$C$5")&gt;0,DATE(YEAR(Dashboard!$AL$2),Dashboard!$AU$4,INDIRECT("'"&amp;F873&amp;"'!$C$5")),""),"")</f>
        <v/>
      </c>
      <c r="G873" s="38" t="str" cm="1">
        <f t="array" aca="1" ref="G873" ca="1">IF(F873="",
    "",
    IFERROR(
        IF(INDIRECT("'"&amp;F873&amp;"'!$B$2")="Credit Limit",
            "Credit Accounts",
            IF(INDIRECT("'"&amp;F873&amp;"'!$E$2")="Location",
                "Cash Accounts",
                IF(INDIRECT("'"&amp;F873&amp;"'!$B$2")="Amount",
                    "Investments",
                    "Bill Accounts"
                )
            )
        ),
    "")
)</f>
        <v/>
      </c>
      <c r="I873" s="46" t="str" cm="1">
        <f t="array" aca="1" ref="I873" ca="1">IF(F873&lt;&gt;"",IF(OR(G873="Bill Accounts",G873="Investments", G873="Cash Accounts"),INDIRECT("'"&amp;F873&amp;"'!$C$10"),INDIRECT("'"&amp;F873&amp;"'!$C$8")),"")</f>
        <v/>
      </c>
      <c r="K873" s="48">
        <f t="shared" si="42"/>
        <v>879</v>
      </c>
      <c r="L873" s="114" t="str" cm="1">
        <f t="array" aca="1" ref="L873" ca="1">IF(F873&lt;&gt;"",INDIRECT("'"&amp;F873&amp;"'!$F$17"),"")</f>
        <v/>
      </c>
      <c r="M873" s="116" t="str">
        <f t="shared" ca="1" si="40"/>
        <v/>
      </c>
      <c r="O873" s="49" t="str">
        <f t="shared" ca="1" si="41"/>
        <v/>
      </c>
      <c r="P873" s="38" t="str">
        <f>IF(E873&lt;&gt;"",RANK(E873,$E$3:$E$2298)+COUNTIF($E$3:E873,E873)-1,"")</f>
        <v/>
      </c>
    </row>
    <row r="874" spans="4:16" x14ac:dyDescent="0.25">
      <c r="D874" s="36" t="str" cm="1">
        <f t="array" aca="1" ref="D874" ca="1">IFERROR(IF(INDIRECT("'"&amp;F874&amp;"'!$C$5")&gt;0,DATE(YEAR(Dashboard!$AL$2),Dashboard!$AU$4,INDIRECT("'"&amp;F874&amp;"'!$C$5")),""),"")</f>
        <v/>
      </c>
      <c r="G874" s="38" t="str" cm="1">
        <f t="array" aca="1" ref="G874" ca="1">IF(F874="",
    "",
    IFERROR(
        IF(INDIRECT("'"&amp;F874&amp;"'!$B$2")="Credit Limit",
            "Credit Accounts",
            IF(INDIRECT("'"&amp;F874&amp;"'!$E$2")="Location",
                "Cash Accounts",
                IF(INDIRECT("'"&amp;F874&amp;"'!$B$2")="Amount",
                    "Investments",
                    "Bill Accounts"
                )
            )
        ),
    "")
)</f>
        <v/>
      </c>
      <c r="I874" s="46" t="str" cm="1">
        <f t="array" aca="1" ref="I874" ca="1">IF(F874&lt;&gt;"",IF(OR(G874="Bill Accounts",G874="Investments", G874="Cash Accounts"),INDIRECT("'"&amp;F874&amp;"'!$C$10"),INDIRECT("'"&amp;F874&amp;"'!$C$8")),"")</f>
        <v/>
      </c>
      <c r="K874" s="48">
        <f t="shared" si="42"/>
        <v>880</v>
      </c>
      <c r="L874" s="114" t="str" cm="1">
        <f t="array" aca="1" ref="L874" ca="1">IF(F874&lt;&gt;"",INDIRECT("'"&amp;F874&amp;"'!$F$17"),"")</f>
        <v/>
      </c>
      <c r="M874" s="116" t="str">
        <f t="shared" ca="1" si="40"/>
        <v/>
      </c>
      <c r="O874" s="49" t="str">
        <f t="shared" ca="1" si="41"/>
        <v/>
      </c>
      <c r="P874" s="38" t="str">
        <f>IF(E874&lt;&gt;"",RANK(E874,$E$3:$E$2298)+COUNTIF($E$3:E874,E874)-1,"")</f>
        <v/>
      </c>
    </row>
    <row r="875" spans="4:16" x14ac:dyDescent="0.25">
      <c r="D875" s="36" t="str" cm="1">
        <f t="array" aca="1" ref="D875" ca="1">IFERROR(IF(INDIRECT("'"&amp;F875&amp;"'!$C$5")&gt;0,DATE(YEAR(Dashboard!$AL$2),Dashboard!$AU$4,INDIRECT("'"&amp;F875&amp;"'!$C$5")),""),"")</f>
        <v/>
      </c>
      <c r="G875" s="38" t="str" cm="1">
        <f t="array" aca="1" ref="G875" ca="1">IF(F875="",
    "",
    IFERROR(
        IF(INDIRECT("'"&amp;F875&amp;"'!$B$2")="Credit Limit",
            "Credit Accounts",
            IF(INDIRECT("'"&amp;F875&amp;"'!$E$2")="Location",
                "Cash Accounts",
                IF(INDIRECT("'"&amp;F875&amp;"'!$B$2")="Amount",
                    "Investments",
                    "Bill Accounts"
                )
            )
        ),
    "")
)</f>
        <v/>
      </c>
      <c r="I875" s="46" t="str" cm="1">
        <f t="array" aca="1" ref="I875" ca="1">IF(F875&lt;&gt;"",IF(OR(G875="Bill Accounts",G875="Investments", G875="Cash Accounts"),INDIRECT("'"&amp;F875&amp;"'!$C$10"),INDIRECT("'"&amp;F875&amp;"'!$C$8")),"")</f>
        <v/>
      </c>
      <c r="K875" s="48">
        <f t="shared" si="42"/>
        <v>881</v>
      </c>
      <c r="L875" s="114" t="str" cm="1">
        <f t="array" aca="1" ref="L875" ca="1">IF(F875&lt;&gt;"",INDIRECT("'"&amp;F875&amp;"'!$F$17"),"")</f>
        <v/>
      </c>
      <c r="M875" s="116" t="str">
        <f t="shared" ca="1" si="40"/>
        <v/>
      </c>
      <c r="O875" s="49" t="str">
        <f t="shared" ca="1" si="41"/>
        <v/>
      </c>
      <c r="P875" s="38" t="str">
        <f>IF(E875&lt;&gt;"",RANK(E875,$E$3:$E$2298)+COUNTIF($E$3:E875,E875)-1,"")</f>
        <v/>
      </c>
    </row>
    <row r="876" spans="4:16" x14ac:dyDescent="0.25">
      <c r="D876" s="36" t="str" cm="1">
        <f t="array" aca="1" ref="D876" ca="1">IFERROR(IF(INDIRECT("'"&amp;F876&amp;"'!$C$5")&gt;0,DATE(YEAR(Dashboard!$AL$2),Dashboard!$AU$4,INDIRECT("'"&amp;F876&amp;"'!$C$5")),""),"")</f>
        <v/>
      </c>
      <c r="G876" s="38" t="str" cm="1">
        <f t="array" aca="1" ref="G876" ca="1">IF(F876="",
    "",
    IFERROR(
        IF(INDIRECT("'"&amp;F876&amp;"'!$B$2")="Credit Limit",
            "Credit Accounts",
            IF(INDIRECT("'"&amp;F876&amp;"'!$E$2")="Location",
                "Cash Accounts",
                IF(INDIRECT("'"&amp;F876&amp;"'!$B$2")="Amount",
                    "Investments",
                    "Bill Accounts"
                )
            )
        ),
    "")
)</f>
        <v/>
      </c>
      <c r="I876" s="46" t="str" cm="1">
        <f t="array" aca="1" ref="I876" ca="1">IF(F876&lt;&gt;"",IF(OR(G876="Bill Accounts",G876="Investments", G876="Cash Accounts"),INDIRECT("'"&amp;F876&amp;"'!$C$10"),INDIRECT("'"&amp;F876&amp;"'!$C$8")),"")</f>
        <v/>
      </c>
      <c r="K876" s="48">
        <f t="shared" si="42"/>
        <v>882</v>
      </c>
      <c r="L876" s="114" t="str" cm="1">
        <f t="array" aca="1" ref="L876" ca="1">IF(F876&lt;&gt;"",INDIRECT("'"&amp;F876&amp;"'!$F$17"),"")</f>
        <v/>
      </c>
      <c r="M876" s="116" t="str">
        <f t="shared" ca="1" si="40"/>
        <v/>
      </c>
      <c r="O876" s="49" t="str">
        <f t="shared" ca="1" si="41"/>
        <v/>
      </c>
      <c r="P876" s="38" t="str">
        <f>IF(E876&lt;&gt;"",RANK(E876,$E$3:$E$2298)+COUNTIF($E$3:E876,E876)-1,"")</f>
        <v/>
      </c>
    </row>
    <row r="877" spans="4:16" x14ac:dyDescent="0.25">
      <c r="D877" s="36" t="str" cm="1">
        <f t="array" aca="1" ref="D877" ca="1">IFERROR(IF(INDIRECT("'"&amp;F877&amp;"'!$C$5")&gt;0,DATE(YEAR(Dashboard!$AL$2),Dashboard!$AU$4,INDIRECT("'"&amp;F877&amp;"'!$C$5")),""),"")</f>
        <v/>
      </c>
      <c r="G877" s="38" t="str" cm="1">
        <f t="array" aca="1" ref="G877" ca="1">IF(F877="",
    "",
    IFERROR(
        IF(INDIRECT("'"&amp;F877&amp;"'!$B$2")="Credit Limit",
            "Credit Accounts",
            IF(INDIRECT("'"&amp;F877&amp;"'!$E$2")="Location",
                "Cash Accounts",
                IF(INDIRECT("'"&amp;F877&amp;"'!$B$2")="Amount",
                    "Investments",
                    "Bill Accounts"
                )
            )
        ),
    "")
)</f>
        <v/>
      </c>
      <c r="I877" s="46" t="str" cm="1">
        <f t="array" aca="1" ref="I877" ca="1">IF(F877&lt;&gt;"",IF(OR(G877="Bill Accounts",G877="Investments", G877="Cash Accounts"),INDIRECT("'"&amp;F877&amp;"'!$C$10"),INDIRECT("'"&amp;F877&amp;"'!$C$8")),"")</f>
        <v/>
      </c>
      <c r="K877" s="48">
        <f t="shared" si="42"/>
        <v>883</v>
      </c>
      <c r="L877" s="114" t="str" cm="1">
        <f t="array" aca="1" ref="L877" ca="1">IF(F877&lt;&gt;"",INDIRECT("'"&amp;F877&amp;"'!$F$17"),"")</f>
        <v/>
      </c>
      <c r="M877" s="116" t="str">
        <f t="shared" ca="1" si="40"/>
        <v/>
      </c>
      <c r="O877" s="49" t="str">
        <f t="shared" ca="1" si="41"/>
        <v/>
      </c>
      <c r="P877" s="38" t="str">
        <f>IF(E877&lt;&gt;"",RANK(E877,$E$3:$E$2298)+COUNTIF($E$3:E877,E877)-1,"")</f>
        <v/>
      </c>
    </row>
    <row r="878" spans="4:16" x14ac:dyDescent="0.25">
      <c r="D878" s="36" t="str" cm="1">
        <f t="array" aca="1" ref="D878" ca="1">IFERROR(IF(INDIRECT("'"&amp;F878&amp;"'!$C$5")&gt;0,DATE(YEAR(Dashboard!$AL$2),Dashboard!$AU$4,INDIRECT("'"&amp;F878&amp;"'!$C$5")),""),"")</f>
        <v/>
      </c>
      <c r="G878" s="38" t="str" cm="1">
        <f t="array" aca="1" ref="G878" ca="1">IF(F878="",
    "",
    IFERROR(
        IF(INDIRECT("'"&amp;F878&amp;"'!$B$2")="Credit Limit",
            "Credit Accounts",
            IF(INDIRECT("'"&amp;F878&amp;"'!$E$2")="Location",
                "Cash Accounts",
                IF(INDIRECT("'"&amp;F878&amp;"'!$B$2")="Amount",
                    "Investments",
                    "Bill Accounts"
                )
            )
        ),
    "")
)</f>
        <v/>
      </c>
      <c r="I878" s="46" t="str" cm="1">
        <f t="array" aca="1" ref="I878" ca="1">IF(F878&lt;&gt;"",IF(OR(G878="Bill Accounts",G878="Investments", G878="Cash Accounts"),INDIRECT("'"&amp;F878&amp;"'!$C$10"),INDIRECT("'"&amp;F878&amp;"'!$C$8")),"")</f>
        <v/>
      </c>
      <c r="K878" s="48">
        <f t="shared" si="42"/>
        <v>884</v>
      </c>
      <c r="L878" s="114" t="str" cm="1">
        <f t="array" aca="1" ref="L878" ca="1">IF(F878&lt;&gt;"",INDIRECT("'"&amp;F878&amp;"'!$F$17"),"")</f>
        <v/>
      </c>
      <c r="M878" s="116" t="str">
        <f t="shared" ca="1" si="40"/>
        <v/>
      </c>
      <c r="O878" s="49" t="str">
        <f t="shared" ca="1" si="41"/>
        <v/>
      </c>
      <c r="P878" s="38" t="str">
        <f>IF(E878&lt;&gt;"",RANK(E878,$E$3:$E$2298)+COUNTIF($E$3:E878,E878)-1,"")</f>
        <v/>
      </c>
    </row>
    <row r="879" spans="4:16" x14ac:dyDescent="0.25">
      <c r="D879" s="36" t="str" cm="1">
        <f t="array" aca="1" ref="D879" ca="1">IFERROR(IF(INDIRECT("'"&amp;F879&amp;"'!$C$5")&gt;0,DATE(YEAR(Dashboard!$AL$2),Dashboard!$AU$4,INDIRECT("'"&amp;F879&amp;"'!$C$5")),""),"")</f>
        <v/>
      </c>
      <c r="G879" s="38" t="str" cm="1">
        <f t="array" aca="1" ref="G879" ca="1">IF(F879="",
    "",
    IFERROR(
        IF(INDIRECT("'"&amp;F879&amp;"'!$B$2")="Credit Limit",
            "Credit Accounts",
            IF(INDIRECT("'"&amp;F879&amp;"'!$E$2")="Location",
                "Cash Accounts",
                IF(INDIRECT("'"&amp;F879&amp;"'!$B$2")="Amount",
                    "Investments",
                    "Bill Accounts"
                )
            )
        ),
    "")
)</f>
        <v/>
      </c>
      <c r="I879" s="46" t="str" cm="1">
        <f t="array" aca="1" ref="I879" ca="1">IF(F879&lt;&gt;"",IF(OR(G879="Bill Accounts",G879="Investments", G879="Cash Accounts"),INDIRECT("'"&amp;F879&amp;"'!$C$10"),INDIRECT("'"&amp;F879&amp;"'!$C$8")),"")</f>
        <v/>
      </c>
      <c r="K879" s="48">
        <f t="shared" si="42"/>
        <v>885</v>
      </c>
      <c r="L879" s="114" t="str" cm="1">
        <f t="array" aca="1" ref="L879" ca="1">IF(F879&lt;&gt;"",INDIRECT("'"&amp;F879&amp;"'!$F$17"),"")</f>
        <v/>
      </c>
      <c r="M879" s="116" t="str">
        <f t="shared" ca="1" si="40"/>
        <v/>
      </c>
      <c r="O879" s="49" t="str">
        <f t="shared" ca="1" si="41"/>
        <v/>
      </c>
      <c r="P879" s="38" t="str">
        <f>IF(E879&lt;&gt;"",RANK(E879,$E$3:$E$2298)+COUNTIF($E$3:E879,E879)-1,"")</f>
        <v/>
      </c>
    </row>
    <row r="880" spans="4:16" x14ac:dyDescent="0.25">
      <c r="D880" s="36" t="str" cm="1">
        <f t="array" aca="1" ref="D880" ca="1">IFERROR(IF(INDIRECT("'"&amp;F880&amp;"'!$C$5")&gt;0,DATE(YEAR(Dashboard!$AL$2),Dashboard!$AU$4,INDIRECT("'"&amp;F880&amp;"'!$C$5")),""),"")</f>
        <v/>
      </c>
      <c r="G880" s="38" t="str" cm="1">
        <f t="array" aca="1" ref="G880" ca="1">IF(F880="",
    "",
    IFERROR(
        IF(INDIRECT("'"&amp;F880&amp;"'!$B$2")="Credit Limit",
            "Credit Accounts",
            IF(INDIRECT("'"&amp;F880&amp;"'!$E$2")="Location",
                "Cash Accounts",
                IF(INDIRECT("'"&amp;F880&amp;"'!$B$2")="Amount",
                    "Investments",
                    "Bill Accounts"
                )
            )
        ),
    "")
)</f>
        <v/>
      </c>
      <c r="I880" s="46" t="str" cm="1">
        <f t="array" aca="1" ref="I880" ca="1">IF(F880&lt;&gt;"",IF(OR(G880="Bill Accounts",G880="Investments", G880="Cash Accounts"),INDIRECT("'"&amp;F880&amp;"'!$C$10"),INDIRECT("'"&amp;F880&amp;"'!$C$8")),"")</f>
        <v/>
      </c>
      <c r="K880" s="48">
        <f t="shared" si="42"/>
        <v>886</v>
      </c>
      <c r="L880" s="114" t="str" cm="1">
        <f t="array" aca="1" ref="L880" ca="1">IF(F880&lt;&gt;"",INDIRECT("'"&amp;F880&amp;"'!$F$17"),"")</f>
        <v/>
      </c>
      <c r="M880" s="116" t="str">
        <f t="shared" ca="1" si="40"/>
        <v/>
      </c>
      <c r="O880" s="49" t="str">
        <f t="shared" ca="1" si="41"/>
        <v/>
      </c>
      <c r="P880" s="38" t="str">
        <f>IF(E880&lt;&gt;"",RANK(E880,$E$3:$E$2298)+COUNTIF($E$3:E880,E880)-1,"")</f>
        <v/>
      </c>
    </row>
    <row r="881" spans="4:16" x14ac:dyDescent="0.25">
      <c r="D881" s="36" t="str" cm="1">
        <f t="array" aca="1" ref="D881" ca="1">IFERROR(IF(INDIRECT("'"&amp;F881&amp;"'!$C$5")&gt;0,DATE(YEAR(Dashboard!$AL$2),Dashboard!$AU$4,INDIRECT("'"&amp;F881&amp;"'!$C$5")),""),"")</f>
        <v/>
      </c>
      <c r="G881" s="38" t="str" cm="1">
        <f t="array" aca="1" ref="G881" ca="1">IF(F881="",
    "",
    IFERROR(
        IF(INDIRECT("'"&amp;F881&amp;"'!$B$2")="Credit Limit",
            "Credit Accounts",
            IF(INDIRECT("'"&amp;F881&amp;"'!$E$2")="Location",
                "Cash Accounts",
                IF(INDIRECT("'"&amp;F881&amp;"'!$B$2")="Amount",
                    "Investments",
                    "Bill Accounts"
                )
            )
        ),
    "")
)</f>
        <v/>
      </c>
      <c r="I881" s="46" t="str" cm="1">
        <f t="array" aca="1" ref="I881" ca="1">IF(F881&lt;&gt;"",IF(OR(G881="Bill Accounts",G881="Investments", G881="Cash Accounts"),INDIRECT("'"&amp;F881&amp;"'!$C$10"),INDIRECT("'"&amp;F881&amp;"'!$C$8")),"")</f>
        <v/>
      </c>
      <c r="K881" s="48">
        <f t="shared" si="42"/>
        <v>887</v>
      </c>
      <c r="L881" s="114" t="str" cm="1">
        <f t="array" aca="1" ref="L881" ca="1">IF(F881&lt;&gt;"",INDIRECT("'"&amp;F881&amp;"'!$F$17"),"")</f>
        <v/>
      </c>
      <c r="M881" s="116" t="str">
        <f t="shared" ca="1" si="40"/>
        <v/>
      </c>
      <c r="O881" s="49" t="str">
        <f t="shared" ca="1" si="41"/>
        <v/>
      </c>
      <c r="P881" s="38" t="str">
        <f>IF(E881&lt;&gt;"",RANK(E881,$E$3:$E$2298)+COUNTIF($E$3:E881,E881)-1,"")</f>
        <v/>
      </c>
    </row>
    <row r="882" spans="4:16" x14ac:dyDescent="0.25">
      <c r="D882" s="36" t="str" cm="1">
        <f t="array" aca="1" ref="D882" ca="1">IFERROR(IF(INDIRECT("'"&amp;F882&amp;"'!$C$5")&gt;0,DATE(YEAR(Dashboard!$AL$2),Dashboard!$AU$4,INDIRECT("'"&amp;F882&amp;"'!$C$5")),""),"")</f>
        <v/>
      </c>
      <c r="G882" s="38" t="str" cm="1">
        <f t="array" aca="1" ref="G882" ca="1">IF(F882="",
    "",
    IFERROR(
        IF(INDIRECT("'"&amp;F882&amp;"'!$B$2")="Credit Limit",
            "Credit Accounts",
            IF(INDIRECT("'"&amp;F882&amp;"'!$E$2")="Location",
                "Cash Accounts",
                IF(INDIRECT("'"&amp;F882&amp;"'!$B$2")="Amount",
                    "Investments",
                    "Bill Accounts"
                )
            )
        ),
    "")
)</f>
        <v/>
      </c>
      <c r="I882" s="46" t="str" cm="1">
        <f t="array" aca="1" ref="I882" ca="1">IF(F882&lt;&gt;"",IF(OR(G882="Bill Accounts",G882="Investments", G882="Cash Accounts"),INDIRECT("'"&amp;F882&amp;"'!$C$10"),INDIRECT("'"&amp;F882&amp;"'!$C$8")),"")</f>
        <v/>
      </c>
      <c r="K882" s="48">
        <f t="shared" si="42"/>
        <v>888</v>
      </c>
      <c r="L882" s="114" t="str" cm="1">
        <f t="array" aca="1" ref="L882" ca="1">IF(F882&lt;&gt;"",INDIRECT("'"&amp;F882&amp;"'!$F$17"),"")</f>
        <v/>
      </c>
      <c r="M882" s="116" t="str">
        <f t="shared" ca="1" si="40"/>
        <v/>
      </c>
      <c r="O882" s="49" t="str">
        <f t="shared" ca="1" si="41"/>
        <v/>
      </c>
      <c r="P882" s="38" t="str">
        <f>IF(E882&lt;&gt;"",RANK(E882,$E$3:$E$2298)+COUNTIF($E$3:E882,E882)-1,"")</f>
        <v/>
      </c>
    </row>
    <row r="883" spans="4:16" x14ac:dyDescent="0.25">
      <c r="D883" s="36" t="str" cm="1">
        <f t="array" aca="1" ref="D883" ca="1">IFERROR(IF(INDIRECT("'"&amp;F883&amp;"'!$C$5")&gt;0,DATE(YEAR(Dashboard!$AL$2),Dashboard!$AU$4,INDIRECT("'"&amp;F883&amp;"'!$C$5")),""),"")</f>
        <v/>
      </c>
      <c r="G883" s="38" t="str" cm="1">
        <f t="array" aca="1" ref="G883" ca="1">IF(F883="",
    "",
    IFERROR(
        IF(INDIRECT("'"&amp;F883&amp;"'!$B$2")="Credit Limit",
            "Credit Accounts",
            IF(INDIRECT("'"&amp;F883&amp;"'!$E$2")="Location",
                "Cash Accounts",
                IF(INDIRECT("'"&amp;F883&amp;"'!$B$2")="Amount",
                    "Investments",
                    "Bill Accounts"
                )
            )
        ),
    "")
)</f>
        <v/>
      </c>
      <c r="I883" s="46" t="str" cm="1">
        <f t="array" aca="1" ref="I883" ca="1">IF(F883&lt;&gt;"",IF(OR(G883="Bill Accounts",G883="Investments", G883="Cash Accounts"),INDIRECT("'"&amp;F883&amp;"'!$C$10"),INDIRECT("'"&amp;F883&amp;"'!$C$8")),"")</f>
        <v/>
      </c>
      <c r="K883" s="48">
        <f t="shared" si="42"/>
        <v>889</v>
      </c>
      <c r="L883" s="114" t="str" cm="1">
        <f t="array" aca="1" ref="L883" ca="1">IF(F883&lt;&gt;"",INDIRECT("'"&amp;F883&amp;"'!$F$17"),"")</f>
        <v/>
      </c>
      <c r="M883" s="116" t="str">
        <f t="shared" ca="1" si="40"/>
        <v/>
      </c>
      <c r="O883" s="49" t="str">
        <f t="shared" ca="1" si="41"/>
        <v/>
      </c>
      <c r="P883" s="38" t="str">
        <f>IF(E883&lt;&gt;"",RANK(E883,$E$3:$E$2298)+COUNTIF($E$3:E883,E883)-1,"")</f>
        <v/>
      </c>
    </row>
    <row r="884" spans="4:16" x14ac:dyDescent="0.25">
      <c r="D884" s="36" t="str" cm="1">
        <f t="array" aca="1" ref="D884" ca="1">IFERROR(IF(INDIRECT("'"&amp;F884&amp;"'!$C$5")&gt;0,DATE(YEAR(Dashboard!$AL$2),Dashboard!$AU$4,INDIRECT("'"&amp;F884&amp;"'!$C$5")),""),"")</f>
        <v/>
      </c>
      <c r="G884" s="38" t="str" cm="1">
        <f t="array" aca="1" ref="G884" ca="1">IF(F884="",
    "",
    IFERROR(
        IF(INDIRECT("'"&amp;F884&amp;"'!$B$2")="Credit Limit",
            "Credit Accounts",
            IF(INDIRECT("'"&amp;F884&amp;"'!$E$2")="Location",
                "Cash Accounts",
                IF(INDIRECT("'"&amp;F884&amp;"'!$B$2")="Amount",
                    "Investments",
                    "Bill Accounts"
                )
            )
        ),
    "")
)</f>
        <v/>
      </c>
      <c r="I884" s="46" t="str" cm="1">
        <f t="array" aca="1" ref="I884" ca="1">IF(F884&lt;&gt;"",IF(OR(G884="Bill Accounts",G884="Investments", G884="Cash Accounts"),INDIRECT("'"&amp;F884&amp;"'!$C$10"),INDIRECT("'"&amp;F884&amp;"'!$C$8")),"")</f>
        <v/>
      </c>
      <c r="K884" s="48">
        <f t="shared" si="42"/>
        <v>890</v>
      </c>
      <c r="L884" s="114" t="str" cm="1">
        <f t="array" aca="1" ref="L884" ca="1">IF(F884&lt;&gt;"",INDIRECT("'"&amp;F884&amp;"'!$F$17"),"")</f>
        <v/>
      </c>
      <c r="M884" s="116" t="str">
        <f t="shared" ca="1" si="40"/>
        <v/>
      </c>
      <c r="O884" s="49" t="str">
        <f t="shared" ca="1" si="41"/>
        <v/>
      </c>
      <c r="P884" s="38" t="str">
        <f>IF(E884&lt;&gt;"",RANK(E884,$E$3:$E$2298)+COUNTIF($E$3:E884,E884)-1,"")</f>
        <v/>
      </c>
    </row>
    <row r="885" spans="4:16" x14ac:dyDescent="0.25">
      <c r="D885" s="36" t="str" cm="1">
        <f t="array" aca="1" ref="D885" ca="1">IFERROR(IF(INDIRECT("'"&amp;F885&amp;"'!$C$5")&gt;0,DATE(YEAR(Dashboard!$AL$2),Dashboard!$AU$4,INDIRECT("'"&amp;F885&amp;"'!$C$5")),""),"")</f>
        <v/>
      </c>
      <c r="G885" s="38" t="str" cm="1">
        <f t="array" aca="1" ref="G885" ca="1">IF(F885="",
    "",
    IFERROR(
        IF(INDIRECT("'"&amp;F885&amp;"'!$B$2")="Credit Limit",
            "Credit Accounts",
            IF(INDIRECT("'"&amp;F885&amp;"'!$E$2")="Location",
                "Cash Accounts",
                IF(INDIRECT("'"&amp;F885&amp;"'!$B$2")="Amount",
                    "Investments",
                    "Bill Accounts"
                )
            )
        ),
    "")
)</f>
        <v/>
      </c>
      <c r="I885" s="46" t="str" cm="1">
        <f t="array" aca="1" ref="I885" ca="1">IF(F885&lt;&gt;"",IF(OR(G885="Bill Accounts",G885="Investments", G885="Cash Accounts"),INDIRECT("'"&amp;F885&amp;"'!$C$10"),INDIRECT("'"&amp;F885&amp;"'!$C$8")),"")</f>
        <v/>
      </c>
      <c r="K885" s="48">
        <f t="shared" si="42"/>
        <v>891</v>
      </c>
      <c r="L885" s="114" t="str" cm="1">
        <f t="array" aca="1" ref="L885" ca="1">IF(F885&lt;&gt;"",INDIRECT("'"&amp;F885&amp;"'!$F$17"),"")</f>
        <v/>
      </c>
      <c r="M885" s="116" t="str">
        <f t="shared" ca="1" si="40"/>
        <v/>
      </c>
      <c r="O885" s="49" t="str">
        <f t="shared" ca="1" si="41"/>
        <v/>
      </c>
      <c r="P885" s="38" t="str">
        <f>IF(E885&lt;&gt;"",RANK(E885,$E$3:$E$2298)+COUNTIF($E$3:E885,E885)-1,"")</f>
        <v/>
      </c>
    </row>
    <row r="886" spans="4:16" x14ac:dyDescent="0.25">
      <c r="D886" s="36" t="str" cm="1">
        <f t="array" aca="1" ref="D886" ca="1">IFERROR(IF(INDIRECT("'"&amp;F886&amp;"'!$C$5")&gt;0,DATE(YEAR(Dashboard!$AL$2),Dashboard!$AU$4,INDIRECT("'"&amp;F886&amp;"'!$C$5")),""),"")</f>
        <v/>
      </c>
      <c r="G886" s="38" t="str" cm="1">
        <f t="array" aca="1" ref="G886" ca="1">IF(F886="",
    "",
    IFERROR(
        IF(INDIRECT("'"&amp;F886&amp;"'!$B$2")="Credit Limit",
            "Credit Accounts",
            IF(INDIRECT("'"&amp;F886&amp;"'!$E$2")="Location",
                "Cash Accounts",
                IF(INDIRECT("'"&amp;F886&amp;"'!$B$2")="Amount",
                    "Investments",
                    "Bill Accounts"
                )
            )
        ),
    "")
)</f>
        <v/>
      </c>
      <c r="I886" s="46" t="str" cm="1">
        <f t="array" aca="1" ref="I886" ca="1">IF(F886&lt;&gt;"",IF(OR(G886="Bill Accounts",G886="Investments", G886="Cash Accounts"),INDIRECT("'"&amp;F886&amp;"'!$C$10"),INDIRECT("'"&amp;F886&amp;"'!$C$8")),"")</f>
        <v/>
      </c>
      <c r="K886" s="48">
        <f t="shared" si="42"/>
        <v>892</v>
      </c>
      <c r="L886" s="114" t="str" cm="1">
        <f t="array" aca="1" ref="L886" ca="1">IF(F886&lt;&gt;"",INDIRECT("'"&amp;F886&amp;"'!$F$17"),"")</f>
        <v/>
      </c>
      <c r="M886" s="116" t="str">
        <f t="shared" ca="1" si="40"/>
        <v/>
      </c>
      <c r="O886" s="49" t="str">
        <f t="shared" ca="1" si="41"/>
        <v/>
      </c>
      <c r="P886" s="38" t="str">
        <f>IF(E886&lt;&gt;"",RANK(E886,$E$3:$E$2298)+COUNTIF($E$3:E886,E886)-1,"")</f>
        <v/>
      </c>
    </row>
    <row r="887" spans="4:16" x14ac:dyDescent="0.25">
      <c r="D887" s="36" t="str" cm="1">
        <f t="array" aca="1" ref="D887" ca="1">IFERROR(IF(INDIRECT("'"&amp;F887&amp;"'!$C$5")&gt;0,DATE(YEAR(Dashboard!$AL$2),Dashboard!$AU$4,INDIRECT("'"&amp;F887&amp;"'!$C$5")),""),"")</f>
        <v/>
      </c>
      <c r="G887" s="38" t="str" cm="1">
        <f t="array" aca="1" ref="G887" ca="1">IF(F887="",
    "",
    IFERROR(
        IF(INDIRECT("'"&amp;F887&amp;"'!$B$2")="Credit Limit",
            "Credit Accounts",
            IF(INDIRECT("'"&amp;F887&amp;"'!$E$2")="Location",
                "Cash Accounts",
                IF(INDIRECT("'"&amp;F887&amp;"'!$B$2")="Amount",
                    "Investments",
                    "Bill Accounts"
                )
            )
        ),
    "")
)</f>
        <v/>
      </c>
      <c r="I887" s="46" t="str" cm="1">
        <f t="array" aca="1" ref="I887" ca="1">IF(F887&lt;&gt;"",IF(OR(G887="Bill Accounts",G887="Investments", G887="Cash Accounts"),INDIRECT("'"&amp;F887&amp;"'!$C$10"),INDIRECT("'"&amp;F887&amp;"'!$C$8")),"")</f>
        <v/>
      </c>
      <c r="K887" s="48">
        <f t="shared" si="42"/>
        <v>893</v>
      </c>
      <c r="L887" s="114" t="str" cm="1">
        <f t="array" aca="1" ref="L887" ca="1">IF(F887&lt;&gt;"",INDIRECT("'"&amp;F887&amp;"'!$F$17"),"")</f>
        <v/>
      </c>
      <c r="M887" s="116" t="str">
        <f t="shared" ca="1" si="40"/>
        <v/>
      </c>
      <c r="O887" s="49" t="str">
        <f t="shared" ca="1" si="41"/>
        <v/>
      </c>
      <c r="P887" s="38" t="str">
        <f>IF(E887&lt;&gt;"",RANK(E887,$E$3:$E$2298)+COUNTIF($E$3:E887,E887)-1,"")</f>
        <v/>
      </c>
    </row>
    <row r="888" spans="4:16" x14ac:dyDescent="0.25">
      <c r="D888" s="36" t="str" cm="1">
        <f t="array" aca="1" ref="D888" ca="1">IFERROR(IF(INDIRECT("'"&amp;F888&amp;"'!$C$5")&gt;0,DATE(YEAR(Dashboard!$AL$2),Dashboard!$AU$4,INDIRECT("'"&amp;F888&amp;"'!$C$5")),""),"")</f>
        <v/>
      </c>
      <c r="G888" s="38" t="str" cm="1">
        <f t="array" aca="1" ref="G888" ca="1">IF(F888="",
    "",
    IFERROR(
        IF(INDIRECT("'"&amp;F888&amp;"'!$B$2")="Credit Limit",
            "Credit Accounts",
            IF(INDIRECT("'"&amp;F888&amp;"'!$E$2")="Location",
                "Cash Accounts",
                IF(INDIRECT("'"&amp;F888&amp;"'!$B$2")="Amount",
                    "Investments",
                    "Bill Accounts"
                )
            )
        ),
    "")
)</f>
        <v/>
      </c>
      <c r="I888" s="46" t="str" cm="1">
        <f t="array" aca="1" ref="I888" ca="1">IF(F888&lt;&gt;"",IF(OR(G888="Bill Accounts",G888="Investments", G888="Cash Accounts"),INDIRECT("'"&amp;F888&amp;"'!$C$10"),INDIRECT("'"&amp;F888&amp;"'!$C$8")),"")</f>
        <v/>
      </c>
      <c r="K888" s="48">
        <f t="shared" si="42"/>
        <v>894</v>
      </c>
      <c r="L888" s="114" t="str" cm="1">
        <f t="array" aca="1" ref="L888" ca="1">IF(F888&lt;&gt;"",INDIRECT("'"&amp;F888&amp;"'!$F$17"),"")</f>
        <v/>
      </c>
      <c r="M888" s="116" t="str">
        <f t="shared" ca="1" si="40"/>
        <v/>
      </c>
      <c r="O888" s="49" t="str">
        <f t="shared" ca="1" si="41"/>
        <v/>
      </c>
      <c r="P888" s="38" t="str">
        <f>IF(E888&lt;&gt;"",RANK(E888,$E$3:$E$2298)+COUNTIF($E$3:E888,E888)-1,"")</f>
        <v/>
      </c>
    </row>
    <row r="889" spans="4:16" x14ac:dyDescent="0.25">
      <c r="D889" s="36" t="str" cm="1">
        <f t="array" aca="1" ref="D889" ca="1">IFERROR(IF(INDIRECT("'"&amp;F889&amp;"'!$C$5")&gt;0,DATE(YEAR(Dashboard!$AL$2),Dashboard!$AU$4,INDIRECT("'"&amp;F889&amp;"'!$C$5")),""),"")</f>
        <v/>
      </c>
      <c r="G889" s="38" t="str" cm="1">
        <f t="array" aca="1" ref="G889" ca="1">IF(F889="",
    "",
    IFERROR(
        IF(INDIRECT("'"&amp;F889&amp;"'!$B$2")="Credit Limit",
            "Credit Accounts",
            IF(INDIRECT("'"&amp;F889&amp;"'!$E$2")="Location",
                "Cash Accounts",
                IF(INDIRECT("'"&amp;F889&amp;"'!$B$2")="Amount",
                    "Investments",
                    "Bill Accounts"
                )
            )
        ),
    "")
)</f>
        <v/>
      </c>
      <c r="I889" s="46" t="str" cm="1">
        <f t="array" aca="1" ref="I889" ca="1">IF(F889&lt;&gt;"",IF(OR(G889="Bill Accounts",G889="Investments", G889="Cash Accounts"),INDIRECT("'"&amp;F889&amp;"'!$C$10"),INDIRECT("'"&amp;F889&amp;"'!$C$8")),"")</f>
        <v/>
      </c>
      <c r="K889" s="48">
        <f t="shared" si="42"/>
        <v>895</v>
      </c>
      <c r="L889" s="114" t="str" cm="1">
        <f t="array" aca="1" ref="L889" ca="1">IF(F889&lt;&gt;"",INDIRECT("'"&amp;F889&amp;"'!$F$17"),"")</f>
        <v/>
      </c>
      <c r="M889" s="116" t="str">
        <f t="shared" ca="1" si="40"/>
        <v/>
      </c>
      <c r="O889" s="49" t="str">
        <f t="shared" ca="1" si="41"/>
        <v/>
      </c>
      <c r="P889" s="38" t="str">
        <f>IF(E889&lt;&gt;"",RANK(E889,$E$3:$E$2298)+COUNTIF($E$3:E889,E889)-1,"")</f>
        <v/>
      </c>
    </row>
    <row r="890" spans="4:16" x14ac:dyDescent="0.25">
      <c r="D890" s="36" t="str" cm="1">
        <f t="array" aca="1" ref="D890" ca="1">IFERROR(IF(INDIRECT("'"&amp;F890&amp;"'!$C$5")&gt;0,DATE(YEAR(Dashboard!$AL$2),Dashboard!$AU$4,INDIRECT("'"&amp;F890&amp;"'!$C$5")),""),"")</f>
        <v/>
      </c>
      <c r="G890" s="38" t="str" cm="1">
        <f t="array" aca="1" ref="G890" ca="1">IF(F890="",
    "",
    IFERROR(
        IF(INDIRECT("'"&amp;F890&amp;"'!$B$2")="Credit Limit",
            "Credit Accounts",
            IF(INDIRECT("'"&amp;F890&amp;"'!$E$2")="Location",
                "Cash Accounts",
                IF(INDIRECT("'"&amp;F890&amp;"'!$B$2")="Amount",
                    "Investments",
                    "Bill Accounts"
                )
            )
        ),
    "")
)</f>
        <v/>
      </c>
      <c r="I890" s="46" t="str" cm="1">
        <f t="array" aca="1" ref="I890" ca="1">IF(F890&lt;&gt;"",IF(OR(G890="Bill Accounts",G890="Investments", G890="Cash Accounts"),INDIRECT("'"&amp;F890&amp;"'!$C$10"),INDIRECT("'"&amp;F890&amp;"'!$C$8")),"")</f>
        <v/>
      </c>
      <c r="K890" s="48">
        <f t="shared" si="42"/>
        <v>896</v>
      </c>
      <c r="L890" s="114" t="str" cm="1">
        <f t="array" aca="1" ref="L890" ca="1">IF(F890&lt;&gt;"",INDIRECT("'"&amp;F890&amp;"'!$F$17"),"")</f>
        <v/>
      </c>
      <c r="M890" s="116" t="str">
        <f t="shared" ca="1" si="40"/>
        <v/>
      </c>
      <c r="O890" s="49" t="str">
        <f t="shared" ca="1" si="41"/>
        <v/>
      </c>
      <c r="P890" s="38" t="str">
        <f>IF(E890&lt;&gt;"",RANK(E890,$E$3:$E$2298)+COUNTIF($E$3:E890,E890)-1,"")</f>
        <v/>
      </c>
    </row>
    <row r="891" spans="4:16" x14ac:dyDescent="0.25">
      <c r="D891" s="36" t="str" cm="1">
        <f t="array" aca="1" ref="D891" ca="1">IFERROR(IF(INDIRECT("'"&amp;F891&amp;"'!$C$5")&gt;0,DATE(YEAR(Dashboard!$AL$2),Dashboard!$AU$4,INDIRECT("'"&amp;F891&amp;"'!$C$5")),""),"")</f>
        <v/>
      </c>
      <c r="G891" s="38" t="str" cm="1">
        <f t="array" aca="1" ref="G891" ca="1">IF(F891="",
    "",
    IFERROR(
        IF(INDIRECT("'"&amp;F891&amp;"'!$B$2")="Credit Limit",
            "Credit Accounts",
            IF(INDIRECT("'"&amp;F891&amp;"'!$E$2")="Location",
                "Cash Accounts",
                IF(INDIRECT("'"&amp;F891&amp;"'!$B$2")="Amount",
                    "Investments",
                    "Bill Accounts"
                )
            )
        ),
    "")
)</f>
        <v/>
      </c>
      <c r="I891" s="46" t="str" cm="1">
        <f t="array" aca="1" ref="I891" ca="1">IF(F891&lt;&gt;"",IF(OR(G891="Bill Accounts",G891="Investments", G891="Cash Accounts"),INDIRECT("'"&amp;F891&amp;"'!$C$10"),INDIRECT("'"&amp;F891&amp;"'!$C$8")),"")</f>
        <v/>
      </c>
      <c r="K891" s="48">
        <f t="shared" si="42"/>
        <v>897</v>
      </c>
      <c r="L891" s="114" t="str" cm="1">
        <f t="array" aca="1" ref="L891" ca="1">IF(F891&lt;&gt;"",INDIRECT("'"&amp;F891&amp;"'!$F$17"),"")</f>
        <v/>
      </c>
      <c r="M891" s="116" t="str">
        <f t="shared" ca="1" si="40"/>
        <v/>
      </c>
      <c r="O891" s="49" t="str">
        <f t="shared" ca="1" si="41"/>
        <v/>
      </c>
      <c r="P891" s="38" t="str">
        <f>IF(E891&lt;&gt;"",RANK(E891,$E$3:$E$2298)+COUNTIF($E$3:E891,E891)-1,"")</f>
        <v/>
      </c>
    </row>
    <row r="892" spans="4:16" x14ac:dyDescent="0.25">
      <c r="D892" s="36" t="str" cm="1">
        <f t="array" aca="1" ref="D892" ca="1">IFERROR(IF(INDIRECT("'"&amp;F892&amp;"'!$C$5")&gt;0,DATE(YEAR(Dashboard!$AL$2),Dashboard!$AU$4,INDIRECT("'"&amp;F892&amp;"'!$C$5")),""),"")</f>
        <v/>
      </c>
      <c r="G892" s="38" t="str" cm="1">
        <f t="array" aca="1" ref="G892" ca="1">IF(F892="",
    "",
    IFERROR(
        IF(INDIRECT("'"&amp;F892&amp;"'!$B$2")="Credit Limit",
            "Credit Accounts",
            IF(INDIRECT("'"&amp;F892&amp;"'!$E$2")="Location",
                "Cash Accounts",
                IF(INDIRECT("'"&amp;F892&amp;"'!$B$2")="Amount",
                    "Investments",
                    "Bill Accounts"
                )
            )
        ),
    "")
)</f>
        <v/>
      </c>
      <c r="I892" s="46" t="str" cm="1">
        <f t="array" aca="1" ref="I892" ca="1">IF(F892&lt;&gt;"",IF(OR(G892="Bill Accounts",G892="Investments", G892="Cash Accounts"),INDIRECT("'"&amp;F892&amp;"'!$C$10"),INDIRECT("'"&amp;F892&amp;"'!$C$8")),"")</f>
        <v/>
      </c>
      <c r="K892" s="48">
        <f t="shared" si="42"/>
        <v>898</v>
      </c>
      <c r="L892" s="114" t="str" cm="1">
        <f t="array" aca="1" ref="L892" ca="1">IF(F892&lt;&gt;"",INDIRECT("'"&amp;F892&amp;"'!$F$17"),"")</f>
        <v/>
      </c>
      <c r="M892" s="116" t="str">
        <f t="shared" ca="1" si="40"/>
        <v/>
      </c>
      <c r="O892" s="49" t="str">
        <f t="shared" ca="1" si="41"/>
        <v/>
      </c>
      <c r="P892" s="38" t="str">
        <f>IF(E892&lt;&gt;"",RANK(E892,$E$3:$E$2298)+COUNTIF($E$3:E892,E892)-1,"")</f>
        <v/>
      </c>
    </row>
    <row r="893" spans="4:16" x14ac:dyDescent="0.25">
      <c r="D893" s="36" t="str" cm="1">
        <f t="array" aca="1" ref="D893" ca="1">IFERROR(IF(INDIRECT("'"&amp;F893&amp;"'!$C$5")&gt;0,DATE(YEAR(Dashboard!$AL$2),Dashboard!$AU$4,INDIRECT("'"&amp;F893&amp;"'!$C$5")),""),"")</f>
        <v/>
      </c>
      <c r="G893" s="38" t="str" cm="1">
        <f t="array" aca="1" ref="G893" ca="1">IF(F893="",
    "",
    IFERROR(
        IF(INDIRECT("'"&amp;F893&amp;"'!$B$2")="Credit Limit",
            "Credit Accounts",
            IF(INDIRECT("'"&amp;F893&amp;"'!$E$2")="Location",
                "Cash Accounts",
                IF(INDIRECT("'"&amp;F893&amp;"'!$B$2")="Amount",
                    "Investments",
                    "Bill Accounts"
                )
            )
        ),
    "")
)</f>
        <v/>
      </c>
      <c r="I893" s="46" t="str" cm="1">
        <f t="array" aca="1" ref="I893" ca="1">IF(F893&lt;&gt;"",IF(OR(G893="Bill Accounts",G893="Investments", G893="Cash Accounts"),INDIRECT("'"&amp;F893&amp;"'!$C$10"),INDIRECT("'"&amp;F893&amp;"'!$C$8")),"")</f>
        <v/>
      </c>
      <c r="K893" s="48">
        <f t="shared" si="42"/>
        <v>899</v>
      </c>
      <c r="L893" s="114" t="str" cm="1">
        <f t="array" aca="1" ref="L893" ca="1">IF(F893&lt;&gt;"",INDIRECT("'"&amp;F893&amp;"'!$F$17"),"")</f>
        <v/>
      </c>
      <c r="M893" s="116" t="str">
        <f t="shared" ca="1" si="40"/>
        <v/>
      </c>
      <c r="O893" s="49" t="str">
        <f t="shared" ca="1" si="41"/>
        <v/>
      </c>
      <c r="P893" s="38" t="str">
        <f>IF(E893&lt;&gt;"",RANK(E893,$E$3:$E$2298)+COUNTIF($E$3:E893,E893)-1,"")</f>
        <v/>
      </c>
    </row>
    <row r="894" spans="4:16" x14ac:dyDescent="0.25">
      <c r="D894" s="36" t="str" cm="1">
        <f t="array" aca="1" ref="D894" ca="1">IFERROR(IF(INDIRECT("'"&amp;F894&amp;"'!$C$5")&gt;0,DATE(YEAR(Dashboard!$AL$2),Dashboard!$AU$4,INDIRECT("'"&amp;F894&amp;"'!$C$5")),""),"")</f>
        <v/>
      </c>
      <c r="G894" s="38" t="str" cm="1">
        <f t="array" aca="1" ref="G894" ca="1">IF(F894="",
    "",
    IFERROR(
        IF(INDIRECT("'"&amp;F894&amp;"'!$B$2")="Credit Limit",
            "Credit Accounts",
            IF(INDIRECT("'"&amp;F894&amp;"'!$E$2")="Location",
                "Cash Accounts",
                IF(INDIRECT("'"&amp;F894&amp;"'!$B$2")="Amount",
                    "Investments",
                    "Bill Accounts"
                )
            )
        ),
    "")
)</f>
        <v/>
      </c>
      <c r="I894" s="46" t="str" cm="1">
        <f t="array" aca="1" ref="I894" ca="1">IF(F894&lt;&gt;"",IF(OR(G894="Bill Accounts",G894="Investments", G894="Cash Accounts"),INDIRECT("'"&amp;F894&amp;"'!$C$10"),INDIRECT("'"&amp;F894&amp;"'!$C$8")),"")</f>
        <v/>
      </c>
      <c r="K894" s="48">
        <f t="shared" si="42"/>
        <v>900</v>
      </c>
      <c r="L894" s="114" t="str" cm="1">
        <f t="array" aca="1" ref="L894" ca="1">IF(F894&lt;&gt;"",INDIRECT("'"&amp;F894&amp;"'!$F$17"),"")</f>
        <v/>
      </c>
      <c r="M894" s="116" t="str">
        <f t="shared" ca="1" si="40"/>
        <v/>
      </c>
      <c r="O894" s="49" t="str">
        <f t="shared" ca="1" si="41"/>
        <v/>
      </c>
      <c r="P894" s="38" t="str">
        <f>IF(E894&lt;&gt;"",RANK(E894,$E$3:$E$2298)+COUNTIF($E$3:E894,E894)-1,"")</f>
        <v/>
      </c>
    </row>
    <row r="895" spans="4:16" x14ac:dyDescent="0.25">
      <c r="D895" s="36" t="str" cm="1">
        <f t="array" aca="1" ref="D895" ca="1">IFERROR(IF(INDIRECT("'"&amp;F895&amp;"'!$C$5")&gt;0,DATE(YEAR(Dashboard!$AL$2),Dashboard!$AU$4,INDIRECT("'"&amp;F895&amp;"'!$C$5")),""),"")</f>
        <v/>
      </c>
      <c r="G895" s="38" t="str" cm="1">
        <f t="array" aca="1" ref="G895" ca="1">IF(F895="",
    "",
    IFERROR(
        IF(INDIRECT("'"&amp;F895&amp;"'!$B$2")="Credit Limit",
            "Credit Accounts",
            IF(INDIRECT("'"&amp;F895&amp;"'!$E$2")="Location",
                "Cash Accounts",
                IF(INDIRECT("'"&amp;F895&amp;"'!$B$2")="Amount",
                    "Investments",
                    "Bill Accounts"
                )
            )
        ),
    "")
)</f>
        <v/>
      </c>
      <c r="I895" s="46" t="str" cm="1">
        <f t="array" aca="1" ref="I895" ca="1">IF(F895&lt;&gt;"",IF(OR(G895="Bill Accounts",G895="Investments", G895="Cash Accounts"),INDIRECT("'"&amp;F895&amp;"'!$C$10"),INDIRECT("'"&amp;F895&amp;"'!$C$8")),"")</f>
        <v/>
      </c>
      <c r="K895" s="48">
        <f t="shared" si="42"/>
        <v>901</v>
      </c>
      <c r="L895" s="114" t="str" cm="1">
        <f t="array" aca="1" ref="L895" ca="1">IF(F895&lt;&gt;"",INDIRECT("'"&amp;F895&amp;"'!$F$17"),"")</f>
        <v/>
      </c>
      <c r="M895" s="116" t="str">
        <f t="shared" ca="1" si="40"/>
        <v/>
      </c>
      <c r="O895" s="49" t="str">
        <f t="shared" ca="1" si="41"/>
        <v/>
      </c>
      <c r="P895" s="38" t="str">
        <f>IF(E895&lt;&gt;"",RANK(E895,$E$3:$E$2298)+COUNTIF($E$3:E895,E895)-1,"")</f>
        <v/>
      </c>
    </row>
    <row r="896" spans="4:16" x14ac:dyDescent="0.25">
      <c r="D896" s="36" t="str" cm="1">
        <f t="array" aca="1" ref="D896" ca="1">IFERROR(IF(INDIRECT("'"&amp;F896&amp;"'!$C$5")&gt;0,DATE(YEAR(Dashboard!$AL$2),Dashboard!$AU$4,INDIRECT("'"&amp;F896&amp;"'!$C$5")),""),"")</f>
        <v/>
      </c>
      <c r="G896" s="38" t="str" cm="1">
        <f t="array" aca="1" ref="G896" ca="1">IF(F896="",
    "",
    IFERROR(
        IF(INDIRECT("'"&amp;F896&amp;"'!$B$2")="Credit Limit",
            "Credit Accounts",
            IF(INDIRECT("'"&amp;F896&amp;"'!$E$2")="Location",
                "Cash Accounts",
                IF(INDIRECT("'"&amp;F896&amp;"'!$B$2")="Amount",
                    "Investments",
                    "Bill Accounts"
                )
            )
        ),
    "")
)</f>
        <v/>
      </c>
      <c r="I896" s="46" t="str" cm="1">
        <f t="array" aca="1" ref="I896" ca="1">IF(F896&lt;&gt;"",IF(OR(G896="Bill Accounts",G896="Investments", G896="Cash Accounts"),INDIRECT("'"&amp;F896&amp;"'!$C$10"),INDIRECT("'"&amp;F896&amp;"'!$C$8")),"")</f>
        <v/>
      </c>
      <c r="K896" s="48">
        <f t="shared" si="42"/>
        <v>902</v>
      </c>
      <c r="L896" s="114" t="str" cm="1">
        <f t="array" aca="1" ref="L896" ca="1">IF(F896&lt;&gt;"",INDIRECT("'"&amp;F896&amp;"'!$F$17"),"")</f>
        <v/>
      </c>
      <c r="M896" s="116" t="str">
        <f t="shared" ca="1" si="40"/>
        <v/>
      </c>
      <c r="O896" s="49" t="str">
        <f t="shared" ca="1" si="41"/>
        <v/>
      </c>
      <c r="P896" s="38" t="str">
        <f>IF(E896&lt;&gt;"",RANK(E896,$E$3:$E$2298)+COUNTIF($E$3:E896,E896)-1,"")</f>
        <v/>
      </c>
    </row>
    <row r="897" spans="4:16" x14ac:dyDescent="0.25">
      <c r="D897" s="36" t="str" cm="1">
        <f t="array" aca="1" ref="D897" ca="1">IFERROR(IF(INDIRECT("'"&amp;F897&amp;"'!$C$5")&gt;0,DATE(YEAR(Dashboard!$AL$2),Dashboard!$AU$4,INDIRECT("'"&amp;F897&amp;"'!$C$5")),""),"")</f>
        <v/>
      </c>
      <c r="G897" s="38" t="str" cm="1">
        <f t="array" aca="1" ref="G897" ca="1">IF(F897="",
    "",
    IFERROR(
        IF(INDIRECT("'"&amp;F897&amp;"'!$B$2")="Credit Limit",
            "Credit Accounts",
            IF(INDIRECT("'"&amp;F897&amp;"'!$E$2")="Location",
                "Cash Accounts",
                IF(INDIRECT("'"&amp;F897&amp;"'!$B$2")="Amount",
                    "Investments",
                    "Bill Accounts"
                )
            )
        ),
    "")
)</f>
        <v/>
      </c>
      <c r="I897" s="46" t="str" cm="1">
        <f t="array" aca="1" ref="I897" ca="1">IF(F897&lt;&gt;"",IF(OR(G897="Bill Accounts",G897="Investments", G897="Cash Accounts"),INDIRECT("'"&amp;F897&amp;"'!$C$10"),INDIRECT("'"&amp;F897&amp;"'!$C$8")),"")</f>
        <v/>
      </c>
      <c r="K897" s="48">
        <f t="shared" si="42"/>
        <v>903</v>
      </c>
      <c r="L897" s="114" t="str" cm="1">
        <f t="array" aca="1" ref="L897" ca="1">IF(F897&lt;&gt;"",INDIRECT("'"&amp;F897&amp;"'!$F$17"),"")</f>
        <v/>
      </c>
      <c r="M897" s="116" t="str">
        <f t="shared" ca="1" si="40"/>
        <v/>
      </c>
      <c r="O897" s="49" t="str">
        <f t="shared" ca="1" si="41"/>
        <v/>
      </c>
      <c r="P897" s="38" t="str">
        <f>IF(E897&lt;&gt;"",RANK(E897,$E$3:$E$2298)+COUNTIF($E$3:E897,E897)-1,"")</f>
        <v/>
      </c>
    </row>
    <row r="898" spans="4:16" x14ac:dyDescent="0.25">
      <c r="D898" s="36" t="str" cm="1">
        <f t="array" aca="1" ref="D898" ca="1">IFERROR(IF(INDIRECT("'"&amp;F898&amp;"'!$C$5")&gt;0,DATE(YEAR(Dashboard!$AL$2),Dashboard!$AU$4,INDIRECT("'"&amp;F898&amp;"'!$C$5")),""),"")</f>
        <v/>
      </c>
      <c r="G898" s="38" t="str" cm="1">
        <f t="array" aca="1" ref="G898" ca="1">IF(F898="",
    "",
    IFERROR(
        IF(INDIRECT("'"&amp;F898&amp;"'!$B$2")="Credit Limit",
            "Credit Accounts",
            IF(INDIRECT("'"&amp;F898&amp;"'!$E$2")="Location",
                "Cash Accounts",
                IF(INDIRECT("'"&amp;F898&amp;"'!$B$2")="Amount",
                    "Investments",
                    "Bill Accounts"
                )
            )
        ),
    "")
)</f>
        <v/>
      </c>
      <c r="I898" s="46" t="str" cm="1">
        <f t="array" aca="1" ref="I898" ca="1">IF(F898&lt;&gt;"",IF(OR(G898="Bill Accounts",G898="Investments", G898="Cash Accounts"),INDIRECT("'"&amp;F898&amp;"'!$C$10"),INDIRECT("'"&amp;F898&amp;"'!$C$8")),"")</f>
        <v/>
      </c>
      <c r="K898" s="48">
        <f t="shared" si="42"/>
        <v>904</v>
      </c>
      <c r="L898" s="114" t="str" cm="1">
        <f t="array" aca="1" ref="L898" ca="1">IF(F898&lt;&gt;"",INDIRECT("'"&amp;F898&amp;"'!$F$17"),"")</f>
        <v/>
      </c>
      <c r="M898" s="116" t="str">
        <f t="shared" ca="1" si="40"/>
        <v/>
      </c>
      <c r="O898" s="49" t="str">
        <f t="shared" ca="1" si="41"/>
        <v/>
      </c>
      <c r="P898" s="38" t="str">
        <f>IF(E898&lt;&gt;"",RANK(E898,$E$3:$E$2298)+COUNTIF($E$3:E898,E898)-1,"")</f>
        <v/>
      </c>
    </row>
    <row r="899" spans="4:16" x14ac:dyDescent="0.25">
      <c r="D899" s="36" t="str" cm="1">
        <f t="array" aca="1" ref="D899" ca="1">IFERROR(IF(INDIRECT("'"&amp;F899&amp;"'!$C$5")&gt;0,DATE(YEAR(Dashboard!$AL$2),Dashboard!$AU$4,INDIRECT("'"&amp;F899&amp;"'!$C$5")),""),"")</f>
        <v/>
      </c>
      <c r="G899" s="38" t="str" cm="1">
        <f t="array" aca="1" ref="G899" ca="1">IF(F899="",
    "",
    IFERROR(
        IF(INDIRECT("'"&amp;F899&amp;"'!$B$2")="Credit Limit",
            "Credit Accounts",
            IF(INDIRECT("'"&amp;F899&amp;"'!$E$2")="Location",
                "Cash Accounts",
                IF(INDIRECT("'"&amp;F899&amp;"'!$B$2")="Amount",
                    "Investments",
                    "Bill Accounts"
                )
            )
        ),
    "")
)</f>
        <v/>
      </c>
      <c r="I899" s="46" t="str" cm="1">
        <f t="array" aca="1" ref="I899" ca="1">IF(F899&lt;&gt;"",IF(OR(G899="Bill Accounts",G899="Investments", G899="Cash Accounts"),INDIRECT("'"&amp;F899&amp;"'!$C$10"),INDIRECT("'"&amp;F899&amp;"'!$C$8")),"")</f>
        <v/>
      </c>
      <c r="K899" s="48">
        <f t="shared" si="42"/>
        <v>905</v>
      </c>
      <c r="L899" s="114" t="str" cm="1">
        <f t="array" aca="1" ref="L899" ca="1">IF(F899&lt;&gt;"",INDIRECT("'"&amp;F899&amp;"'!$F$17"),"")</f>
        <v/>
      </c>
      <c r="M899" s="116" t="str">
        <f t="shared" ca="1" si="40"/>
        <v/>
      </c>
      <c r="O899" s="49" t="str">
        <f t="shared" ca="1" si="41"/>
        <v/>
      </c>
      <c r="P899" s="38" t="str">
        <f>IF(E899&lt;&gt;"",RANK(E899,$E$3:$E$2298)+COUNTIF($E$3:E899,E899)-1,"")</f>
        <v/>
      </c>
    </row>
    <row r="900" spans="4:16" x14ac:dyDescent="0.25">
      <c r="D900" s="36" t="str" cm="1">
        <f t="array" aca="1" ref="D900" ca="1">IFERROR(IF(INDIRECT("'"&amp;F900&amp;"'!$C$5")&gt;0,DATE(YEAR(Dashboard!$AL$2),Dashboard!$AU$4,INDIRECT("'"&amp;F900&amp;"'!$C$5")),""),"")</f>
        <v/>
      </c>
      <c r="G900" s="38" t="str" cm="1">
        <f t="array" aca="1" ref="G900" ca="1">IF(F900="",
    "",
    IFERROR(
        IF(INDIRECT("'"&amp;F900&amp;"'!$B$2")="Credit Limit",
            "Credit Accounts",
            IF(INDIRECT("'"&amp;F900&amp;"'!$E$2")="Location",
                "Cash Accounts",
                IF(INDIRECT("'"&amp;F900&amp;"'!$B$2")="Amount",
                    "Investments",
                    "Bill Accounts"
                )
            )
        ),
    "")
)</f>
        <v/>
      </c>
      <c r="I900" s="46" t="str" cm="1">
        <f t="array" aca="1" ref="I900" ca="1">IF(F900&lt;&gt;"",IF(OR(G900="Bill Accounts",G900="Investments", G900="Cash Accounts"),INDIRECT("'"&amp;F900&amp;"'!$C$10"),INDIRECT("'"&amp;F900&amp;"'!$C$8")),"")</f>
        <v/>
      </c>
      <c r="K900" s="48">
        <f t="shared" si="42"/>
        <v>906</v>
      </c>
      <c r="L900" s="114" t="str" cm="1">
        <f t="array" aca="1" ref="L900" ca="1">IF(F900&lt;&gt;"",INDIRECT("'"&amp;F900&amp;"'!$F$17"),"")</f>
        <v/>
      </c>
      <c r="M900" s="116" t="str">
        <f t="shared" ref="M900:M963" ca="1" si="43">IF(G900="Credit Accounts",EDATE(TODAY(),INDIRECT("'"&amp;F900&amp;"'!$C$14")),"")</f>
        <v/>
      </c>
      <c r="O900" s="49" t="str">
        <f t="shared" ref="O900:O963" ca="1" si="44">IF(D900&lt;&gt;"",DAY(D900),"")</f>
        <v/>
      </c>
      <c r="P900" s="38" t="str">
        <f>IF(E900&lt;&gt;"",RANK(E900,$E$3:$E$2298)+COUNTIF($E$3:E900,E900)-1,"")</f>
        <v/>
      </c>
    </row>
    <row r="901" spans="4:16" x14ac:dyDescent="0.25">
      <c r="D901" s="36" t="str" cm="1">
        <f t="array" aca="1" ref="D901" ca="1">IFERROR(IF(INDIRECT("'"&amp;F901&amp;"'!$C$5")&gt;0,DATE(YEAR(Dashboard!$AL$2),Dashboard!$AU$4,INDIRECT("'"&amp;F901&amp;"'!$C$5")),""),"")</f>
        <v/>
      </c>
      <c r="G901" s="38" t="str" cm="1">
        <f t="array" aca="1" ref="G901" ca="1">IF(F901="",
    "",
    IFERROR(
        IF(INDIRECT("'"&amp;F901&amp;"'!$B$2")="Credit Limit",
            "Credit Accounts",
            IF(INDIRECT("'"&amp;F901&amp;"'!$E$2")="Location",
                "Cash Accounts",
                IF(INDIRECT("'"&amp;F901&amp;"'!$B$2")="Amount",
                    "Investments",
                    "Bill Accounts"
                )
            )
        ),
    "")
)</f>
        <v/>
      </c>
      <c r="I901" s="46" t="str" cm="1">
        <f t="array" aca="1" ref="I901" ca="1">IF(F901&lt;&gt;"",IF(OR(G901="Bill Accounts",G901="Investments", G901="Cash Accounts"),INDIRECT("'"&amp;F901&amp;"'!$C$10"),INDIRECT("'"&amp;F901&amp;"'!$C$8")),"")</f>
        <v/>
      </c>
      <c r="K901" s="48">
        <f t="shared" si="42"/>
        <v>907</v>
      </c>
      <c r="L901" s="114" t="str" cm="1">
        <f t="array" aca="1" ref="L901" ca="1">IF(F901&lt;&gt;"",INDIRECT("'"&amp;F901&amp;"'!$F$17"),"")</f>
        <v/>
      </c>
      <c r="M901" s="116" t="str">
        <f t="shared" ca="1" si="43"/>
        <v/>
      </c>
      <c r="O901" s="49" t="str">
        <f t="shared" ca="1" si="44"/>
        <v/>
      </c>
      <c r="P901" s="38" t="str">
        <f>IF(E901&lt;&gt;"",RANK(E901,$E$3:$E$2298)+COUNTIF($E$3:E901,E901)-1,"")</f>
        <v/>
      </c>
    </row>
    <row r="902" spans="4:16" x14ac:dyDescent="0.25">
      <c r="D902" s="36" t="str" cm="1">
        <f t="array" aca="1" ref="D902" ca="1">IFERROR(IF(INDIRECT("'"&amp;F902&amp;"'!$C$5")&gt;0,DATE(YEAR(Dashboard!$AL$2),Dashboard!$AU$4,INDIRECT("'"&amp;F902&amp;"'!$C$5")),""),"")</f>
        <v/>
      </c>
      <c r="G902" s="38" t="str" cm="1">
        <f t="array" aca="1" ref="G902" ca="1">IF(F902="",
    "",
    IFERROR(
        IF(INDIRECT("'"&amp;F902&amp;"'!$B$2")="Credit Limit",
            "Credit Accounts",
            IF(INDIRECT("'"&amp;F902&amp;"'!$E$2")="Location",
                "Cash Accounts",
                IF(INDIRECT("'"&amp;F902&amp;"'!$B$2")="Amount",
                    "Investments",
                    "Bill Accounts"
                )
            )
        ),
    "")
)</f>
        <v/>
      </c>
      <c r="I902" s="46" t="str" cm="1">
        <f t="array" aca="1" ref="I902" ca="1">IF(F902&lt;&gt;"",IF(OR(G902="Bill Accounts",G902="Investments", G902="Cash Accounts"),INDIRECT("'"&amp;F902&amp;"'!$C$10"),INDIRECT("'"&amp;F902&amp;"'!$C$8")),"")</f>
        <v/>
      </c>
      <c r="K902" s="48">
        <f t="shared" si="42"/>
        <v>908</v>
      </c>
      <c r="L902" s="114" t="str" cm="1">
        <f t="array" aca="1" ref="L902" ca="1">IF(F902&lt;&gt;"",INDIRECT("'"&amp;F902&amp;"'!$F$17"),"")</f>
        <v/>
      </c>
      <c r="M902" s="116" t="str">
        <f t="shared" ca="1" si="43"/>
        <v/>
      </c>
      <c r="O902" s="49" t="str">
        <f t="shared" ca="1" si="44"/>
        <v/>
      </c>
      <c r="P902" s="38" t="str">
        <f>IF(E902&lt;&gt;"",RANK(E902,$E$3:$E$2298)+COUNTIF($E$3:E902,E902)-1,"")</f>
        <v/>
      </c>
    </row>
    <row r="903" spans="4:16" x14ac:dyDescent="0.25">
      <c r="D903" s="36" t="str" cm="1">
        <f t="array" aca="1" ref="D903" ca="1">IFERROR(IF(INDIRECT("'"&amp;F903&amp;"'!$C$5")&gt;0,DATE(YEAR(Dashboard!$AL$2),Dashboard!$AU$4,INDIRECT("'"&amp;F903&amp;"'!$C$5")),""),"")</f>
        <v/>
      </c>
      <c r="G903" s="38" t="str" cm="1">
        <f t="array" aca="1" ref="G903" ca="1">IF(F903="",
    "",
    IFERROR(
        IF(INDIRECT("'"&amp;F903&amp;"'!$B$2")="Credit Limit",
            "Credit Accounts",
            IF(INDIRECT("'"&amp;F903&amp;"'!$E$2")="Location",
                "Cash Accounts",
                IF(INDIRECT("'"&amp;F903&amp;"'!$B$2")="Amount",
                    "Investments",
                    "Bill Accounts"
                )
            )
        ),
    "")
)</f>
        <v/>
      </c>
      <c r="I903" s="46" t="str" cm="1">
        <f t="array" aca="1" ref="I903" ca="1">IF(F903&lt;&gt;"",IF(OR(G903="Bill Accounts",G903="Investments", G903="Cash Accounts"),INDIRECT("'"&amp;F903&amp;"'!$C$10"),INDIRECT("'"&amp;F903&amp;"'!$C$8")),"")</f>
        <v/>
      </c>
      <c r="K903" s="48">
        <f t="shared" si="42"/>
        <v>909</v>
      </c>
      <c r="L903" s="114" t="str" cm="1">
        <f t="array" aca="1" ref="L903" ca="1">IF(F903&lt;&gt;"",INDIRECT("'"&amp;F903&amp;"'!$F$17"),"")</f>
        <v/>
      </c>
      <c r="M903" s="116" t="str">
        <f t="shared" ca="1" si="43"/>
        <v/>
      </c>
      <c r="O903" s="49" t="str">
        <f t="shared" ca="1" si="44"/>
        <v/>
      </c>
      <c r="P903" s="38" t="str">
        <f>IF(E903&lt;&gt;"",RANK(E903,$E$3:$E$2298)+COUNTIF($E$3:E903,E903)-1,"")</f>
        <v/>
      </c>
    </row>
    <row r="904" spans="4:16" x14ac:dyDescent="0.25">
      <c r="D904" s="36" t="str" cm="1">
        <f t="array" aca="1" ref="D904" ca="1">IFERROR(IF(INDIRECT("'"&amp;F904&amp;"'!$C$5")&gt;0,DATE(YEAR(Dashboard!$AL$2),Dashboard!$AU$4,INDIRECT("'"&amp;F904&amp;"'!$C$5")),""),"")</f>
        <v/>
      </c>
      <c r="G904" s="38" t="str" cm="1">
        <f t="array" aca="1" ref="G904" ca="1">IF(F904="",
    "",
    IFERROR(
        IF(INDIRECT("'"&amp;F904&amp;"'!$B$2")="Credit Limit",
            "Credit Accounts",
            IF(INDIRECT("'"&amp;F904&amp;"'!$E$2")="Location",
                "Cash Accounts",
                IF(INDIRECT("'"&amp;F904&amp;"'!$B$2")="Amount",
                    "Investments",
                    "Bill Accounts"
                )
            )
        ),
    "")
)</f>
        <v/>
      </c>
      <c r="I904" s="46" t="str" cm="1">
        <f t="array" aca="1" ref="I904" ca="1">IF(F904&lt;&gt;"",IF(OR(G904="Bill Accounts",G904="Investments", G904="Cash Accounts"),INDIRECT("'"&amp;F904&amp;"'!$C$10"),INDIRECT("'"&amp;F904&amp;"'!$C$8")),"")</f>
        <v/>
      </c>
      <c r="K904" s="48">
        <f t="shared" ref="K904:K967" si="45">SUM(K903+1)</f>
        <v>910</v>
      </c>
      <c r="L904" s="114" t="str" cm="1">
        <f t="array" aca="1" ref="L904" ca="1">IF(F904&lt;&gt;"",INDIRECT("'"&amp;F904&amp;"'!$F$17"),"")</f>
        <v/>
      </c>
      <c r="M904" s="116" t="str">
        <f t="shared" ca="1" si="43"/>
        <v/>
      </c>
      <c r="O904" s="49" t="str">
        <f t="shared" ca="1" si="44"/>
        <v/>
      </c>
      <c r="P904" s="38" t="str">
        <f>IF(E904&lt;&gt;"",RANK(E904,$E$3:$E$2298)+COUNTIF($E$3:E904,E904)-1,"")</f>
        <v/>
      </c>
    </row>
    <row r="905" spans="4:16" x14ac:dyDescent="0.25">
      <c r="D905" s="36" t="str" cm="1">
        <f t="array" aca="1" ref="D905" ca="1">IFERROR(IF(INDIRECT("'"&amp;F905&amp;"'!$C$5")&gt;0,DATE(YEAR(Dashboard!$AL$2),Dashboard!$AU$4,INDIRECT("'"&amp;F905&amp;"'!$C$5")),""),"")</f>
        <v/>
      </c>
      <c r="G905" s="38" t="str" cm="1">
        <f t="array" aca="1" ref="G905" ca="1">IF(F905="",
    "",
    IFERROR(
        IF(INDIRECT("'"&amp;F905&amp;"'!$B$2")="Credit Limit",
            "Credit Accounts",
            IF(INDIRECT("'"&amp;F905&amp;"'!$E$2")="Location",
                "Cash Accounts",
                IF(INDIRECT("'"&amp;F905&amp;"'!$B$2")="Amount",
                    "Investments",
                    "Bill Accounts"
                )
            )
        ),
    "")
)</f>
        <v/>
      </c>
      <c r="I905" s="46" t="str" cm="1">
        <f t="array" aca="1" ref="I905" ca="1">IF(F905&lt;&gt;"",IF(OR(G905="Bill Accounts",G905="Investments", G905="Cash Accounts"),INDIRECT("'"&amp;F905&amp;"'!$C$10"),INDIRECT("'"&amp;F905&amp;"'!$C$8")),"")</f>
        <v/>
      </c>
      <c r="K905" s="48">
        <f t="shared" si="45"/>
        <v>911</v>
      </c>
      <c r="L905" s="114" t="str" cm="1">
        <f t="array" aca="1" ref="L905" ca="1">IF(F905&lt;&gt;"",INDIRECT("'"&amp;F905&amp;"'!$F$17"),"")</f>
        <v/>
      </c>
      <c r="M905" s="116" t="str">
        <f t="shared" ca="1" si="43"/>
        <v/>
      </c>
      <c r="O905" s="49" t="str">
        <f t="shared" ca="1" si="44"/>
        <v/>
      </c>
      <c r="P905" s="38" t="str">
        <f>IF(E905&lt;&gt;"",RANK(E905,$E$3:$E$2298)+COUNTIF($E$3:E905,E905)-1,"")</f>
        <v/>
      </c>
    </row>
    <row r="906" spans="4:16" x14ac:dyDescent="0.25">
      <c r="D906" s="36" t="str" cm="1">
        <f t="array" aca="1" ref="D906" ca="1">IFERROR(IF(INDIRECT("'"&amp;F906&amp;"'!$C$5")&gt;0,DATE(YEAR(Dashboard!$AL$2),Dashboard!$AU$4,INDIRECT("'"&amp;F906&amp;"'!$C$5")),""),"")</f>
        <v/>
      </c>
      <c r="G906" s="38" t="str" cm="1">
        <f t="array" aca="1" ref="G906" ca="1">IF(F906="",
    "",
    IFERROR(
        IF(INDIRECT("'"&amp;F906&amp;"'!$B$2")="Credit Limit",
            "Credit Accounts",
            IF(INDIRECT("'"&amp;F906&amp;"'!$E$2")="Location",
                "Cash Accounts",
                IF(INDIRECT("'"&amp;F906&amp;"'!$B$2")="Amount",
                    "Investments",
                    "Bill Accounts"
                )
            )
        ),
    "")
)</f>
        <v/>
      </c>
      <c r="I906" s="46" t="str" cm="1">
        <f t="array" aca="1" ref="I906" ca="1">IF(F906&lt;&gt;"",IF(OR(G906="Bill Accounts",G906="Investments", G906="Cash Accounts"),INDIRECT("'"&amp;F906&amp;"'!$C$10"),INDIRECT("'"&amp;F906&amp;"'!$C$8")),"")</f>
        <v/>
      </c>
      <c r="K906" s="48">
        <f t="shared" si="45"/>
        <v>912</v>
      </c>
      <c r="L906" s="114" t="str" cm="1">
        <f t="array" aca="1" ref="L906" ca="1">IF(F906&lt;&gt;"",INDIRECT("'"&amp;F906&amp;"'!$F$17"),"")</f>
        <v/>
      </c>
      <c r="M906" s="116" t="str">
        <f t="shared" ca="1" si="43"/>
        <v/>
      </c>
      <c r="O906" s="49" t="str">
        <f t="shared" ca="1" si="44"/>
        <v/>
      </c>
      <c r="P906" s="38" t="str">
        <f>IF(E906&lt;&gt;"",RANK(E906,$E$3:$E$2298)+COUNTIF($E$3:E906,E906)-1,"")</f>
        <v/>
      </c>
    </row>
    <row r="907" spans="4:16" x14ac:dyDescent="0.25">
      <c r="D907" s="36" t="str" cm="1">
        <f t="array" aca="1" ref="D907" ca="1">IFERROR(IF(INDIRECT("'"&amp;F907&amp;"'!$C$5")&gt;0,DATE(YEAR(Dashboard!$AL$2),Dashboard!$AU$4,INDIRECT("'"&amp;F907&amp;"'!$C$5")),""),"")</f>
        <v/>
      </c>
      <c r="G907" s="38" t="str" cm="1">
        <f t="array" aca="1" ref="G907" ca="1">IF(F907="",
    "",
    IFERROR(
        IF(INDIRECT("'"&amp;F907&amp;"'!$B$2")="Credit Limit",
            "Credit Accounts",
            IF(INDIRECT("'"&amp;F907&amp;"'!$E$2")="Location",
                "Cash Accounts",
                IF(INDIRECT("'"&amp;F907&amp;"'!$B$2")="Amount",
                    "Investments",
                    "Bill Accounts"
                )
            )
        ),
    "")
)</f>
        <v/>
      </c>
      <c r="I907" s="46" t="str" cm="1">
        <f t="array" aca="1" ref="I907" ca="1">IF(F907&lt;&gt;"",IF(OR(G907="Bill Accounts",G907="Investments", G907="Cash Accounts"),INDIRECT("'"&amp;F907&amp;"'!$C$10"),INDIRECT("'"&amp;F907&amp;"'!$C$8")),"")</f>
        <v/>
      </c>
      <c r="K907" s="48">
        <f t="shared" si="45"/>
        <v>913</v>
      </c>
      <c r="L907" s="114" t="str" cm="1">
        <f t="array" aca="1" ref="L907" ca="1">IF(F907&lt;&gt;"",INDIRECT("'"&amp;F907&amp;"'!$F$17"),"")</f>
        <v/>
      </c>
      <c r="M907" s="116" t="str">
        <f t="shared" ca="1" si="43"/>
        <v/>
      </c>
      <c r="O907" s="49" t="str">
        <f t="shared" ca="1" si="44"/>
        <v/>
      </c>
      <c r="P907" s="38" t="str">
        <f>IF(E907&lt;&gt;"",RANK(E907,$E$3:$E$2298)+COUNTIF($E$3:E907,E907)-1,"")</f>
        <v/>
      </c>
    </row>
    <row r="908" spans="4:16" x14ac:dyDescent="0.25">
      <c r="D908" s="36" t="str" cm="1">
        <f t="array" aca="1" ref="D908" ca="1">IFERROR(IF(INDIRECT("'"&amp;F908&amp;"'!$C$5")&gt;0,DATE(YEAR(Dashboard!$AL$2),Dashboard!$AU$4,INDIRECT("'"&amp;F908&amp;"'!$C$5")),""),"")</f>
        <v/>
      </c>
      <c r="G908" s="38" t="str" cm="1">
        <f t="array" aca="1" ref="G908" ca="1">IF(F908="",
    "",
    IFERROR(
        IF(INDIRECT("'"&amp;F908&amp;"'!$B$2")="Credit Limit",
            "Credit Accounts",
            IF(INDIRECT("'"&amp;F908&amp;"'!$E$2")="Location",
                "Cash Accounts",
                IF(INDIRECT("'"&amp;F908&amp;"'!$B$2")="Amount",
                    "Investments",
                    "Bill Accounts"
                )
            )
        ),
    "")
)</f>
        <v/>
      </c>
      <c r="I908" s="46" t="str" cm="1">
        <f t="array" aca="1" ref="I908" ca="1">IF(F908&lt;&gt;"",IF(OR(G908="Bill Accounts",G908="Investments", G908="Cash Accounts"),INDIRECT("'"&amp;F908&amp;"'!$C$10"),INDIRECT("'"&amp;F908&amp;"'!$C$8")),"")</f>
        <v/>
      </c>
      <c r="K908" s="48">
        <f t="shared" si="45"/>
        <v>914</v>
      </c>
      <c r="L908" s="114" t="str" cm="1">
        <f t="array" aca="1" ref="L908" ca="1">IF(F908&lt;&gt;"",INDIRECT("'"&amp;F908&amp;"'!$F$17"),"")</f>
        <v/>
      </c>
      <c r="M908" s="116" t="str">
        <f t="shared" ca="1" si="43"/>
        <v/>
      </c>
      <c r="O908" s="49" t="str">
        <f t="shared" ca="1" si="44"/>
        <v/>
      </c>
      <c r="P908" s="38" t="str">
        <f>IF(E908&lt;&gt;"",RANK(E908,$E$3:$E$2298)+COUNTIF($E$3:E908,E908)-1,"")</f>
        <v/>
      </c>
    </row>
    <row r="909" spans="4:16" x14ac:dyDescent="0.25">
      <c r="D909" s="36" t="str" cm="1">
        <f t="array" aca="1" ref="D909" ca="1">IFERROR(IF(INDIRECT("'"&amp;F909&amp;"'!$C$5")&gt;0,DATE(YEAR(Dashboard!$AL$2),Dashboard!$AU$4,INDIRECT("'"&amp;F909&amp;"'!$C$5")),""),"")</f>
        <v/>
      </c>
      <c r="G909" s="38" t="str" cm="1">
        <f t="array" aca="1" ref="G909" ca="1">IF(F909="",
    "",
    IFERROR(
        IF(INDIRECT("'"&amp;F909&amp;"'!$B$2")="Credit Limit",
            "Credit Accounts",
            IF(INDIRECT("'"&amp;F909&amp;"'!$E$2")="Location",
                "Cash Accounts",
                IF(INDIRECT("'"&amp;F909&amp;"'!$B$2")="Amount",
                    "Investments",
                    "Bill Accounts"
                )
            )
        ),
    "")
)</f>
        <v/>
      </c>
      <c r="I909" s="46" t="str" cm="1">
        <f t="array" aca="1" ref="I909" ca="1">IF(F909&lt;&gt;"",IF(OR(G909="Bill Accounts",G909="Investments", G909="Cash Accounts"),INDIRECT("'"&amp;F909&amp;"'!$C$10"),INDIRECT("'"&amp;F909&amp;"'!$C$8")),"")</f>
        <v/>
      </c>
      <c r="K909" s="48">
        <f t="shared" si="45"/>
        <v>915</v>
      </c>
      <c r="L909" s="114" t="str" cm="1">
        <f t="array" aca="1" ref="L909" ca="1">IF(F909&lt;&gt;"",INDIRECT("'"&amp;F909&amp;"'!$F$17"),"")</f>
        <v/>
      </c>
      <c r="M909" s="116" t="str">
        <f t="shared" ca="1" si="43"/>
        <v/>
      </c>
      <c r="O909" s="49" t="str">
        <f t="shared" ca="1" si="44"/>
        <v/>
      </c>
      <c r="P909" s="38" t="str">
        <f>IF(E909&lt;&gt;"",RANK(E909,$E$3:$E$2298)+COUNTIF($E$3:E909,E909)-1,"")</f>
        <v/>
      </c>
    </row>
    <row r="910" spans="4:16" x14ac:dyDescent="0.25">
      <c r="D910" s="36" t="str" cm="1">
        <f t="array" aca="1" ref="D910" ca="1">IFERROR(IF(INDIRECT("'"&amp;F910&amp;"'!$C$5")&gt;0,DATE(YEAR(Dashboard!$AL$2),Dashboard!$AU$4,INDIRECT("'"&amp;F910&amp;"'!$C$5")),""),"")</f>
        <v/>
      </c>
      <c r="G910" s="38" t="str" cm="1">
        <f t="array" aca="1" ref="G910" ca="1">IF(F910="",
    "",
    IFERROR(
        IF(INDIRECT("'"&amp;F910&amp;"'!$B$2")="Credit Limit",
            "Credit Accounts",
            IF(INDIRECT("'"&amp;F910&amp;"'!$E$2")="Location",
                "Cash Accounts",
                IF(INDIRECT("'"&amp;F910&amp;"'!$B$2")="Amount",
                    "Investments",
                    "Bill Accounts"
                )
            )
        ),
    "")
)</f>
        <v/>
      </c>
      <c r="I910" s="46" t="str" cm="1">
        <f t="array" aca="1" ref="I910" ca="1">IF(F910&lt;&gt;"",IF(OR(G910="Bill Accounts",G910="Investments", G910="Cash Accounts"),INDIRECT("'"&amp;F910&amp;"'!$C$10"),INDIRECT("'"&amp;F910&amp;"'!$C$8")),"")</f>
        <v/>
      </c>
      <c r="K910" s="48">
        <f t="shared" si="45"/>
        <v>916</v>
      </c>
      <c r="L910" s="114" t="str" cm="1">
        <f t="array" aca="1" ref="L910" ca="1">IF(F910&lt;&gt;"",INDIRECT("'"&amp;F910&amp;"'!$F$17"),"")</f>
        <v/>
      </c>
      <c r="M910" s="116" t="str">
        <f t="shared" ca="1" si="43"/>
        <v/>
      </c>
      <c r="O910" s="49" t="str">
        <f t="shared" ca="1" si="44"/>
        <v/>
      </c>
      <c r="P910" s="38" t="str">
        <f>IF(E910&lt;&gt;"",RANK(E910,$E$3:$E$2298)+COUNTIF($E$3:E910,E910)-1,"")</f>
        <v/>
      </c>
    </row>
    <row r="911" spans="4:16" x14ac:dyDescent="0.25">
      <c r="D911" s="36" t="str" cm="1">
        <f t="array" aca="1" ref="D911" ca="1">IFERROR(IF(INDIRECT("'"&amp;F911&amp;"'!$C$5")&gt;0,DATE(YEAR(Dashboard!$AL$2),Dashboard!$AU$4,INDIRECT("'"&amp;F911&amp;"'!$C$5")),""),"")</f>
        <v/>
      </c>
      <c r="G911" s="38" t="str" cm="1">
        <f t="array" aca="1" ref="G911" ca="1">IF(F911="",
    "",
    IFERROR(
        IF(INDIRECT("'"&amp;F911&amp;"'!$B$2")="Credit Limit",
            "Credit Accounts",
            IF(INDIRECT("'"&amp;F911&amp;"'!$E$2")="Location",
                "Cash Accounts",
                IF(INDIRECT("'"&amp;F911&amp;"'!$B$2")="Amount",
                    "Investments",
                    "Bill Accounts"
                )
            )
        ),
    "")
)</f>
        <v/>
      </c>
      <c r="I911" s="46" t="str" cm="1">
        <f t="array" aca="1" ref="I911" ca="1">IF(F911&lt;&gt;"",IF(OR(G911="Bill Accounts",G911="Investments", G911="Cash Accounts"),INDIRECT("'"&amp;F911&amp;"'!$C$10"),INDIRECT("'"&amp;F911&amp;"'!$C$8")),"")</f>
        <v/>
      </c>
      <c r="K911" s="48">
        <f t="shared" si="45"/>
        <v>917</v>
      </c>
      <c r="L911" s="114" t="str" cm="1">
        <f t="array" aca="1" ref="L911" ca="1">IF(F911&lt;&gt;"",INDIRECT("'"&amp;F911&amp;"'!$F$17"),"")</f>
        <v/>
      </c>
      <c r="M911" s="116" t="str">
        <f t="shared" ca="1" si="43"/>
        <v/>
      </c>
      <c r="O911" s="49" t="str">
        <f t="shared" ca="1" si="44"/>
        <v/>
      </c>
      <c r="P911" s="38" t="str">
        <f>IF(E911&lt;&gt;"",RANK(E911,$E$3:$E$2298)+COUNTIF($E$3:E911,E911)-1,"")</f>
        <v/>
      </c>
    </row>
    <row r="912" spans="4:16" x14ac:dyDescent="0.25">
      <c r="D912" s="36" t="str" cm="1">
        <f t="array" aca="1" ref="D912" ca="1">IFERROR(IF(INDIRECT("'"&amp;F912&amp;"'!$C$5")&gt;0,DATE(YEAR(Dashboard!$AL$2),Dashboard!$AU$4,INDIRECT("'"&amp;F912&amp;"'!$C$5")),""),"")</f>
        <v/>
      </c>
      <c r="G912" s="38" t="str" cm="1">
        <f t="array" aca="1" ref="G912" ca="1">IF(F912="",
    "",
    IFERROR(
        IF(INDIRECT("'"&amp;F912&amp;"'!$B$2")="Credit Limit",
            "Credit Accounts",
            IF(INDIRECT("'"&amp;F912&amp;"'!$E$2")="Location",
                "Cash Accounts",
                IF(INDIRECT("'"&amp;F912&amp;"'!$B$2")="Amount",
                    "Investments",
                    "Bill Accounts"
                )
            )
        ),
    "")
)</f>
        <v/>
      </c>
      <c r="I912" s="46" t="str" cm="1">
        <f t="array" aca="1" ref="I912" ca="1">IF(F912&lt;&gt;"",IF(OR(G912="Bill Accounts",G912="Investments", G912="Cash Accounts"),INDIRECT("'"&amp;F912&amp;"'!$C$10"),INDIRECT("'"&amp;F912&amp;"'!$C$8")),"")</f>
        <v/>
      </c>
      <c r="K912" s="48">
        <f t="shared" si="45"/>
        <v>918</v>
      </c>
      <c r="L912" s="114" t="str" cm="1">
        <f t="array" aca="1" ref="L912" ca="1">IF(F912&lt;&gt;"",INDIRECT("'"&amp;F912&amp;"'!$F$17"),"")</f>
        <v/>
      </c>
      <c r="M912" s="116" t="str">
        <f t="shared" ca="1" si="43"/>
        <v/>
      </c>
      <c r="O912" s="49" t="str">
        <f t="shared" ca="1" si="44"/>
        <v/>
      </c>
      <c r="P912" s="38" t="str">
        <f>IF(E912&lt;&gt;"",RANK(E912,$E$3:$E$2298)+COUNTIF($E$3:E912,E912)-1,"")</f>
        <v/>
      </c>
    </row>
    <row r="913" spans="4:16" x14ac:dyDescent="0.25">
      <c r="D913" s="36" t="str" cm="1">
        <f t="array" aca="1" ref="D913" ca="1">IFERROR(IF(INDIRECT("'"&amp;F913&amp;"'!$C$5")&gt;0,DATE(YEAR(Dashboard!$AL$2),Dashboard!$AU$4,INDIRECT("'"&amp;F913&amp;"'!$C$5")),""),"")</f>
        <v/>
      </c>
      <c r="G913" s="38" t="str" cm="1">
        <f t="array" aca="1" ref="G913" ca="1">IF(F913="",
    "",
    IFERROR(
        IF(INDIRECT("'"&amp;F913&amp;"'!$B$2")="Credit Limit",
            "Credit Accounts",
            IF(INDIRECT("'"&amp;F913&amp;"'!$E$2")="Location",
                "Cash Accounts",
                IF(INDIRECT("'"&amp;F913&amp;"'!$B$2")="Amount",
                    "Investments",
                    "Bill Accounts"
                )
            )
        ),
    "")
)</f>
        <v/>
      </c>
      <c r="I913" s="46" t="str" cm="1">
        <f t="array" aca="1" ref="I913" ca="1">IF(F913&lt;&gt;"",IF(OR(G913="Bill Accounts",G913="Investments", G913="Cash Accounts"),INDIRECT("'"&amp;F913&amp;"'!$C$10"),INDIRECT("'"&amp;F913&amp;"'!$C$8")),"")</f>
        <v/>
      </c>
      <c r="K913" s="48">
        <f t="shared" si="45"/>
        <v>919</v>
      </c>
      <c r="L913" s="114" t="str" cm="1">
        <f t="array" aca="1" ref="L913" ca="1">IF(F913&lt;&gt;"",INDIRECT("'"&amp;F913&amp;"'!$F$17"),"")</f>
        <v/>
      </c>
      <c r="M913" s="116" t="str">
        <f t="shared" ca="1" si="43"/>
        <v/>
      </c>
      <c r="O913" s="49" t="str">
        <f t="shared" ca="1" si="44"/>
        <v/>
      </c>
      <c r="P913" s="38" t="str">
        <f>IF(E913&lt;&gt;"",RANK(E913,$E$3:$E$2298)+COUNTIF($E$3:E913,E913)-1,"")</f>
        <v/>
      </c>
    </row>
    <row r="914" spans="4:16" x14ac:dyDescent="0.25">
      <c r="D914" s="36" t="str" cm="1">
        <f t="array" aca="1" ref="D914" ca="1">IFERROR(IF(INDIRECT("'"&amp;F914&amp;"'!$C$5")&gt;0,DATE(YEAR(Dashboard!$AL$2),Dashboard!$AU$4,INDIRECT("'"&amp;F914&amp;"'!$C$5")),""),"")</f>
        <v/>
      </c>
      <c r="G914" s="38" t="str" cm="1">
        <f t="array" aca="1" ref="G914" ca="1">IF(F914="",
    "",
    IFERROR(
        IF(INDIRECT("'"&amp;F914&amp;"'!$B$2")="Credit Limit",
            "Credit Accounts",
            IF(INDIRECT("'"&amp;F914&amp;"'!$E$2")="Location",
                "Cash Accounts",
                IF(INDIRECT("'"&amp;F914&amp;"'!$B$2")="Amount",
                    "Investments",
                    "Bill Accounts"
                )
            )
        ),
    "")
)</f>
        <v/>
      </c>
      <c r="I914" s="46" t="str" cm="1">
        <f t="array" aca="1" ref="I914" ca="1">IF(F914&lt;&gt;"",IF(OR(G914="Bill Accounts",G914="Investments", G914="Cash Accounts"),INDIRECT("'"&amp;F914&amp;"'!$C$10"),INDIRECT("'"&amp;F914&amp;"'!$C$8")),"")</f>
        <v/>
      </c>
      <c r="K914" s="48">
        <f t="shared" si="45"/>
        <v>920</v>
      </c>
      <c r="L914" s="114" t="str" cm="1">
        <f t="array" aca="1" ref="L914" ca="1">IF(F914&lt;&gt;"",INDIRECT("'"&amp;F914&amp;"'!$F$17"),"")</f>
        <v/>
      </c>
      <c r="M914" s="116" t="str">
        <f t="shared" ca="1" si="43"/>
        <v/>
      </c>
      <c r="O914" s="49" t="str">
        <f t="shared" ca="1" si="44"/>
        <v/>
      </c>
      <c r="P914" s="38" t="str">
        <f>IF(E914&lt;&gt;"",RANK(E914,$E$3:$E$2298)+COUNTIF($E$3:E914,E914)-1,"")</f>
        <v/>
      </c>
    </row>
    <row r="915" spans="4:16" x14ac:dyDescent="0.25">
      <c r="D915" s="36" t="str" cm="1">
        <f t="array" aca="1" ref="D915" ca="1">IFERROR(IF(INDIRECT("'"&amp;F915&amp;"'!$C$5")&gt;0,DATE(YEAR(Dashboard!$AL$2),Dashboard!$AU$4,INDIRECT("'"&amp;F915&amp;"'!$C$5")),""),"")</f>
        <v/>
      </c>
      <c r="G915" s="38" t="str" cm="1">
        <f t="array" aca="1" ref="G915" ca="1">IF(F915="",
    "",
    IFERROR(
        IF(INDIRECT("'"&amp;F915&amp;"'!$B$2")="Credit Limit",
            "Credit Accounts",
            IF(INDIRECT("'"&amp;F915&amp;"'!$E$2")="Location",
                "Cash Accounts",
                IF(INDIRECT("'"&amp;F915&amp;"'!$B$2")="Amount",
                    "Investments",
                    "Bill Accounts"
                )
            )
        ),
    "")
)</f>
        <v/>
      </c>
      <c r="I915" s="46" t="str" cm="1">
        <f t="array" aca="1" ref="I915" ca="1">IF(F915&lt;&gt;"",IF(OR(G915="Bill Accounts",G915="Investments", G915="Cash Accounts"),INDIRECT("'"&amp;F915&amp;"'!$C$10"),INDIRECT("'"&amp;F915&amp;"'!$C$8")),"")</f>
        <v/>
      </c>
      <c r="K915" s="48">
        <f t="shared" si="45"/>
        <v>921</v>
      </c>
      <c r="L915" s="114" t="str" cm="1">
        <f t="array" aca="1" ref="L915" ca="1">IF(F915&lt;&gt;"",INDIRECT("'"&amp;F915&amp;"'!$F$17"),"")</f>
        <v/>
      </c>
      <c r="M915" s="116" t="str">
        <f t="shared" ca="1" si="43"/>
        <v/>
      </c>
      <c r="O915" s="49" t="str">
        <f t="shared" ca="1" si="44"/>
        <v/>
      </c>
      <c r="P915" s="38" t="str">
        <f>IF(E915&lt;&gt;"",RANK(E915,$E$3:$E$2298)+COUNTIF($E$3:E915,E915)-1,"")</f>
        <v/>
      </c>
    </row>
    <row r="916" spans="4:16" x14ac:dyDescent="0.25">
      <c r="D916" s="36" t="str" cm="1">
        <f t="array" aca="1" ref="D916" ca="1">IFERROR(IF(INDIRECT("'"&amp;F916&amp;"'!$C$5")&gt;0,DATE(YEAR(Dashboard!$AL$2),Dashboard!$AU$4,INDIRECT("'"&amp;F916&amp;"'!$C$5")),""),"")</f>
        <v/>
      </c>
      <c r="G916" s="38" t="str" cm="1">
        <f t="array" aca="1" ref="G916" ca="1">IF(F916="",
    "",
    IFERROR(
        IF(INDIRECT("'"&amp;F916&amp;"'!$B$2")="Credit Limit",
            "Credit Accounts",
            IF(INDIRECT("'"&amp;F916&amp;"'!$E$2")="Location",
                "Cash Accounts",
                IF(INDIRECT("'"&amp;F916&amp;"'!$B$2")="Amount",
                    "Investments",
                    "Bill Accounts"
                )
            )
        ),
    "")
)</f>
        <v/>
      </c>
      <c r="I916" s="46" t="str" cm="1">
        <f t="array" aca="1" ref="I916" ca="1">IF(F916&lt;&gt;"",IF(OR(G916="Bill Accounts",G916="Investments", G916="Cash Accounts"),INDIRECT("'"&amp;F916&amp;"'!$C$10"),INDIRECT("'"&amp;F916&amp;"'!$C$8")),"")</f>
        <v/>
      </c>
      <c r="K916" s="48">
        <f t="shared" si="45"/>
        <v>922</v>
      </c>
      <c r="L916" s="114" t="str" cm="1">
        <f t="array" aca="1" ref="L916" ca="1">IF(F916&lt;&gt;"",INDIRECT("'"&amp;F916&amp;"'!$F$17"),"")</f>
        <v/>
      </c>
      <c r="M916" s="116" t="str">
        <f t="shared" ca="1" si="43"/>
        <v/>
      </c>
      <c r="O916" s="49" t="str">
        <f t="shared" ca="1" si="44"/>
        <v/>
      </c>
      <c r="P916" s="38" t="str">
        <f>IF(E916&lt;&gt;"",RANK(E916,$E$3:$E$2298)+COUNTIF($E$3:E916,E916)-1,"")</f>
        <v/>
      </c>
    </row>
    <row r="917" spans="4:16" x14ac:dyDescent="0.25">
      <c r="D917" s="36" t="str" cm="1">
        <f t="array" aca="1" ref="D917" ca="1">IFERROR(IF(INDIRECT("'"&amp;F917&amp;"'!$C$5")&gt;0,DATE(YEAR(Dashboard!$AL$2),Dashboard!$AU$4,INDIRECT("'"&amp;F917&amp;"'!$C$5")),""),"")</f>
        <v/>
      </c>
      <c r="G917" s="38" t="str" cm="1">
        <f t="array" aca="1" ref="G917" ca="1">IF(F917="",
    "",
    IFERROR(
        IF(INDIRECT("'"&amp;F917&amp;"'!$B$2")="Credit Limit",
            "Credit Accounts",
            IF(INDIRECT("'"&amp;F917&amp;"'!$E$2")="Location",
                "Cash Accounts",
                IF(INDIRECT("'"&amp;F917&amp;"'!$B$2")="Amount",
                    "Investments",
                    "Bill Accounts"
                )
            )
        ),
    "")
)</f>
        <v/>
      </c>
      <c r="I917" s="46" t="str" cm="1">
        <f t="array" aca="1" ref="I917" ca="1">IF(F917&lt;&gt;"",IF(OR(G917="Bill Accounts",G917="Investments", G917="Cash Accounts"),INDIRECT("'"&amp;F917&amp;"'!$C$10"),INDIRECT("'"&amp;F917&amp;"'!$C$8")),"")</f>
        <v/>
      </c>
      <c r="K917" s="48">
        <f t="shared" si="45"/>
        <v>923</v>
      </c>
      <c r="L917" s="114" t="str" cm="1">
        <f t="array" aca="1" ref="L917" ca="1">IF(F917&lt;&gt;"",INDIRECT("'"&amp;F917&amp;"'!$F$17"),"")</f>
        <v/>
      </c>
      <c r="M917" s="116" t="str">
        <f t="shared" ca="1" si="43"/>
        <v/>
      </c>
      <c r="O917" s="49" t="str">
        <f t="shared" ca="1" si="44"/>
        <v/>
      </c>
      <c r="P917" s="38" t="str">
        <f>IF(E917&lt;&gt;"",RANK(E917,$E$3:$E$2298)+COUNTIF($E$3:E917,E917)-1,"")</f>
        <v/>
      </c>
    </row>
    <row r="918" spans="4:16" x14ac:dyDescent="0.25">
      <c r="D918" s="36" t="str" cm="1">
        <f t="array" aca="1" ref="D918" ca="1">IFERROR(IF(INDIRECT("'"&amp;F918&amp;"'!$C$5")&gt;0,DATE(YEAR(Dashboard!$AL$2),Dashboard!$AU$4,INDIRECT("'"&amp;F918&amp;"'!$C$5")),""),"")</f>
        <v/>
      </c>
      <c r="G918" s="38" t="str" cm="1">
        <f t="array" aca="1" ref="G918" ca="1">IF(F918="",
    "",
    IFERROR(
        IF(INDIRECT("'"&amp;F918&amp;"'!$B$2")="Credit Limit",
            "Credit Accounts",
            IF(INDIRECT("'"&amp;F918&amp;"'!$E$2")="Location",
                "Cash Accounts",
                IF(INDIRECT("'"&amp;F918&amp;"'!$B$2")="Amount",
                    "Investments",
                    "Bill Accounts"
                )
            )
        ),
    "")
)</f>
        <v/>
      </c>
      <c r="I918" s="46" t="str" cm="1">
        <f t="array" aca="1" ref="I918" ca="1">IF(F918&lt;&gt;"",IF(OR(G918="Bill Accounts",G918="Investments", G918="Cash Accounts"),INDIRECT("'"&amp;F918&amp;"'!$C$10"),INDIRECT("'"&amp;F918&amp;"'!$C$8")),"")</f>
        <v/>
      </c>
      <c r="K918" s="48">
        <f t="shared" si="45"/>
        <v>924</v>
      </c>
      <c r="L918" s="114" t="str" cm="1">
        <f t="array" aca="1" ref="L918" ca="1">IF(F918&lt;&gt;"",INDIRECT("'"&amp;F918&amp;"'!$F$17"),"")</f>
        <v/>
      </c>
      <c r="M918" s="116" t="str">
        <f t="shared" ca="1" si="43"/>
        <v/>
      </c>
      <c r="O918" s="49" t="str">
        <f t="shared" ca="1" si="44"/>
        <v/>
      </c>
      <c r="P918" s="38" t="str">
        <f>IF(E918&lt;&gt;"",RANK(E918,$E$3:$E$2298)+COUNTIF($E$3:E918,E918)-1,"")</f>
        <v/>
      </c>
    </row>
    <row r="919" spans="4:16" x14ac:dyDescent="0.25">
      <c r="D919" s="36" t="str" cm="1">
        <f t="array" aca="1" ref="D919" ca="1">IFERROR(IF(INDIRECT("'"&amp;F919&amp;"'!$C$5")&gt;0,DATE(YEAR(Dashboard!$AL$2),Dashboard!$AU$4,INDIRECT("'"&amp;F919&amp;"'!$C$5")),""),"")</f>
        <v/>
      </c>
      <c r="G919" s="38" t="str" cm="1">
        <f t="array" aca="1" ref="G919" ca="1">IF(F919="",
    "",
    IFERROR(
        IF(INDIRECT("'"&amp;F919&amp;"'!$B$2")="Credit Limit",
            "Credit Accounts",
            IF(INDIRECT("'"&amp;F919&amp;"'!$E$2")="Location",
                "Cash Accounts",
                IF(INDIRECT("'"&amp;F919&amp;"'!$B$2")="Amount",
                    "Investments",
                    "Bill Accounts"
                )
            )
        ),
    "")
)</f>
        <v/>
      </c>
      <c r="I919" s="46" t="str" cm="1">
        <f t="array" aca="1" ref="I919" ca="1">IF(F919&lt;&gt;"",IF(OR(G919="Bill Accounts",G919="Investments", G919="Cash Accounts"),INDIRECT("'"&amp;F919&amp;"'!$C$10"),INDIRECT("'"&amp;F919&amp;"'!$C$8")),"")</f>
        <v/>
      </c>
      <c r="K919" s="48">
        <f t="shared" si="45"/>
        <v>925</v>
      </c>
      <c r="L919" s="114" t="str" cm="1">
        <f t="array" aca="1" ref="L919" ca="1">IF(F919&lt;&gt;"",INDIRECT("'"&amp;F919&amp;"'!$F$17"),"")</f>
        <v/>
      </c>
      <c r="M919" s="116" t="str">
        <f t="shared" ca="1" si="43"/>
        <v/>
      </c>
      <c r="O919" s="49" t="str">
        <f t="shared" ca="1" si="44"/>
        <v/>
      </c>
      <c r="P919" s="38" t="str">
        <f>IF(E919&lt;&gt;"",RANK(E919,$E$3:$E$2298)+COUNTIF($E$3:E919,E919)-1,"")</f>
        <v/>
      </c>
    </row>
    <row r="920" spans="4:16" x14ac:dyDescent="0.25">
      <c r="D920" s="36" t="str" cm="1">
        <f t="array" aca="1" ref="D920" ca="1">IFERROR(IF(INDIRECT("'"&amp;F920&amp;"'!$C$5")&gt;0,DATE(YEAR(Dashboard!$AL$2),Dashboard!$AU$4,INDIRECT("'"&amp;F920&amp;"'!$C$5")),""),"")</f>
        <v/>
      </c>
      <c r="G920" s="38" t="str" cm="1">
        <f t="array" aca="1" ref="G920" ca="1">IF(F920="",
    "",
    IFERROR(
        IF(INDIRECT("'"&amp;F920&amp;"'!$B$2")="Credit Limit",
            "Credit Accounts",
            IF(INDIRECT("'"&amp;F920&amp;"'!$E$2")="Location",
                "Cash Accounts",
                IF(INDIRECT("'"&amp;F920&amp;"'!$B$2")="Amount",
                    "Investments",
                    "Bill Accounts"
                )
            )
        ),
    "")
)</f>
        <v/>
      </c>
      <c r="I920" s="46" t="str" cm="1">
        <f t="array" aca="1" ref="I920" ca="1">IF(F920&lt;&gt;"",IF(OR(G920="Bill Accounts",G920="Investments", G920="Cash Accounts"),INDIRECT("'"&amp;F920&amp;"'!$C$10"),INDIRECT("'"&amp;F920&amp;"'!$C$8")),"")</f>
        <v/>
      </c>
      <c r="K920" s="48">
        <f t="shared" si="45"/>
        <v>926</v>
      </c>
      <c r="L920" s="114" t="str" cm="1">
        <f t="array" aca="1" ref="L920" ca="1">IF(F920&lt;&gt;"",INDIRECT("'"&amp;F920&amp;"'!$F$17"),"")</f>
        <v/>
      </c>
      <c r="M920" s="116" t="str">
        <f t="shared" ca="1" si="43"/>
        <v/>
      </c>
      <c r="O920" s="49" t="str">
        <f t="shared" ca="1" si="44"/>
        <v/>
      </c>
      <c r="P920" s="38" t="str">
        <f>IF(E920&lt;&gt;"",RANK(E920,$E$3:$E$2298)+COUNTIF($E$3:E920,E920)-1,"")</f>
        <v/>
      </c>
    </row>
    <row r="921" spans="4:16" x14ac:dyDescent="0.25">
      <c r="D921" s="36" t="str" cm="1">
        <f t="array" aca="1" ref="D921" ca="1">IFERROR(IF(INDIRECT("'"&amp;F921&amp;"'!$C$5")&gt;0,DATE(YEAR(Dashboard!$AL$2),Dashboard!$AU$4,INDIRECT("'"&amp;F921&amp;"'!$C$5")),""),"")</f>
        <v/>
      </c>
      <c r="G921" s="38" t="str" cm="1">
        <f t="array" aca="1" ref="G921" ca="1">IF(F921="",
    "",
    IFERROR(
        IF(INDIRECT("'"&amp;F921&amp;"'!$B$2")="Credit Limit",
            "Credit Accounts",
            IF(INDIRECT("'"&amp;F921&amp;"'!$E$2")="Location",
                "Cash Accounts",
                IF(INDIRECT("'"&amp;F921&amp;"'!$B$2")="Amount",
                    "Investments",
                    "Bill Accounts"
                )
            )
        ),
    "")
)</f>
        <v/>
      </c>
      <c r="I921" s="46" t="str" cm="1">
        <f t="array" aca="1" ref="I921" ca="1">IF(F921&lt;&gt;"",IF(OR(G921="Bill Accounts",G921="Investments", G921="Cash Accounts"),INDIRECT("'"&amp;F921&amp;"'!$C$10"),INDIRECT("'"&amp;F921&amp;"'!$C$8")),"")</f>
        <v/>
      </c>
      <c r="K921" s="48">
        <f t="shared" si="45"/>
        <v>927</v>
      </c>
      <c r="L921" s="114" t="str" cm="1">
        <f t="array" aca="1" ref="L921" ca="1">IF(F921&lt;&gt;"",INDIRECT("'"&amp;F921&amp;"'!$F$17"),"")</f>
        <v/>
      </c>
      <c r="M921" s="116" t="str">
        <f t="shared" ca="1" si="43"/>
        <v/>
      </c>
      <c r="O921" s="49" t="str">
        <f t="shared" ca="1" si="44"/>
        <v/>
      </c>
      <c r="P921" s="38" t="str">
        <f>IF(E921&lt;&gt;"",RANK(E921,$E$3:$E$2298)+COUNTIF($E$3:E921,E921)-1,"")</f>
        <v/>
      </c>
    </row>
    <row r="922" spans="4:16" x14ac:dyDescent="0.25">
      <c r="D922" s="36" t="str" cm="1">
        <f t="array" aca="1" ref="D922" ca="1">IFERROR(IF(INDIRECT("'"&amp;F922&amp;"'!$C$5")&gt;0,DATE(YEAR(Dashboard!$AL$2),Dashboard!$AU$4,INDIRECT("'"&amp;F922&amp;"'!$C$5")),""),"")</f>
        <v/>
      </c>
      <c r="G922" s="38" t="str" cm="1">
        <f t="array" aca="1" ref="G922" ca="1">IF(F922="",
    "",
    IFERROR(
        IF(INDIRECT("'"&amp;F922&amp;"'!$B$2")="Credit Limit",
            "Credit Accounts",
            IF(INDIRECT("'"&amp;F922&amp;"'!$E$2")="Location",
                "Cash Accounts",
                IF(INDIRECT("'"&amp;F922&amp;"'!$B$2")="Amount",
                    "Investments",
                    "Bill Accounts"
                )
            )
        ),
    "")
)</f>
        <v/>
      </c>
      <c r="I922" s="46" t="str" cm="1">
        <f t="array" aca="1" ref="I922" ca="1">IF(F922&lt;&gt;"",IF(OR(G922="Bill Accounts",G922="Investments", G922="Cash Accounts"),INDIRECT("'"&amp;F922&amp;"'!$C$10"),INDIRECT("'"&amp;F922&amp;"'!$C$8")),"")</f>
        <v/>
      </c>
      <c r="K922" s="48">
        <f t="shared" si="45"/>
        <v>928</v>
      </c>
      <c r="L922" s="114" t="str" cm="1">
        <f t="array" aca="1" ref="L922" ca="1">IF(F922&lt;&gt;"",INDIRECT("'"&amp;F922&amp;"'!$F$17"),"")</f>
        <v/>
      </c>
      <c r="M922" s="116" t="str">
        <f t="shared" ca="1" si="43"/>
        <v/>
      </c>
      <c r="O922" s="49" t="str">
        <f t="shared" ca="1" si="44"/>
        <v/>
      </c>
      <c r="P922" s="38" t="str">
        <f>IF(E922&lt;&gt;"",RANK(E922,$E$3:$E$2298)+COUNTIF($E$3:E922,E922)-1,"")</f>
        <v/>
      </c>
    </row>
    <row r="923" spans="4:16" x14ac:dyDescent="0.25">
      <c r="D923" s="36" t="str" cm="1">
        <f t="array" aca="1" ref="D923" ca="1">IFERROR(IF(INDIRECT("'"&amp;F923&amp;"'!$C$5")&gt;0,DATE(YEAR(Dashboard!$AL$2),Dashboard!$AU$4,INDIRECT("'"&amp;F923&amp;"'!$C$5")),""),"")</f>
        <v/>
      </c>
      <c r="G923" s="38" t="str" cm="1">
        <f t="array" aca="1" ref="G923" ca="1">IF(F923="",
    "",
    IFERROR(
        IF(INDIRECT("'"&amp;F923&amp;"'!$B$2")="Credit Limit",
            "Credit Accounts",
            IF(INDIRECT("'"&amp;F923&amp;"'!$E$2")="Location",
                "Cash Accounts",
                IF(INDIRECT("'"&amp;F923&amp;"'!$B$2")="Amount",
                    "Investments",
                    "Bill Accounts"
                )
            )
        ),
    "")
)</f>
        <v/>
      </c>
      <c r="I923" s="46" t="str" cm="1">
        <f t="array" aca="1" ref="I923" ca="1">IF(F923&lt;&gt;"",IF(OR(G923="Bill Accounts",G923="Investments", G923="Cash Accounts"),INDIRECT("'"&amp;F923&amp;"'!$C$10"),INDIRECT("'"&amp;F923&amp;"'!$C$8")),"")</f>
        <v/>
      </c>
      <c r="K923" s="48">
        <f t="shared" si="45"/>
        <v>929</v>
      </c>
      <c r="L923" s="114" t="str" cm="1">
        <f t="array" aca="1" ref="L923" ca="1">IF(F923&lt;&gt;"",INDIRECT("'"&amp;F923&amp;"'!$F$17"),"")</f>
        <v/>
      </c>
      <c r="M923" s="116" t="str">
        <f t="shared" ca="1" si="43"/>
        <v/>
      </c>
      <c r="O923" s="49" t="str">
        <f t="shared" ca="1" si="44"/>
        <v/>
      </c>
      <c r="P923" s="38" t="str">
        <f>IF(E923&lt;&gt;"",RANK(E923,$E$3:$E$2298)+COUNTIF($E$3:E923,E923)-1,"")</f>
        <v/>
      </c>
    </row>
    <row r="924" spans="4:16" x14ac:dyDescent="0.25">
      <c r="D924" s="36" t="str" cm="1">
        <f t="array" aca="1" ref="D924" ca="1">IFERROR(IF(INDIRECT("'"&amp;F924&amp;"'!$C$5")&gt;0,DATE(YEAR(Dashboard!$AL$2),Dashboard!$AU$4,INDIRECT("'"&amp;F924&amp;"'!$C$5")),""),"")</f>
        <v/>
      </c>
      <c r="G924" s="38" t="str" cm="1">
        <f t="array" aca="1" ref="G924" ca="1">IF(F924="",
    "",
    IFERROR(
        IF(INDIRECT("'"&amp;F924&amp;"'!$B$2")="Credit Limit",
            "Credit Accounts",
            IF(INDIRECT("'"&amp;F924&amp;"'!$E$2")="Location",
                "Cash Accounts",
                IF(INDIRECT("'"&amp;F924&amp;"'!$B$2")="Amount",
                    "Investments",
                    "Bill Accounts"
                )
            )
        ),
    "")
)</f>
        <v/>
      </c>
      <c r="I924" s="46" t="str" cm="1">
        <f t="array" aca="1" ref="I924" ca="1">IF(F924&lt;&gt;"",IF(OR(G924="Bill Accounts",G924="Investments", G924="Cash Accounts"),INDIRECT("'"&amp;F924&amp;"'!$C$10"),INDIRECT("'"&amp;F924&amp;"'!$C$8")),"")</f>
        <v/>
      </c>
      <c r="K924" s="48">
        <f t="shared" si="45"/>
        <v>930</v>
      </c>
      <c r="L924" s="114" t="str" cm="1">
        <f t="array" aca="1" ref="L924" ca="1">IF(F924&lt;&gt;"",INDIRECT("'"&amp;F924&amp;"'!$F$17"),"")</f>
        <v/>
      </c>
      <c r="M924" s="116" t="str">
        <f t="shared" ca="1" si="43"/>
        <v/>
      </c>
      <c r="O924" s="49" t="str">
        <f t="shared" ca="1" si="44"/>
        <v/>
      </c>
      <c r="P924" s="38" t="str">
        <f>IF(E924&lt;&gt;"",RANK(E924,$E$3:$E$2298)+COUNTIF($E$3:E924,E924)-1,"")</f>
        <v/>
      </c>
    </row>
    <row r="925" spans="4:16" x14ac:dyDescent="0.25">
      <c r="D925" s="36" t="str" cm="1">
        <f t="array" aca="1" ref="D925" ca="1">IFERROR(IF(INDIRECT("'"&amp;F925&amp;"'!$C$5")&gt;0,DATE(YEAR(Dashboard!$AL$2),Dashboard!$AU$4,INDIRECT("'"&amp;F925&amp;"'!$C$5")),""),"")</f>
        <v/>
      </c>
      <c r="G925" s="38" t="str" cm="1">
        <f t="array" aca="1" ref="G925" ca="1">IF(F925="",
    "",
    IFERROR(
        IF(INDIRECT("'"&amp;F925&amp;"'!$B$2")="Credit Limit",
            "Credit Accounts",
            IF(INDIRECT("'"&amp;F925&amp;"'!$E$2")="Location",
                "Cash Accounts",
                IF(INDIRECT("'"&amp;F925&amp;"'!$B$2")="Amount",
                    "Investments",
                    "Bill Accounts"
                )
            )
        ),
    "")
)</f>
        <v/>
      </c>
      <c r="I925" s="46" t="str" cm="1">
        <f t="array" aca="1" ref="I925" ca="1">IF(F925&lt;&gt;"",IF(OR(G925="Bill Accounts",G925="Investments", G925="Cash Accounts"),INDIRECT("'"&amp;F925&amp;"'!$C$10"),INDIRECT("'"&amp;F925&amp;"'!$C$8")),"")</f>
        <v/>
      </c>
      <c r="K925" s="48">
        <f t="shared" si="45"/>
        <v>931</v>
      </c>
      <c r="L925" s="114" t="str" cm="1">
        <f t="array" aca="1" ref="L925" ca="1">IF(F925&lt;&gt;"",INDIRECT("'"&amp;F925&amp;"'!$F$17"),"")</f>
        <v/>
      </c>
      <c r="M925" s="116" t="str">
        <f t="shared" ca="1" si="43"/>
        <v/>
      </c>
      <c r="O925" s="49" t="str">
        <f t="shared" ca="1" si="44"/>
        <v/>
      </c>
      <c r="P925" s="38" t="str">
        <f>IF(E925&lt;&gt;"",RANK(E925,$E$3:$E$2298)+COUNTIF($E$3:E925,E925)-1,"")</f>
        <v/>
      </c>
    </row>
    <row r="926" spans="4:16" x14ac:dyDescent="0.25">
      <c r="D926" s="36" t="str" cm="1">
        <f t="array" aca="1" ref="D926" ca="1">IFERROR(IF(INDIRECT("'"&amp;F926&amp;"'!$C$5")&gt;0,DATE(YEAR(Dashboard!$AL$2),Dashboard!$AU$4,INDIRECT("'"&amp;F926&amp;"'!$C$5")),""),"")</f>
        <v/>
      </c>
      <c r="G926" s="38" t="str" cm="1">
        <f t="array" aca="1" ref="G926" ca="1">IF(F926="",
    "",
    IFERROR(
        IF(INDIRECT("'"&amp;F926&amp;"'!$B$2")="Credit Limit",
            "Credit Accounts",
            IF(INDIRECT("'"&amp;F926&amp;"'!$E$2")="Location",
                "Cash Accounts",
                IF(INDIRECT("'"&amp;F926&amp;"'!$B$2")="Amount",
                    "Investments",
                    "Bill Accounts"
                )
            )
        ),
    "")
)</f>
        <v/>
      </c>
      <c r="I926" s="46" t="str" cm="1">
        <f t="array" aca="1" ref="I926" ca="1">IF(F926&lt;&gt;"",IF(OR(G926="Bill Accounts",G926="Investments", G926="Cash Accounts"),INDIRECT("'"&amp;F926&amp;"'!$C$10"),INDIRECT("'"&amp;F926&amp;"'!$C$8")),"")</f>
        <v/>
      </c>
      <c r="K926" s="48">
        <f t="shared" si="45"/>
        <v>932</v>
      </c>
      <c r="L926" s="114" t="str" cm="1">
        <f t="array" aca="1" ref="L926" ca="1">IF(F926&lt;&gt;"",INDIRECT("'"&amp;F926&amp;"'!$F$17"),"")</f>
        <v/>
      </c>
      <c r="M926" s="116" t="str">
        <f t="shared" ca="1" si="43"/>
        <v/>
      </c>
      <c r="O926" s="49" t="str">
        <f t="shared" ca="1" si="44"/>
        <v/>
      </c>
      <c r="P926" s="38" t="str">
        <f>IF(E926&lt;&gt;"",RANK(E926,$E$3:$E$2298)+COUNTIF($E$3:E926,E926)-1,"")</f>
        <v/>
      </c>
    </row>
    <row r="927" spans="4:16" x14ac:dyDescent="0.25">
      <c r="D927" s="36" t="str" cm="1">
        <f t="array" aca="1" ref="D927" ca="1">IFERROR(IF(INDIRECT("'"&amp;F927&amp;"'!$C$5")&gt;0,DATE(YEAR(Dashboard!$AL$2),Dashboard!$AU$4,INDIRECT("'"&amp;F927&amp;"'!$C$5")),""),"")</f>
        <v/>
      </c>
      <c r="G927" s="38" t="str" cm="1">
        <f t="array" aca="1" ref="G927" ca="1">IF(F927="",
    "",
    IFERROR(
        IF(INDIRECT("'"&amp;F927&amp;"'!$B$2")="Credit Limit",
            "Credit Accounts",
            IF(INDIRECT("'"&amp;F927&amp;"'!$E$2")="Location",
                "Cash Accounts",
                IF(INDIRECT("'"&amp;F927&amp;"'!$B$2")="Amount",
                    "Investments",
                    "Bill Accounts"
                )
            )
        ),
    "")
)</f>
        <v/>
      </c>
      <c r="I927" s="46" t="str" cm="1">
        <f t="array" aca="1" ref="I927" ca="1">IF(F927&lt;&gt;"",IF(OR(G927="Bill Accounts",G927="Investments", G927="Cash Accounts"),INDIRECT("'"&amp;F927&amp;"'!$C$10"),INDIRECT("'"&amp;F927&amp;"'!$C$8")),"")</f>
        <v/>
      </c>
      <c r="K927" s="48">
        <f t="shared" si="45"/>
        <v>933</v>
      </c>
      <c r="L927" s="114" t="str" cm="1">
        <f t="array" aca="1" ref="L927" ca="1">IF(F927&lt;&gt;"",INDIRECT("'"&amp;F927&amp;"'!$F$17"),"")</f>
        <v/>
      </c>
      <c r="M927" s="116" t="str">
        <f t="shared" ca="1" si="43"/>
        <v/>
      </c>
      <c r="O927" s="49" t="str">
        <f t="shared" ca="1" si="44"/>
        <v/>
      </c>
      <c r="P927" s="38" t="str">
        <f>IF(E927&lt;&gt;"",RANK(E927,$E$3:$E$2298)+COUNTIF($E$3:E927,E927)-1,"")</f>
        <v/>
      </c>
    </row>
    <row r="928" spans="4:16" x14ac:dyDescent="0.25">
      <c r="D928" s="36" t="str" cm="1">
        <f t="array" aca="1" ref="D928" ca="1">IFERROR(IF(INDIRECT("'"&amp;F928&amp;"'!$C$5")&gt;0,DATE(YEAR(Dashboard!$AL$2),Dashboard!$AU$4,INDIRECT("'"&amp;F928&amp;"'!$C$5")),""),"")</f>
        <v/>
      </c>
      <c r="G928" s="38" t="str" cm="1">
        <f t="array" aca="1" ref="G928" ca="1">IF(F928="",
    "",
    IFERROR(
        IF(INDIRECT("'"&amp;F928&amp;"'!$B$2")="Credit Limit",
            "Credit Accounts",
            IF(INDIRECT("'"&amp;F928&amp;"'!$E$2")="Location",
                "Cash Accounts",
                IF(INDIRECT("'"&amp;F928&amp;"'!$B$2")="Amount",
                    "Investments",
                    "Bill Accounts"
                )
            )
        ),
    "")
)</f>
        <v/>
      </c>
      <c r="I928" s="46" t="str" cm="1">
        <f t="array" aca="1" ref="I928" ca="1">IF(F928&lt;&gt;"",IF(OR(G928="Bill Accounts",G928="Investments", G928="Cash Accounts"),INDIRECT("'"&amp;F928&amp;"'!$C$10"),INDIRECT("'"&amp;F928&amp;"'!$C$8")),"")</f>
        <v/>
      </c>
      <c r="K928" s="48">
        <f t="shared" si="45"/>
        <v>934</v>
      </c>
      <c r="L928" s="114" t="str" cm="1">
        <f t="array" aca="1" ref="L928" ca="1">IF(F928&lt;&gt;"",INDIRECT("'"&amp;F928&amp;"'!$F$17"),"")</f>
        <v/>
      </c>
      <c r="M928" s="116" t="str">
        <f t="shared" ca="1" si="43"/>
        <v/>
      </c>
      <c r="O928" s="49" t="str">
        <f t="shared" ca="1" si="44"/>
        <v/>
      </c>
      <c r="P928" s="38" t="str">
        <f>IF(E928&lt;&gt;"",RANK(E928,$E$3:$E$2298)+COUNTIF($E$3:E928,E928)-1,"")</f>
        <v/>
      </c>
    </row>
    <row r="929" spans="4:16" x14ac:dyDescent="0.25">
      <c r="D929" s="36" t="str" cm="1">
        <f t="array" aca="1" ref="D929" ca="1">IFERROR(IF(INDIRECT("'"&amp;F929&amp;"'!$C$5")&gt;0,DATE(YEAR(Dashboard!$AL$2),Dashboard!$AU$4,INDIRECT("'"&amp;F929&amp;"'!$C$5")),""),"")</f>
        <v/>
      </c>
      <c r="G929" s="38" t="str" cm="1">
        <f t="array" aca="1" ref="G929" ca="1">IF(F929="",
    "",
    IFERROR(
        IF(INDIRECT("'"&amp;F929&amp;"'!$B$2")="Credit Limit",
            "Credit Accounts",
            IF(INDIRECT("'"&amp;F929&amp;"'!$E$2")="Location",
                "Cash Accounts",
                IF(INDIRECT("'"&amp;F929&amp;"'!$B$2")="Amount",
                    "Investments",
                    "Bill Accounts"
                )
            )
        ),
    "")
)</f>
        <v/>
      </c>
      <c r="I929" s="46" t="str" cm="1">
        <f t="array" aca="1" ref="I929" ca="1">IF(F929&lt;&gt;"",IF(OR(G929="Bill Accounts",G929="Investments", G929="Cash Accounts"),INDIRECT("'"&amp;F929&amp;"'!$C$10"),INDIRECT("'"&amp;F929&amp;"'!$C$8")),"")</f>
        <v/>
      </c>
      <c r="K929" s="48">
        <f t="shared" si="45"/>
        <v>935</v>
      </c>
      <c r="L929" s="114" t="str" cm="1">
        <f t="array" aca="1" ref="L929" ca="1">IF(F929&lt;&gt;"",INDIRECT("'"&amp;F929&amp;"'!$F$17"),"")</f>
        <v/>
      </c>
      <c r="M929" s="116" t="str">
        <f t="shared" ca="1" si="43"/>
        <v/>
      </c>
      <c r="O929" s="49" t="str">
        <f t="shared" ca="1" si="44"/>
        <v/>
      </c>
      <c r="P929" s="38" t="str">
        <f>IF(E929&lt;&gt;"",RANK(E929,$E$3:$E$2298)+COUNTIF($E$3:E929,E929)-1,"")</f>
        <v/>
      </c>
    </row>
    <row r="930" spans="4:16" x14ac:dyDescent="0.25">
      <c r="D930" s="36" t="str" cm="1">
        <f t="array" aca="1" ref="D930" ca="1">IFERROR(IF(INDIRECT("'"&amp;F930&amp;"'!$C$5")&gt;0,DATE(YEAR(Dashboard!$AL$2),Dashboard!$AU$4,INDIRECT("'"&amp;F930&amp;"'!$C$5")),""),"")</f>
        <v/>
      </c>
      <c r="G930" s="38" t="str" cm="1">
        <f t="array" aca="1" ref="G930" ca="1">IF(F930="",
    "",
    IFERROR(
        IF(INDIRECT("'"&amp;F930&amp;"'!$B$2")="Credit Limit",
            "Credit Accounts",
            IF(INDIRECT("'"&amp;F930&amp;"'!$E$2")="Location",
                "Cash Accounts",
                IF(INDIRECT("'"&amp;F930&amp;"'!$B$2")="Amount",
                    "Investments",
                    "Bill Accounts"
                )
            )
        ),
    "")
)</f>
        <v/>
      </c>
      <c r="I930" s="46" t="str" cm="1">
        <f t="array" aca="1" ref="I930" ca="1">IF(F930&lt;&gt;"",IF(OR(G930="Bill Accounts",G930="Investments", G930="Cash Accounts"),INDIRECT("'"&amp;F930&amp;"'!$C$10"),INDIRECT("'"&amp;F930&amp;"'!$C$8")),"")</f>
        <v/>
      </c>
      <c r="K930" s="48">
        <f t="shared" si="45"/>
        <v>936</v>
      </c>
      <c r="L930" s="114" t="str" cm="1">
        <f t="array" aca="1" ref="L930" ca="1">IF(F930&lt;&gt;"",INDIRECT("'"&amp;F930&amp;"'!$F$17"),"")</f>
        <v/>
      </c>
      <c r="M930" s="116" t="str">
        <f t="shared" ca="1" si="43"/>
        <v/>
      </c>
      <c r="O930" s="49" t="str">
        <f t="shared" ca="1" si="44"/>
        <v/>
      </c>
      <c r="P930" s="38" t="str">
        <f>IF(E930&lt;&gt;"",RANK(E930,$E$3:$E$2298)+COUNTIF($E$3:E930,E930)-1,"")</f>
        <v/>
      </c>
    </row>
    <row r="931" spans="4:16" x14ac:dyDescent="0.25">
      <c r="D931" s="36" t="str" cm="1">
        <f t="array" aca="1" ref="D931" ca="1">IFERROR(IF(INDIRECT("'"&amp;F931&amp;"'!$C$5")&gt;0,DATE(YEAR(Dashboard!$AL$2),Dashboard!$AU$4,INDIRECT("'"&amp;F931&amp;"'!$C$5")),""),"")</f>
        <v/>
      </c>
      <c r="G931" s="38" t="str" cm="1">
        <f t="array" aca="1" ref="G931" ca="1">IF(F931="",
    "",
    IFERROR(
        IF(INDIRECT("'"&amp;F931&amp;"'!$B$2")="Credit Limit",
            "Credit Accounts",
            IF(INDIRECT("'"&amp;F931&amp;"'!$E$2")="Location",
                "Cash Accounts",
                IF(INDIRECT("'"&amp;F931&amp;"'!$B$2")="Amount",
                    "Investments",
                    "Bill Accounts"
                )
            )
        ),
    "")
)</f>
        <v/>
      </c>
      <c r="I931" s="46" t="str" cm="1">
        <f t="array" aca="1" ref="I931" ca="1">IF(F931&lt;&gt;"",IF(OR(G931="Bill Accounts",G931="Investments", G931="Cash Accounts"),INDIRECT("'"&amp;F931&amp;"'!$C$10"),INDIRECT("'"&amp;F931&amp;"'!$C$8")),"")</f>
        <v/>
      </c>
      <c r="K931" s="48">
        <f t="shared" si="45"/>
        <v>937</v>
      </c>
      <c r="L931" s="114" t="str" cm="1">
        <f t="array" aca="1" ref="L931" ca="1">IF(F931&lt;&gt;"",INDIRECT("'"&amp;F931&amp;"'!$F$17"),"")</f>
        <v/>
      </c>
      <c r="M931" s="116" t="str">
        <f t="shared" ca="1" si="43"/>
        <v/>
      </c>
      <c r="O931" s="49" t="str">
        <f t="shared" ca="1" si="44"/>
        <v/>
      </c>
      <c r="P931" s="38" t="str">
        <f>IF(E931&lt;&gt;"",RANK(E931,$E$3:$E$2298)+COUNTIF($E$3:E931,E931)-1,"")</f>
        <v/>
      </c>
    </row>
    <row r="932" spans="4:16" x14ac:dyDescent="0.25">
      <c r="D932" s="36" t="str" cm="1">
        <f t="array" aca="1" ref="D932" ca="1">IFERROR(IF(INDIRECT("'"&amp;F932&amp;"'!$C$5")&gt;0,DATE(YEAR(Dashboard!$AL$2),Dashboard!$AU$4,INDIRECT("'"&amp;F932&amp;"'!$C$5")),""),"")</f>
        <v/>
      </c>
      <c r="G932" s="38" t="str" cm="1">
        <f t="array" aca="1" ref="G932" ca="1">IF(F932="",
    "",
    IFERROR(
        IF(INDIRECT("'"&amp;F932&amp;"'!$B$2")="Credit Limit",
            "Credit Accounts",
            IF(INDIRECT("'"&amp;F932&amp;"'!$E$2")="Location",
                "Cash Accounts",
                IF(INDIRECT("'"&amp;F932&amp;"'!$B$2")="Amount",
                    "Investments",
                    "Bill Accounts"
                )
            )
        ),
    "")
)</f>
        <v/>
      </c>
      <c r="I932" s="46" t="str" cm="1">
        <f t="array" aca="1" ref="I932" ca="1">IF(F932&lt;&gt;"",IF(OR(G932="Bill Accounts",G932="Investments", G932="Cash Accounts"),INDIRECT("'"&amp;F932&amp;"'!$C$10"),INDIRECT("'"&amp;F932&amp;"'!$C$8")),"")</f>
        <v/>
      </c>
      <c r="K932" s="48">
        <f t="shared" si="45"/>
        <v>938</v>
      </c>
      <c r="L932" s="114" t="str" cm="1">
        <f t="array" aca="1" ref="L932" ca="1">IF(F932&lt;&gt;"",INDIRECT("'"&amp;F932&amp;"'!$F$17"),"")</f>
        <v/>
      </c>
      <c r="M932" s="116" t="str">
        <f t="shared" ca="1" si="43"/>
        <v/>
      </c>
      <c r="O932" s="49" t="str">
        <f t="shared" ca="1" si="44"/>
        <v/>
      </c>
      <c r="P932" s="38" t="str">
        <f>IF(E932&lt;&gt;"",RANK(E932,$E$3:$E$2298)+COUNTIF($E$3:E932,E932)-1,"")</f>
        <v/>
      </c>
    </row>
    <row r="933" spans="4:16" x14ac:dyDescent="0.25">
      <c r="D933" s="36" t="str" cm="1">
        <f t="array" aca="1" ref="D933" ca="1">IFERROR(IF(INDIRECT("'"&amp;F933&amp;"'!$C$5")&gt;0,DATE(YEAR(Dashboard!$AL$2),Dashboard!$AU$4,INDIRECT("'"&amp;F933&amp;"'!$C$5")),""),"")</f>
        <v/>
      </c>
      <c r="G933" s="38" t="str" cm="1">
        <f t="array" aca="1" ref="G933" ca="1">IF(F933="",
    "",
    IFERROR(
        IF(INDIRECT("'"&amp;F933&amp;"'!$B$2")="Credit Limit",
            "Credit Accounts",
            IF(INDIRECT("'"&amp;F933&amp;"'!$E$2")="Location",
                "Cash Accounts",
                IF(INDIRECT("'"&amp;F933&amp;"'!$B$2")="Amount",
                    "Investments",
                    "Bill Accounts"
                )
            )
        ),
    "")
)</f>
        <v/>
      </c>
      <c r="I933" s="46" t="str" cm="1">
        <f t="array" aca="1" ref="I933" ca="1">IF(F933&lt;&gt;"",IF(OR(G933="Bill Accounts",G933="Investments", G933="Cash Accounts"),INDIRECT("'"&amp;F933&amp;"'!$C$10"),INDIRECT("'"&amp;F933&amp;"'!$C$8")),"")</f>
        <v/>
      </c>
      <c r="K933" s="48">
        <f t="shared" si="45"/>
        <v>939</v>
      </c>
      <c r="L933" s="114" t="str" cm="1">
        <f t="array" aca="1" ref="L933" ca="1">IF(F933&lt;&gt;"",INDIRECT("'"&amp;F933&amp;"'!$F$17"),"")</f>
        <v/>
      </c>
      <c r="M933" s="116" t="str">
        <f t="shared" ca="1" si="43"/>
        <v/>
      </c>
      <c r="O933" s="49" t="str">
        <f t="shared" ca="1" si="44"/>
        <v/>
      </c>
      <c r="P933" s="38" t="str">
        <f>IF(E933&lt;&gt;"",RANK(E933,$E$3:$E$2298)+COUNTIF($E$3:E933,E933)-1,"")</f>
        <v/>
      </c>
    </row>
    <row r="934" spans="4:16" x14ac:dyDescent="0.25">
      <c r="D934" s="36" t="str" cm="1">
        <f t="array" aca="1" ref="D934" ca="1">IFERROR(IF(INDIRECT("'"&amp;F934&amp;"'!$C$5")&gt;0,DATE(YEAR(Dashboard!$AL$2),Dashboard!$AU$4,INDIRECT("'"&amp;F934&amp;"'!$C$5")),""),"")</f>
        <v/>
      </c>
      <c r="G934" s="38" t="str" cm="1">
        <f t="array" aca="1" ref="G934" ca="1">IF(F934="",
    "",
    IFERROR(
        IF(INDIRECT("'"&amp;F934&amp;"'!$B$2")="Credit Limit",
            "Credit Accounts",
            IF(INDIRECT("'"&amp;F934&amp;"'!$E$2")="Location",
                "Cash Accounts",
                IF(INDIRECT("'"&amp;F934&amp;"'!$B$2")="Amount",
                    "Investments",
                    "Bill Accounts"
                )
            )
        ),
    "")
)</f>
        <v/>
      </c>
      <c r="I934" s="46" t="str" cm="1">
        <f t="array" aca="1" ref="I934" ca="1">IF(F934&lt;&gt;"",IF(OR(G934="Bill Accounts",G934="Investments", G934="Cash Accounts"),INDIRECT("'"&amp;F934&amp;"'!$C$10"),INDIRECT("'"&amp;F934&amp;"'!$C$8")),"")</f>
        <v/>
      </c>
      <c r="K934" s="48">
        <f t="shared" si="45"/>
        <v>940</v>
      </c>
      <c r="L934" s="114" t="str" cm="1">
        <f t="array" aca="1" ref="L934" ca="1">IF(F934&lt;&gt;"",INDIRECT("'"&amp;F934&amp;"'!$F$17"),"")</f>
        <v/>
      </c>
      <c r="M934" s="116" t="str">
        <f t="shared" ca="1" si="43"/>
        <v/>
      </c>
      <c r="O934" s="49" t="str">
        <f t="shared" ca="1" si="44"/>
        <v/>
      </c>
      <c r="P934" s="38" t="str">
        <f>IF(E934&lt;&gt;"",RANK(E934,$E$3:$E$2298)+COUNTIF($E$3:E934,E934)-1,"")</f>
        <v/>
      </c>
    </row>
    <row r="935" spans="4:16" x14ac:dyDescent="0.25">
      <c r="D935" s="36" t="str" cm="1">
        <f t="array" aca="1" ref="D935" ca="1">IFERROR(IF(INDIRECT("'"&amp;F935&amp;"'!$C$5")&gt;0,DATE(YEAR(Dashboard!$AL$2),Dashboard!$AU$4,INDIRECT("'"&amp;F935&amp;"'!$C$5")),""),"")</f>
        <v/>
      </c>
      <c r="G935" s="38" t="str" cm="1">
        <f t="array" aca="1" ref="G935" ca="1">IF(F935="",
    "",
    IFERROR(
        IF(INDIRECT("'"&amp;F935&amp;"'!$B$2")="Credit Limit",
            "Credit Accounts",
            IF(INDIRECT("'"&amp;F935&amp;"'!$E$2")="Location",
                "Cash Accounts",
                IF(INDIRECT("'"&amp;F935&amp;"'!$B$2")="Amount",
                    "Investments",
                    "Bill Accounts"
                )
            )
        ),
    "")
)</f>
        <v/>
      </c>
      <c r="I935" s="46" t="str" cm="1">
        <f t="array" aca="1" ref="I935" ca="1">IF(F935&lt;&gt;"",IF(OR(G935="Bill Accounts",G935="Investments", G935="Cash Accounts"),INDIRECT("'"&amp;F935&amp;"'!$C$10"),INDIRECT("'"&amp;F935&amp;"'!$C$8")),"")</f>
        <v/>
      </c>
      <c r="K935" s="48">
        <f t="shared" si="45"/>
        <v>941</v>
      </c>
      <c r="L935" s="114" t="str" cm="1">
        <f t="array" aca="1" ref="L935" ca="1">IF(F935&lt;&gt;"",INDIRECT("'"&amp;F935&amp;"'!$F$17"),"")</f>
        <v/>
      </c>
      <c r="M935" s="116" t="str">
        <f t="shared" ca="1" si="43"/>
        <v/>
      </c>
      <c r="O935" s="49" t="str">
        <f t="shared" ca="1" si="44"/>
        <v/>
      </c>
      <c r="P935" s="38" t="str">
        <f>IF(E935&lt;&gt;"",RANK(E935,$E$3:$E$2298)+COUNTIF($E$3:E935,E935)-1,"")</f>
        <v/>
      </c>
    </row>
    <row r="936" spans="4:16" x14ac:dyDescent="0.25">
      <c r="D936" s="36" t="str" cm="1">
        <f t="array" aca="1" ref="D936" ca="1">IFERROR(IF(INDIRECT("'"&amp;F936&amp;"'!$C$5")&gt;0,DATE(YEAR(Dashboard!$AL$2),Dashboard!$AU$4,INDIRECT("'"&amp;F936&amp;"'!$C$5")),""),"")</f>
        <v/>
      </c>
      <c r="G936" s="38" t="str" cm="1">
        <f t="array" aca="1" ref="G936" ca="1">IF(F936="",
    "",
    IFERROR(
        IF(INDIRECT("'"&amp;F936&amp;"'!$B$2")="Credit Limit",
            "Credit Accounts",
            IF(INDIRECT("'"&amp;F936&amp;"'!$E$2")="Location",
                "Cash Accounts",
                IF(INDIRECT("'"&amp;F936&amp;"'!$B$2")="Amount",
                    "Investments",
                    "Bill Accounts"
                )
            )
        ),
    "")
)</f>
        <v/>
      </c>
      <c r="I936" s="46" t="str" cm="1">
        <f t="array" aca="1" ref="I936" ca="1">IF(F936&lt;&gt;"",IF(OR(G936="Bill Accounts",G936="Investments", G936="Cash Accounts"),INDIRECT("'"&amp;F936&amp;"'!$C$10"),INDIRECT("'"&amp;F936&amp;"'!$C$8")),"")</f>
        <v/>
      </c>
      <c r="K936" s="48">
        <f t="shared" si="45"/>
        <v>942</v>
      </c>
      <c r="L936" s="114" t="str" cm="1">
        <f t="array" aca="1" ref="L936" ca="1">IF(F936&lt;&gt;"",INDIRECT("'"&amp;F936&amp;"'!$F$17"),"")</f>
        <v/>
      </c>
      <c r="M936" s="116" t="str">
        <f t="shared" ca="1" si="43"/>
        <v/>
      </c>
      <c r="O936" s="49" t="str">
        <f t="shared" ca="1" si="44"/>
        <v/>
      </c>
      <c r="P936" s="38" t="str">
        <f>IF(E936&lt;&gt;"",RANK(E936,$E$3:$E$2298)+COUNTIF($E$3:E936,E936)-1,"")</f>
        <v/>
      </c>
    </row>
    <row r="937" spans="4:16" x14ac:dyDescent="0.25">
      <c r="D937" s="36" t="str" cm="1">
        <f t="array" aca="1" ref="D937" ca="1">IFERROR(IF(INDIRECT("'"&amp;F937&amp;"'!$C$5")&gt;0,DATE(YEAR(Dashboard!$AL$2),Dashboard!$AU$4,INDIRECT("'"&amp;F937&amp;"'!$C$5")),""),"")</f>
        <v/>
      </c>
      <c r="G937" s="38" t="str" cm="1">
        <f t="array" aca="1" ref="G937" ca="1">IF(F937="",
    "",
    IFERROR(
        IF(INDIRECT("'"&amp;F937&amp;"'!$B$2")="Credit Limit",
            "Credit Accounts",
            IF(INDIRECT("'"&amp;F937&amp;"'!$E$2")="Location",
                "Cash Accounts",
                IF(INDIRECT("'"&amp;F937&amp;"'!$B$2")="Amount",
                    "Investments",
                    "Bill Accounts"
                )
            )
        ),
    "")
)</f>
        <v/>
      </c>
      <c r="I937" s="46" t="str" cm="1">
        <f t="array" aca="1" ref="I937" ca="1">IF(F937&lt;&gt;"",IF(OR(G937="Bill Accounts",G937="Investments", G937="Cash Accounts"),INDIRECT("'"&amp;F937&amp;"'!$C$10"),INDIRECT("'"&amp;F937&amp;"'!$C$8")),"")</f>
        <v/>
      </c>
      <c r="K937" s="48">
        <f t="shared" si="45"/>
        <v>943</v>
      </c>
      <c r="L937" s="114" t="str" cm="1">
        <f t="array" aca="1" ref="L937" ca="1">IF(F937&lt;&gt;"",INDIRECT("'"&amp;F937&amp;"'!$F$17"),"")</f>
        <v/>
      </c>
      <c r="M937" s="116" t="str">
        <f t="shared" ca="1" si="43"/>
        <v/>
      </c>
      <c r="O937" s="49" t="str">
        <f t="shared" ca="1" si="44"/>
        <v/>
      </c>
      <c r="P937" s="38" t="str">
        <f>IF(E937&lt;&gt;"",RANK(E937,$E$3:$E$2298)+COUNTIF($E$3:E937,E937)-1,"")</f>
        <v/>
      </c>
    </row>
    <row r="938" spans="4:16" x14ac:dyDescent="0.25">
      <c r="D938" s="36" t="str" cm="1">
        <f t="array" aca="1" ref="D938" ca="1">IFERROR(IF(INDIRECT("'"&amp;F938&amp;"'!$C$5")&gt;0,DATE(YEAR(Dashboard!$AL$2),Dashboard!$AU$4,INDIRECT("'"&amp;F938&amp;"'!$C$5")),""),"")</f>
        <v/>
      </c>
      <c r="G938" s="38" t="str" cm="1">
        <f t="array" aca="1" ref="G938" ca="1">IF(F938="",
    "",
    IFERROR(
        IF(INDIRECT("'"&amp;F938&amp;"'!$B$2")="Credit Limit",
            "Credit Accounts",
            IF(INDIRECT("'"&amp;F938&amp;"'!$E$2")="Location",
                "Cash Accounts",
                IF(INDIRECT("'"&amp;F938&amp;"'!$B$2")="Amount",
                    "Investments",
                    "Bill Accounts"
                )
            )
        ),
    "")
)</f>
        <v/>
      </c>
      <c r="I938" s="46" t="str" cm="1">
        <f t="array" aca="1" ref="I938" ca="1">IF(F938&lt;&gt;"",IF(OR(G938="Bill Accounts",G938="Investments", G938="Cash Accounts"),INDIRECT("'"&amp;F938&amp;"'!$C$10"),INDIRECT("'"&amp;F938&amp;"'!$C$8")),"")</f>
        <v/>
      </c>
      <c r="K938" s="48">
        <f t="shared" si="45"/>
        <v>944</v>
      </c>
      <c r="L938" s="114" t="str" cm="1">
        <f t="array" aca="1" ref="L938" ca="1">IF(F938&lt;&gt;"",INDIRECT("'"&amp;F938&amp;"'!$F$17"),"")</f>
        <v/>
      </c>
      <c r="M938" s="116" t="str">
        <f t="shared" ca="1" si="43"/>
        <v/>
      </c>
      <c r="O938" s="49" t="str">
        <f t="shared" ca="1" si="44"/>
        <v/>
      </c>
      <c r="P938" s="38" t="str">
        <f>IF(E938&lt;&gt;"",RANK(E938,$E$3:$E$2298)+COUNTIF($E$3:E938,E938)-1,"")</f>
        <v/>
      </c>
    </row>
    <row r="939" spans="4:16" x14ac:dyDescent="0.25">
      <c r="D939" s="36" t="str" cm="1">
        <f t="array" aca="1" ref="D939" ca="1">IFERROR(IF(INDIRECT("'"&amp;F939&amp;"'!$C$5")&gt;0,DATE(YEAR(Dashboard!$AL$2),Dashboard!$AU$4,INDIRECT("'"&amp;F939&amp;"'!$C$5")),""),"")</f>
        <v/>
      </c>
      <c r="G939" s="38" t="str" cm="1">
        <f t="array" aca="1" ref="G939" ca="1">IF(F939="",
    "",
    IFERROR(
        IF(INDIRECT("'"&amp;F939&amp;"'!$B$2")="Credit Limit",
            "Credit Accounts",
            IF(INDIRECT("'"&amp;F939&amp;"'!$E$2")="Location",
                "Cash Accounts",
                IF(INDIRECT("'"&amp;F939&amp;"'!$B$2")="Amount",
                    "Investments",
                    "Bill Accounts"
                )
            )
        ),
    "")
)</f>
        <v/>
      </c>
      <c r="I939" s="46" t="str" cm="1">
        <f t="array" aca="1" ref="I939" ca="1">IF(F939&lt;&gt;"",IF(OR(G939="Bill Accounts",G939="Investments", G939="Cash Accounts"),INDIRECT("'"&amp;F939&amp;"'!$C$10"),INDIRECT("'"&amp;F939&amp;"'!$C$8")),"")</f>
        <v/>
      </c>
      <c r="K939" s="48">
        <f t="shared" si="45"/>
        <v>945</v>
      </c>
      <c r="L939" s="114" t="str" cm="1">
        <f t="array" aca="1" ref="L939" ca="1">IF(F939&lt;&gt;"",INDIRECT("'"&amp;F939&amp;"'!$F$17"),"")</f>
        <v/>
      </c>
      <c r="M939" s="116" t="str">
        <f t="shared" ca="1" si="43"/>
        <v/>
      </c>
      <c r="O939" s="49" t="str">
        <f t="shared" ca="1" si="44"/>
        <v/>
      </c>
      <c r="P939" s="38" t="str">
        <f>IF(E939&lt;&gt;"",RANK(E939,$E$3:$E$2298)+COUNTIF($E$3:E939,E939)-1,"")</f>
        <v/>
      </c>
    </row>
    <row r="940" spans="4:16" x14ac:dyDescent="0.25">
      <c r="D940" s="36" t="str" cm="1">
        <f t="array" aca="1" ref="D940" ca="1">IFERROR(IF(INDIRECT("'"&amp;F940&amp;"'!$C$5")&gt;0,DATE(YEAR(Dashboard!$AL$2),Dashboard!$AU$4,INDIRECT("'"&amp;F940&amp;"'!$C$5")),""),"")</f>
        <v/>
      </c>
      <c r="G940" s="38" t="str" cm="1">
        <f t="array" aca="1" ref="G940" ca="1">IF(F940="",
    "",
    IFERROR(
        IF(INDIRECT("'"&amp;F940&amp;"'!$B$2")="Credit Limit",
            "Credit Accounts",
            IF(INDIRECT("'"&amp;F940&amp;"'!$E$2")="Location",
                "Cash Accounts",
                IF(INDIRECT("'"&amp;F940&amp;"'!$B$2")="Amount",
                    "Investments",
                    "Bill Accounts"
                )
            )
        ),
    "")
)</f>
        <v/>
      </c>
      <c r="I940" s="46" t="str" cm="1">
        <f t="array" aca="1" ref="I940" ca="1">IF(F940&lt;&gt;"",IF(OR(G940="Bill Accounts",G940="Investments", G940="Cash Accounts"),INDIRECT("'"&amp;F940&amp;"'!$C$10"),INDIRECT("'"&amp;F940&amp;"'!$C$8")),"")</f>
        <v/>
      </c>
      <c r="K940" s="48">
        <f t="shared" si="45"/>
        <v>946</v>
      </c>
      <c r="L940" s="114" t="str" cm="1">
        <f t="array" aca="1" ref="L940" ca="1">IF(F940&lt;&gt;"",INDIRECT("'"&amp;F940&amp;"'!$F$17"),"")</f>
        <v/>
      </c>
      <c r="M940" s="116" t="str">
        <f t="shared" ca="1" si="43"/>
        <v/>
      </c>
      <c r="O940" s="49" t="str">
        <f t="shared" ca="1" si="44"/>
        <v/>
      </c>
      <c r="P940" s="38" t="str">
        <f>IF(E940&lt;&gt;"",RANK(E940,$E$3:$E$2298)+COUNTIF($E$3:E940,E940)-1,"")</f>
        <v/>
      </c>
    </row>
    <row r="941" spans="4:16" x14ac:dyDescent="0.25">
      <c r="D941" s="36" t="str" cm="1">
        <f t="array" aca="1" ref="D941" ca="1">IFERROR(IF(INDIRECT("'"&amp;F941&amp;"'!$C$5")&gt;0,DATE(YEAR(Dashboard!$AL$2),Dashboard!$AU$4,INDIRECT("'"&amp;F941&amp;"'!$C$5")),""),"")</f>
        <v/>
      </c>
      <c r="G941" s="38" t="str" cm="1">
        <f t="array" aca="1" ref="G941" ca="1">IF(F941="",
    "",
    IFERROR(
        IF(INDIRECT("'"&amp;F941&amp;"'!$B$2")="Credit Limit",
            "Credit Accounts",
            IF(INDIRECT("'"&amp;F941&amp;"'!$E$2")="Location",
                "Cash Accounts",
                IF(INDIRECT("'"&amp;F941&amp;"'!$B$2")="Amount",
                    "Investments",
                    "Bill Accounts"
                )
            )
        ),
    "")
)</f>
        <v/>
      </c>
      <c r="I941" s="46" t="str" cm="1">
        <f t="array" aca="1" ref="I941" ca="1">IF(F941&lt;&gt;"",IF(OR(G941="Bill Accounts",G941="Investments", G941="Cash Accounts"),INDIRECT("'"&amp;F941&amp;"'!$C$10"),INDIRECT("'"&amp;F941&amp;"'!$C$8")),"")</f>
        <v/>
      </c>
      <c r="K941" s="48">
        <f t="shared" si="45"/>
        <v>947</v>
      </c>
      <c r="L941" s="114" t="str" cm="1">
        <f t="array" aca="1" ref="L941" ca="1">IF(F941&lt;&gt;"",INDIRECT("'"&amp;F941&amp;"'!$F$17"),"")</f>
        <v/>
      </c>
      <c r="M941" s="116" t="str">
        <f t="shared" ca="1" si="43"/>
        <v/>
      </c>
      <c r="O941" s="49" t="str">
        <f t="shared" ca="1" si="44"/>
        <v/>
      </c>
      <c r="P941" s="38" t="str">
        <f>IF(E941&lt;&gt;"",RANK(E941,$E$3:$E$2298)+COUNTIF($E$3:E941,E941)-1,"")</f>
        <v/>
      </c>
    </row>
    <row r="942" spans="4:16" x14ac:dyDescent="0.25">
      <c r="D942" s="36" t="str" cm="1">
        <f t="array" aca="1" ref="D942" ca="1">IFERROR(IF(INDIRECT("'"&amp;F942&amp;"'!$C$5")&gt;0,DATE(YEAR(Dashboard!$AL$2),Dashboard!$AU$4,INDIRECT("'"&amp;F942&amp;"'!$C$5")),""),"")</f>
        <v/>
      </c>
      <c r="G942" s="38" t="str" cm="1">
        <f t="array" aca="1" ref="G942" ca="1">IF(F942="",
    "",
    IFERROR(
        IF(INDIRECT("'"&amp;F942&amp;"'!$B$2")="Credit Limit",
            "Credit Accounts",
            IF(INDIRECT("'"&amp;F942&amp;"'!$E$2")="Location",
                "Cash Accounts",
                IF(INDIRECT("'"&amp;F942&amp;"'!$B$2")="Amount",
                    "Investments",
                    "Bill Accounts"
                )
            )
        ),
    "")
)</f>
        <v/>
      </c>
      <c r="I942" s="46" t="str" cm="1">
        <f t="array" aca="1" ref="I942" ca="1">IF(F942&lt;&gt;"",IF(OR(G942="Bill Accounts",G942="Investments", G942="Cash Accounts"),INDIRECT("'"&amp;F942&amp;"'!$C$10"),INDIRECT("'"&amp;F942&amp;"'!$C$8")),"")</f>
        <v/>
      </c>
      <c r="K942" s="48">
        <f t="shared" si="45"/>
        <v>948</v>
      </c>
      <c r="L942" s="114" t="str" cm="1">
        <f t="array" aca="1" ref="L942" ca="1">IF(F942&lt;&gt;"",INDIRECT("'"&amp;F942&amp;"'!$F$17"),"")</f>
        <v/>
      </c>
      <c r="M942" s="116" t="str">
        <f t="shared" ca="1" si="43"/>
        <v/>
      </c>
      <c r="O942" s="49" t="str">
        <f t="shared" ca="1" si="44"/>
        <v/>
      </c>
      <c r="P942" s="38" t="str">
        <f>IF(E942&lt;&gt;"",RANK(E942,$E$3:$E$2298)+COUNTIF($E$3:E942,E942)-1,"")</f>
        <v/>
      </c>
    </row>
    <row r="943" spans="4:16" x14ac:dyDescent="0.25">
      <c r="D943" s="36" t="str" cm="1">
        <f t="array" aca="1" ref="D943" ca="1">IFERROR(IF(INDIRECT("'"&amp;F943&amp;"'!$C$5")&gt;0,DATE(YEAR(Dashboard!$AL$2),Dashboard!$AU$4,INDIRECT("'"&amp;F943&amp;"'!$C$5")),""),"")</f>
        <v/>
      </c>
      <c r="G943" s="38" t="str" cm="1">
        <f t="array" aca="1" ref="G943" ca="1">IF(F943="",
    "",
    IFERROR(
        IF(INDIRECT("'"&amp;F943&amp;"'!$B$2")="Credit Limit",
            "Credit Accounts",
            IF(INDIRECT("'"&amp;F943&amp;"'!$E$2")="Location",
                "Cash Accounts",
                IF(INDIRECT("'"&amp;F943&amp;"'!$B$2")="Amount",
                    "Investments",
                    "Bill Accounts"
                )
            )
        ),
    "")
)</f>
        <v/>
      </c>
      <c r="I943" s="46" t="str" cm="1">
        <f t="array" aca="1" ref="I943" ca="1">IF(F943&lt;&gt;"",IF(OR(G943="Bill Accounts",G943="Investments", G943="Cash Accounts"),INDIRECT("'"&amp;F943&amp;"'!$C$10"),INDIRECT("'"&amp;F943&amp;"'!$C$8")),"")</f>
        <v/>
      </c>
      <c r="K943" s="48">
        <f t="shared" si="45"/>
        <v>949</v>
      </c>
      <c r="L943" s="114" t="str" cm="1">
        <f t="array" aca="1" ref="L943" ca="1">IF(F943&lt;&gt;"",INDIRECT("'"&amp;F943&amp;"'!$F$17"),"")</f>
        <v/>
      </c>
      <c r="M943" s="116" t="str">
        <f t="shared" ca="1" si="43"/>
        <v/>
      </c>
      <c r="O943" s="49" t="str">
        <f t="shared" ca="1" si="44"/>
        <v/>
      </c>
      <c r="P943" s="38" t="str">
        <f>IF(E943&lt;&gt;"",RANK(E943,$E$3:$E$2298)+COUNTIF($E$3:E943,E943)-1,"")</f>
        <v/>
      </c>
    </row>
    <row r="944" spans="4:16" x14ac:dyDescent="0.25">
      <c r="D944" s="36" t="str" cm="1">
        <f t="array" aca="1" ref="D944" ca="1">IFERROR(IF(INDIRECT("'"&amp;F944&amp;"'!$C$5")&gt;0,DATE(YEAR(Dashboard!$AL$2),Dashboard!$AU$4,INDIRECT("'"&amp;F944&amp;"'!$C$5")),""),"")</f>
        <v/>
      </c>
      <c r="G944" s="38" t="str" cm="1">
        <f t="array" aca="1" ref="G944" ca="1">IF(F944="",
    "",
    IFERROR(
        IF(INDIRECT("'"&amp;F944&amp;"'!$B$2")="Credit Limit",
            "Credit Accounts",
            IF(INDIRECT("'"&amp;F944&amp;"'!$E$2")="Location",
                "Cash Accounts",
                IF(INDIRECT("'"&amp;F944&amp;"'!$B$2")="Amount",
                    "Investments",
                    "Bill Accounts"
                )
            )
        ),
    "")
)</f>
        <v/>
      </c>
      <c r="I944" s="46" t="str" cm="1">
        <f t="array" aca="1" ref="I944" ca="1">IF(F944&lt;&gt;"",IF(OR(G944="Bill Accounts",G944="Investments", G944="Cash Accounts"),INDIRECT("'"&amp;F944&amp;"'!$C$10"),INDIRECT("'"&amp;F944&amp;"'!$C$8")),"")</f>
        <v/>
      </c>
      <c r="K944" s="48">
        <f t="shared" si="45"/>
        <v>950</v>
      </c>
      <c r="L944" s="114" t="str" cm="1">
        <f t="array" aca="1" ref="L944" ca="1">IF(F944&lt;&gt;"",INDIRECT("'"&amp;F944&amp;"'!$F$17"),"")</f>
        <v/>
      </c>
      <c r="M944" s="116" t="str">
        <f t="shared" ca="1" si="43"/>
        <v/>
      </c>
      <c r="O944" s="49" t="str">
        <f t="shared" ca="1" si="44"/>
        <v/>
      </c>
      <c r="P944" s="38" t="str">
        <f>IF(E944&lt;&gt;"",RANK(E944,$E$3:$E$2298)+COUNTIF($E$3:E944,E944)-1,"")</f>
        <v/>
      </c>
    </row>
    <row r="945" spans="4:16" x14ac:dyDescent="0.25">
      <c r="D945" s="36" t="str" cm="1">
        <f t="array" aca="1" ref="D945" ca="1">IFERROR(IF(INDIRECT("'"&amp;F945&amp;"'!$C$5")&gt;0,DATE(YEAR(Dashboard!$AL$2),Dashboard!$AU$4,INDIRECT("'"&amp;F945&amp;"'!$C$5")),""),"")</f>
        <v/>
      </c>
      <c r="G945" s="38" t="str" cm="1">
        <f t="array" aca="1" ref="G945" ca="1">IF(F945="",
    "",
    IFERROR(
        IF(INDIRECT("'"&amp;F945&amp;"'!$B$2")="Credit Limit",
            "Credit Accounts",
            IF(INDIRECT("'"&amp;F945&amp;"'!$E$2")="Location",
                "Cash Accounts",
                IF(INDIRECT("'"&amp;F945&amp;"'!$B$2")="Amount",
                    "Investments",
                    "Bill Accounts"
                )
            )
        ),
    "")
)</f>
        <v/>
      </c>
      <c r="I945" s="46" t="str" cm="1">
        <f t="array" aca="1" ref="I945" ca="1">IF(F945&lt;&gt;"",IF(OR(G945="Bill Accounts",G945="Investments", G945="Cash Accounts"),INDIRECT("'"&amp;F945&amp;"'!$C$10"),INDIRECT("'"&amp;F945&amp;"'!$C$8")),"")</f>
        <v/>
      </c>
      <c r="K945" s="48">
        <f t="shared" si="45"/>
        <v>951</v>
      </c>
      <c r="L945" s="114" t="str" cm="1">
        <f t="array" aca="1" ref="L945" ca="1">IF(F945&lt;&gt;"",INDIRECT("'"&amp;F945&amp;"'!$F$17"),"")</f>
        <v/>
      </c>
      <c r="M945" s="116" t="str">
        <f t="shared" ca="1" si="43"/>
        <v/>
      </c>
      <c r="O945" s="49" t="str">
        <f t="shared" ca="1" si="44"/>
        <v/>
      </c>
      <c r="P945" s="38" t="str">
        <f>IF(E945&lt;&gt;"",RANK(E945,$E$3:$E$2298)+COUNTIF($E$3:E945,E945)-1,"")</f>
        <v/>
      </c>
    </row>
    <row r="946" spans="4:16" x14ac:dyDescent="0.25">
      <c r="D946" s="36" t="str" cm="1">
        <f t="array" aca="1" ref="D946" ca="1">IFERROR(IF(INDIRECT("'"&amp;F946&amp;"'!$C$5")&gt;0,DATE(YEAR(Dashboard!$AL$2),Dashboard!$AU$4,INDIRECT("'"&amp;F946&amp;"'!$C$5")),""),"")</f>
        <v/>
      </c>
      <c r="G946" s="38" t="str" cm="1">
        <f t="array" aca="1" ref="G946" ca="1">IF(F946="",
    "",
    IFERROR(
        IF(INDIRECT("'"&amp;F946&amp;"'!$B$2")="Credit Limit",
            "Credit Accounts",
            IF(INDIRECT("'"&amp;F946&amp;"'!$E$2")="Location",
                "Cash Accounts",
                IF(INDIRECT("'"&amp;F946&amp;"'!$B$2")="Amount",
                    "Investments",
                    "Bill Accounts"
                )
            )
        ),
    "")
)</f>
        <v/>
      </c>
      <c r="I946" s="46" t="str" cm="1">
        <f t="array" aca="1" ref="I946" ca="1">IF(F946&lt;&gt;"",IF(OR(G946="Bill Accounts",G946="Investments", G946="Cash Accounts"),INDIRECT("'"&amp;F946&amp;"'!$C$10"),INDIRECT("'"&amp;F946&amp;"'!$C$8")),"")</f>
        <v/>
      </c>
      <c r="K946" s="48">
        <f t="shared" si="45"/>
        <v>952</v>
      </c>
      <c r="L946" s="114" t="str" cm="1">
        <f t="array" aca="1" ref="L946" ca="1">IF(F946&lt;&gt;"",INDIRECT("'"&amp;F946&amp;"'!$F$17"),"")</f>
        <v/>
      </c>
      <c r="M946" s="116" t="str">
        <f t="shared" ca="1" si="43"/>
        <v/>
      </c>
      <c r="O946" s="49" t="str">
        <f t="shared" ca="1" si="44"/>
        <v/>
      </c>
      <c r="P946" s="38" t="str">
        <f>IF(E946&lt;&gt;"",RANK(E946,$E$3:$E$2298)+COUNTIF($E$3:E946,E946)-1,"")</f>
        <v/>
      </c>
    </row>
    <row r="947" spans="4:16" x14ac:dyDescent="0.25">
      <c r="D947" s="36" t="str" cm="1">
        <f t="array" aca="1" ref="D947" ca="1">IFERROR(IF(INDIRECT("'"&amp;F947&amp;"'!$C$5")&gt;0,DATE(YEAR(Dashboard!$AL$2),Dashboard!$AU$4,INDIRECT("'"&amp;F947&amp;"'!$C$5")),""),"")</f>
        <v/>
      </c>
      <c r="G947" s="38" t="str" cm="1">
        <f t="array" aca="1" ref="G947" ca="1">IF(F947="",
    "",
    IFERROR(
        IF(INDIRECT("'"&amp;F947&amp;"'!$B$2")="Credit Limit",
            "Credit Accounts",
            IF(INDIRECT("'"&amp;F947&amp;"'!$E$2")="Location",
                "Cash Accounts",
                IF(INDIRECT("'"&amp;F947&amp;"'!$B$2")="Amount",
                    "Investments",
                    "Bill Accounts"
                )
            )
        ),
    "")
)</f>
        <v/>
      </c>
      <c r="I947" s="46" t="str" cm="1">
        <f t="array" aca="1" ref="I947" ca="1">IF(F947&lt;&gt;"",IF(OR(G947="Bill Accounts",G947="Investments", G947="Cash Accounts"),INDIRECT("'"&amp;F947&amp;"'!$C$10"),INDIRECT("'"&amp;F947&amp;"'!$C$8")),"")</f>
        <v/>
      </c>
      <c r="K947" s="48">
        <f t="shared" si="45"/>
        <v>953</v>
      </c>
      <c r="L947" s="114" t="str" cm="1">
        <f t="array" aca="1" ref="L947" ca="1">IF(F947&lt;&gt;"",INDIRECT("'"&amp;F947&amp;"'!$F$17"),"")</f>
        <v/>
      </c>
      <c r="M947" s="116" t="str">
        <f t="shared" ca="1" si="43"/>
        <v/>
      </c>
      <c r="O947" s="49" t="str">
        <f t="shared" ca="1" si="44"/>
        <v/>
      </c>
      <c r="P947" s="38" t="str">
        <f>IF(E947&lt;&gt;"",RANK(E947,$E$3:$E$2298)+COUNTIF($E$3:E947,E947)-1,"")</f>
        <v/>
      </c>
    </row>
    <row r="948" spans="4:16" x14ac:dyDescent="0.25">
      <c r="D948" s="36" t="str" cm="1">
        <f t="array" aca="1" ref="D948" ca="1">IFERROR(IF(INDIRECT("'"&amp;F948&amp;"'!$C$5")&gt;0,DATE(YEAR(Dashboard!$AL$2),Dashboard!$AU$4,INDIRECT("'"&amp;F948&amp;"'!$C$5")),""),"")</f>
        <v/>
      </c>
      <c r="G948" s="38" t="str" cm="1">
        <f t="array" aca="1" ref="G948" ca="1">IF(F948="",
    "",
    IFERROR(
        IF(INDIRECT("'"&amp;F948&amp;"'!$B$2")="Credit Limit",
            "Credit Accounts",
            IF(INDIRECT("'"&amp;F948&amp;"'!$E$2")="Location",
                "Cash Accounts",
                IF(INDIRECT("'"&amp;F948&amp;"'!$B$2")="Amount",
                    "Investments",
                    "Bill Accounts"
                )
            )
        ),
    "")
)</f>
        <v/>
      </c>
      <c r="I948" s="46" t="str" cm="1">
        <f t="array" aca="1" ref="I948" ca="1">IF(F948&lt;&gt;"",IF(OR(G948="Bill Accounts",G948="Investments", G948="Cash Accounts"),INDIRECT("'"&amp;F948&amp;"'!$C$10"),INDIRECT("'"&amp;F948&amp;"'!$C$8")),"")</f>
        <v/>
      </c>
      <c r="K948" s="48">
        <f t="shared" si="45"/>
        <v>954</v>
      </c>
      <c r="L948" s="114" t="str" cm="1">
        <f t="array" aca="1" ref="L948" ca="1">IF(F948&lt;&gt;"",INDIRECT("'"&amp;F948&amp;"'!$F$17"),"")</f>
        <v/>
      </c>
      <c r="M948" s="116" t="str">
        <f t="shared" ca="1" si="43"/>
        <v/>
      </c>
      <c r="O948" s="49" t="str">
        <f t="shared" ca="1" si="44"/>
        <v/>
      </c>
      <c r="P948" s="38" t="str">
        <f>IF(E948&lt;&gt;"",RANK(E948,$E$3:$E$2298)+COUNTIF($E$3:E948,E948)-1,"")</f>
        <v/>
      </c>
    </row>
    <row r="949" spans="4:16" x14ac:dyDescent="0.25">
      <c r="D949" s="36" t="str" cm="1">
        <f t="array" aca="1" ref="D949" ca="1">IFERROR(IF(INDIRECT("'"&amp;F949&amp;"'!$C$5")&gt;0,DATE(YEAR(Dashboard!$AL$2),Dashboard!$AU$4,INDIRECT("'"&amp;F949&amp;"'!$C$5")),""),"")</f>
        <v/>
      </c>
      <c r="G949" s="38" t="str" cm="1">
        <f t="array" aca="1" ref="G949" ca="1">IF(F949="",
    "",
    IFERROR(
        IF(INDIRECT("'"&amp;F949&amp;"'!$B$2")="Credit Limit",
            "Credit Accounts",
            IF(INDIRECT("'"&amp;F949&amp;"'!$E$2")="Location",
                "Cash Accounts",
                IF(INDIRECT("'"&amp;F949&amp;"'!$B$2")="Amount",
                    "Investments",
                    "Bill Accounts"
                )
            )
        ),
    "")
)</f>
        <v/>
      </c>
      <c r="I949" s="46" t="str" cm="1">
        <f t="array" aca="1" ref="I949" ca="1">IF(F949&lt;&gt;"",IF(OR(G949="Bill Accounts",G949="Investments", G949="Cash Accounts"),INDIRECT("'"&amp;F949&amp;"'!$C$10"),INDIRECT("'"&amp;F949&amp;"'!$C$8")),"")</f>
        <v/>
      </c>
      <c r="K949" s="48">
        <f t="shared" si="45"/>
        <v>955</v>
      </c>
      <c r="L949" s="114" t="str" cm="1">
        <f t="array" aca="1" ref="L949" ca="1">IF(F949&lt;&gt;"",INDIRECT("'"&amp;F949&amp;"'!$F$17"),"")</f>
        <v/>
      </c>
      <c r="M949" s="116" t="str">
        <f t="shared" ca="1" si="43"/>
        <v/>
      </c>
      <c r="O949" s="49" t="str">
        <f t="shared" ca="1" si="44"/>
        <v/>
      </c>
      <c r="P949" s="38" t="str">
        <f>IF(E949&lt;&gt;"",RANK(E949,$E$3:$E$2298)+COUNTIF($E$3:E949,E949)-1,"")</f>
        <v/>
      </c>
    </row>
    <row r="950" spans="4:16" x14ac:dyDescent="0.25">
      <c r="D950" s="36" t="str" cm="1">
        <f t="array" aca="1" ref="D950" ca="1">IFERROR(IF(INDIRECT("'"&amp;F950&amp;"'!$C$5")&gt;0,DATE(YEAR(Dashboard!$AL$2),Dashboard!$AU$4,INDIRECT("'"&amp;F950&amp;"'!$C$5")),""),"")</f>
        <v/>
      </c>
      <c r="G950" s="38" t="str" cm="1">
        <f t="array" aca="1" ref="G950" ca="1">IF(F950="",
    "",
    IFERROR(
        IF(INDIRECT("'"&amp;F950&amp;"'!$B$2")="Credit Limit",
            "Credit Accounts",
            IF(INDIRECT("'"&amp;F950&amp;"'!$E$2")="Location",
                "Cash Accounts",
                IF(INDIRECT("'"&amp;F950&amp;"'!$B$2")="Amount",
                    "Investments",
                    "Bill Accounts"
                )
            )
        ),
    "")
)</f>
        <v/>
      </c>
      <c r="I950" s="46" t="str" cm="1">
        <f t="array" aca="1" ref="I950" ca="1">IF(F950&lt;&gt;"",IF(OR(G950="Bill Accounts",G950="Investments", G950="Cash Accounts"),INDIRECT("'"&amp;F950&amp;"'!$C$10"),INDIRECT("'"&amp;F950&amp;"'!$C$8")),"")</f>
        <v/>
      </c>
      <c r="K950" s="48">
        <f t="shared" si="45"/>
        <v>956</v>
      </c>
      <c r="L950" s="114" t="str" cm="1">
        <f t="array" aca="1" ref="L950" ca="1">IF(F950&lt;&gt;"",INDIRECT("'"&amp;F950&amp;"'!$F$17"),"")</f>
        <v/>
      </c>
      <c r="M950" s="116" t="str">
        <f t="shared" ca="1" si="43"/>
        <v/>
      </c>
      <c r="O950" s="49" t="str">
        <f t="shared" ca="1" si="44"/>
        <v/>
      </c>
      <c r="P950" s="38" t="str">
        <f>IF(E950&lt;&gt;"",RANK(E950,$E$3:$E$2298)+COUNTIF($E$3:E950,E950)-1,"")</f>
        <v/>
      </c>
    </row>
    <row r="951" spans="4:16" x14ac:dyDescent="0.25">
      <c r="D951" s="36" t="str" cm="1">
        <f t="array" aca="1" ref="D951" ca="1">IFERROR(IF(INDIRECT("'"&amp;F951&amp;"'!$C$5")&gt;0,DATE(YEAR(Dashboard!$AL$2),Dashboard!$AU$4,INDIRECT("'"&amp;F951&amp;"'!$C$5")),""),"")</f>
        <v/>
      </c>
      <c r="G951" s="38" t="str" cm="1">
        <f t="array" aca="1" ref="G951" ca="1">IF(F951="",
    "",
    IFERROR(
        IF(INDIRECT("'"&amp;F951&amp;"'!$B$2")="Credit Limit",
            "Credit Accounts",
            IF(INDIRECT("'"&amp;F951&amp;"'!$E$2")="Location",
                "Cash Accounts",
                IF(INDIRECT("'"&amp;F951&amp;"'!$B$2")="Amount",
                    "Investments",
                    "Bill Accounts"
                )
            )
        ),
    "")
)</f>
        <v/>
      </c>
      <c r="I951" s="46" t="str" cm="1">
        <f t="array" aca="1" ref="I951" ca="1">IF(F951&lt;&gt;"",IF(OR(G951="Bill Accounts",G951="Investments", G951="Cash Accounts"),INDIRECT("'"&amp;F951&amp;"'!$C$10"),INDIRECT("'"&amp;F951&amp;"'!$C$8")),"")</f>
        <v/>
      </c>
      <c r="K951" s="48">
        <f t="shared" si="45"/>
        <v>957</v>
      </c>
      <c r="L951" s="114" t="str" cm="1">
        <f t="array" aca="1" ref="L951" ca="1">IF(F951&lt;&gt;"",INDIRECT("'"&amp;F951&amp;"'!$F$17"),"")</f>
        <v/>
      </c>
      <c r="M951" s="116" t="str">
        <f t="shared" ca="1" si="43"/>
        <v/>
      </c>
      <c r="O951" s="49" t="str">
        <f t="shared" ca="1" si="44"/>
        <v/>
      </c>
      <c r="P951" s="38" t="str">
        <f>IF(E951&lt;&gt;"",RANK(E951,$E$3:$E$2298)+COUNTIF($E$3:E951,E951)-1,"")</f>
        <v/>
      </c>
    </row>
    <row r="952" spans="4:16" x14ac:dyDescent="0.25">
      <c r="D952" s="36" t="str" cm="1">
        <f t="array" aca="1" ref="D952" ca="1">IFERROR(IF(INDIRECT("'"&amp;F952&amp;"'!$C$5")&gt;0,DATE(YEAR(Dashboard!$AL$2),Dashboard!$AU$4,INDIRECT("'"&amp;F952&amp;"'!$C$5")),""),"")</f>
        <v/>
      </c>
      <c r="G952" s="38" t="str" cm="1">
        <f t="array" aca="1" ref="G952" ca="1">IF(F952="",
    "",
    IFERROR(
        IF(INDIRECT("'"&amp;F952&amp;"'!$B$2")="Credit Limit",
            "Credit Accounts",
            IF(INDIRECT("'"&amp;F952&amp;"'!$E$2")="Location",
                "Cash Accounts",
                IF(INDIRECT("'"&amp;F952&amp;"'!$B$2")="Amount",
                    "Investments",
                    "Bill Accounts"
                )
            )
        ),
    "")
)</f>
        <v/>
      </c>
      <c r="I952" s="46" t="str" cm="1">
        <f t="array" aca="1" ref="I952" ca="1">IF(F952&lt;&gt;"",IF(OR(G952="Bill Accounts",G952="Investments", G952="Cash Accounts"),INDIRECT("'"&amp;F952&amp;"'!$C$10"),INDIRECT("'"&amp;F952&amp;"'!$C$8")),"")</f>
        <v/>
      </c>
      <c r="K952" s="48">
        <f t="shared" si="45"/>
        <v>958</v>
      </c>
      <c r="L952" s="114" t="str" cm="1">
        <f t="array" aca="1" ref="L952" ca="1">IF(F952&lt;&gt;"",INDIRECT("'"&amp;F952&amp;"'!$F$17"),"")</f>
        <v/>
      </c>
      <c r="M952" s="116" t="str">
        <f t="shared" ca="1" si="43"/>
        <v/>
      </c>
      <c r="O952" s="49" t="str">
        <f t="shared" ca="1" si="44"/>
        <v/>
      </c>
      <c r="P952" s="38" t="str">
        <f>IF(E952&lt;&gt;"",RANK(E952,$E$3:$E$2298)+COUNTIF($E$3:E952,E952)-1,"")</f>
        <v/>
      </c>
    </row>
    <row r="953" spans="4:16" x14ac:dyDescent="0.25">
      <c r="D953" s="36" t="str" cm="1">
        <f t="array" aca="1" ref="D953" ca="1">IFERROR(IF(INDIRECT("'"&amp;F953&amp;"'!$C$5")&gt;0,DATE(YEAR(Dashboard!$AL$2),Dashboard!$AU$4,INDIRECT("'"&amp;F953&amp;"'!$C$5")),""),"")</f>
        <v/>
      </c>
      <c r="G953" s="38" t="str" cm="1">
        <f t="array" aca="1" ref="G953" ca="1">IF(F953="",
    "",
    IFERROR(
        IF(INDIRECT("'"&amp;F953&amp;"'!$B$2")="Credit Limit",
            "Credit Accounts",
            IF(INDIRECT("'"&amp;F953&amp;"'!$E$2")="Location",
                "Cash Accounts",
                IF(INDIRECT("'"&amp;F953&amp;"'!$B$2")="Amount",
                    "Investments",
                    "Bill Accounts"
                )
            )
        ),
    "")
)</f>
        <v/>
      </c>
      <c r="I953" s="46" t="str" cm="1">
        <f t="array" aca="1" ref="I953" ca="1">IF(F953&lt;&gt;"",IF(OR(G953="Bill Accounts",G953="Investments", G953="Cash Accounts"),INDIRECT("'"&amp;F953&amp;"'!$C$10"),INDIRECT("'"&amp;F953&amp;"'!$C$8")),"")</f>
        <v/>
      </c>
      <c r="K953" s="48">
        <f t="shared" si="45"/>
        <v>959</v>
      </c>
      <c r="L953" s="114" t="str" cm="1">
        <f t="array" aca="1" ref="L953" ca="1">IF(F953&lt;&gt;"",INDIRECT("'"&amp;F953&amp;"'!$F$17"),"")</f>
        <v/>
      </c>
      <c r="M953" s="116" t="str">
        <f t="shared" ca="1" si="43"/>
        <v/>
      </c>
      <c r="O953" s="49" t="str">
        <f t="shared" ca="1" si="44"/>
        <v/>
      </c>
      <c r="P953" s="38" t="str">
        <f>IF(E953&lt;&gt;"",RANK(E953,$E$3:$E$2298)+COUNTIF($E$3:E953,E953)-1,"")</f>
        <v/>
      </c>
    </row>
    <row r="954" spans="4:16" x14ac:dyDescent="0.25">
      <c r="D954" s="36" t="str" cm="1">
        <f t="array" aca="1" ref="D954" ca="1">IFERROR(IF(INDIRECT("'"&amp;F954&amp;"'!$C$5")&gt;0,DATE(YEAR(Dashboard!$AL$2),Dashboard!$AU$4,INDIRECT("'"&amp;F954&amp;"'!$C$5")),""),"")</f>
        <v/>
      </c>
      <c r="G954" s="38" t="str" cm="1">
        <f t="array" aca="1" ref="G954" ca="1">IF(F954="",
    "",
    IFERROR(
        IF(INDIRECT("'"&amp;F954&amp;"'!$B$2")="Credit Limit",
            "Credit Accounts",
            IF(INDIRECT("'"&amp;F954&amp;"'!$E$2")="Location",
                "Cash Accounts",
                IF(INDIRECT("'"&amp;F954&amp;"'!$B$2")="Amount",
                    "Investments",
                    "Bill Accounts"
                )
            )
        ),
    "")
)</f>
        <v/>
      </c>
      <c r="I954" s="46" t="str" cm="1">
        <f t="array" aca="1" ref="I954" ca="1">IF(F954&lt;&gt;"",IF(OR(G954="Bill Accounts",G954="Investments", G954="Cash Accounts"),INDIRECT("'"&amp;F954&amp;"'!$C$10"),INDIRECT("'"&amp;F954&amp;"'!$C$8")),"")</f>
        <v/>
      </c>
      <c r="K954" s="48">
        <f t="shared" si="45"/>
        <v>960</v>
      </c>
      <c r="L954" s="114" t="str" cm="1">
        <f t="array" aca="1" ref="L954" ca="1">IF(F954&lt;&gt;"",INDIRECT("'"&amp;F954&amp;"'!$F$17"),"")</f>
        <v/>
      </c>
      <c r="M954" s="116" t="str">
        <f t="shared" ca="1" si="43"/>
        <v/>
      </c>
      <c r="O954" s="49" t="str">
        <f t="shared" ca="1" si="44"/>
        <v/>
      </c>
      <c r="P954" s="38" t="str">
        <f>IF(E954&lt;&gt;"",RANK(E954,$E$3:$E$2298)+COUNTIF($E$3:E954,E954)-1,"")</f>
        <v/>
      </c>
    </row>
    <row r="955" spans="4:16" x14ac:dyDescent="0.25">
      <c r="D955" s="36" t="str" cm="1">
        <f t="array" aca="1" ref="D955" ca="1">IFERROR(IF(INDIRECT("'"&amp;F955&amp;"'!$C$5")&gt;0,DATE(YEAR(Dashboard!$AL$2),Dashboard!$AU$4,INDIRECT("'"&amp;F955&amp;"'!$C$5")),""),"")</f>
        <v/>
      </c>
      <c r="G955" s="38" t="str" cm="1">
        <f t="array" aca="1" ref="G955" ca="1">IF(F955="",
    "",
    IFERROR(
        IF(INDIRECT("'"&amp;F955&amp;"'!$B$2")="Credit Limit",
            "Credit Accounts",
            IF(INDIRECT("'"&amp;F955&amp;"'!$E$2")="Location",
                "Cash Accounts",
                IF(INDIRECT("'"&amp;F955&amp;"'!$B$2")="Amount",
                    "Investments",
                    "Bill Accounts"
                )
            )
        ),
    "")
)</f>
        <v/>
      </c>
      <c r="I955" s="46" t="str" cm="1">
        <f t="array" aca="1" ref="I955" ca="1">IF(F955&lt;&gt;"",IF(OR(G955="Bill Accounts",G955="Investments", G955="Cash Accounts"),INDIRECT("'"&amp;F955&amp;"'!$C$10"),INDIRECT("'"&amp;F955&amp;"'!$C$8")),"")</f>
        <v/>
      </c>
      <c r="K955" s="48">
        <f t="shared" si="45"/>
        <v>961</v>
      </c>
      <c r="L955" s="114" t="str" cm="1">
        <f t="array" aca="1" ref="L955" ca="1">IF(F955&lt;&gt;"",INDIRECT("'"&amp;F955&amp;"'!$F$17"),"")</f>
        <v/>
      </c>
      <c r="M955" s="116" t="str">
        <f t="shared" ca="1" si="43"/>
        <v/>
      </c>
      <c r="O955" s="49" t="str">
        <f t="shared" ca="1" si="44"/>
        <v/>
      </c>
      <c r="P955" s="38" t="str">
        <f>IF(E955&lt;&gt;"",RANK(E955,$E$3:$E$2298)+COUNTIF($E$3:E955,E955)-1,"")</f>
        <v/>
      </c>
    </row>
    <row r="956" spans="4:16" x14ac:dyDescent="0.25">
      <c r="D956" s="36" t="str" cm="1">
        <f t="array" aca="1" ref="D956" ca="1">IFERROR(IF(INDIRECT("'"&amp;F956&amp;"'!$C$5")&gt;0,DATE(YEAR(Dashboard!$AL$2),Dashboard!$AU$4,INDIRECT("'"&amp;F956&amp;"'!$C$5")),""),"")</f>
        <v/>
      </c>
      <c r="G956" s="38" t="str" cm="1">
        <f t="array" aca="1" ref="G956" ca="1">IF(F956="",
    "",
    IFERROR(
        IF(INDIRECT("'"&amp;F956&amp;"'!$B$2")="Credit Limit",
            "Credit Accounts",
            IF(INDIRECT("'"&amp;F956&amp;"'!$E$2")="Location",
                "Cash Accounts",
                IF(INDIRECT("'"&amp;F956&amp;"'!$B$2")="Amount",
                    "Investments",
                    "Bill Accounts"
                )
            )
        ),
    "")
)</f>
        <v/>
      </c>
      <c r="I956" s="46" t="str" cm="1">
        <f t="array" aca="1" ref="I956" ca="1">IF(F956&lt;&gt;"",IF(OR(G956="Bill Accounts",G956="Investments", G956="Cash Accounts"),INDIRECT("'"&amp;F956&amp;"'!$C$10"),INDIRECT("'"&amp;F956&amp;"'!$C$8")),"")</f>
        <v/>
      </c>
      <c r="K956" s="48">
        <f t="shared" si="45"/>
        <v>962</v>
      </c>
      <c r="L956" s="114" t="str" cm="1">
        <f t="array" aca="1" ref="L956" ca="1">IF(F956&lt;&gt;"",INDIRECT("'"&amp;F956&amp;"'!$F$17"),"")</f>
        <v/>
      </c>
      <c r="M956" s="116" t="str">
        <f t="shared" ca="1" si="43"/>
        <v/>
      </c>
      <c r="O956" s="49" t="str">
        <f t="shared" ca="1" si="44"/>
        <v/>
      </c>
      <c r="P956" s="38" t="str">
        <f>IF(E956&lt;&gt;"",RANK(E956,$E$3:$E$2298)+COUNTIF($E$3:E956,E956)-1,"")</f>
        <v/>
      </c>
    </row>
    <row r="957" spans="4:16" x14ac:dyDescent="0.25">
      <c r="D957" s="36" t="str" cm="1">
        <f t="array" aca="1" ref="D957" ca="1">IFERROR(IF(INDIRECT("'"&amp;F957&amp;"'!$C$5")&gt;0,DATE(YEAR(Dashboard!$AL$2),Dashboard!$AU$4,INDIRECT("'"&amp;F957&amp;"'!$C$5")),""),"")</f>
        <v/>
      </c>
      <c r="G957" s="38" t="str" cm="1">
        <f t="array" aca="1" ref="G957" ca="1">IF(F957="",
    "",
    IFERROR(
        IF(INDIRECT("'"&amp;F957&amp;"'!$B$2")="Credit Limit",
            "Credit Accounts",
            IF(INDIRECT("'"&amp;F957&amp;"'!$E$2")="Location",
                "Cash Accounts",
                IF(INDIRECT("'"&amp;F957&amp;"'!$B$2")="Amount",
                    "Investments",
                    "Bill Accounts"
                )
            )
        ),
    "")
)</f>
        <v/>
      </c>
      <c r="I957" s="46" t="str" cm="1">
        <f t="array" aca="1" ref="I957" ca="1">IF(F957&lt;&gt;"",IF(OR(G957="Bill Accounts",G957="Investments", G957="Cash Accounts"),INDIRECT("'"&amp;F957&amp;"'!$C$10"),INDIRECT("'"&amp;F957&amp;"'!$C$8")),"")</f>
        <v/>
      </c>
      <c r="K957" s="48">
        <f t="shared" si="45"/>
        <v>963</v>
      </c>
      <c r="L957" s="114" t="str" cm="1">
        <f t="array" aca="1" ref="L957" ca="1">IF(F957&lt;&gt;"",INDIRECT("'"&amp;F957&amp;"'!$F$17"),"")</f>
        <v/>
      </c>
      <c r="M957" s="116" t="str">
        <f t="shared" ca="1" si="43"/>
        <v/>
      </c>
      <c r="O957" s="49" t="str">
        <f t="shared" ca="1" si="44"/>
        <v/>
      </c>
      <c r="P957" s="38" t="str">
        <f>IF(E957&lt;&gt;"",RANK(E957,$E$3:$E$2298)+COUNTIF($E$3:E957,E957)-1,"")</f>
        <v/>
      </c>
    </row>
    <row r="958" spans="4:16" x14ac:dyDescent="0.25">
      <c r="D958" s="36" t="str" cm="1">
        <f t="array" aca="1" ref="D958" ca="1">IFERROR(IF(INDIRECT("'"&amp;F958&amp;"'!$C$5")&gt;0,DATE(YEAR(Dashboard!$AL$2),Dashboard!$AU$4,INDIRECT("'"&amp;F958&amp;"'!$C$5")),""),"")</f>
        <v/>
      </c>
      <c r="G958" s="38" t="str" cm="1">
        <f t="array" aca="1" ref="G958" ca="1">IF(F958="",
    "",
    IFERROR(
        IF(INDIRECT("'"&amp;F958&amp;"'!$B$2")="Credit Limit",
            "Credit Accounts",
            IF(INDIRECT("'"&amp;F958&amp;"'!$E$2")="Location",
                "Cash Accounts",
                IF(INDIRECT("'"&amp;F958&amp;"'!$B$2")="Amount",
                    "Investments",
                    "Bill Accounts"
                )
            )
        ),
    "")
)</f>
        <v/>
      </c>
      <c r="I958" s="46" t="str" cm="1">
        <f t="array" aca="1" ref="I958" ca="1">IF(F958&lt;&gt;"",IF(OR(G958="Bill Accounts",G958="Investments", G958="Cash Accounts"),INDIRECT("'"&amp;F958&amp;"'!$C$10"),INDIRECT("'"&amp;F958&amp;"'!$C$8")),"")</f>
        <v/>
      </c>
      <c r="K958" s="48">
        <f t="shared" si="45"/>
        <v>964</v>
      </c>
      <c r="L958" s="114" t="str" cm="1">
        <f t="array" aca="1" ref="L958" ca="1">IF(F958&lt;&gt;"",INDIRECT("'"&amp;F958&amp;"'!$F$17"),"")</f>
        <v/>
      </c>
      <c r="M958" s="116" t="str">
        <f t="shared" ca="1" si="43"/>
        <v/>
      </c>
      <c r="O958" s="49" t="str">
        <f t="shared" ca="1" si="44"/>
        <v/>
      </c>
      <c r="P958" s="38" t="str">
        <f>IF(E958&lt;&gt;"",RANK(E958,$E$3:$E$2298)+COUNTIF($E$3:E958,E958)-1,"")</f>
        <v/>
      </c>
    </row>
    <row r="959" spans="4:16" x14ac:dyDescent="0.25">
      <c r="D959" s="36" t="str" cm="1">
        <f t="array" aca="1" ref="D959" ca="1">IFERROR(IF(INDIRECT("'"&amp;F959&amp;"'!$C$5")&gt;0,DATE(YEAR(Dashboard!$AL$2),Dashboard!$AU$4,INDIRECT("'"&amp;F959&amp;"'!$C$5")),""),"")</f>
        <v/>
      </c>
      <c r="G959" s="38" t="str" cm="1">
        <f t="array" aca="1" ref="G959" ca="1">IF(F959="",
    "",
    IFERROR(
        IF(INDIRECT("'"&amp;F959&amp;"'!$B$2")="Credit Limit",
            "Credit Accounts",
            IF(INDIRECT("'"&amp;F959&amp;"'!$E$2")="Location",
                "Cash Accounts",
                IF(INDIRECT("'"&amp;F959&amp;"'!$B$2")="Amount",
                    "Investments",
                    "Bill Accounts"
                )
            )
        ),
    "")
)</f>
        <v/>
      </c>
      <c r="I959" s="46" t="str" cm="1">
        <f t="array" aca="1" ref="I959" ca="1">IF(F959&lt;&gt;"",IF(OR(G959="Bill Accounts",G959="Investments", G959="Cash Accounts"),INDIRECT("'"&amp;F959&amp;"'!$C$10"),INDIRECT("'"&amp;F959&amp;"'!$C$8")),"")</f>
        <v/>
      </c>
      <c r="K959" s="48">
        <f t="shared" si="45"/>
        <v>965</v>
      </c>
      <c r="L959" s="114" t="str" cm="1">
        <f t="array" aca="1" ref="L959" ca="1">IF(F959&lt;&gt;"",INDIRECT("'"&amp;F959&amp;"'!$F$17"),"")</f>
        <v/>
      </c>
      <c r="M959" s="116" t="str">
        <f t="shared" ca="1" si="43"/>
        <v/>
      </c>
      <c r="O959" s="49" t="str">
        <f t="shared" ca="1" si="44"/>
        <v/>
      </c>
      <c r="P959" s="38" t="str">
        <f>IF(E959&lt;&gt;"",RANK(E959,$E$3:$E$2298)+COUNTIF($E$3:E959,E959)-1,"")</f>
        <v/>
      </c>
    </row>
    <row r="960" spans="4:16" x14ac:dyDescent="0.25">
      <c r="D960" s="36" t="str" cm="1">
        <f t="array" aca="1" ref="D960" ca="1">IFERROR(IF(INDIRECT("'"&amp;F960&amp;"'!$C$5")&gt;0,DATE(YEAR(Dashboard!$AL$2),Dashboard!$AU$4,INDIRECT("'"&amp;F960&amp;"'!$C$5")),""),"")</f>
        <v/>
      </c>
      <c r="G960" s="38" t="str" cm="1">
        <f t="array" aca="1" ref="G960" ca="1">IF(F960="",
    "",
    IFERROR(
        IF(INDIRECT("'"&amp;F960&amp;"'!$B$2")="Credit Limit",
            "Credit Accounts",
            IF(INDIRECT("'"&amp;F960&amp;"'!$E$2")="Location",
                "Cash Accounts",
                IF(INDIRECT("'"&amp;F960&amp;"'!$B$2")="Amount",
                    "Investments",
                    "Bill Accounts"
                )
            )
        ),
    "")
)</f>
        <v/>
      </c>
      <c r="I960" s="46" t="str" cm="1">
        <f t="array" aca="1" ref="I960" ca="1">IF(F960&lt;&gt;"",IF(OR(G960="Bill Accounts",G960="Investments", G960="Cash Accounts"),INDIRECT("'"&amp;F960&amp;"'!$C$10"),INDIRECT("'"&amp;F960&amp;"'!$C$8")),"")</f>
        <v/>
      </c>
      <c r="K960" s="48">
        <f t="shared" si="45"/>
        <v>966</v>
      </c>
      <c r="L960" s="114" t="str" cm="1">
        <f t="array" aca="1" ref="L960" ca="1">IF(F960&lt;&gt;"",INDIRECT("'"&amp;F960&amp;"'!$F$17"),"")</f>
        <v/>
      </c>
      <c r="M960" s="116" t="str">
        <f t="shared" ca="1" si="43"/>
        <v/>
      </c>
      <c r="O960" s="49" t="str">
        <f t="shared" ca="1" si="44"/>
        <v/>
      </c>
      <c r="P960" s="38" t="str">
        <f>IF(E960&lt;&gt;"",RANK(E960,$E$3:$E$2298)+COUNTIF($E$3:E960,E960)-1,"")</f>
        <v/>
      </c>
    </row>
    <row r="961" spans="4:16" x14ac:dyDescent="0.25">
      <c r="D961" s="36" t="str" cm="1">
        <f t="array" aca="1" ref="D961" ca="1">IFERROR(IF(INDIRECT("'"&amp;F961&amp;"'!$C$5")&gt;0,DATE(YEAR(Dashboard!$AL$2),Dashboard!$AU$4,INDIRECT("'"&amp;F961&amp;"'!$C$5")),""),"")</f>
        <v/>
      </c>
      <c r="G961" s="38" t="str" cm="1">
        <f t="array" aca="1" ref="G961" ca="1">IF(F961="",
    "",
    IFERROR(
        IF(INDIRECT("'"&amp;F961&amp;"'!$B$2")="Credit Limit",
            "Credit Accounts",
            IF(INDIRECT("'"&amp;F961&amp;"'!$E$2")="Location",
                "Cash Accounts",
                IF(INDIRECT("'"&amp;F961&amp;"'!$B$2")="Amount",
                    "Investments",
                    "Bill Accounts"
                )
            )
        ),
    "")
)</f>
        <v/>
      </c>
      <c r="I961" s="46" t="str" cm="1">
        <f t="array" aca="1" ref="I961" ca="1">IF(F961&lt;&gt;"",IF(OR(G961="Bill Accounts",G961="Investments", G961="Cash Accounts"),INDIRECT("'"&amp;F961&amp;"'!$C$10"),INDIRECT("'"&amp;F961&amp;"'!$C$8")),"")</f>
        <v/>
      </c>
      <c r="K961" s="48">
        <f t="shared" si="45"/>
        <v>967</v>
      </c>
      <c r="L961" s="114" t="str" cm="1">
        <f t="array" aca="1" ref="L961" ca="1">IF(F961&lt;&gt;"",INDIRECT("'"&amp;F961&amp;"'!$F$17"),"")</f>
        <v/>
      </c>
      <c r="M961" s="116" t="str">
        <f t="shared" ca="1" si="43"/>
        <v/>
      </c>
      <c r="O961" s="49" t="str">
        <f t="shared" ca="1" si="44"/>
        <v/>
      </c>
      <c r="P961" s="38" t="str">
        <f>IF(E961&lt;&gt;"",RANK(E961,$E$3:$E$2298)+COUNTIF($E$3:E961,E961)-1,"")</f>
        <v/>
      </c>
    </row>
    <row r="962" spans="4:16" x14ac:dyDescent="0.25">
      <c r="D962" s="36" t="str" cm="1">
        <f t="array" aca="1" ref="D962" ca="1">IFERROR(IF(INDIRECT("'"&amp;F962&amp;"'!$C$5")&gt;0,DATE(YEAR(Dashboard!$AL$2),Dashboard!$AU$4,INDIRECT("'"&amp;F962&amp;"'!$C$5")),""),"")</f>
        <v/>
      </c>
      <c r="G962" s="38" t="str" cm="1">
        <f t="array" aca="1" ref="G962" ca="1">IF(F962="",
    "",
    IFERROR(
        IF(INDIRECT("'"&amp;F962&amp;"'!$B$2")="Credit Limit",
            "Credit Accounts",
            IF(INDIRECT("'"&amp;F962&amp;"'!$E$2")="Location",
                "Cash Accounts",
                IF(INDIRECT("'"&amp;F962&amp;"'!$B$2")="Amount",
                    "Investments",
                    "Bill Accounts"
                )
            )
        ),
    "")
)</f>
        <v/>
      </c>
      <c r="I962" s="46" t="str" cm="1">
        <f t="array" aca="1" ref="I962" ca="1">IF(F962&lt;&gt;"",IF(OR(G962="Bill Accounts",G962="Investments", G962="Cash Accounts"),INDIRECT("'"&amp;F962&amp;"'!$C$10"),INDIRECT("'"&amp;F962&amp;"'!$C$8")),"")</f>
        <v/>
      </c>
      <c r="K962" s="48">
        <f t="shared" si="45"/>
        <v>968</v>
      </c>
      <c r="L962" s="114" t="str" cm="1">
        <f t="array" aca="1" ref="L962" ca="1">IF(F962&lt;&gt;"",INDIRECT("'"&amp;F962&amp;"'!$F$17"),"")</f>
        <v/>
      </c>
      <c r="M962" s="116" t="str">
        <f t="shared" ca="1" si="43"/>
        <v/>
      </c>
      <c r="O962" s="49" t="str">
        <f t="shared" ca="1" si="44"/>
        <v/>
      </c>
      <c r="P962" s="38" t="str">
        <f>IF(E962&lt;&gt;"",RANK(E962,$E$3:$E$2298)+COUNTIF($E$3:E962,E962)-1,"")</f>
        <v/>
      </c>
    </row>
    <row r="963" spans="4:16" x14ac:dyDescent="0.25">
      <c r="D963" s="36" t="str" cm="1">
        <f t="array" aca="1" ref="D963" ca="1">IFERROR(IF(INDIRECT("'"&amp;F963&amp;"'!$C$5")&gt;0,DATE(YEAR(Dashboard!$AL$2),Dashboard!$AU$4,INDIRECT("'"&amp;F963&amp;"'!$C$5")),""),"")</f>
        <v/>
      </c>
      <c r="G963" s="38" t="str" cm="1">
        <f t="array" aca="1" ref="G963" ca="1">IF(F963="",
    "",
    IFERROR(
        IF(INDIRECT("'"&amp;F963&amp;"'!$B$2")="Credit Limit",
            "Credit Accounts",
            IF(INDIRECT("'"&amp;F963&amp;"'!$E$2")="Location",
                "Cash Accounts",
                IF(INDIRECT("'"&amp;F963&amp;"'!$B$2")="Amount",
                    "Investments",
                    "Bill Accounts"
                )
            )
        ),
    "")
)</f>
        <v/>
      </c>
      <c r="I963" s="46" t="str" cm="1">
        <f t="array" aca="1" ref="I963" ca="1">IF(F963&lt;&gt;"",IF(OR(G963="Bill Accounts",G963="Investments", G963="Cash Accounts"),INDIRECT("'"&amp;F963&amp;"'!$C$10"),INDIRECT("'"&amp;F963&amp;"'!$C$8")),"")</f>
        <v/>
      </c>
      <c r="K963" s="48">
        <f t="shared" si="45"/>
        <v>969</v>
      </c>
      <c r="L963" s="114" t="str" cm="1">
        <f t="array" aca="1" ref="L963" ca="1">IF(F963&lt;&gt;"",INDIRECT("'"&amp;F963&amp;"'!$F$17"),"")</f>
        <v/>
      </c>
      <c r="M963" s="116" t="str">
        <f t="shared" ca="1" si="43"/>
        <v/>
      </c>
      <c r="O963" s="49" t="str">
        <f t="shared" ca="1" si="44"/>
        <v/>
      </c>
      <c r="P963" s="38" t="str">
        <f>IF(E963&lt;&gt;"",RANK(E963,$E$3:$E$2298)+COUNTIF($E$3:E963,E963)-1,"")</f>
        <v/>
      </c>
    </row>
    <row r="964" spans="4:16" x14ac:dyDescent="0.25">
      <c r="D964" s="36" t="str" cm="1">
        <f t="array" aca="1" ref="D964" ca="1">IFERROR(IF(INDIRECT("'"&amp;F964&amp;"'!$C$5")&gt;0,DATE(YEAR(Dashboard!$AL$2),Dashboard!$AU$4,INDIRECT("'"&amp;F964&amp;"'!$C$5")),""),"")</f>
        <v/>
      </c>
      <c r="G964" s="38" t="str" cm="1">
        <f t="array" aca="1" ref="G964" ca="1">IF(F964="",
    "",
    IFERROR(
        IF(INDIRECT("'"&amp;F964&amp;"'!$B$2")="Credit Limit",
            "Credit Accounts",
            IF(INDIRECT("'"&amp;F964&amp;"'!$E$2")="Location",
                "Cash Accounts",
                IF(INDIRECT("'"&amp;F964&amp;"'!$B$2")="Amount",
                    "Investments",
                    "Bill Accounts"
                )
            )
        ),
    "")
)</f>
        <v/>
      </c>
      <c r="I964" s="46" t="str" cm="1">
        <f t="array" aca="1" ref="I964" ca="1">IF(F964&lt;&gt;"",IF(OR(G964="Bill Accounts",G964="Investments", G964="Cash Accounts"),INDIRECT("'"&amp;F964&amp;"'!$C$10"),INDIRECT("'"&amp;F964&amp;"'!$C$8")),"")</f>
        <v/>
      </c>
      <c r="K964" s="48">
        <f t="shared" si="45"/>
        <v>970</v>
      </c>
      <c r="L964" s="114" t="str" cm="1">
        <f t="array" aca="1" ref="L964" ca="1">IF(F964&lt;&gt;"",INDIRECT("'"&amp;F964&amp;"'!$F$17"),"")</f>
        <v/>
      </c>
      <c r="M964" s="116" t="str">
        <f t="shared" ref="M964:M1027" ca="1" si="46">IF(G964="Credit Accounts",EDATE(TODAY(),INDIRECT("'"&amp;F964&amp;"'!$C$14")),"")</f>
        <v/>
      </c>
      <c r="O964" s="49" t="str">
        <f t="shared" ref="O964:O1027" ca="1" si="47">IF(D964&lt;&gt;"",DAY(D964),"")</f>
        <v/>
      </c>
      <c r="P964" s="38" t="str">
        <f>IF(E964&lt;&gt;"",RANK(E964,$E$3:$E$2298)+COUNTIF($E$3:E964,E964)-1,"")</f>
        <v/>
      </c>
    </row>
    <row r="965" spans="4:16" x14ac:dyDescent="0.25">
      <c r="D965" s="36" t="str" cm="1">
        <f t="array" aca="1" ref="D965" ca="1">IFERROR(IF(INDIRECT("'"&amp;F965&amp;"'!$C$5")&gt;0,DATE(YEAR(Dashboard!$AL$2),Dashboard!$AU$4,INDIRECT("'"&amp;F965&amp;"'!$C$5")),""),"")</f>
        <v/>
      </c>
      <c r="G965" s="38" t="str" cm="1">
        <f t="array" aca="1" ref="G965" ca="1">IF(F965="",
    "",
    IFERROR(
        IF(INDIRECT("'"&amp;F965&amp;"'!$B$2")="Credit Limit",
            "Credit Accounts",
            IF(INDIRECT("'"&amp;F965&amp;"'!$E$2")="Location",
                "Cash Accounts",
                IF(INDIRECT("'"&amp;F965&amp;"'!$B$2")="Amount",
                    "Investments",
                    "Bill Accounts"
                )
            )
        ),
    "")
)</f>
        <v/>
      </c>
      <c r="I965" s="46" t="str" cm="1">
        <f t="array" aca="1" ref="I965" ca="1">IF(F965&lt;&gt;"",IF(OR(G965="Bill Accounts",G965="Investments", G965="Cash Accounts"),INDIRECT("'"&amp;F965&amp;"'!$C$10"),INDIRECT("'"&amp;F965&amp;"'!$C$8")),"")</f>
        <v/>
      </c>
      <c r="K965" s="48">
        <f t="shared" si="45"/>
        <v>971</v>
      </c>
      <c r="L965" s="114" t="str" cm="1">
        <f t="array" aca="1" ref="L965" ca="1">IF(F965&lt;&gt;"",INDIRECT("'"&amp;F965&amp;"'!$F$17"),"")</f>
        <v/>
      </c>
      <c r="M965" s="116" t="str">
        <f t="shared" ca="1" si="46"/>
        <v/>
      </c>
      <c r="O965" s="49" t="str">
        <f t="shared" ca="1" si="47"/>
        <v/>
      </c>
      <c r="P965" s="38" t="str">
        <f>IF(E965&lt;&gt;"",RANK(E965,$E$3:$E$2298)+COUNTIF($E$3:E965,E965)-1,"")</f>
        <v/>
      </c>
    </row>
    <row r="966" spans="4:16" x14ac:dyDescent="0.25">
      <c r="D966" s="36" t="str" cm="1">
        <f t="array" aca="1" ref="D966" ca="1">IFERROR(IF(INDIRECT("'"&amp;F966&amp;"'!$C$5")&gt;0,DATE(YEAR(Dashboard!$AL$2),Dashboard!$AU$4,INDIRECT("'"&amp;F966&amp;"'!$C$5")),""),"")</f>
        <v/>
      </c>
      <c r="G966" s="38" t="str" cm="1">
        <f t="array" aca="1" ref="G966" ca="1">IF(F966="",
    "",
    IFERROR(
        IF(INDIRECT("'"&amp;F966&amp;"'!$B$2")="Credit Limit",
            "Credit Accounts",
            IF(INDIRECT("'"&amp;F966&amp;"'!$E$2")="Location",
                "Cash Accounts",
                IF(INDIRECT("'"&amp;F966&amp;"'!$B$2")="Amount",
                    "Investments",
                    "Bill Accounts"
                )
            )
        ),
    "")
)</f>
        <v/>
      </c>
      <c r="I966" s="46" t="str" cm="1">
        <f t="array" aca="1" ref="I966" ca="1">IF(F966&lt;&gt;"",IF(OR(G966="Bill Accounts",G966="Investments", G966="Cash Accounts"),INDIRECT("'"&amp;F966&amp;"'!$C$10"),INDIRECT("'"&amp;F966&amp;"'!$C$8")),"")</f>
        <v/>
      </c>
      <c r="K966" s="48">
        <f t="shared" si="45"/>
        <v>972</v>
      </c>
      <c r="L966" s="114" t="str" cm="1">
        <f t="array" aca="1" ref="L966" ca="1">IF(F966&lt;&gt;"",INDIRECT("'"&amp;F966&amp;"'!$F$17"),"")</f>
        <v/>
      </c>
      <c r="M966" s="116" t="str">
        <f t="shared" ca="1" si="46"/>
        <v/>
      </c>
      <c r="O966" s="49" t="str">
        <f t="shared" ca="1" si="47"/>
        <v/>
      </c>
      <c r="P966" s="38" t="str">
        <f>IF(E966&lt;&gt;"",RANK(E966,$E$3:$E$2298)+COUNTIF($E$3:E966,E966)-1,"")</f>
        <v/>
      </c>
    </row>
    <row r="967" spans="4:16" x14ac:dyDescent="0.25">
      <c r="D967" s="36" t="str" cm="1">
        <f t="array" aca="1" ref="D967" ca="1">IFERROR(IF(INDIRECT("'"&amp;F967&amp;"'!$C$5")&gt;0,DATE(YEAR(Dashboard!$AL$2),Dashboard!$AU$4,INDIRECT("'"&amp;F967&amp;"'!$C$5")),""),"")</f>
        <v/>
      </c>
      <c r="G967" s="38" t="str" cm="1">
        <f t="array" aca="1" ref="G967" ca="1">IF(F967="",
    "",
    IFERROR(
        IF(INDIRECT("'"&amp;F967&amp;"'!$B$2")="Credit Limit",
            "Credit Accounts",
            IF(INDIRECT("'"&amp;F967&amp;"'!$E$2")="Location",
                "Cash Accounts",
                IF(INDIRECT("'"&amp;F967&amp;"'!$B$2")="Amount",
                    "Investments",
                    "Bill Accounts"
                )
            )
        ),
    "")
)</f>
        <v/>
      </c>
      <c r="I967" s="46" t="str" cm="1">
        <f t="array" aca="1" ref="I967" ca="1">IF(F967&lt;&gt;"",IF(OR(G967="Bill Accounts",G967="Investments", G967="Cash Accounts"),INDIRECT("'"&amp;F967&amp;"'!$C$10"),INDIRECT("'"&amp;F967&amp;"'!$C$8")),"")</f>
        <v/>
      </c>
      <c r="K967" s="48">
        <f t="shared" si="45"/>
        <v>973</v>
      </c>
      <c r="L967" s="114" t="str" cm="1">
        <f t="array" aca="1" ref="L967" ca="1">IF(F967&lt;&gt;"",INDIRECT("'"&amp;F967&amp;"'!$F$17"),"")</f>
        <v/>
      </c>
      <c r="M967" s="116" t="str">
        <f t="shared" ca="1" si="46"/>
        <v/>
      </c>
      <c r="O967" s="49" t="str">
        <f t="shared" ca="1" si="47"/>
        <v/>
      </c>
      <c r="P967" s="38" t="str">
        <f>IF(E967&lt;&gt;"",RANK(E967,$E$3:$E$2298)+COUNTIF($E$3:E967,E967)-1,"")</f>
        <v/>
      </c>
    </row>
    <row r="968" spans="4:16" x14ac:dyDescent="0.25">
      <c r="D968" s="36" t="str" cm="1">
        <f t="array" aca="1" ref="D968" ca="1">IFERROR(IF(INDIRECT("'"&amp;F968&amp;"'!$C$5")&gt;0,DATE(YEAR(Dashboard!$AL$2),Dashboard!$AU$4,INDIRECT("'"&amp;F968&amp;"'!$C$5")),""),"")</f>
        <v/>
      </c>
      <c r="G968" s="38" t="str" cm="1">
        <f t="array" aca="1" ref="G968" ca="1">IF(F968="",
    "",
    IFERROR(
        IF(INDIRECT("'"&amp;F968&amp;"'!$B$2")="Credit Limit",
            "Credit Accounts",
            IF(INDIRECT("'"&amp;F968&amp;"'!$E$2")="Location",
                "Cash Accounts",
                IF(INDIRECT("'"&amp;F968&amp;"'!$B$2")="Amount",
                    "Investments",
                    "Bill Accounts"
                )
            )
        ),
    "")
)</f>
        <v/>
      </c>
      <c r="I968" s="46" t="str" cm="1">
        <f t="array" aca="1" ref="I968" ca="1">IF(F968&lt;&gt;"",IF(OR(G968="Bill Accounts",G968="Investments", G968="Cash Accounts"),INDIRECT("'"&amp;F968&amp;"'!$C$10"),INDIRECT("'"&amp;F968&amp;"'!$C$8")),"")</f>
        <v/>
      </c>
      <c r="K968" s="48">
        <f t="shared" ref="K968:K1031" si="48">SUM(K967+1)</f>
        <v>974</v>
      </c>
      <c r="L968" s="114" t="str" cm="1">
        <f t="array" aca="1" ref="L968" ca="1">IF(F968&lt;&gt;"",INDIRECT("'"&amp;F968&amp;"'!$F$17"),"")</f>
        <v/>
      </c>
      <c r="M968" s="116" t="str">
        <f t="shared" ca="1" si="46"/>
        <v/>
      </c>
      <c r="O968" s="49" t="str">
        <f t="shared" ca="1" si="47"/>
        <v/>
      </c>
      <c r="P968" s="38" t="str">
        <f>IF(E968&lt;&gt;"",RANK(E968,$E$3:$E$2298)+COUNTIF($E$3:E968,E968)-1,"")</f>
        <v/>
      </c>
    </row>
    <row r="969" spans="4:16" x14ac:dyDescent="0.25">
      <c r="D969" s="36" t="str" cm="1">
        <f t="array" aca="1" ref="D969" ca="1">IFERROR(IF(INDIRECT("'"&amp;F969&amp;"'!$C$5")&gt;0,DATE(YEAR(Dashboard!$AL$2),Dashboard!$AU$4,INDIRECT("'"&amp;F969&amp;"'!$C$5")),""),"")</f>
        <v/>
      </c>
      <c r="G969" s="38" t="str" cm="1">
        <f t="array" aca="1" ref="G969" ca="1">IF(F969="",
    "",
    IFERROR(
        IF(INDIRECT("'"&amp;F969&amp;"'!$B$2")="Credit Limit",
            "Credit Accounts",
            IF(INDIRECT("'"&amp;F969&amp;"'!$E$2")="Location",
                "Cash Accounts",
                IF(INDIRECT("'"&amp;F969&amp;"'!$B$2")="Amount",
                    "Investments",
                    "Bill Accounts"
                )
            )
        ),
    "")
)</f>
        <v/>
      </c>
      <c r="I969" s="46" t="str" cm="1">
        <f t="array" aca="1" ref="I969" ca="1">IF(F969&lt;&gt;"",IF(OR(G969="Bill Accounts",G969="Investments", G969="Cash Accounts"),INDIRECT("'"&amp;F969&amp;"'!$C$10"),INDIRECT("'"&amp;F969&amp;"'!$C$8")),"")</f>
        <v/>
      </c>
      <c r="K969" s="48">
        <f t="shared" si="48"/>
        <v>975</v>
      </c>
      <c r="L969" s="114" t="str" cm="1">
        <f t="array" aca="1" ref="L969" ca="1">IF(F969&lt;&gt;"",INDIRECT("'"&amp;F969&amp;"'!$F$17"),"")</f>
        <v/>
      </c>
      <c r="M969" s="116" t="str">
        <f t="shared" ca="1" si="46"/>
        <v/>
      </c>
      <c r="O969" s="49" t="str">
        <f t="shared" ca="1" si="47"/>
        <v/>
      </c>
      <c r="P969" s="38" t="str">
        <f>IF(E969&lt;&gt;"",RANK(E969,$E$3:$E$2298)+COUNTIF($E$3:E969,E969)-1,"")</f>
        <v/>
      </c>
    </row>
    <row r="970" spans="4:16" x14ac:dyDescent="0.25">
      <c r="D970" s="36" t="str" cm="1">
        <f t="array" aca="1" ref="D970" ca="1">IFERROR(IF(INDIRECT("'"&amp;F970&amp;"'!$C$5")&gt;0,DATE(YEAR(Dashboard!$AL$2),Dashboard!$AU$4,INDIRECT("'"&amp;F970&amp;"'!$C$5")),""),"")</f>
        <v/>
      </c>
      <c r="G970" s="38" t="str" cm="1">
        <f t="array" aca="1" ref="G970" ca="1">IF(F970="",
    "",
    IFERROR(
        IF(INDIRECT("'"&amp;F970&amp;"'!$B$2")="Credit Limit",
            "Credit Accounts",
            IF(INDIRECT("'"&amp;F970&amp;"'!$E$2")="Location",
                "Cash Accounts",
                IF(INDIRECT("'"&amp;F970&amp;"'!$B$2")="Amount",
                    "Investments",
                    "Bill Accounts"
                )
            )
        ),
    "")
)</f>
        <v/>
      </c>
      <c r="I970" s="46" t="str" cm="1">
        <f t="array" aca="1" ref="I970" ca="1">IF(F970&lt;&gt;"",IF(OR(G970="Bill Accounts",G970="Investments", G970="Cash Accounts"),INDIRECT("'"&amp;F970&amp;"'!$C$10"),INDIRECT("'"&amp;F970&amp;"'!$C$8")),"")</f>
        <v/>
      </c>
      <c r="K970" s="48">
        <f t="shared" si="48"/>
        <v>976</v>
      </c>
      <c r="L970" s="114" t="str" cm="1">
        <f t="array" aca="1" ref="L970" ca="1">IF(F970&lt;&gt;"",INDIRECT("'"&amp;F970&amp;"'!$F$17"),"")</f>
        <v/>
      </c>
      <c r="M970" s="116" t="str">
        <f t="shared" ca="1" si="46"/>
        <v/>
      </c>
      <c r="O970" s="49" t="str">
        <f t="shared" ca="1" si="47"/>
        <v/>
      </c>
      <c r="P970" s="38" t="str">
        <f>IF(E970&lt;&gt;"",RANK(E970,$E$3:$E$2298)+COUNTIF($E$3:E970,E970)-1,"")</f>
        <v/>
      </c>
    </row>
    <row r="971" spans="4:16" x14ac:dyDescent="0.25">
      <c r="D971" s="36" t="str" cm="1">
        <f t="array" aca="1" ref="D971" ca="1">IFERROR(IF(INDIRECT("'"&amp;F971&amp;"'!$C$5")&gt;0,DATE(YEAR(Dashboard!$AL$2),Dashboard!$AU$4,INDIRECT("'"&amp;F971&amp;"'!$C$5")),""),"")</f>
        <v/>
      </c>
      <c r="G971" s="38" t="str" cm="1">
        <f t="array" aca="1" ref="G971" ca="1">IF(F971="",
    "",
    IFERROR(
        IF(INDIRECT("'"&amp;F971&amp;"'!$B$2")="Credit Limit",
            "Credit Accounts",
            IF(INDIRECT("'"&amp;F971&amp;"'!$E$2")="Location",
                "Cash Accounts",
                IF(INDIRECT("'"&amp;F971&amp;"'!$B$2")="Amount",
                    "Investments",
                    "Bill Accounts"
                )
            )
        ),
    "")
)</f>
        <v/>
      </c>
      <c r="I971" s="46" t="str" cm="1">
        <f t="array" aca="1" ref="I971" ca="1">IF(F971&lt;&gt;"",IF(OR(G971="Bill Accounts",G971="Investments", G971="Cash Accounts"),INDIRECT("'"&amp;F971&amp;"'!$C$10"),INDIRECT("'"&amp;F971&amp;"'!$C$8")),"")</f>
        <v/>
      </c>
      <c r="K971" s="48">
        <f t="shared" si="48"/>
        <v>977</v>
      </c>
      <c r="L971" s="114" t="str" cm="1">
        <f t="array" aca="1" ref="L971" ca="1">IF(F971&lt;&gt;"",INDIRECT("'"&amp;F971&amp;"'!$F$17"),"")</f>
        <v/>
      </c>
      <c r="M971" s="116" t="str">
        <f t="shared" ca="1" si="46"/>
        <v/>
      </c>
      <c r="O971" s="49" t="str">
        <f t="shared" ca="1" si="47"/>
        <v/>
      </c>
      <c r="P971" s="38" t="str">
        <f>IF(E971&lt;&gt;"",RANK(E971,$E$3:$E$2298)+COUNTIF($E$3:E971,E971)-1,"")</f>
        <v/>
      </c>
    </row>
    <row r="972" spans="4:16" x14ac:dyDescent="0.25">
      <c r="D972" s="36" t="str" cm="1">
        <f t="array" aca="1" ref="D972" ca="1">IFERROR(IF(INDIRECT("'"&amp;F972&amp;"'!$C$5")&gt;0,DATE(YEAR(Dashboard!$AL$2),Dashboard!$AU$4,INDIRECT("'"&amp;F972&amp;"'!$C$5")),""),"")</f>
        <v/>
      </c>
      <c r="G972" s="38" t="str" cm="1">
        <f t="array" aca="1" ref="G972" ca="1">IF(F972="",
    "",
    IFERROR(
        IF(INDIRECT("'"&amp;F972&amp;"'!$B$2")="Credit Limit",
            "Credit Accounts",
            IF(INDIRECT("'"&amp;F972&amp;"'!$E$2")="Location",
                "Cash Accounts",
                IF(INDIRECT("'"&amp;F972&amp;"'!$B$2")="Amount",
                    "Investments",
                    "Bill Accounts"
                )
            )
        ),
    "")
)</f>
        <v/>
      </c>
      <c r="I972" s="46" t="str" cm="1">
        <f t="array" aca="1" ref="I972" ca="1">IF(F972&lt;&gt;"",IF(OR(G972="Bill Accounts",G972="Investments", G972="Cash Accounts"),INDIRECT("'"&amp;F972&amp;"'!$C$10"),INDIRECT("'"&amp;F972&amp;"'!$C$8")),"")</f>
        <v/>
      </c>
      <c r="K972" s="48">
        <f t="shared" si="48"/>
        <v>978</v>
      </c>
      <c r="L972" s="114" t="str" cm="1">
        <f t="array" aca="1" ref="L972" ca="1">IF(F972&lt;&gt;"",INDIRECT("'"&amp;F972&amp;"'!$F$17"),"")</f>
        <v/>
      </c>
      <c r="M972" s="116" t="str">
        <f t="shared" ca="1" si="46"/>
        <v/>
      </c>
      <c r="O972" s="49" t="str">
        <f t="shared" ca="1" si="47"/>
        <v/>
      </c>
      <c r="P972" s="38" t="str">
        <f>IF(E972&lt;&gt;"",RANK(E972,$E$3:$E$2298)+COUNTIF($E$3:E972,E972)-1,"")</f>
        <v/>
      </c>
    </row>
    <row r="973" spans="4:16" x14ac:dyDescent="0.25">
      <c r="D973" s="36" t="str" cm="1">
        <f t="array" aca="1" ref="D973" ca="1">IFERROR(IF(INDIRECT("'"&amp;F973&amp;"'!$C$5")&gt;0,DATE(YEAR(Dashboard!$AL$2),Dashboard!$AU$4,INDIRECT("'"&amp;F973&amp;"'!$C$5")),""),"")</f>
        <v/>
      </c>
      <c r="G973" s="38" t="str" cm="1">
        <f t="array" aca="1" ref="G973" ca="1">IF(F973="",
    "",
    IFERROR(
        IF(INDIRECT("'"&amp;F973&amp;"'!$B$2")="Credit Limit",
            "Credit Accounts",
            IF(INDIRECT("'"&amp;F973&amp;"'!$E$2")="Location",
                "Cash Accounts",
                IF(INDIRECT("'"&amp;F973&amp;"'!$B$2")="Amount",
                    "Investments",
                    "Bill Accounts"
                )
            )
        ),
    "")
)</f>
        <v/>
      </c>
      <c r="I973" s="46" t="str" cm="1">
        <f t="array" aca="1" ref="I973" ca="1">IF(F973&lt;&gt;"",IF(OR(G973="Bill Accounts",G973="Investments", G973="Cash Accounts"),INDIRECT("'"&amp;F973&amp;"'!$C$10"),INDIRECT("'"&amp;F973&amp;"'!$C$8")),"")</f>
        <v/>
      </c>
      <c r="K973" s="48">
        <f t="shared" si="48"/>
        <v>979</v>
      </c>
      <c r="L973" s="114" t="str" cm="1">
        <f t="array" aca="1" ref="L973" ca="1">IF(F973&lt;&gt;"",INDIRECT("'"&amp;F973&amp;"'!$F$17"),"")</f>
        <v/>
      </c>
      <c r="M973" s="116" t="str">
        <f t="shared" ca="1" si="46"/>
        <v/>
      </c>
      <c r="O973" s="49" t="str">
        <f t="shared" ca="1" si="47"/>
        <v/>
      </c>
      <c r="P973" s="38" t="str">
        <f>IF(E973&lt;&gt;"",RANK(E973,$E$3:$E$2298)+COUNTIF($E$3:E973,E973)-1,"")</f>
        <v/>
      </c>
    </row>
    <row r="974" spans="4:16" x14ac:dyDescent="0.25">
      <c r="D974" s="36" t="str" cm="1">
        <f t="array" aca="1" ref="D974" ca="1">IFERROR(IF(INDIRECT("'"&amp;F974&amp;"'!$C$5")&gt;0,DATE(YEAR(Dashboard!$AL$2),Dashboard!$AU$4,INDIRECT("'"&amp;F974&amp;"'!$C$5")),""),"")</f>
        <v/>
      </c>
      <c r="G974" s="38" t="str" cm="1">
        <f t="array" aca="1" ref="G974" ca="1">IF(F974="",
    "",
    IFERROR(
        IF(INDIRECT("'"&amp;F974&amp;"'!$B$2")="Credit Limit",
            "Credit Accounts",
            IF(INDIRECT("'"&amp;F974&amp;"'!$E$2")="Location",
                "Cash Accounts",
                IF(INDIRECT("'"&amp;F974&amp;"'!$B$2")="Amount",
                    "Investments",
                    "Bill Accounts"
                )
            )
        ),
    "")
)</f>
        <v/>
      </c>
      <c r="I974" s="46" t="str" cm="1">
        <f t="array" aca="1" ref="I974" ca="1">IF(F974&lt;&gt;"",IF(OR(G974="Bill Accounts",G974="Investments", G974="Cash Accounts"),INDIRECT("'"&amp;F974&amp;"'!$C$10"),INDIRECT("'"&amp;F974&amp;"'!$C$8")),"")</f>
        <v/>
      </c>
      <c r="K974" s="48">
        <f t="shared" si="48"/>
        <v>980</v>
      </c>
      <c r="L974" s="114" t="str" cm="1">
        <f t="array" aca="1" ref="L974" ca="1">IF(F974&lt;&gt;"",INDIRECT("'"&amp;F974&amp;"'!$F$17"),"")</f>
        <v/>
      </c>
      <c r="M974" s="116" t="str">
        <f t="shared" ca="1" si="46"/>
        <v/>
      </c>
      <c r="O974" s="49" t="str">
        <f t="shared" ca="1" si="47"/>
        <v/>
      </c>
      <c r="P974" s="38" t="str">
        <f>IF(E974&lt;&gt;"",RANK(E974,$E$3:$E$2298)+COUNTIF($E$3:E974,E974)-1,"")</f>
        <v/>
      </c>
    </row>
    <row r="975" spans="4:16" x14ac:dyDescent="0.25">
      <c r="D975" s="36" t="str" cm="1">
        <f t="array" aca="1" ref="D975" ca="1">IFERROR(IF(INDIRECT("'"&amp;F975&amp;"'!$C$5")&gt;0,DATE(YEAR(Dashboard!$AL$2),Dashboard!$AU$4,INDIRECT("'"&amp;F975&amp;"'!$C$5")),""),"")</f>
        <v/>
      </c>
      <c r="G975" s="38" t="str" cm="1">
        <f t="array" aca="1" ref="G975" ca="1">IF(F975="",
    "",
    IFERROR(
        IF(INDIRECT("'"&amp;F975&amp;"'!$B$2")="Credit Limit",
            "Credit Accounts",
            IF(INDIRECT("'"&amp;F975&amp;"'!$E$2")="Location",
                "Cash Accounts",
                IF(INDIRECT("'"&amp;F975&amp;"'!$B$2")="Amount",
                    "Investments",
                    "Bill Accounts"
                )
            )
        ),
    "")
)</f>
        <v/>
      </c>
      <c r="I975" s="46" t="str" cm="1">
        <f t="array" aca="1" ref="I975" ca="1">IF(F975&lt;&gt;"",IF(OR(G975="Bill Accounts",G975="Investments", G975="Cash Accounts"),INDIRECT("'"&amp;F975&amp;"'!$C$10"),INDIRECT("'"&amp;F975&amp;"'!$C$8")),"")</f>
        <v/>
      </c>
      <c r="K975" s="48">
        <f t="shared" si="48"/>
        <v>981</v>
      </c>
      <c r="L975" s="114" t="str" cm="1">
        <f t="array" aca="1" ref="L975" ca="1">IF(F975&lt;&gt;"",INDIRECT("'"&amp;F975&amp;"'!$F$17"),"")</f>
        <v/>
      </c>
      <c r="M975" s="116" t="str">
        <f t="shared" ca="1" si="46"/>
        <v/>
      </c>
      <c r="O975" s="49" t="str">
        <f t="shared" ca="1" si="47"/>
        <v/>
      </c>
      <c r="P975" s="38" t="str">
        <f>IF(E975&lt;&gt;"",RANK(E975,$E$3:$E$2298)+COUNTIF($E$3:E975,E975)-1,"")</f>
        <v/>
      </c>
    </row>
    <row r="976" spans="4:16" x14ac:dyDescent="0.25">
      <c r="D976" s="36" t="str" cm="1">
        <f t="array" aca="1" ref="D976" ca="1">IFERROR(IF(INDIRECT("'"&amp;F976&amp;"'!$C$5")&gt;0,DATE(YEAR(Dashboard!$AL$2),Dashboard!$AU$4,INDIRECT("'"&amp;F976&amp;"'!$C$5")),""),"")</f>
        <v/>
      </c>
      <c r="G976" s="38" t="str" cm="1">
        <f t="array" aca="1" ref="G976" ca="1">IF(F976="",
    "",
    IFERROR(
        IF(INDIRECT("'"&amp;F976&amp;"'!$B$2")="Credit Limit",
            "Credit Accounts",
            IF(INDIRECT("'"&amp;F976&amp;"'!$E$2")="Location",
                "Cash Accounts",
                IF(INDIRECT("'"&amp;F976&amp;"'!$B$2")="Amount",
                    "Investments",
                    "Bill Accounts"
                )
            )
        ),
    "")
)</f>
        <v/>
      </c>
      <c r="I976" s="46" t="str" cm="1">
        <f t="array" aca="1" ref="I976" ca="1">IF(F976&lt;&gt;"",IF(OR(G976="Bill Accounts",G976="Investments", G976="Cash Accounts"),INDIRECT("'"&amp;F976&amp;"'!$C$10"),INDIRECT("'"&amp;F976&amp;"'!$C$8")),"")</f>
        <v/>
      </c>
      <c r="K976" s="48">
        <f t="shared" si="48"/>
        <v>982</v>
      </c>
      <c r="L976" s="114" t="str" cm="1">
        <f t="array" aca="1" ref="L976" ca="1">IF(F976&lt;&gt;"",INDIRECT("'"&amp;F976&amp;"'!$F$17"),"")</f>
        <v/>
      </c>
      <c r="M976" s="116" t="str">
        <f t="shared" ca="1" si="46"/>
        <v/>
      </c>
      <c r="O976" s="49" t="str">
        <f t="shared" ca="1" si="47"/>
        <v/>
      </c>
      <c r="P976" s="38" t="str">
        <f>IF(E976&lt;&gt;"",RANK(E976,$E$3:$E$2298)+COUNTIF($E$3:E976,E976)-1,"")</f>
        <v/>
      </c>
    </row>
    <row r="977" spans="4:16" x14ac:dyDescent="0.25">
      <c r="D977" s="36" t="str" cm="1">
        <f t="array" aca="1" ref="D977" ca="1">IFERROR(IF(INDIRECT("'"&amp;F977&amp;"'!$C$5")&gt;0,DATE(YEAR(Dashboard!$AL$2),Dashboard!$AU$4,INDIRECT("'"&amp;F977&amp;"'!$C$5")),""),"")</f>
        <v/>
      </c>
      <c r="G977" s="38" t="str" cm="1">
        <f t="array" aca="1" ref="G977" ca="1">IF(F977="",
    "",
    IFERROR(
        IF(INDIRECT("'"&amp;F977&amp;"'!$B$2")="Credit Limit",
            "Credit Accounts",
            IF(INDIRECT("'"&amp;F977&amp;"'!$E$2")="Location",
                "Cash Accounts",
                IF(INDIRECT("'"&amp;F977&amp;"'!$B$2")="Amount",
                    "Investments",
                    "Bill Accounts"
                )
            )
        ),
    "")
)</f>
        <v/>
      </c>
      <c r="I977" s="46" t="str" cm="1">
        <f t="array" aca="1" ref="I977" ca="1">IF(F977&lt;&gt;"",IF(OR(G977="Bill Accounts",G977="Investments", G977="Cash Accounts"),INDIRECT("'"&amp;F977&amp;"'!$C$10"),INDIRECT("'"&amp;F977&amp;"'!$C$8")),"")</f>
        <v/>
      </c>
      <c r="K977" s="48">
        <f t="shared" si="48"/>
        <v>983</v>
      </c>
      <c r="L977" s="114" t="str" cm="1">
        <f t="array" aca="1" ref="L977" ca="1">IF(F977&lt;&gt;"",INDIRECT("'"&amp;F977&amp;"'!$F$17"),"")</f>
        <v/>
      </c>
      <c r="M977" s="116" t="str">
        <f t="shared" ca="1" si="46"/>
        <v/>
      </c>
      <c r="O977" s="49" t="str">
        <f t="shared" ca="1" si="47"/>
        <v/>
      </c>
      <c r="P977" s="38" t="str">
        <f>IF(E977&lt;&gt;"",RANK(E977,$E$3:$E$2298)+COUNTIF($E$3:E977,E977)-1,"")</f>
        <v/>
      </c>
    </row>
    <row r="978" spans="4:16" x14ac:dyDescent="0.25">
      <c r="D978" s="36" t="str" cm="1">
        <f t="array" aca="1" ref="D978" ca="1">IFERROR(IF(INDIRECT("'"&amp;F978&amp;"'!$C$5")&gt;0,DATE(YEAR(Dashboard!$AL$2),Dashboard!$AU$4,INDIRECT("'"&amp;F978&amp;"'!$C$5")),""),"")</f>
        <v/>
      </c>
      <c r="G978" s="38" t="str" cm="1">
        <f t="array" aca="1" ref="G978" ca="1">IF(F978="",
    "",
    IFERROR(
        IF(INDIRECT("'"&amp;F978&amp;"'!$B$2")="Credit Limit",
            "Credit Accounts",
            IF(INDIRECT("'"&amp;F978&amp;"'!$E$2")="Location",
                "Cash Accounts",
                IF(INDIRECT("'"&amp;F978&amp;"'!$B$2")="Amount",
                    "Investments",
                    "Bill Accounts"
                )
            )
        ),
    "")
)</f>
        <v/>
      </c>
      <c r="I978" s="46" t="str" cm="1">
        <f t="array" aca="1" ref="I978" ca="1">IF(F978&lt;&gt;"",IF(OR(G978="Bill Accounts",G978="Investments", G978="Cash Accounts"),INDIRECT("'"&amp;F978&amp;"'!$C$10"),INDIRECT("'"&amp;F978&amp;"'!$C$8")),"")</f>
        <v/>
      </c>
      <c r="K978" s="48">
        <f t="shared" si="48"/>
        <v>984</v>
      </c>
      <c r="L978" s="114" t="str" cm="1">
        <f t="array" aca="1" ref="L978" ca="1">IF(F978&lt;&gt;"",INDIRECT("'"&amp;F978&amp;"'!$F$17"),"")</f>
        <v/>
      </c>
      <c r="M978" s="116" t="str">
        <f t="shared" ca="1" si="46"/>
        <v/>
      </c>
      <c r="O978" s="49" t="str">
        <f t="shared" ca="1" si="47"/>
        <v/>
      </c>
      <c r="P978" s="38" t="str">
        <f>IF(E978&lt;&gt;"",RANK(E978,$E$3:$E$2298)+COUNTIF($E$3:E978,E978)-1,"")</f>
        <v/>
      </c>
    </row>
    <row r="979" spans="4:16" x14ac:dyDescent="0.25">
      <c r="D979" s="36" t="str" cm="1">
        <f t="array" aca="1" ref="D979" ca="1">IFERROR(IF(INDIRECT("'"&amp;F979&amp;"'!$C$5")&gt;0,DATE(YEAR(Dashboard!$AL$2),Dashboard!$AU$4,INDIRECT("'"&amp;F979&amp;"'!$C$5")),""),"")</f>
        <v/>
      </c>
      <c r="G979" s="38" t="str" cm="1">
        <f t="array" aca="1" ref="G979" ca="1">IF(F979="",
    "",
    IFERROR(
        IF(INDIRECT("'"&amp;F979&amp;"'!$B$2")="Credit Limit",
            "Credit Accounts",
            IF(INDIRECT("'"&amp;F979&amp;"'!$E$2")="Location",
                "Cash Accounts",
                IF(INDIRECT("'"&amp;F979&amp;"'!$B$2")="Amount",
                    "Investments",
                    "Bill Accounts"
                )
            )
        ),
    "")
)</f>
        <v/>
      </c>
      <c r="I979" s="46" t="str" cm="1">
        <f t="array" aca="1" ref="I979" ca="1">IF(F979&lt;&gt;"",IF(OR(G979="Bill Accounts",G979="Investments", G979="Cash Accounts"),INDIRECT("'"&amp;F979&amp;"'!$C$10"),INDIRECT("'"&amp;F979&amp;"'!$C$8")),"")</f>
        <v/>
      </c>
      <c r="K979" s="48">
        <f t="shared" si="48"/>
        <v>985</v>
      </c>
      <c r="L979" s="114" t="str" cm="1">
        <f t="array" aca="1" ref="L979" ca="1">IF(F979&lt;&gt;"",INDIRECT("'"&amp;F979&amp;"'!$F$17"),"")</f>
        <v/>
      </c>
      <c r="M979" s="116" t="str">
        <f t="shared" ca="1" si="46"/>
        <v/>
      </c>
      <c r="O979" s="49" t="str">
        <f t="shared" ca="1" si="47"/>
        <v/>
      </c>
      <c r="P979" s="38" t="str">
        <f>IF(E979&lt;&gt;"",RANK(E979,$E$3:$E$2298)+COUNTIF($E$3:E979,E979)-1,"")</f>
        <v/>
      </c>
    </row>
    <row r="980" spans="4:16" x14ac:dyDescent="0.25">
      <c r="D980" s="36" t="str" cm="1">
        <f t="array" aca="1" ref="D980" ca="1">IFERROR(IF(INDIRECT("'"&amp;F980&amp;"'!$C$5")&gt;0,DATE(YEAR(Dashboard!$AL$2),Dashboard!$AU$4,INDIRECT("'"&amp;F980&amp;"'!$C$5")),""),"")</f>
        <v/>
      </c>
      <c r="G980" s="38" t="str" cm="1">
        <f t="array" aca="1" ref="G980" ca="1">IF(F980="",
    "",
    IFERROR(
        IF(INDIRECT("'"&amp;F980&amp;"'!$B$2")="Credit Limit",
            "Credit Accounts",
            IF(INDIRECT("'"&amp;F980&amp;"'!$E$2")="Location",
                "Cash Accounts",
                IF(INDIRECT("'"&amp;F980&amp;"'!$B$2")="Amount",
                    "Investments",
                    "Bill Accounts"
                )
            )
        ),
    "")
)</f>
        <v/>
      </c>
      <c r="I980" s="46" t="str" cm="1">
        <f t="array" aca="1" ref="I980" ca="1">IF(F980&lt;&gt;"",IF(OR(G980="Bill Accounts",G980="Investments", G980="Cash Accounts"),INDIRECT("'"&amp;F980&amp;"'!$C$10"),INDIRECT("'"&amp;F980&amp;"'!$C$8")),"")</f>
        <v/>
      </c>
      <c r="K980" s="48">
        <f t="shared" si="48"/>
        <v>986</v>
      </c>
      <c r="L980" s="114" t="str" cm="1">
        <f t="array" aca="1" ref="L980" ca="1">IF(F980&lt;&gt;"",INDIRECT("'"&amp;F980&amp;"'!$F$17"),"")</f>
        <v/>
      </c>
      <c r="M980" s="116" t="str">
        <f t="shared" ca="1" si="46"/>
        <v/>
      </c>
      <c r="O980" s="49" t="str">
        <f t="shared" ca="1" si="47"/>
        <v/>
      </c>
      <c r="P980" s="38" t="str">
        <f>IF(E980&lt;&gt;"",RANK(E980,$E$3:$E$2298)+COUNTIF($E$3:E980,E980)-1,"")</f>
        <v/>
      </c>
    </row>
    <row r="981" spans="4:16" x14ac:dyDescent="0.25">
      <c r="D981" s="36" t="str" cm="1">
        <f t="array" aca="1" ref="D981" ca="1">IFERROR(IF(INDIRECT("'"&amp;F981&amp;"'!$C$5")&gt;0,DATE(YEAR(Dashboard!$AL$2),Dashboard!$AU$4,INDIRECT("'"&amp;F981&amp;"'!$C$5")),""),"")</f>
        <v/>
      </c>
      <c r="G981" s="38" t="str" cm="1">
        <f t="array" aca="1" ref="G981" ca="1">IF(F981="",
    "",
    IFERROR(
        IF(INDIRECT("'"&amp;F981&amp;"'!$B$2")="Credit Limit",
            "Credit Accounts",
            IF(INDIRECT("'"&amp;F981&amp;"'!$E$2")="Location",
                "Cash Accounts",
                IF(INDIRECT("'"&amp;F981&amp;"'!$B$2")="Amount",
                    "Investments",
                    "Bill Accounts"
                )
            )
        ),
    "")
)</f>
        <v/>
      </c>
      <c r="I981" s="46" t="str" cm="1">
        <f t="array" aca="1" ref="I981" ca="1">IF(F981&lt;&gt;"",IF(OR(G981="Bill Accounts",G981="Investments", G981="Cash Accounts"),INDIRECT("'"&amp;F981&amp;"'!$C$10"),INDIRECT("'"&amp;F981&amp;"'!$C$8")),"")</f>
        <v/>
      </c>
      <c r="K981" s="48">
        <f t="shared" si="48"/>
        <v>987</v>
      </c>
      <c r="L981" s="114" t="str" cm="1">
        <f t="array" aca="1" ref="L981" ca="1">IF(F981&lt;&gt;"",INDIRECT("'"&amp;F981&amp;"'!$F$17"),"")</f>
        <v/>
      </c>
      <c r="M981" s="116" t="str">
        <f t="shared" ca="1" si="46"/>
        <v/>
      </c>
      <c r="O981" s="49" t="str">
        <f t="shared" ca="1" si="47"/>
        <v/>
      </c>
      <c r="P981" s="38" t="str">
        <f>IF(E981&lt;&gt;"",RANK(E981,$E$3:$E$2298)+COUNTIF($E$3:E981,E981)-1,"")</f>
        <v/>
      </c>
    </row>
    <row r="982" spans="4:16" x14ac:dyDescent="0.25">
      <c r="D982" s="36" t="str" cm="1">
        <f t="array" aca="1" ref="D982" ca="1">IFERROR(IF(INDIRECT("'"&amp;F982&amp;"'!$C$5")&gt;0,DATE(YEAR(Dashboard!$AL$2),Dashboard!$AU$4,INDIRECT("'"&amp;F982&amp;"'!$C$5")),""),"")</f>
        <v/>
      </c>
      <c r="G982" s="38" t="str" cm="1">
        <f t="array" aca="1" ref="G982" ca="1">IF(F982="",
    "",
    IFERROR(
        IF(INDIRECT("'"&amp;F982&amp;"'!$B$2")="Credit Limit",
            "Credit Accounts",
            IF(INDIRECT("'"&amp;F982&amp;"'!$E$2")="Location",
                "Cash Accounts",
                IF(INDIRECT("'"&amp;F982&amp;"'!$B$2")="Amount",
                    "Investments",
                    "Bill Accounts"
                )
            )
        ),
    "")
)</f>
        <v/>
      </c>
      <c r="I982" s="46" t="str" cm="1">
        <f t="array" aca="1" ref="I982" ca="1">IF(F982&lt;&gt;"",IF(OR(G982="Bill Accounts",G982="Investments", G982="Cash Accounts"),INDIRECT("'"&amp;F982&amp;"'!$C$10"),INDIRECT("'"&amp;F982&amp;"'!$C$8")),"")</f>
        <v/>
      </c>
      <c r="K982" s="48">
        <f t="shared" si="48"/>
        <v>988</v>
      </c>
      <c r="L982" s="114" t="str" cm="1">
        <f t="array" aca="1" ref="L982" ca="1">IF(F982&lt;&gt;"",INDIRECT("'"&amp;F982&amp;"'!$F$17"),"")</f>
        <v/>
      </c>
      <c r="M982" s="116" t="str">
        <f t="shared" ca="1" si="46"/>
        <v/>
      </c>
      <c r="O982" s="49" t="str">
        <f t="shared" ca="1" si="47"/>
        <v/>
      </c>
      <c r="P982" s="38" t="str">
        <f>IF(E982&lt;&gt;"",RANK(E982,$E$3:$E$2298)+COUNTIF($E$3:E982,E982)-1,"")</f>
        <v/>
      </c>
    </row>
    <row r="983" spans="4:16" x14ac:dyDescent="0.25">
      <c r="D983" s="36" t="str" cm="1">
        <f t="array" aca="1" ref="D983" ca="1">IFERROR(IF(INDIRECT("'"&amp;F983&amp;"'!$C$5")&gt;0,DATE(YEAR(Dashboard!$AL$2),Dashboard!$AU$4,INDIRECT("'"&amp;F983&amp;"'!$C$5")),""),"")</f>
        <v/>
      </c>
      <c r="G983" s="38" t="str" cm="1">
        <f t="array" aca="1" ref="G983" ca="1">IF(F983="",
    "",
    IFERROR(
        IF(INDIRECT("'"&amp;F983&amp;"'!$B$2")="Credit Limit",
            "Credit Accounts",
            IF(INDIRECT("'"&amp;F983&amp;"'!$E$2")="Location",
                "Cash Accounts",
                IF(INDIRECT("'"&amp;F983&amp;"'!$B$2")="Amount",
                    "Investments",
                    "Bill Accounts"
                )
            )
        ),
    "")
)</f>
        <v/>
      </c>
      <c r="I983" s="46" t="str" cm="1">
        <f t="array" aca="1" ref="I983" ca="1">IF(F983&lt;&gt;"",IF(OR(G983="Bill Accounts",G983="Investments", G983="Cash Accounts"),INDIRECT("'"&amp;F983&amp;"'!$C$10"),INDIRECT("'"&amp;F983&amp;"'!$C$8")),"")</f>
        <v/>
      </c>
      <c r="K983" s="48">
        <f t="shared" si="48"/>
        <v>989</v>
      </c>
      <c r="L983" s="114" t="str" cm="1">
        <f t="array" aca="1" ref="L983" ca="1">IF(F983&lt;&gt;"",INDIRECT("'"&amp;F983&amp;"'!$F$17"),"")</f>
        <v/>
      </c>
      <c r="M983" s="116" t="str">
        <f t="shared" ca="1" si="46"/>
        <v/>
      </c>
      <c r="O983" s="49" t="str">
        <f t="shared" ca="1" si="47"/>
        <v/>
      </c>
      <c r="P983" s="38" t="str">
        <f>IF(E983&lt;&gt;"",RANK(E983,$E$3:$E$2298)+COUNTIF($E$3:E983,E983)-1,"")</f>
        <v/>
      </c>
    </row>
    <row r="984" spans="4:16" x14ac:dyDescent="0.25">
      <c r="D984" s="36" t="str" cm="1">
        <f t="array" aca="1" ref="D984" ca="1">IFERROR(IF(INDIRECT("'"&amp;F984&amp;"'!$C$5")&gt;0,DATE(YEAR(Dashboard!$AL$2),Dashboard!$AU$4,INDIRECT("'"&amp;F984&amp;"'!$C$5")),""),"")</f>
        <v/>
      </c>
      <c r="G984" s="38" t="str" cm="1">
        <f t="array" aca="1" ref="G984" ca="1">IF(F984="",
    "",
    IFERROR(
        IF(INDIRECT("'"&amp;F984&amp;"'!$B$2")="Credit Limit",
            "Credit Accounts",
            IF(INDIRECT("'"&amp;F984&amp;"'!$E$2")="Location",
                "Cash Accounts",
                IF(INDIRECT("'"&amp;F984&amp;"'!$B$2")="Amount",
                    "Investments",
                    "Bill Accounts"
                )
            )
        ),
    "")
)</f>
        <v/>
      </c>
      <c r="I984" s="46" t="str" cm="1">
        <f t="array" aca="1" ref="I984" ca="1">IF(F984&lt;&gt;"",IF(OR(G984="Bill Accounts",G984="Investments", G984="Cash Accounts"),INDIRECT("'"&amp;F984&amp;"'!$C$10"),INDIRECT("'"&amp;F984&amp;"'!$C$8")),"")</f>
        <v/>
      </c>
      <c r="K984" s="48">
        <f t="shared" si="48"/>
        <v>990</v>
      </c>
      <c r="L984" s="114" t="str" cm="1">
        <f t="array" aca="1" ref="L984" ca="1">IF(F984&lt;&gt;"",INDIRECT("'"&amp;F984&amp;"'!$F$17"),"")</f>
        <v/>
      </c>
      <c r="M984" s="116" t="str">
        <f t="shared" ca="1" si="46"/>
        <v/>
      </c>
      <c r="O984" s="49" t="str">
        <f t="shared" ca="1" si="47"/>
        <v/>
      </c>
      <c r="P984" s="38" t="str">
        <f>IF(E984&lt;&gt;"",RANK(E984,$E$3:$E$2298)+COUNTIF($E$3:E984,E984)-1,"")</f>
        <v/>
      </c>
    </row>
    <row r="985" spans="4:16" x14ac:dyDescent="0.25">
      <c r="D985" s="36" t="str" cm="1">
        <f t="array" aca="1" ref="D985" ca="1">IFERROR(IF(INDIRECT("'"&amp;F985&amp;"'!$C$5")&gt;0,DATE(YEAR(Dashboard!$AL$2),Dashboard!$AU$4,INDIRECT("'"&amp;F985&amp;"'!$C$5")),""),"")</f>
        <v/>
      </c>
      <c r="G985" s="38" t="str" cm="1">
        <f t="array" aca="1" ref="G985" ca="1">IF(F985="",
    "",
    IFERROR(
        IF(INDIRECT("'"&amp;F985&amp;"'!$B$2")="Credit Limit",
            "Credit Accounts",
            IF(INDIRECT("'"&amp;F985&amp;"'!$E$2")="Location",
                "Cash Accounts",
                IF(INDIRECT("'"&amp;F985&amp;"'!$B$2")="Amount",
                    "Investments",
                    "Bill Accounts"
                )
            )
        ),
    "")
)</f>
        <v/>
      </c>
      <c r="I985" s="46" t="str" cm="1">
        <f t="array" aca="1" ref="I985" ca="1">IF(F985&lt;&gt;"",IF(OR(G985="Bill Accounts",G985="Investments", G985="Cash Accounts"),INDIRECT("'"&amp;F985&amp;"'!$C$10"),INDIRECT("'"&amp;F985&amp;"'!$C$8")),"")</f>
        <v/>
      </c>
      <c r="K985" s="48">
        <f t="shared" si="48"/>
        <v>991</v>
      </c>
      <c r="L985" s="114" t="str" cm="1">
        <f t="array" aca="1" ref="L985" ca="1">IF(F985&lt;&gt;"",INDIRECT("'"&amp;F985&amp;"'!$F$17"),"")</f>
        <v/>
      </c>
      <c r="M985" s="116" t="str">
        <f t="shared" ca="1" si="46"/>
        <v/>
      </c>
      <c r="O985" s="49" t="str">
        <f t="shared" ca="1" si="47"/>
        <v/>
      </c>
      <c r="P985" s="38" t="str">
        <f>IF(E985&lt;&gt;"",RANK(E985,$E$3:$E$2298)+COUNTIF($E$3:E985,E985)-1,"")</f>
        <v/>
      </c>
    </row>
    <row r="986" spans="4:16" x14ac:dyDescent="0.25">
      <c r="D986" s="36" t="str" cm="1">
        <f t="array" aca="1" ref="D986" ca="1">IFERROR(IF(INDIRECT("'"&amp;F986&amp;"'!$C$5")&gt;0,DATE(YEAR(Dashboard!$AL$2),Dashboard!$AU$4,INDIRECT("'"&amp;F986&amp;"'!$C$5")),""),"")</f>
        <v/>
      </c>
      <c r="G986" s="38" t="str" cm="1">
        <f t="array" aca="1" ref="G986" ca="1">IF(F986="",
    "",
    IFERROR(
        IF(INDIRECT("'"&amp;F986&amp;"'!$B$2")="Credit Limit",
            "Credit Accounts",
            IF(INDIRECT("'"&amp;F986&amp;"'!$E$2")="Location",
                "Cash Accounts",
                IF(INDIRECT("'"&amp;F986&amp;"'!$B$2")="Amount",
                    "Investments",
                    "Bill Accounts"
                )
            )
        ),
    "")
)</f>
        <v/>
      </c>
      <c r="I986" s="46" t="str" cm="1">
        <f t="array" aca="1" ref="I986" ca="1">IF(F986&lt;&gt;"",IF(OR(G986="Bill Accounts",G986="Investments", G986="Cash Accounts"),INDIRECT("'"&amp;F986&amp;"'!$C$10"),INDIRECT("'"&amp;F986&amp;"'!$C$8")),"")</f>
        <v/>
      </c>
      <c r="K986" s="48">
        <f t="shared" si="48"/>
        <v>992</v>
      </c>
      <c r="L986" s="114" t="str" cm="1">
        <f t="array" aca="1" ref="L986" ca="1">IF(F986&lt;&gt;"",INDIRECT("'"&amp;F986&amp;"'!$F$17"),"")</f>
        <v/>
      </c>
      <c r="M986" s="116" t="str">
        <f t="shared" ca="1" si="46"/>
        <v/>
      </c>
      <c r="O986" s="49" t="str">
        <f t="shared" ca="1" si="47"/>
        <v/>
      </c>
      <c r="P986" s="38" t="str">
        <f>IF(E986&lt;&gt;"",RANK(E986,$E$3:$E$2298)+COUNTIF($E$3:E986,E986)-1,"")</f>
        <v/>
      </c>
    </row>
    <row r="987" spans="4:16" x14ac:dyDescent="0.25">
      <c r="D987" s="36" t="str" cm="1">
        <f t="array" aca="1" ref="D987" ca="1">IFERROR(IF(INDIRECT("'"&amp;F987&amp;"'!$C$5")&gt;0,DATE(YEAR(Dashboard!$AL$2),Dashboard!$AU$4,INDIRECT("'"&amp;F987&amp;"'!$C$5")),""),"")</f>
        <v/>
      </c>
      <c r="G987" s="38" t="str" cm="1">
        <f t="array" aca="1" ref="G987" ca="1">IF(F987="",
    "",
    IFERROR(
        IF(INDIRECT("'"&amp;F987&amp;"'!$B$2")="Credit Limit",
            "Credit Accounts",
            IF(INDIRECT("'"&amp;F987&amp;"'!$E$2")="Location",
                "Cash Accounts",
                IF(INDIRECT("'"&amp;F987&amp;"'!$B$2")="Amount",
                    "Investments",
                    "Bill Accounts"
                )
            )
        ),
    "")
)</f>
        <v/>
      </c>
      <c r="I987" s="46" t="str" cm="1">
        <f t="array" aca="1" ref="I987" ca="1">IF(F987&lt;&gt;"",IF(OR(G987="Bill Accounts",G987="Investments", G987="Cash Accounts"),INDIRECT("'"&amp;F987&amp;"'!$C$10"),INDIRECT("'"&amp;F987&amp;"'!$C$8")),"")</f>
        <v/>
      </c>
      <c r="K987" s="48">
        <f t="shared" si="48"/>
        <v>993</v>
      </c>
      <c r="L987" s="114" t="str" cm="1">
        <f t="array" aca="1" ref="L987" ca="1">IF(F987&lt;&gt;"",INDIRECT("'"&amp;F987&amp;"'!$F$17"),"")</f>
        <v/>
      </c>
      <c r="M987" s="116" t="str">
        <f t="shared" ca="1" si="46"/>
        <v/>
      </c>
      <c r="O987" s="49" t="str">
        <f t="shared" ca="1" si="47"/>
        <v/>
      </c>
      <c r="P987" s="38" t="str">
        <f>IF(E987&lt;&gt;"",RANK(E987,$E$3:$E$2298)+COUNTIF($E$3:E987,E987)-1,"")</f>
        <v/>
      </c>
    </row>
    <row r="988" spans="4:16" x14ac:dyDescent="0.25">
      <c r="D988" s="36" t="str" cm="1">
        <f t="array" aca="1" ref="D988" ca="1">IFERROR(IF(INDIRECT("'"&amp;F988&amp;"'!$C$5")&gt;0,DATE(YEAR(Dashboard!$AL$2),Dashboard!$AU$4,INDIRECT("'"&amp;F988&amp;"'!$C$5")),""),"")</f>
        <v/>
      </c>
      <c r="G988" s="38" t="str" cm="1">
        <f t="array" aca="1" ref="G988" ca="1">IF(F988="",
    "",
    IFERROR(
        IF(INDIRECT("'"&amp;F988&amp;"'!$B$2")="Credit Limit",
            "Credit Accounts",
            IF(INDIRECT("'"&amp;F988&amp;"'!$E$2")="Location",
                "Cash Accounts",
                IF(INDIRECT("'"&amp;F988&amp;"'!$B$2")="Amount",
                    "Investments",
                    "Bill Accounts"
                )
            )
        ),
    "")
)</f>
        <v/>
      </c>
      <c r="I988" s="46" t="str" cm="1">
        <f t="array" aca="1" ref="I988" ca="1">IF(F988&lt;&gt;"",IF(OR(G988="Bill Accounts",G988="Investments", G988="Cash Accounts"),INDIRECT("'"&amp;F988&amp;"'!$C$10"),INDIRECT("'"&amp;F988&amp;"'!$C$8")),"")</f>
        <v/>
      </c>
      <c r="K988" s="48">
        <f t="shared" si="48"/>
        <v>994</v>
      </c>
      <c r="L988" s="114" t="str" cm="1">
        <f t="array" aca="1" ref="L988" ca="1">IF(F988&lt;&gt;"",INDIRECT("'"&amp;F988&amp;"'!$F$17"),"")</f>
        <v/>
      </c>
      <c r="M988" s="116" t="str">
        <f t="shared" ca="1" si="46"/>
        <v/>
      </c>
      <c r="O988" s="49" t="str">
        <f t="shared" ca="1" si="47"/>
        <v/>
      </c>
      <c r="P988" s="38" t="str">
        <f>IF(E988&lt;&gt;"",RANK(E988,$E$3:$E$2298)+COUNTIF($E$3:E988,E988)-1,"")</f>
        <v/>
      </c>
    </row>
    <row r="989" spans="4:16" x14ac:dyDescent="0.25">
      <c r="D989" s="36" t="str" cm="1">
        <f t="array" aca="1" ref="D989" ca="1">IFERROR(IF(INDIRECT("'"&amp;F989&amp;"'!$C$5")&gt;0,DATE(YEAR(Dashboard!$AL$2),Dashboard!$AU$4,INDIRECT("'"&amp;F989&amp;"'!$C$5")),""),"")</f>
        <v/>
      </c>
      <c r="G989" s="38" t="str" cm="1">
        <f t="array" aca="1" ref="G989" ca="1">IF(F989="",
    "",
    IFERROR(
        IF(INDIRECT("'"&amp;F989&amp;"'!$B$2")="Credit Limit",
            "Credit Accounts",
            IF(INDIRECT("'"&amp;F989&amp;"'!$E$2")="Location",
                "Cash Accounts",
                IF(INDIRECT("'"&amp;F989&amp;"'!$B$2")="Amount",
                    "Investments",
                    "Bill Accounts"
                )
            )
        ),
    "")
)</f>
        <v/>
      </c>
      <c r="I989" s="46" t="str" cm="1">
        <f t="array" aca="1" ref="I989" ca="1">IF(F989&lt;&gt;"",IF(OR(G989="Bill Accounts",G989="Investments", G989="Cash Accounts"),INDIRECT("'"&amp;F989&amp;"'!$C$10"),INDIRECT("'"&amp;F989&amp;"'!$C$8")),"")</f>
        <v/>
      </c>
      <c r="K989" s="48">
        <f t="shared" si="48"/>
        <v>995</v>
      </c>
      <c r="L989" s="114" t="str" cm="1">
        <f t="array" aca="1" ref="L989" ca="1">IF(F989&lt;&gt;"",INDIRECT("'"&amp;F989&amp;"'!$F$17"),"")</f>
        <v/>
      </c>
      <c r="M989" s="116" t="str">
        <f t="shared" ca="1" si="46"/>
        <v/>
      </c>
      <c r="O989" s="49" t="str">
        <f t="shared" ca="1" si="47"/>
        <v/>
      </c>
      <c r="P989" s="38" t="str">
        <f>IF(E989&lt;&gt;"",RANK(E989,$E$3:$E$2298)+COUNTIF($E$3:E989,E989)-1,"")</f>
        <v/>
      </c>
    </row>
    <row r="990" spans="4:16" x14ac:dyDescent="0.25">
      <c r="D990" s="36" t="str" cm="1">
        <f t="array" aca="1" ref="D990" ca="1">IFERROR(IF(INDIRECT("'"&amp;F990&amp;"'!$C$5")&gt;0,DATE(YEAR(Dashboard!$AL$2),Dashboard!$AU$4,INDIRECT("'"&amp;F990&amp;"'!$C$5")),""),"")</f>
        <v/>
      </c>
      <c r="G990" s="38" t="str" cm="1">
        <f t="array" aca="1" ref="G990" ca="1">IF(F990="",
    "",
    IFERROR(
        IF(INDIRECT("'"&amp;F990&amp;"'!$B$2")="Credit Limit",
            "Credit Accounts",
            IF(INDIRECT("'"&amp;F990&amp;"'!$E$2")="Location",
                "Cash Accounts",
                IF(INDIRECT("'"&amp;F990&amp;"'!$B$2")="Amount",
                    "Investments",
                    "Bill Accounts"
                )
            )
        ),
    "")
)</f>
        <v/>
      </c>
      <c r="I990" s="46" t="str" cm="1">
        <f t="array" aca="1" ref="I990" ca="1">IF(F990&lt;&gt;"",IF(OR(G990="Bill Accounts",G990="Investments", G990="Cash Accounts"),INDIRECT("'"&amp;F990&amp;"'!$C$10"),INDIRECT("'"&amp;F990&amp;"'!$C$8")),"")</f>
        <v/>
      </c>
      <c r="K990" s="48">
        <f t="shared" si="48"/>
        <v>996</v>
      </c>
      <c r="L990" s="114" t="str" cm="1">
        <f t="array" aca="1" ref="L990" ca="1">IF(F990&lt;&gt;"",INDIRECT("'"&amp;F990&amp;"'!$F$17"),"")</f>
        <v/>
      </c>
      <c r="M990" s="116" t="str">
        <f t="shared" ca="1" si="46"/>
        <v/>
      </c>
      <c r="O990" s="49" t="str">
        <f t="shared" ca="1" si="47"/>
        <v/>
      </c>
      <c r="P990" s="38" t="str">
        <f>IF(E990&lt;&gt;"",RANK(E990,$E$3:$E$2298)+COUNTIF($E$3:E990,E990)-1,"")</f>
        <v/>
      </c>
    </row>
    <row r="991" spans="4:16" x14ac:dyDescent="0.25">
      <c r="D991" s="36" t="str" cm="1">
        <f t="array" aca="1" ref="D991" ca="1">IFERROR(IF(INDIRECT("'"&amp;F991&amp;"'!$C$5")&gt;0,DATE(YEAR(Dashboard!$AL$2),Dashboard!$AU$4,INDIRECT("'"&amp;F991&amp;"'!$C$5")),""),"")</f>
        <v/>
      </c>
      <c r="G991" s="38" t="str" cm="1">
        <f t="array" aca="1" ref="G991" ca="1">IF(F991="",
    "",
    IFERROR(
        IF(INDIRECT("'"&amp;F991&amp;"'!$B$2")="Credit Limit",
            "Credit Accounts",
            IF(INDIRECT("'"&amp;F991&amp;"'!$E$2")="Location",
                "Cash Accounts",
                IF(INDIRECT("'"&amp;F991&amp;"'!$B$2")="Amount",
                    "Investments",
                    "Bill Accounts"
                )
            )
        ),
    "")
)</f>
        <v/>
      </c>
      <c r="I991" s="46" t="str" cm="1">
        <f t="array" aca="1" ref="I991" ca="1">IF(F991&lt;&gt;"",IF(OR(G991="Bill Accounts",G991="Investments", G991="Cash Accounts"),INDIRECT("'"&amp;F991&amp;"'!$C$10"),INDIRECT("'"&amp;F991&amp;"'!$C$8")),"")</f>
        <v/>
      </c>
      <c r="K991" s="48">
        <f t="shared" si="48"/>
        <v>997</v>
      </c>
      <c r="L991" s="114" t="str" cm="1">
        <f t="array" aca="1" ref="L991" ca="1">IF(F991&lt;&gt;"",INDIRECT("'"&amp;F991&amp;"'!$F$17"),"")</f>
        <v/>
      </c>
      <c r="M991" s="116" t="str">
        <f t="shared" ca="1" si="46"/>
        <v/>
      </c>
      <c r="O991" s="49" t="str">
        <f t="shared" ca="1" si="47"/>
        <v/>
      </c>
      <c r="P991" s="38" t="str">
        <f>IF(E991&lt;&gt;"",RANK(E991,$E$3:$E$2298)+COUNTIF($E$3:E991,E991)-1,"")</f>
        <v/>
      </c>
    </row>
    <row r="992" spans="4:16" x14ac:dyDescent="0.25">
      <c r="D992" s="36" t="str" cm="1">
        <f t="array" aca="1" ref="D992" ca="1">IFERROR(IF(INDIRECT("'"&amp;F992&amp;"'!$C$5")&gt;0,DATE(YEAR(Dashboard!$AL$2),Dashboard!$AU$4,INDIRECT("'"&amp;F992&amp;"'!$C$5")),""),"")</f>
        <v/>
      </c>
      <c r="G992" s="38" t="str" cm="1">
        <f t="array" aca="1" ref="G992" ca="1">IF(F992="",
    "",
    IFERROR(
        IF(INDIRECT("'"&amp;F992&amp;"'!$B$2")="Credit Limit",
            "Credit Accounts",
            IF(INDIRECT("'"&amp;F992&amp;"'!$E$2")="Location",
                "Cash Accounts",
                IF(INDIRECT("'"&amp;F992&amp;"'!$B$2")="Amount",
                    "Investments",
                    "Bill Accounts"
                )
            )
        ),
    "")
)</f>
        <v/>
      </c>
      <c r="I992" s="46" t="str" cm="1">
        <f t="array" aca="1" ref="I992" ca="1">IF(F992&lt;&gt;"",IF(OR(G992="Bill Accounts",G992="Investments", G992="Cash Accounts"),INDIRECT("'"&amp;F992&amp;"'!$C$10"),INDIRECT("'"&amp;F992&amp;"'!$C$8")),"")</f>
        <v/>
      </c>
      <c r="K992" s="48">
        <f t="shared" si="48"/>
        <v>998</v>
      </c>
      <c r="L992" s="114" t="str" cm="1">
        <f t="array" aca="1" ref="L992" ca="1">IF(F992&lt;&gt;"",INDIRECT("'"&amp;F992&amp;"'!$F$17"),"")</f>
        <v/>
      </c>
      <c r="M992" s="116" t="str">
        <f t="shared" ca="1" si="46"/>
        <v/>
      </c>
      <c r="O992" s="49" t="str">
        <f t="shared" ca="1" si="47"/>
        <v/>
      </c>
      <c r="P992" s="38" t="str">
        <f>IF(E992&lt;&gt;"",RANK(E992,$E$3:$E$2298)+COUNTIF($E$3:E992,E992)-1,"")</f>
        <v/>
      </c>
    </row>
    <row r="993" spans="4:16" x14ac:dyDescent="0.25">
      <c r="D993" s="36" t="str" cm="1">
        <f t="array" aca="1" ref="D993" ca="1">IFERROR(IF(INDIRECT("'"&amp;F993&amp;"'!$C$5")&gt;0,DATE(YEAR(Dashboard!$AL$2),Dashboard!$AU$4,INDIRECT("'"&amp;F993&amp;"'!$C$5")),""),"")</f>
        <v/>
      </c>
      <c r="G993" s="38" t="str" cm="1">
        <f t="array" aca="1" ref="G993" ca="1">IF(F993="",
    "",
    IFERROR(
        IF(INDIRECT("'"&amp;F993&amp;"'!$B$2")="Credit Limit",
            "Credit Accounts",
            IF(INDIRECT("'"&amp;F993&amp;"'!$E$2")="Location",
                "Cash Accounts",
                IF(INDIRECT("'"&amp;F993&amp;"'!$B$2")="Amount",
                    "Investments",
                    "Bill Accounts"
                )
            )
        ),
    "")
)</f>
        <v/>
      </c>
      <c r="I993" s="46" t="str" cm="1">
        <f t="array" aca="1" ref="I993" ca="1">IF(F993&lt;&gt;"",IF(OR(G993="Bill Accounts",G993="Investments", G993="Cash Accounts"),INDIRECT("'"&amp;F993&amp;"'!$C$10"),INDIRECT("'"&amp;F993&amp;"'!$C$8")),"")</f>
        <v/>
      </c>
      <c r="K993" s="48">
        <f t="shared" si="48"/>
        <v>999</v>
      </c>
      <c r="L993" s="114" t="str" cm="1">
        <f t="array" aca="1" ref="L993" ca="1">IF(F993&lt;&gt;"",INDIRECT("'"&amp;F993&amp;"'!$F$17"),"")</f>
        <v/>
      </c>
      <c r="M993" s="116" t="str">
        <f t="shared" ca="1" si="46"/>
        <v/>
      </c>
      <c r="O993" s="49" t="str">
        <f t="shared" ca="1" si="47"/>
        <v/>
      </c>
      <c r="P993" s="38" t="str">
        <f>IF(E993&lt;&gt;"",RANK(E993,$E$3:$E$2298)+COUNTIF($E$3:E993,E993)-1,"")</f>
        <v/>
      </c>
    </row>
    <row r="994" spans="4:16" x14ac:dyDescent="0.25">
      <c r="D994" s="36" t="str" cm="1">
        <f t="array" aca="1" ref="D994" ca="1">IFERROR(IF(INDIRECT("'"&amp;F994&amp;"'!$C$5")&gt;0,DATE(YEAR(Dashboard!$AL$2),Dashboard!$AU$4,INDIRECT("'"&amp;F994&amp;"'!$C$5")),""),"")</f>
        <v/>
      </c>
      <c r="G994" s="38" t="str" cm="1">
        <f t="array" aca="1" ref="G994" ca="1">IF(F994="",
    "",
    IFERROR(
        IF(INDIRECT("'"&amp;F994&amp;"'!$B$2")="Credit Limit",
            "Credit Accounts",
            IF(INDIRECT("'"&amp;F994&amp;"'!$E$2")="Location",
                "Cash Accounts",
                IF(INDIRECT("'"&amp;F994&amp;"'!$B$2")="Amount",
                    "Investments",
                    "Bill Accounts"
                )
            )
        ),
    "")
)</f>
        <v/>
      </c>
      <c r="I994" s="46" t="str" cm="1">
        <f t="array" aca="1" ref="I994" ca="1">IF(F994&lt;&gt;"",IF(OR(G994="Bill Accounts",G994="Investments", G994="Cash Accounts"),INDIRECT("'"&amp;F994&amp;"'!$C$10"),INDIRECT("'"&amp;F994&amp;"'!$C$8")),"")</f>
        <v/>
      </c>
      <c r="K994" s="48">
        <f t="shared" si="48"/>
        <v>1000</v>
      </c>
      <c r="L994" s="114" t="str" cm="1">
        <f t="array" aca="1" ref="L994" ca="1">IF(F994&lt;&gt;"",INDIRECT("'"&amp;F994&amp;"'!$F$17"),"")</f>
        <v/>
      </c>
      <c r="M994" s="116" t="str">
        <f t="shared" ca="1" si="46"/>
        <v/>
      </c>
      <c r="O994" s="49" t="str">
        <f t="shared" ca="1" si="47"/>
        <v/>
      </c>
      <c r="P994" s="38" t="str">
        <f>IF(E994&lt;&gt;"",RANK(E994,$E$3:$E$2298)+COUNTIF($E$3:E994,E994)-1,"")</f>
        <v/>
      </c>
    </row>
    <row r="995" spans="4:16" x14ac:dyDescent="0.25">
      <c r="D995" s="36" t="str" cm="1">
        <f t="array" aca="1" ref="D995" ca="1">IFERROR(IF(INDIRECT("'"&amp;F995&amp;"'!$C$5")&gt;0,DATE(YEAR(Dashboard!$AL$2),Dashboard!$AU$4,INDIRECT("'"&amp;F995&amp;"'!$C$5")),""),"")</f>
        <v/>
      </c>
      <c r="G995" s="38" t="str" cm="1">
        <f t="array" aca="1" ref="G995" ca="1">IF(F995="",
    "",
    IFERROR(
        IF(INDIRECT("'"&amp;F995&amp;"'!$B$2")="Credit Limit",
            "Credit Accounts",
            IF(INDIRECT("'"&amp;F995&amp;"'!$E$2")="Location",
                "Cash Accounts",
                IF(INDIRECT("'"&amp;F995&amp;"'!$B$2")="Amount",
                    "Investments",
                    "Bill Accounts"
                )
            )
        ),
    "")
)</f>
        <v/>
      </c>
      <c r="I995" s="46" t="str" cm="1">
        <f t="array" aca="1" ref="I995" ca="1">IF(F995&lt;&gt;"",IF(OR(G995="Bill Accounts",G995="Investments", G995="Cash Accounts"),INDIRECT("'"&amp;F995&amp;"'!$C$10"),INDIRECT("'"&amp;F995&amp;"'!$C$8")),"")</f>
        <v/>
      </c>
      <c r="K995" s="48">
        <f t="shared" si="48"/>
        <v>1001</v>
      </c>
      <c r="L995" s="114" t="str" cm="1">
        <f t="array" aca="1" ref="L995" ca="1">IF(F995&lt;&gt;"",INDIRECT("'"&amp;F995&amp;"'!$F$17"),"")</f>
        <v/>
      </c>
      <c r="M995" s="116" t="str">
        <f t="shared" ca="1" si="46"/>
        <v/>
      </c>
      <c r="O995" s="49" t="str">
        <f t="shared" ca="1" si="47"/>
        <v/>
      </c>
      <c r="P995" s="38" t="str">
        <f>IF(E995&lt;&gt;"",RANK(E995,$E$3:$E$2298)+COUNTIF($E$3:E995,E995)-1,"")</f>
        <v/>
      </c>
    </row>
    <row r="996" spans="4:16" x14ac:dyDescent="0.25">
      <c r="D996" s="36" t="str" cm="1">
        <f t="array" aca="1" ref="D996" ca="1">IFERROR(IF(INDIRECT("'"&amp;F996&amp;"'!$C$5")&gt;0,DATE(YEAR(Dashboard!$AL$2),Dashboard!$AU$4,INDIRECT("'"&amp;F996&amp;"'!$C$5")),""),"")</f>
        <v/>
      </c>
      <c r="G996" s="38" t="str" cm="1">
        <f t="array" aca="1" ref="G996" ca="1">IF(F996="",
    "",
    IFERROR(
        IF(INDIRECT("'"&amp;F996&amp;"'!$B$2")="Credit Limit",
            "Credit Accounts",
            IF(INDIRECT("'"&amp;F996&amp;"'!$E$2")="Location",
                "Cash Accounts",
                IF(INDIRECT("'"&amp;F996&amp;"'!$B$2")="Amount",
                    "Investments",
                    "Bill Accounts"
                )
            )
        ),
    "")
)</f>
        <v/>
      </c>
      <c r="I996" s="46" t="str" cm="1">
        <f t="array" aca="1" ref="I996" ca="1">IF(F996&lt;&gt;"",IF(OR(G996="Bill Accounts",G996="Investments", G996="Cash Accounts"),INDIRECT("'"&amp;F996&amp;"'!$C$10"),INDIRECT("'"&amp;F996&amp;"'!$C$8")),"")</f>
        <v/>
      </c>
      <c r="K996" s="48">
        <f t="shared" si="48"/>
        <v>1002</v>
      </c>
      <c r="L996" s="114" t="str" cm="1">
        <f t="array" aca="1" ref="L996" ca="1">IF(F996&lt;&gt;"",INDIRECT("'"&amp;F996&amp;"'!$F$17"),"")</f>
        <v/>
      </c>
      <c r="M996" s="116" t="str">
        <f t="shared" ca="1" si="46"/>
        <v/>
      </c>
      <c r="O996" s="49" t="str">
        <f t="shared" ca="1" si="47"/>
        <v/>
      </c>
      <c r="P996" s="38" t="str">
        <f>IF(E996&lt;&gt;"",RANK(E996,$E$3:$E$2298)+COUNTIF($E$3:E996,E996)-1,"")</f>
        <v/>
      </c>
    </row>
    <row r="997" spans="4:16" x14ac:dyDescent="0.25">
      <c r="D997" s="36" t="str" cm="1">
        <f t="array" aca="1" ref="D997" ca="1">IFERROR(IF(INDIRECT("'"&amp;F997&amp;"'!$C$5")&gt;0,DATE(YEAR(Dashboard!$AL$2),Dashboard!$AU$4,INDIRECT("'"&amp;F997&amp;"'!$C$5")),""),"")</f>
        <v/>
      </c>
      <c r="G997" s="38" t="str" cm="1">
        <f t="array" aca="1" ref="G997" ca="1">IF(F997="",
    "",
    IFERROR(
        IF(INDIRECT("'"&amp;F997&amp;"'!$B$2")="Credit Limit",
            "Credit Accounts",
            IF(INDIRECT("'"&amp;F997&amp;"'!$E$2")="Location",
                "Cash Accounts",
                IF(INDIRECT("'"&amp;F997&amp;"'!$B$2")="Amount",
                    "Investments",
                    "Bill Accounts"
                )
            )
        ),
    "")
)</f>
        <v/>
      </c>
      <c r="I997" s="46" t="str" cm="1">
        <f t="array" aca="1" ref="I997" ca="1">IF(F997&lt;&gt;"",IF(OR(G997="Bill Accounts",G997="Investments", G997="Cash Accounts"),INDIRECT("'"&amp;F997&amp;"'!$C$10"),INDIRECT("'"&amp;F997&amp;"'!$C$8")),"")</f>
        <v/>
      </c>
      <c r="K997" s="48">
        <f t="shared" si="48"/>
        <v>1003</v>
      </c>
      <c r="L997" s="114" t="str" cm="1">
        <f t="array" aca="1" ref="L997" ca="1">IF(F997&lt;&gt;"",INDIRECT("'"&amp;F997&amp;"'!$F$17"),"")</f>
        <v/>
      </c>
      <c r="M997" s="116" t="str">
        <f t="shared" ca="1" si="46"/>
        <v/>
      </c>
      <c r="O997" s="49" t="str">
        <f t="shared" ca="1" si="47"/>
        <v/>
      </c>
      <c r="P997" s="38" t="str">
        <f>IF(E997&lt;&gt;"",RANK(E997,$E$3:$E$2298)+COUNTIF($E$3:E997,E997)-1,"")</f>
        <v/>
      </c>
    </row>
    <row r="998" spans="4:16" x14ac:dyDescent="0.25">
      <c r="D998" s="36" t="str" cm="1">
        <f t="array" aca="1" ref="D998" ca="1">IFERROR(IF(INDIRECT("'"&amp;F998&amp;"'!$C$5")&gt;0,DATE(YEAR(Dashboard!$AL$2),Dashboard!$AU$4,INDIRECT("'"&amp;F998&amp;"'!$C$5")),""),"")</f>
        <v/>
      </c>
      <c r="G998" s="38" t="str" cm="1">
        <f t="array" aca="1" ref="G998" ca="1">IF(F998="",
    "",
    IFERROR(
        IF(INDIRECT("'"&amp;F998&amp;"'!$B$2")="Credit Limit",
            "Credit Accounts",
            IF(INDIRECT("'"&amp;F998&amp;"'!$E$2")="Location",
                "Cash Accounts",
                IF(INDIRECT("'"&amp;F998&amp;"'!$B$2")="Amount",
                    "Investments",
                    "Bill Accounts"
                )
            )
        ),
    "")
)</f>
        <v/>
      </c>
      <c r="I998" s="46" t="str" cm="1">
        <f t="array" aca="1" ref="I998" ca="1">IF(F998&lt;&gt;"",IF(OR(G998="Bill Accounts",G998="Investments", G998="Cash Accounts"),INDIRECT("'"&amp;F998&amp;"'!$C$10"),INDIRECT("'"&amp;F998&amp;"'!$C$8")),"")</f>
        <v/>
      </c>
      <c r="K998" s="48">
        <f t="shared" si="48"/>
        <v>1004</v>
      </c>
      <c r="L998" s="114" t="str" cm="1">
        <f t="array" aca="1" ref="L998" ca="1">IF(F998&lt;&gt;"",INDIRECT("'"&amp;F998&amp;"'!$F$17"),"")</f>
        <v/>
      </c>
      <c r="M998" s="116" t="str">
        <f t="shared" ca="1" si="46"/>
        <v/>
      </c>
      <c r="O998" s="49" t="str">
        <f t="shared" ca="1" si="47"/>
        <v/>
      </c>
      <c r="P998" s="38" t="str">
        <f>IF(E998&lt;&gt;"",RANK(E998,$E$3:$E$2298)+COUNTIF($E$3:E998,E998)-1,"")</f>
        <v/>
      </c>
    </row>
    <row r="999" spans="4:16" x14ac:dyDescent="0.25">
      <c r="D999" s="36" t="str" cm="1">
        <f t="array" aca="1" ref="D999" ca="1">IFERROR(IF(INDIRECT("'"&amp;F999&amp;"'!$C$5")&gt;0,DATE(YEAR(Dashboard!$AL$2),Dashboard!$AU$4,INDIRECT("'"&amp;F999&amp;"'!$C$5")),""),"")</f>
        <v/>
      </c>
      <c r="G999" s="38" t="str" cm="1">
        <f t="array" aca="1" ref="G999" ca="1">IF(F999="",
    "",
    IFERROR(
        IF(INDIRECT("'"&amp;F999&amp;"'!$B$2")="Credit Limit",
            "Credit Accounts",
            IF(INDIRECT("'"&amp;F999&amp;"'!$E$2")="Location",
                "Cash Accounts",
                IF(INDIRECT("'"&amp;F999&amp;"'!$B$2")="Amount",
                    "Investments",
                    "Bill Accounts"
                )
            )
        ),
    "")
)</f>
        <v/>
      </c>
      <c r="I999" s="46" t="str" cm="1">
        <f t="array" aca="1" ref="I999" ca="1">IF(F999&lt;&gt;"",IF(OR(G999="Bill Accounts",G999="Investments", G999="Cash Accounts"),INDIRECT("'"&amp;F999&amp;"'!$C$10"),INDIRECT("'"&amp;F999&amp;"'!$C$8")),"")</f>
        <v/>
      </c>
      <c r="K999" s="48">
        <f t="shared" si="48"/>
        <v>1005</v>
      </c>
      <c r="L999" s="114" t="str" cm="1">
        <f t="array" aca="1" ref="L999" ca="1">IF(F999&lt;&gt;"",INDIRECT("'"&amp;F999&amp;"'!$F$17"),"")</f>
        <v/>
      </c>
      <c r="M999" s="116" t="str">
        <f t="shared" ca="1" si="46"/>
        <v/>
      </c>
      <c r="O999" s="49" t="str">
        <f t="shared" ca="1" si="47"/>
        <v/>
      </c>
      <c r="P999" s="38" t="str">
        <f>IF(E999&lt;&gt;"",RANK(E999,$E$3:$E$2298)+COUNTIF($E$3:E999,E999)-1,"")</f>
        <v/>
      </c>
    </row>
    <row r="1000" spans="4:16" x14ac:dyDescent="0.25">
      <c r="D1000" s="36" t="str" cm="1">
        <f t="array" aca="1" ref="D1000" ca="1">IFERROR(IF(INDIRECT("'"&amp;F1000&amp;"'!$C$5")&gt;0,DATE(YEAR(Dashboard!$AL$2),Dashboard!$AU$4,INDIRECT("'"&amp;F1000&amp;"'!$C$5")),""),"")</f>
        <v/>
      </c>
      <c r="G1000" s="38" t="str" cm="1">
        <f t="array" aca="1" ref="G1000" ca="1">IF(F1000="",
    "",
    IFERROR(
        IF(INDIRECT("'"&amp;F1000&amp;"'!$B$2")="Credit Limit",
            "Credit Accounts",
            IF(INDIRECT("'"&amp;F1000&amp;"'!$E$2")="Location",
                "Cash Accounts",
                IF(INDIRECT("'"&amp;F1000&amp;"'!$B$2")="Amount",
                    "Investments",
                    "Bill Accounts"
                )
            )
        ),
    "")
)</f>
        <v/>
      </c>
      <c r="I1000" s="46" t="str" cm="1">
        <f t="array" aca="1" ref="I1000" ca="1">IF(F1000&lt;&gt;"",IF(OR(G1000="Bill Accounts",G1000="Investments", G1000="Cash Accounts"),INDIRECT("'"&amp;F1000&amp;"'!$C$10"),INDIRECT("'"&amp;F1000&amp;"'!$C$8")),"")</f>
        <v/>
      </c>
      <c r="K1000" s="48">
        <f t="shared" si="48"/>
        <v>1006</v>
      </c>
      <c r="L1000" s="114" t="str" cm="1">
        <f t="array" aca="1" ref="L1000" ca="1">IF(F1000&lt;&gt;"",INDIRECT("'"&amp;F1000&amp;"'!$F$17"),"")</f>
        <v/>
      </c>
      <c r="M1000" s="116" t="str">
        <f t="shared" ca="1" si="46"/>
        <v/>
      </c>
      <c r="O1000" s="49" t="str">
        <f t="shared" ca="1" si="47"/>
        <v/>
      </c>
      <c r="P1000" s="38" t="str">
        <f>IF(E1000&lt;&gt;"",RANK(E1000,$E$3:$E$2298)+COUNTIF($E$3:E1000,E1000)-1,"")</f>
        <v/>
      </c>
    </row>
    <row r="1001" spans="4:16" x14ac:dyDescent="0.25">
      <c r="D1001" s="36" t="str" cm="1">
        <f t="array" aca="1" ref="D1001" ca="1">IFERROR(IF(INDIRECT("'"&amp;F1001&amp;"'!$C$5")&gt;0,DATE(YEAR(Dashboard!$AL$2),Dashboard!$AU$4,INDIRECT("'"&amp;F1001&amp;"'!$C$5")),""),"")</f>
        <v/>
      </c>
      <c r="G1001" s="38" t="str" cm="1">
        <f t="array" aca="1" ref="G1001" ca="1">IF(F1001="",
    "",
    IFERROR(
        IF(INDIRECT("'"&amp;F1001&amp;"'!$B$2")="Credit Limit",
            "Credit Accounts",
            IF(INDIRECT("'"&amp;F1001&amp;"'!$E$2")="Location",
                "Cash Accounts",
                IF(INDIRECT("'"&amp;F1001&amp;"'!$B$2")="Amount",
                    "Investments",
                    "Bill Accounts"
                )
            )
        ),
    "")
)</f>
        <v/>
      </c>
      <c r="I1001" s="46" t="str" cm="1">
        <f t="array" aca="1" ref="I1001" ca="1">IF(F1001&lt;&gt;"",IF(OR(G1001="Bill Accounts",G1001="Investments", G1001="Cash Accounts"),INDIRECT("'"&amp;F1001&amp;"'!$C$10"),INDIRECT("'"&amp;F1001&amp;"'!$C$8")),"")</f>
        <v/>
      </c>
      <c r="K1001" s="48">
        <f t="shared" si="48"/>
        <v>1007</v>
      </c>
      <c r="L1001" s="114" t="str" cm="1">
        <f t="array" aca="1" ref="L1001" ca="1">IF(F1001&lt;&gt;"",INDIRECT("'"&amp;F1001&amp;"'!$F$17"),"")</f>
        <v/>
      </c>
      <c r="M1001" s="116" t="str">
        <f t="shared" ca="1" si="46"/>
        <v/>
      </c>
      <c r="O1001" s="49" t="str">
        <f t="shared" ca="1" si="47"/>
        <v/>
      </c>
      <c r="P1001" s="38" t="str">
        <f>IF(E1001&lt;&gt;"",RANK(E1001,$E$3:$E$2298)+COUNTIF($E$3:E1001,E1001)-1,"")</f>
        <v/>
      </c>
    </row>
    <row r="1002" spans="4:16" x14ac:dyDescent="0.25">
      <c r="D1002" s="36" t="str" cm="1">
        <f t="array" aca="1" ref="D1002" ca="1">IFERROR(IF(INDIRECT("'"&amp;F1002&amp;"'!$C$5")&gt;0,DATE(YEAR(Dashboard!$AL$2),Dashboard!$AU$4,INDIRECT("'"&amp;F1002&amp;"'!$C$5")),""),"")</f>
        <v/>
      </c>
      <c r="G1002" s="38" t="str" cm="1">
        <f t="array" aca="1" ref="G1002" ca="1">IF(F1002="",
    "",
    IFERROR(
        IF(INDIRECT("'"&amp;F1002&amp;"'!$B$2")="Credit Limit",
            "Credit Accounts",
            IF(INDIRECT("'"&amp;F1002&amp;"'!$E$2")="Location",
                "Cash Accounts",
                IF(INDIRECT("'"&amp;F1002&amp;"'!$B$2")="Amount",
                    "Investments",
                    "Bill Accounts"
                )
            )
        ),
    "")
)</f>
        <v/>
      </c>
      <c r="I1002" s="46" t="str" cm="1">
        <f t="array" aca="1" ref="I1002" ca="1">IF(F1002&lt;&gt;"",IF(OR(G1002="Bill Accounts",G1002="Investments", G1002="Cash Accounts"),INDIRECT("'"&amp;F1002&amp;"'!$C$10"),INDIRECT("'"&amp;F1002&amp;"'!$C$8")),"")</f>
        <v/>
      </c>
      <c r="K1002" s="48">
        <f t="shared" si="48"/>
        <v>1008</v>
      </c>
      <c r="L1002" s="114" t="str" cm="1">
        <f t="array" aca="1" ref="L1002" ca="1">IF(F1002&lt;&gt;"",INDIRECT("'"&amp;F1002&amp;"'!$F$17"),"")</f>
        <v/>
      </c>
      <c r="M1002" s="116" t="str">
        <f t="shared" ca="1" si="46"/>
        <v/>
      </c>
      <c r="O1002" s="49" t="str">
        <f t="shared" ca="1" si="47"/>
        <v/>
      </c>
      <c r="P1002" s="38" t="str">
        <f>IF(E1002&lt;&gt;"",RANK(E1002,$E$3:$E$2298)+COUNTIF($E$3:E1002,E1002)-1,"")</f>
        <v/>
      </c>
    </row>
    <row r="1003" spans="4:16" x14ac:dyDescent="0.25">
      <c r="D1003" s="36" t="str" cm="1">
        <f t="array" aca="1" ref="D1003" ca="1">IFERROR(IF(INDIRECT("'"&amp;F1003&amp;"'!$C$5")&gt;0,DATE(YEAR(Dashboard!$AL$2),Dashboard!$AU$4,INDIRECT("'"&amp;F1003&amp;"'!$C$5")),""),"")</f>
        <v/>
      </c>
      <c r="G1003" s="38" t="str" cm="1">
        <f t="array" aca="1" ref="G1003" ca="1">IF(F1003="",
    "",
    IFERROR(
        IF(INDIRECT("'"&amp;F1003&amp;"'!$B$2")="Credit Limit",
            "Credit Accounts",
            IF(INDIRECT("'"&amp;F1003&amp;"'!$E$2")="Location",
                "Cash Accounts",
                IF(INDIRECT("'"&amp;F1003&amp;"'!$B$2")="Amount",
                    "Investments",
                    "Bill Accounts"
                )
            )
        ),
    "")
)</f>
        <v/>
      </c>
      <c r="I1003" s="46" t="str" cm="1">
        <f t="array" aca="1" ref="I1003" ca="1">IF(F1003&lt;&gt;"",IF(OR(G1003="Bill Accounts",G1003="Investments", G1003="Cash Accounts"),INDIRECT("'"&amp;F1003&amp;"'!$C$10"),INDIRECT("'"&amp;F1003&amp;"'!$C$8")),"")</f>
        <v/>
      </c>
      <c r="K1003" s="48">
        <f t="shared" si="48"/>
        <v>1009</v>
      </c>
      <c r="L1003" s="114" t="str" cm="1">
        <f t="array" aca="1" ref="L1003" ca="1">IF(F1003&lt;&gt;"",INDIRECT("'"&amp;F1003&amp;"'!$F$17"),"")</f>
        <v/>
      </c>
      <c r="M1003" s="116" t="str">
        <f t="shared" ca="1" si="46"/>
        <v/>
      </c>
      <c r="O1003" s="49" t="str">
        <f t="shared" ca="1" si="47"/>
        <v/>
      </c>
      <c r="P1003" s="38" t="str">
        <f>IF(E1003&lt;&gt;"",RANK(E1003,$E$3:$E$2298)+COUNTIF($E$3:E1003,E1003)-1,"")</f>
        <v/>
      </c>
    </row>
    <row r="1004" spans="4:16" x14ac:dyDescent="0.25">
      <c r="D1004" s="36" t="str" cm="1">
        <f t="array" aca="1" ref="D1004" ca="1">IFERROR(IF(INDIRECT("'"&amp;F1004&amp;"'!$C$5")&gt;0,DATE(YEAR(Dashboard!$AL$2),Dashboard!$AU$4,INDIRECT("'"&amp;F1004&amp;"'!$C$5")),""),"")</f>
        <v/>
      </c>
      <c r="G1004" s="38" t="str" cm="1">
        <f t="array" aca="1" ref="G1004" ca="1">IF(F1004="",
    "",
    IFERROR(
        IF(INDIRECT("'"&amp;F1004&amp;"'!$B$2")="Credit Limit",
            "Credit Accounts",
            IF(INDIRECT("'"&amp;F1004&amp;"'!$E$2")="Location",
                "Cash Accounts",
                IF(INDIRECT("'"&amp;F1004&amp;"'!$B$2")="Amount",
                    "Investments",
                    "Bill Accounts"
                )
            )
        ),
    "")
)</f>
        <v/>
      </c>
      <c r="I1004" s="46" t="str" cm="1">
        <f t="array" aca="1" ref="I1004" ca="1">IF(F1004&lt;&gt;"",IF(OR(G1004="Bill Accounts",G1004="Investments", G1004="Cash Accounts"),INDIRECT("'"&amp;F1004&amp;"'!$C$10"),INDIRECT("'"&amp;F1004&amp;"'!$C$8")),"")</f>
        <v/>
      </c>
      <c r="K1004" s="48">
        <f t="shared" si="48"/>
        <v>1010</v>
      </c>
      <c r="L1004" s="114" t="str" cm="1">
        <f t="array" aca="1" ref="L1004" ca="1">IF(F1004&lt;&gt;"",INDIRECT("'"&amp;F1004&amp;"'!$F$17"),"")</f>
        <v/>
      </c>
      <c r="M1004" s="116" t="str">
        <f t="shared" ca="1" si="46"/>
        <v/>
      </c>
      <c r="O1004" s="49" t="str">
        <f t="shared" ca="1" si="47"/>
        <v/>
      </c>
      <c r="P1004" s="38" t="str">
        <f>IF(E1004&lt;&gt;"",RANK(E1004,$E$3:$E$2298)+COUNTIF($E$3:E1004,E1004)-1,"")</f>
        <v/>
      </c>
    </row>
    <row r="1005" spans="4:16" x14ac:dyDescent="0.25">
      <c r="D1005" s="36" t="str" cm="1">
        <f t="array" aca="1" ref="D1005" ca="1">IFERROR(IF(INDIRECT("'"&amp;F1005&amp;"'!$C$5")&gt;0,DATE(YEAR(Dashboard!$AL$2),Dashboard!$AU$4,INDIRECT("'"&amp;F1005&amp;"'!$C$5")),""),"")</f>
        <v/>
      </c>
      <c r="G1005" s="38" t="str" cm="1">
        <f t="array" aca="1" ref="G1005" ca="1">IF(F1005="",
    "",
    IFERROR(
        IF(INDIRECT("'"&amp;F1005&amp;"'!$B$2")="Credit Limit",
            "Credit Accounts",
            IF(INDIRECT("'"&amp;F1005&amp;"'!$E$2")="Location",
                "Cash Accounts",
                IF(INDIRECT("'"&amp;F1005&amp;"'!$B$2")="Amount",
                    "Investments",
                    "Bill Accounts"
                )
            )
        ),
    "")
)</f>
        <v/>
      </c>
      <c r="I1005" s="46" t="str" cm="1">
        <f t="array" aca="1" ref="I1005" ca="1">IF(F1005&lt;&gt;"",IF(OR(G1005="Bill Accounts",G1005="Investments", G1005="Cash Accounts"),INDIRECT("'"&amp;F1005&amp;"'!$C$10"),INDIRECT("'"&amp;F1005&amp;"'!$C$8")),"")</f>
        <v/>
      </c>
      <c r="K1005" s="48">
        <f t="shared" si="48"/>
        <v>1011</v>
      </c>
      <c r="L1005" s="114" t="str" cm="1">
        <f t="array" aca="1" ref="L1005" ca="1">IF(F1005&lt;&gt;"",INDIRECT("'"&amp;F1005&amp;"'!$F$17"),"")</f>
        <v/>
      </c>
      <c r="M1005" s="116" t="str">
        <f t="shared" ca="1" si="46"/>
        <v/>
      </c>
      <c r="O1005" s="49" t="str">
        <f t="shared" ca="1" si="47"/>
        <v/>
      </c>
      <c r="P1005" s="38" t="str">
        <f>IF(E1005&lt;&gt;"",RANK(E1005,$E$3:$E$2298)+COUNTIF($E$3:E1005,E1005)-1,"")</f>
        <v/>
      </c>
    </row>
    <row r="1006" spans="4:16" x14ac:dyDescent="0.25">
      <c r="D1006" s="36" t="str" cm="1">
        <f t="array" aca="1" ref="D1006" ca="1">IFERROR(IF(INDIRECT("'"&amp;F1006&amp;"'!$C$5")&gt;0,DATE(YEAR(Dashboard!$AL$2),Dashboard!$AU$4,INDIRECT("'"&amp;F1006&amp;"'!$C$5")),""),"")</f>
        <v/>
      </c>
      <c r="G1006" s="38" t="str" cm="1">
        <f t="array" aca="1" ref="G1006" ca="1">IF(F1006="",
    "",
    IFERROR(
        IF(INDIRECT("'"&amp;F1006&amp;"'!$B$2")="Credit Limit",
            "Credit Accounts",
            IF(INDIRECT("'"&amp;F1006&amp;"'!$E$2")="Location",
                "Cash Accounts",
                IF(INDIRECT("'"&amp;F1006&amp;"'!$B$2")="Amount",
                    "Investments",
                    "Bill Accounts"
                )
            )
        ),
    "")
)</f>
        <v/>
      </c>
      <c r="I1006" s="46" t="str" cm="1">
        <f t="array" aca="1" ref="I1006" ca="1">IF(F1006&lt;&gt;"",IF(OR(G1006="Bill Accounts",G1006="Investments", G1006="Cash Accounts"),INDIRECT("'"&amp;F1006&amp;"'!$C$10"),INDIRECT("'"&amp;F1006&amp;"'!$C$8")),"")</f>
        <v/>
      </c>
      <c r="K1006" s="48">
        <f t="shared" si="48"/>
        <v>1012</v>
      </c>
      <c r="L1006" s="114" t="str" cm="1">
        <f t="array" aca="1" ref="L1006" ca="1">IF(F1006&lt;&gt;"",INDIRECT("'"&amp;F1006&amp;"'!$F$17"),"")</f>
        <v/>
      </c>
      <c r="M1006" s="116" t="str">
        <f t="shared" ca="1" si="46"/>
        <v/>
      </c>
      <c r="O1006" s="49" t="str">
        <f t="shared" ca="1" si="47"/>
        <v/>
      </c>
      <c r="P1006" s="38" t="str">
        <f>IF(E1006&lt;&gt;"",RANK(E1006,$E$3:$E$2298)+COUNTIF($E$3:E1006,E1006)-1,"")</f>
        <v/>
      </c>
    </row>
    <row r="1007" spans="4:16" x14ac:dyDescent="0.25">
      <c r="D1007" s="36" t="str" cm="1">
        <f t="array" aca="1" ref="D1007" ca="1">IFERROR(IF(INDIRECT("'"&amp;F1007&amp;"'!$C$5")&gt;0,DATE(YEAR(Dashboard!$AL$2),Dashboard!$AU$4,INDIRECT("'"&amp;F1007&amp;"'!$C$5")),""),"")</f>
        <v/>
      </c>
      <c r="G1007" s="38" t="str" cm="1">
        <f t="array" aca="1" ref="G1007" ca="1">IF(F1007="",
    "",
    IFERROR(
        IF(INDIRECT("'"&amp;F1007&amp;"'!$B$2")="Credit Limit",
            "Credit Accounts",
            IF(INDIRECT("'"&amp;F1007&amp;"'!$E$2")="Location",
                "Cash Accounts",
                IF(INDIRECT("'"&amp;F1007&amp;"'!$B$2")="Amount",
                    "Investments",
                    "Bill Accounts"
                )
            )
        ),
    "")
)</f>
        <v/>
      </c>
      <c r="I1007" s="46" t="str" cm="1">
        <f t="array" aca="1" ref="I1007" ca="1">IF(F1007&lt;&gt;"",IF(OR(G1007="Bill Accounts",G1007="Investments", G1007="Cash Accounts"),INDIRECT("'"&amp;F1007&amp;"'!$C$10"),INDIRECT("'"&amp;F1007&amp;"'!$C$8")),"")</f>
        <v/>
      </c>
      <c r="K1007" s="48">
        <f t="shared" si="48"/>
        <v>1013</v>
      </c>
      <c r="L1007" s="114" t="str" cm="1">
        <f t="array" aca="1" ref="L1007" ca="1">IF(F1007&lt;&gt;"",INDIRECT("'"&amp;F1007&amp;"'!$F$17"),"")</f>
        <v/>
      </c>
      <c r="M1007" s="116" t="str">
        <f t="shared" ca="1" si="46"/>
        <v/>
      </c>
      <c r="O1007" s="49" t="str">
        <f t="shared" ca="1" si="47"/>
        <v/>
      </c>
      <c r="P1007" s="38" t="str">
        <f>IF(E1007&lt;&gt;"",RANK(E1007,$E$3:$E$2298)+COUNTIF($E$3:E1007,E1007)-1,"")</f>
        <v/>
      </c>
    </row>
    <row r="1008" spans="4:16" x14ac:dyDescent="0.25">
      <c r="D1008" s="36" t="str" cm="1">
        <f t="array" aca="1" ref="D1008" ca="1">IFERROR(IF(INDIRECT("'"&amp;F1008&amp;"'!$C$5")&gt;0,DATE(YEAR(Dashboard!$AL$2),Dashboard!$AU$4,INDIRECT("'"&amp;F1008&amp;"'!$C$5")),""),"")</f>
        <v/>
      </c>
      <c r="G1008" s="38" t="str" cm="1">
        <f t="array" aca="1" ref="G1008" ca="1">IF(F1008="",
    "",
    IFERROR(
        IF(INDIRECT("'"&amp;F1008&amp;"'!$B$2")="Credit Limit",
            "Credit Accounts",
            IF(INDIRECT("'"&amp;F1008&amp;"'!$E$2")="Location",
                "Cash Accounts",
                IF(INDIRECT("'"&amp;F1008&amp;"'!$B$2")="Amount",
                    "Investments",
                    "Bill Accounts"
                )
            )
        ),
    "")
)</f>
        <v/>
      </c>
      <c r="I1008" s="46" t="str" cm="1">
        <f t="array" aca="1" ref="I1008" ca="1">IF(F1008&lt;&gt;"",IF(OR(G1008="Bill Accounts",G1008="Investments", G1008="Cash Accounts"),INDIRECT("'"&amp;F1008&amp;"'!$C$10"),INDIRECT("'"&amp;F1008&amp;"'!$C$8")),"")</f>
        <v/>
      </c>
      <c r="K1008" s="48">
        <f t="shared" si="48"/>
        <v>1014</v>
      </c>
      <c r="L1008" s="114" t="str" cm="1">
        <f t="array" aca="1" ref="L1008" ca="1">IF(F1008&lt;&gt;"",INDIRECT("'"&amp;F1008&amp;"'!$F$17"),"")</f>
        <v/>
      </c>
      <c r="M1008" s="116" t="str">
        <f t="shared" ca="1" si="46"/>
        <v/>
      </c>
      <c r="O1008" s="49" t="str">
        <f t="shared" ca="1" si="47"/>
        <v/>
      </c>
      <c r="P1008" s="38" t="str">
        <f>IF(E1008&lt;&gt;"",RANK(E1008,$E$3:$E$2298)+COUNTIF($E$3:E1008,E1008)-1,"")</f>
        <v/>
      </c>
    </row>
    <row r="1009" spans="4:16" x14ac:dyDescent="0.25">
      <c r="D1009" s="36" t="str" cm="1">
        <f t="array" aca="1" ref="D1009" ca="1">IFERROR(IF(INDIRECT("'"&amp;F1009&amp;"'!$C$5")&gt;0,DATE(YEAR(Dashboard!$AL$2),Dashboard!$AU$4,INDIRECT("'"&amp;F1009&amp;"'!$C$5")),""),"")</f>
        <v/>
      </c>
      <c r="G1009" s="38" t="str" cm="1">
        <f t="array" aca="1" ref="G1009" ca="1">IF(F1009="",
    "",
    IFERROR(
        IF(INDIRECT("'"&amp;F1009&amp;"'!$B$2")="Credit Limit",
            "Credit Accounts",
            IF(INDIRECT("'"&amp;F1009&amp;"'!$E$2")="Location",
                "Cash Accounts",
                IF(INDIRECT("'"&amp;F1009&amp;"'!$B$2")="Amount",
                    "Investments",
                    "Bill Accounts"
                )
            )
        ),
    "")
)</f>
        <v/>
      </c>
      <c r="I1009" s="46" t="str" cm="1">
        <f t="array" aca="1" ref="I1009" ca="1">IF(F1009&lt;&gt;"",IF(OR(G1009="Bill Accounts",G1009="Investments", G1009="Cash Accounts"),INDIRECT("'"&amp;F1009&amp;"'!$C$10"),INDIRECT("'"&amp;F1009&amp;"'!$C$8")),"")</f>
        <v/>
      </c>
      <c r="K1009" s="48">
        <f t="shared" si="48"/>
        <v>1015</v>
      </c>
      <c r="L1009" s="114" t="str" cm="1">
        <f t="array" aca="1" ref="L1009" ca="1">IF(F1009&lt;&gt;"",INDIRECT("'"&amp;F1009&amp;"'!$F$17"),"")</f>
        <v/>
      </c>
      <c r="M1009" s="116" t="str">
        <f t="shared" ca="1" si="46"/>
        <v/>
      </c>
      <c r="O1009" s="49" t="str">
        <f t="shared" ca="1" si="47"/>
        <v/>
      </c>
      <c r="P1009" s="38" t="str">
        <f>IF(E1009&lt;&gt;"",RANK(E1009,$E$3:$E$2298)+COUNTIF($E$3:E1009,E1009)-1,"")</f>
        <v/>
      </c>
    </row>
    <row r="1010" spans="4:16" x14ac:dyDescent="0.25">
      <c r="D1010" s="36" t="str" cm="1">
        <f t="array" aca="1" ref="D1010" ca="1">IFERROR(IF(INDIRECT("'"&amp;F1010&amp;"'!$C$5")&gt;0,DATE(YEAR(Dashboard!$AL$2),Dashboard!$AU$4,INDIRECT("'"&amp;F1010&amp;"'!$C$5")),""),"")</f>
        <v/>
      </c>
      <c r="G1010" s="38" t="str" cm="1">
        <f t="array" aca="1" ref="G1010" ca="1">IF(F1010="",
    "",
    IFERROR(
        IF(INDIRECT("'"&amp;F1010&amp;"'!$B$2")="Credit Limit",
            "Credit Accounts",
            IF(INDIRECT("'"&amp;F1010&amp;"'!$E$2")="Location",
                "Cash Accounts",
                IF(INDIRECT("'"&amp;F1010&amp;"'!$B$2")="Amount",
                    "Investments",
                    "Bill Accounts"
                )
            )
        ),
    "")
)</f>
        <v/>
      </c>
      <c r="I1010" s="46" t="str" cm="1">
        <f t="array" aca="1" ref="I1010" ca="1">IF(F1010&lt;&gt;"",IF(OR(G1010="Bill Accounts",G1010="Investments", G1010="Cash Accounts"),INDIRECT("'"&amp;F1010&amp;"'!$C$10"),INDIRECT("'"&amp;F1010&amp;"'!$C$8")),"")</f>
        <v/>
      </c>
      <c r="K1010" s="48">
        <f t="shared" si="48"/>
        <v>1016</v>
      </c>
      <c r="L1010" s="114" t="str" cm="1">
        <f t="array" aca="1" ref="L1010" ca="1">IF(F1010&lt;&gt;"",INDIRECT("'"&amp;F1010&amp;"'!$F$17"),"")</f>
        <v/>
      </c>
      <c r="M1010" s="116" t="str">
        <f t="shared" ca="1" si="46"/>
        <v/>
      </c>
      <c r="O1010" s="49" t="str">
        <f t="shared" ca="1" si="47"/>
        <v/>
      </c>
      <c r="P1010" s="38" t="str">
        <f>IF(E1010&lt;&gt;"",RANK(E1010,$E$3:$E$2298)+COUNTIF($E$3:E1010,E1010)-1,"")</f>
        <v/>
      </c>
    </row>
    <row r="1011" spans="4:16" x14ac:dyDescent="0.25">
      <c r="D1011" s="36" t="str" cm="1">
        <f t="array" aca="1" ref="D1011" ca="1">IFERROR(IF(INDIRECT("'"&amp;F1011&amp;"'!$C$5")&gt;0,DATE(YEAR(Dashboard!$AL$2),Dashboard!$AU$4,INDIRECT("'"&amp;F1011&amp;"'!$C$5")),""),"")</f>
        <v/>
      </c>
      <c r="G1011" s="38" t="str" cm="1">
        <f t="array" aca="1" ref="G1011" ca="1">IF(F1011="",
    "",
    IFERROR(
        IF(INDIRECT("'"&amp;F1011&amp;"'!$B$2")="Credit Limit",
            "Credit Accounts",
            IF(INDIRECT("'"&amp;F1011&amp;"'!$E$2")="Location",
                "Cash Accounts",
                IF(INDIRECT("'"&amp;F1011&amp;"'!$B$2")="Amount",
                    "Investments",
                    "Bill Accounts"
                )
            )
        ),
    "")
)</f>
        <v/>
      </c>
      <c r="I1011" s="46" t="str" cm="1">
        <f t="array" aca="1" ref="I1011" ca="1">IF(F1011&lt;&gt;"",IF(OR(G1011="Bill Accounts",G1011="Investments", G1011="Cash Accounts"),INDIRECT("'"&amp;F1011&amp;"'!$C$10"),INDIRECT("'"&amp;F1011&amp;"'!$C$8")),"")</f>
        <v/>
      </c>
      <c r="K1011" s="48">
        <f t="shared" si="48"/>
        <v>1017</v>
      </c>
      <c r="L1011" s="114" t="str" cm="1">
        <f t="array" aca="1" ref="L1011" ca="1">IF(F1011&lt;&gt;"",INDIRECT("'"&amp;F1011&amp;"'!$F$17"),"")</f>
        <v/>
      </c>
      <c r="M1011" s="116" t="str">
        <f t="shared" ca="1" si="46"/>
        <v/>
      </c>
      <c r="O1011" s="49" t="str">
        <f t="shared" ca="1" si="47"/>
        <v/>
      </c>
      <c r="P1011" s="38" t="str">
        <f>IF(E1011&lt;&gt;"",RANK(E1011,$E$3:$E$2298)+COUNTIF($E$3:E1011,E1011)-1,"")</f>
        <v/>
      </c>
    </row>
    <row r="1012" spans="4:16" x14ac:dyDescent="0.25">
      <c r="D1012" s="36" t="str" cm="1">
        <f t="array" aca="1" ref="D1012" ca="1">IFERROR(IF(INDIRECT("'"&amp;F1012&amp;"'!$C$5")&gt;0,DATE(YEAR(Dashboard!$AL$2),Dashboard!$AU$4,INDIRECT("'"&amp;F1012&amp;"'!$C$5")),""),"")</f>
        <v/>
      </c>
      <c r="G1012" s="38" t="str" cm="1">
        <f t="array" aca="1" ref="G1012" ca="1">IF(F1012="",
    "",
    IFERROR(
        IF(INDIRECT("'"&amp;F1012&amp;"'!$B$2")="Credit Limit",
            "Credit Accounts",
            IF(INDIRECT("'"&amp;F1012&amp;"'!$E$2")="Location",
                "Cash Accounts",
                IF(INDIRECT("'"&amp;F1012&amp;"'!$B$2")="Amount",
                    "Investments",
                    "Bill Accounts"
                )
            )
        ),
    "")
)</f>
        <v/>
      </c>
      <c r="I1012" s="46" t="str" cm="1">
        <f t="array" aca="1" ref="I1012" ca="1">IF(F1012&lt;&gt;"",IF(OR(G1012="Bill Accounts",G1012="Investments", G1012="Cash Accounts"),INDIRECT("'"&amp;F1012&amp;"'!$C$10"),INDIRECT("'"&amp;F1012&amp;"'!$C$8")),"")</f>
        <v/>
      </c>
      <c r="K1012" s="48">
        <f t="shared" si="48"/>
        <v>1018</v>
      </c>
      <c r="L1012" s="114" t="str" cm="1">
        <f t="array" aca="1" ref="L1012" ca="1">IF(F1012&lt;&gt;"",INDIRECT("'"&amp;F1012&amp;"'!$F$17"),"")</f>
        <v/>
      </c>
      <c r="M1012" s="116" t="str">
        <f t="shared" ca="1" si="46"/>
        <v/>
      </c>
      <c r="O1012" s="49" t="str">
        <f t="shared" ca="1" si="47"/>
        <v/>
      </c>
      <c r="P1012" s="38" t="str">
        <f>IF(E1012&lt;&gt;"",RANK(E1012,$E$3:$E$2298)+COUNTIF($E$3:E1012,E1012)-1,"")</f>
        <v/>
      </c>
    </row>
    <row r="1013" spans="4:16" x14ac:dyDescent="0.25">
      <c r="D1013" s="36" t="str" cm="1">
        <f t="array" aca="1" ref="D1013" ca="1">IFERROR(IF(INDIRECT("'"&amp;F1013&amp;"'!$C$5")&gt;0,DATE(YEAR(Dashboard!$AL$2),Dashboard!$AU$4,INDIRECT("'"&amp;F1013&amp;"'!$C$5")),""),"")</f>
        <v/>
      </c>
      <c r="G1013" s="38" t="str" cm="1">
        <f t="array" aca="1" ref="G1013" ca="1">IF(F1013="",
    "",
    IFERROR(
        IF(INDIRECT("'"&amp;F1013&amp;"'!$B$2")="Credit Limit",
            "Credit Accounts",
            IF(INDIRECT("'"&amp;F1013&amp;"'!$E$2")="Location",
                "Cash Accounts",
                IF(INDIRECT("'"&amp;F1013&amp;"'!$B$2")="Amount",
                    "Investments",
                    "Bill Accounts"
                )
            )
        ),
    "")
)</f>
        <v/>
      </c>
      <c r="I1013" s="46" t="str" cm="1">
        <f t="array" aca="1" ref="I1013" ca="1">IF(F1013&lt;&gt;"",IF(OR(G1013="Bill Accounts",G1013="Investments", G1013="Cash Accounts"),INDIRECT("'"&amp;F1013&amp;"'!$C$10"),INDIRECT("'"&amp;F1013&amp;"'!$C$8")),"")</f>
        <v/>
      </c>
      <c r="K1013" s="48">
        <f t="shared" si="48"/>
        <v>1019</v>
      </c>
      <c r="L1013" s="114" t="str" cm="1">
        <f t="array" aca="1" ref="L1013" ca="1">IF(F1013&lt;&gt;"",INDIRECT("'"&amp;F1013&amp;"'!$F$17"),"")</f>
        <v/>
      </c>
      <c r="M1013" s="116" t="str">
        <f t="shared" ca="1" si="46"/>
        <v/>
      </c>
      <c r="O1013" s="49" t="str">
        <f t="shared" ca="1" si="47"/>
        <v/>
      </c>
      <c r="P1013" s="38" t="str">
        <f>IF(E1013&lt;&gt;"",RANK(E1013,$E$3:$E$2298)+COUNTIF($E$3:E1013,E1013)-1,"")</f>
        <v/>
      </c>
    </row>
    <row r="1014" spans="4:16" x14ac:dyDescent="0.25">
      <c r="D1014" s="36" t="str" cm="1">
        <f t="array" aca="1" ref="D1014" ca="1">IFERROR(IF(INDIRECT("'"&amp;F1014&amp;"'!$C$5")&gt;0,DATE(YEAR(Dashboard!$AL$2),Dashboard!$AU$4,INDIRECT("'"&amp;F1014&amp;"'!$C$5")),""),"")</f>
        <v/>
      </c>
      <c r="G1014" s="38" t="str" cm="1">
        <f t="array" aca="1" ref="G1014" ca="1">IF(F1014="",
    "",
    IFERROR(
        IF(INDIRECT("'"&amp;F1014&amp;"'!$B$2")="Credit Limit",
            "Credit Accounts",
            IF(INDIRECT("'"&amp;F1014&amp;"'!$E$2")="Location",
                "Cash Accounts",
                IF(INDIRECT("'"&amp;F1014&amp;"'!$B$2")="Amount",
                    "Investments",
                    "Bill Accounts"
                )
            )
        ),
    "")
)</f>
        <v/>
      </c>
      <c r="I1014" s="46" t="str" cm="1">
        <f t="array" aca="1" ref="I1014" ca="1">IF(F1014&lt;&gt;"",IF(OR(G1014="Bill Accounts",G1014="Investments", G1014="Cash Accounts"),INDIRECT("'"&amp;F1014&amp;"'!$C$10"),INDIRECT("'"&amp;F1014&amp;"'!$C$8")),"")</f>
        <v/>
      </c>
      <c r="K1014" s="48">
        <f t="shared" si="48"/>
        <v>1020</v>
      </c>
      <c r="L1014" s="114" t="str" cm="1">
        <f t="array" aca="1" ref="L1014" ca="1">IF(F1014&lt;&gt;"",INDIRECT("'"&amp;F1014&amp;"'!$F$17"),"")</f>
        <v/>
      </c>
      <c r="M1014" s="116" t="str">
        <f t="shared" ca="1" si="46"/>
        <v/>
      </c>
      <c r="O1014" s="49" t="str">
        <f t="shared" ca="1" si="47"/>
        <v/>
      </c>
      <c r="P1014" s="38" t="str">
        <f>IF(E1014&lt;&gt;"",RANK(E1014,$E$3:$E$2298)+COUNTIF($E$3:E1014,E1014)-1,"")</f>
        <v/>
      </c>
    </row>
    <row r="1015" spans="4:16" x14ac:dyDescent="0.25">
      <c r="D1015" s="36" t="str" cm="1">
        <f t="array" aca="1" ref="D1015" ca="1">IFERROR(IF(INDIRECT("'"&amp;F1015&amp;"'!$C$5")&gt;0,DATE(YEAR(Dashboard!$AL$2),Dashboard!$AU$4,INDIRECT("'"&amp;F1015&amp;"'!$C$5")),""),"")</f>
        <v/>
      </c>
      <c r="G1015" s="38" t="str" cm="1">
        <f t="array" aca="1" ref="G1015" ca="1">IF(F1015="",
    "",
    IFERROR(
        IF(INDIRECT("'"&amp;F1015&amp;"'!$B$2")="Credit Limit",
            "Credit Accounts",
            IF(INDIRECT("'"&amp;F1015&amp;"'!$E$2")="Location",
                "Cash Accounts",
                IF(INDIRECT("'"&amp;F1015&amp;"'!$B$2")="Amount",
                    "Investments",
                    "Bill Accounts"
                )
            )
        ),
    "")
)</f>
        <v/>
      </c>
      <c r="I1015" s="46" t="str" cm="1">
        <f t="array" aca="1" ref="I1015" ca="1">IF(F1015&lt;&gt;"",IF(OR(G1015="Bill Accounts",G1015="Investments", G1015="Cash Accounts"),INDIRECT("'"&amp;F1015&amp;"'!$C$10"),INDIRECT("'"&amp;F1015&amp;"'!$C$8")),"")</f>
        <v/>
      </c>
      <c r="K1015" s="48">
        <f t="shared" si="48"/>
        <v>1021</v>
      </c>
      <c r="L1015" s="114" t="str" cm="1">
        <f t="array" aca="1" ref="L1015" ca="1">IF(F1015&lt;&gt;"",INDIRECT("'"&amp;F1015&amp;"'!$F$17"),"")</f>
        <v/>
      </c>
      <c r="M1015" s="116" t="str">
        <f t="shared" ca="1" si="46"/>
        <v/>
      </c>
      <c r="O1015" s="49" t="str">
        <f t="shared" ca="1" si="47"/>
        <v/>
      </c>
      <c r="P1015" s="38" t="str">
        <f>IF(E1015&lt;&gt;"",RANK(E1015,$E$3:$E$2298)+COUNTIF($E$3:E1015,E1015)-1,"")</f>
        <v/>
      </c>
    </row>
    <row r="1016" spans="4:16" x14ac:dyDescent="0.25">
      <c r="D1016" s="36" t="str" cm="1">
        <f t="array" aca="1" ref="D1016" ca="1">IFERROR(IF(INDIRECT("'"&amp;F1016&amp;"'!$C$5")&gt;0,DATE(YEAR(Dashboard!$AL$2),Dashboard!$AU$4,INDIRECT("'"&amp;F1016&amp;"'!$C$5")),""),"")</f>
        <v/>
      </c>
      <c r="G1016" s="38" t="str" cm="1">
        <f t="array" aca="1" ref="G1016" ca="1">IF(F1016="",
    "",
    IFERROR(
        IF(INDIRECT("'"&amp;F1016&amp;"'!$B$2")="Credit Limit",
            "Credit Accounts",
            IF(INDIRECT("'"&amp;F1016&amp;"'!$E$2")="Location",
                "Cash Accounts",
                IF(INDIRECT("'"&amp;F1016&amp;"'!$B$2")="Amount",
                    "Investments",
                    "Bill Accounts"
                )
            )
        ),
    "")
)</f>
        <v/>
      </c>
      <c r="I1016" s="46" t="str" cm="1">
        <f t="array" aca="1" ref="I1016" ca="1">IF(F1016&lt;&gt;"",IF(OR(G1016="Bill Accounts",G1016="Investments", G1016="Cash Accounts"),INDIRECT("'"&amp;F1016&amp;"'!$C$10"),INDIRECT("'"&amp;F1016&amp;"'!$C$8")),"")</f>
        <v/>
      </c>
      <c r="K1016" s="48">
        <f t="shared" si="48"/>
        <v>1022</v>
      </c>
      <c r="L1016" s="114" t="str" cm="1">
        <f t="array" aca="1" ref="L1016" ca="1">IF(F1016&lt;&gt;"",INDIRECT("'"&amp;F1016&amp;"'!$F$17"),"")</f>
        <v/>
      </c>
      <c r="M1016" s="116" t="str">
        <f t="shared" ca="1" si="46"/>
        <v/>
      </c>
      <c r="O1016" s="49" t="str">
        <f t="shared" ca="1" si="47"/>
        <v/>
      </c>
      <c r="P1016" s="38" t="str">
        <f>IF(E1016&lt;&gt;"",RANK(E1016,$E$3:$E$2298)+COUNTIF($E$3:E1016,E1016)-1,"")</f>
        <v/>
      </c>
    </row>
    <row r="1017" spans="4:16" x14ac:dyDescent="0.25">
      <c r="D1017" s="36" t="str" cm="1">
        <f t="array" aca="1" ref="D1017" ca="1">IFERROR(IF(INDIRECT("'"&amp;F1017&amp;"'!$C$5")&gt;0,DATE(YEAR(Dashboard!$AL$2),Dashboard!$AU$4,INDIRECT("'"&amp;F1017&amp;"'!$C$5")),""),"")</f>
        <v/>
      </c>
      <c r="G1017" s="38" t="str" cm="1">
        <f t="array" aca="1" ref="G1017" ca="1">IF(F1017="",
    "",
    IFERROR(
        IF(INDIRECT("'"&amp;F1017&amp;"'!$B$2")="Credit Limit",
            "Credit Accounts",
            IF(INDIRECT("'"&amp;F1017&amp;"'!$E$2")="Location",
                "Cash Accounts",
                IF(INDIRECT("'"&amp;F1017&amp;"'!$B$2")="Amount",
                    "Investments",
                    "Bill Accounts"
                )
            )
        ),
    "")
)</f>
        <v/>
      </c>
      <c r="I1017" s="46" t="str" cm="1">
        <f t="array" aca="1" ref="I1017" ca="1">IF(F1017&lt;&gt;"",IF(OR(G1017="Bill Accounts",G1017="Investments", G1017="Cash Accounts"),INDIRECT("'"&amp;F1017&amp;"'!$C$10"),INDIRECT("'"&amp;F1017&amp;"'!$C$8")),"")</f>
        <v/>
      </c>
      <c r="K1017" s="48">
        <f t="shared" si="48"/>
        <v>1023</v>
      </c>
      <c r="L1017" s="114" t="str" cm="1">
        <f t="array" aca="1" ref="L1017" ca="1">IF(F1017&lt;&gt;"",INDIRECT("'"&amp;F1017&amp;"'!$F$17"),"")</f>
        <v/>
      </c>
      <c r="M1017" s="116" t="str">
        <f t="shared" ca="1" si="46"/>
        <v/>
      </c>
      <c r="O1017" s="49" t="str">
        <f t="shared" ca="1" si="47"/>
        <v/>
      </c>
      <c r="P1017" s="38" t="str">
        <f>IF(E1017&lt;&gt;"",RANK(E1017,$E$3:$E$2298)+COUNTIF($E$3:E1017,E1017)-1,"")</f>
        <v/>
      </c>
    </row>
    <row r="1018" spans="4:16" x14ac:dyDescent="0.25">
      <c r="D1018" s="36" t="str" cm="1">
        <f t="array" aca="1" ref="D1018" ca="1">IFERROR(IF(INDIRECT("'"&amp;F1018&amp;"'!$C$5")&gt;0,DATE(YEAR(Dashboard!$AL$2),Dashboard!$AU$4,INDIRECT("'"&amp;F1018&amp;"'!$C$5")),""),"")</f>
        <v/>
      </c>
      <c r="G1018" s="38" t="str" cm="1">
        <f t="array" aca="1" ref="G1018" ca="1">IF(F1018="",
    "",
    IFERROR(
        IF(INDIRECT("'"&amp;F1018&amp;"'!$B$2")="Credit Limit",
            "Credit Accounts",
            IF(INDIRECT("'"&amp;F1018&amp;"'!$E$2")="Location",
                "Cash Accounts",
                IF(INDIRECT("'"&amp;F1018&amp;"'!$B$2")="Amount",
                    "Investments",
                    "Bill Accounts"
                )
            )
        ),
    "")
)</f>
        <v/>
      </c>
      <c r="I1018" s="46" t="str" cm="1">
        <f t="array" aca="1" ref="I1018" ca="1">IF(F1018&lt;&gt;"",IF(OR(G1018="Bill Accounts",G1018="Investments", G1018="Cash Accounts"),INDIRECT("'"&amp;F1018&amp;"'!$C$10"),INDIRECT("'"&amp;F1018&amp;"'!$C$8")),"")</f>
        <v/>
      </c>
      <c r="K1018" s="48">
        <f t="shared" si="48"/>
        <v>1024</v>
      </c>
      <c r="L1018" s="114" t="str" cm="1">
        <f t="array" aca="1" ref="L1018" ca="1">IF(F1018&lt;&gt;"",INDIRECT("'"&amp;F1018&amp;"'!$F$17"),"")</f>
        <v/>
      </c>
      <c r="M1018" s="116" t="str">
        <f t="shared" ca="1" si="46"/>
        <v/>
      </c>
      <c r="O1018" s="49" t="str">
        <f t="shared" ca="1" si="47"/>
        <v/>
      </c>
      <c r="P1018" s="38" t="str">
        <f>IF(E1018&lt;&gt;"",RANK(E1018,$E$3:$E$2298)+COUNTIF($E$3:E1018,E1018)-1,"")</f>
        <v/>
      </c>
    </row>
    <row r="1019" spans="4:16" x14ac:dyDescent="0.25">
      <c r="D1019" s="36" t="str" cm="1">
        <f t="array" aca="1" ref="D1019" ca="1">IFERROR(IF(INDIRECT("'"&amp;F1019&amp;"'!$C$5")&gt;0,DATE(YEAR(Dashboard!$AL$2),Dashboard!$AU$4,INDIRECT("'"&amp;F1019&amp;"'!$C$5")),""),"")</f>
        <v/>
      </c>
      <c r="G1019" s="38" t="str" cm="1">
        <f t="array" aca="1" ref="G1019" ca="1">IF(F1019="",
    "",
    IFERROR(
        IF(INDIRECT("'"&amp;F1019&amp;"'!$B$2")="Credit Limit",
            "Credit Accounts",
            IF(INDIRECT("'"&amp;F1019&amp;"'!$E$2")="Location",
                "Cash Accounts",
                IF(INDIRECT("'"&amp;F1019&amp;"'!$B$2")="Amount",
                    "Investments",
                    "Bill Accounts"
                )
            )
        ),
    "")
)</f>
        <v/>
      </c>
      <c r="I1019" s="46" t="str" cm="1">
        <f t="array" aca="1" ref="I1019" ca="1">IF(F1019&lt;&gt;"",IF(OR(G1019="Bill Accounts",G1019="Investments", G1019="Cash Accounts"),INDIRECT("'"&amp;F1019&amp;"'!$C$10"),INDIRECT("'"&amp;F1019&amp;"'!$C$8")),"")</f>
        <v/>
      </c>
      <c r="K1019" s="48">
        <f t="shared" si="48"/>
        <v>1025</v>
      </c>
      <c r="L1019" s="114" t="str" cm="1">
        <f t="array" aca="1" ref="L1019" ca="1">IF(F1019&lt;&gt;"",INDIRECT("'"&amp;F1019&amp;"'!$F$17"),"")</f>
        <v/>
      </c>
      <c r="M1019" s="116" t="str">
        <f t="shared" ca="1" si="46"/>
        <v/>
      </c>
      <c r="O1019" s="49" t="str">
        <f t="shared" ca="1" si="47"/>
        <v/>
      </c>
      <c r="P1019" s="38" t="str">
        <f>IF(E1019&lt;&gt;"",RANK(E1019,$E$3:$E$2298)+COUNTIF($E$3:E1019,E1019)-1,"")</f>
        <v/>
      </c>
    </row>
    <row r="1020" spans="4:16" x14ac:dyDescent="0.25">
      <c r="D1020" s="36" t="str" cm="1">
        <f t="array" aca="1" ref="D1020" ca="1">IFERROR(IF(INDIRECT("'"&amp;F1020&amp;"'!$C$5")&gt;0,DATE(YEAR(Dashboard!$AL$2),Dashboard!$AU$4,INDIRECT("'"&amp;F1020&amp;"'!$C$5")),""),"")</f>
        <v/>
      </c>
      <c r="G1020" s="38" t="str" cm="1">
        <f t="array" aca="1" ref="G1020" ca="1">IF(F1020="",
    "",
    IFERROR(
        IF(INDIRECT("'"&amp;F1020&amp;"'!$B$2")="Credit Limit",
            "Credit Accounts",
            IF(INDIRECT("'"&amp;F1020&amp;"'!$E$2")="Location",
                "Cash Accounts",
                IF(INDIRECT("'"&amp;F1020&amp;"'!$B$2")="Amount",
                    "Investments",
                    "Bill Accounts"
                )
            )
        ),
    "")
)</f>
        <v/>
      </c>
      <c r="I1020" s="46" t="str" cm="1">
        <f t="array" aca="1" ref="I1020" ca="1">IF(F1020&lt;&gt;"",IF(OR(G1020="Bill Accounts",G1020="Investments", G1020="Cash Accounts"),INDIRECT("'"&amp;F1020&amp;"'!$C$10"),INDIRECT("'"&amp;F1020&amp;"'!$C$8")),"")</f>
        <v/>
      </c>
      <c r="K1020" s="48">
        <f t="shared" si="48"/>
        <v>1026</v>
      </c>
      <c r="L1020" s="114" t="str" cm="1">
        <f t="array" aca="1" ref="L1020" ca="1">IF(F1020&lt;&gt;"",INDIRECT("'"&amp;F1020&amp;"'!$F$17"),"")</f>
        <v/>
      </c>
      <c r="M1020" s="116" t="str">
        <f t="shared" ca="1" si="46"/>
        <v/>
      </c>
      <c r="O1020" s="49" t="str">
        <f t="shared" ca="1" si="47"/>
        <v/>
      </c>
      <c r="P1020" s="38" t="str">
        <f>IF(E1020&lt;&gt;"",RANK(E1020,$E$3:$E$2298)+COUNTIF($E$3:E1020,E1020)-1,"")</f>
        <v/>
      </c>
    </row>
    <row r="1021" spans="4:16" x14ac:dyDescent="0.25">
      <c r="D1021" s="36" t="str" cm="1">
        <f t="array" aca="1" ref="D1021" ca="1">IFERROR(IF(INDIRECT("'"&amp;F1021&amp;"'!$C$5")&gt;0,DATE(YEAR(Dashboard!$AL$2),Dashboard!$AU$4,INDIRECT("'"&amp;F1021&amp;"'!$C$5")),""),"")</f>
        <v/>
      </c>
      <c r="G1021" s="38" t="str" cm="1">
        <f t="array" aca="1" ref="G1021" ca="1">IF(F1021="",
    "",
    IFERROR(
        IF(INDIRECT("'"&amp;F1021&amp;"'!$B$2")="Credit Limit",
            "Credit Accounts",
            IF(INDIRECT("'"&amp;F1021&amp;"'!$E$2")="Location",
                "Cash Accounts",
                IF(INDIRECT("'"&amp;F1021&amp;"'!$B$2")="Amount",
                    "Investments",
                    "Bill Accounts"
                )
            )
        ),
    "")
)</f>
        <v/>
      </c>
      <c r="I1021" s="46" t="str" cm="1">
        <f t="array" aca="1" ref="I1021" ca="1">IF(F1021&lt;&gt;"",IF(OR(G1021="Bill Accounts",G1021="Investments", G1021="Cash Accounts"),INDIRECT("'"&amp;F1021&amp;"'!$C$10"),INDIRECT("'"&amp;F1021&amp;"'!$C$8")),"")</f>
        <v/>
      </c>
      <c r="K1021" s="48">
        <f t="shared" si="48"/>
        <v>1027</v>
      </c>
      <c r="L1021" s="114" t="str" cm="1">
        <f t="array" aca="1" ref="L1021" ca="1">IF(F1021&lt;&gt;"",INDIRECT("'"&amp;F1021&amp;"'!$F$17"),"")</f>
        <v/>
      </c>
      <c r="M1021" s="116" t="str">
        <f t="shared" ca="1" si="46"/>
        <v/>
      </c>
      <c r="O1021" s="49" t="str">
        <f t="shared" ca="1" si="47"/>
        <v/>
      </c>
      <c r="P1021" s="38" t="str">
        <f>IF(E1021&lt;&gt;"",RANK(E1021,$E$3:$E$2298)+COUNTIF($E$3:E1021,E1021)-1,"")</f>
        <v/>
      </c>
    </row>
    <row r="1022" spans="4:16" x14ac:dyDescent="0.25">
      <c r="D1022" s="36" t="str" cm="1">
        <f t="array" aca="1" ref="D1022" ca="1">IFERROR(IF(INDIRECT("'"&amp;F1022&amp;"'!$C$5")&gt;0,DATE(YEAR(Dashboard!$AL$2),Dashboard!$AU$4,INDIRECT("'"&amp;F1022&amp;"'!$C$5")),""),"")</f>
        <v/>
      </c>
      <c r="G1022" s="38" t="str" cm="1">
        <f t="array" aca="1" ref="G1022" ca="1">IF(F1022="",
    "",
    IFERROR(
        IF(INDIRECT("'"&amp;F1022&amp;"'!$B$2")="Credit Limit",
            "Credit Accounts",
            IF(INDIRECT("'"&amp;F1022&amp;"'!$E$2")="Location",
                "Cash Accounts",
                IF(INDIRECT("'"&amp;F1022&amp;"'!$B$2")="Amount",
                    "Investments",
                    "Bill Accounts"
                )
            )
        ),
    "")
)</f>
        <v/>
      </c>
      <c r="I1022" s="46" t="str" cm="1">
        <f t="array" aca="1" ref="I1022" ca="1">IF(F1022&lt;&gt;"",IF(OR(G1022="Bill Accounts",G1022="Investments", G1022="Cash Accounts"),INDIRECT("'"&amp;F1022&amp;"'!$C$10"),INDIRECT("'"&amp;F1022&amp;"'!$C$8")),"")</f>
        <v/>
      </c>
      <c r="K1022" s="48">
        <f t="shared" si="48"/>
        <v>1028</v>
      </c>
      <c r="L1022" s="114" t="str" cm="1">
        <f t="array" aca="1" ref="L1022" ca="1">IF(F1022&lt;&gt;"",INDIRECT("'"&amp;F1022&amp;"'!$F$17"),"")</f>
        <v/>
      </c>
      <c r="M1022" s="116" t="str">
        <f t="shared" ca="1" si="46"/>
        <v/>
      </c>
      <c r="O1022" s="49" t="str">
        <f t="shared" ca="1" si="47"/>
        <v/>
      </c>
      <c r="P1022" s="38" t="str">
        <f>IF(E1022&lt;&gt;"",RANK(E1022,$E$3:$E$2298)+COUNTIF($E$3:E1022,E1022)-1,"")</f>
        <v/>
      </c>
    </row>
    <row r="1023" spans="4:16" x14ac:dyDescent="0.25">
      <c r="D1023" s="36" t="str" cm="1">
        <f t="array" aca="1" ref="D1023" ca="1">IFERROR(IF(INDIRECT("'"&amp;F1023&amp;"'!$C$5")&gt;0,DATE(YEAR(Dashboard!$AL$2),Dashboard!$AU$4,INDIRECT("'"&amp;F1023&amp;"'!$C$5")),""),"")</f>
        <v/>
      </c>
      <c r="G1023" s="38" t="str" cm="1">
        <f t="array" aca="1" ref="G1023" ca="1">IF(F1023="",
    "",
    IFERROR(
        IF(INDIRECT("'"&amp;F1023&amp;"'!$B$2")="Credit Limit",
            "Credit Accounts",
            IF(INDIRECT("'"&amp;F1023&amp;"'!$E$2")="Location",
                "Cash Accounts",
                IF(INDIRECT("'"&amp;F1023&amp;"'!$B$2")="Amount",
                    "Investments",
                    "Bill Accounts"
                )
            )
        ),
    "")
)</f>
        <v/>
      </c>
      <c r="I1023" s="46" t="str" cm="1">
        <f t="array" aca="1" ref="I1023" ca="1">IF(F1023&lt;&gt;"",IF(OR(G1023="Bill Accounts",G1023="Investments", G1023="Cash Accounts"),INDIRECT("'"&amp;F1023&amp;"'!$C$10"),INDIRECT("'"&amp;F1023&amp;"'!$C$8")),"")</f>
        <v/>
      </c>
      <c r="K1023" s="48">
        <f t="shared" si="48"/>
        <v>1029</v>
      </c>
      <c r="L1023" s="114" t="str" cm="1">
        <f t="array" aca="1" ref="L1023" ca="1">IF(F1023&lt;&gt;"",INDIRECT("'"&amp;F1023&amp;"'!$F$17"),"")</f>
        <v/>
      </c>
      <c r="M1023" s="116" t="str">
        <f t="shared" ca="1" si="46"/>
        <v/>
      </c>
      <c r="O1023" s="49" t="str">
        <f t="shared" ca="1" si="47"/>
        <v/>
      </c>
      <c r="P1023" s="38" t="str">
        <f>IF(E1023&lt;&gt;"",RANK(E1023,$E$3:$E$2298)+COUNTIF($E$3:E1023,E1023)-1,"")</f>
        <v/>
      </c>
    </row>
    <row r="1024" spans="4:16" x14ac:dyDescent="0.25">
      <c r="D1024" s="36" t="str" cm="1">
        <f t="array" aca="1" ref="D1024" ca="1">IFERROR(IF(INDIRECT("'"&amp;F1024&amp;"'!$C$5")&gt;0,DATE(YEAR(Dashboard!$AL$2),Dashboard!$AU$4,INDIRECT("'"&amp;F1024&amp;"'!$C$5")),""),"")</f>
        <v/>
      </c>
      <c r="G1024" s="38" t="str" cm="1">
        <f t="array" aca="1" ref="G1024" ca="1">IF(F1024="",
    "",
    IFERROR(
        IF(INDIRECT("'"&amp;F1024&amp;"'!$B$2")="Credit Limit",
            "Credit Accounts",
            IF(INDIRECT("'"&amp;F1024&amp;"'!$E$2")="Location",
                "Cash Accounts",
                IF(INDIRECT("'"&amp;F1024&amp;"'!$B$2")="Amount",
                    "Investments",
                    "Bill Accounts"
                )
            )
        ),
    "")
)</f>
        <v/>
      </c>
      <c r="I1024" s="46" t="str" cm="1">
        <f t="array" aca="1" ref="I1024" ca="1">IF(F1024&lt;&gt;"",IF(OR(G1024="Bill Accounts",G1024="Investments", G1024="Cash Accounts"),INDIRECT("'"&amp;F1024&amp;"'!$C$10"),INDIRECT("'"&amp;F1024&amp;"'!$C$8")),"")</f>
        <v/>
      </c>
      <c r="K1024" s="48">
        <f t="shared" si="48"/>
        <v>1030</v>
      </c>
      <c r="L1024" s="114" t="str" cm="1">
        <f t="array" aca="1" ref="L1024" ca="1">IF(F1024&lt;&gt;"",INDIRECT("'"&amp;F1024&amp;"'!$F$17"),"")</f>
        <v/>
      </c>
      <c r="M1024" s="116" t="str">
        <f t="shared" ca="1" si="46"/>
        <v/>
      </c>
      <c r="O1024" s="49" t="str">
        <f t="shared" ca="1" si="47"/>
        <v/>
      </c>
      <c r="P1024" s="38" t="str">
        <f>IF(E1024&lt;&gt;"",RANK(E1024,$E$3:$E$2298)+COUNTIF($E$3:E1024,E1024)-1,"")</f>
        <v/>
      </c>
    </row>
    <row r="1025" spans="4:16" x14ac:dyDescent="0.25">
      <c r="D1025" s="36" t="str" cm="1">
        <f t="array" aca="1" ref="D1025" ca="1">IFERROR(IF(INDIRECT("'"&amp;F1025&amp;"'!$C$5")&gt;0,DATE(YEAR(Dashboard!$AL$2),Dashboard!$AU$4,INDIRECT("'"&amp;F1025&amp;"'!$C$5")),""),"")</f>
        <v/>
      </c>
      <c r="G1025" s="38" t="str" cm="1">
        <f t="array" aca="1" ref="G1025" ca="1">IF(F1025="",
    "",
    IFERROR(
        IF(INDIRECT("'"&amp;F1025&amp;"'!$B$2")="Credit Limit",
            "Credit Accounts",
            IF(INDIRECT("'"&amp;F1025&amp;"'!$E$2")="Location",
                "Cash Accounts",
                IF(INDIRECT("'"&amp;F1025&amp;"'!$B$2")="Amount",
                    "Investments",
                    "Bill Accounts"
                )
            )
        ),
    "")
)</f>
        <v/>
      </c>
      <c r="I1025" s="46" t="str" cm="1">
        <f t="array" aca="1" ref="I1025" ca="1">IF(F1025&lt;&gt;"",IF(OR(G1025="Bill Accounts",G1025="Investments", G1025="Cash Accounts"),INDIRECT("'"&amp;F1025&amp;"'!$C$10"),INDIRECT("'"&amp;F1025&amp;"'!$C$8")),"")</f>
        <v/>
      </c>
      <c r="K1025" s="48">
        <f t="shared" si="48"/>
        <v>1031</v>
      </c>
      <c r="L1025" s="114" t="str" cm="1">
        <f t="array" aca="1" ref="L1025" ca="1">IF(F1025&lt;&gt;"",INDIRECT("'"&amp;F1025&amp;"'!$F$17"),"")</f>
        <v/>
      </c>
      <c r="M1025" s="116" t="str">
        <f t="shared" ca="1" si="46"/>
        <v/>
      </c>
      <c r="O1025" s="49" t="str">
        <f t="shared" ca="1" si="47"/>
        <v/>
      </c>
      <c r="P1025" s="38" t="str">
        <f>IF(E1025&lt;&gt;"",RANK(E1025,$E$3:$E$2298)+COUNTIF($E$3:E1025,E1025)-1,"")</f>
        <v/>
      </c>
    </row>
    <row r="1026" spans="4:16" x14ac:dyDescent="0.25">
      <c r="D1026" s="36" t="str" cm="1">
        <f t="array" aca="1" ref="D1026" ca="1">IFERROR(IF(INDIRECT("'"&amp;F1026&amp;"'!$C$5")&gt;0,DATE(YEAR(Dashboard!$AL$2),Dashboard!$AU$4,INDIRECT("'"&amp;F1026&amp;"'!$C$5")),""),"")</f>
        <v/>
      </c>
      <c r="G1026" s="38" t="str" cm="1">
        <f t="array" aca="1" ref="G1026" ca="1">IF(F1026="",
    "",
    IFERROR(
        IF(INDIRECT("'"&amp;F1026&amp;"'!$B$2")="Credit Limit",
            "Credit Accounts",
            IF(INDIRECT("'"&amp;F1026&amp;"'!$E$2")="Location",
                "Cash Accounts",
                IF(INDIRECT("'"&amp;F1026&amp;"'!$B$2")="Amount",
                    "Investments",
                    "Bill Accounts"
                )
            )
        ),
    "")
)</f>
        <v/>
      </c>
      <c r="I1026" s="46" t="str" cm="1">
        <f t="array" aca="1" ref="I1026" ca="1">IF(F1026&lt;&gt;"",IF(OR(G1026="Bill Accounts",G1026="Investments", G1026="Cash Accounts"),INDIRECT("'"&amp;F1026&amp;"'!$C$10"),INDIRECT("'"&amp;F1026&amp;"'!$C$8")),"")</f>
        <v/>
      </c>
      <c r="K1026" s="48">
        <f t="shared" si="48"/>
        <v>1032</v>
      </c>
      <c r="L1026" s="114" t="str" cm="1">
        <f t="array" aca="1" ref="L1026" ca="1">IF(F1026&lt;&gt;"",INDIRECT("'"&amp;F1026&amp;"'!$F$17"),"")</f>
        <v/>
      </c>
      <c r="M1026" s="116" t="str">
        <f t="shared" ca="1" si="46"/>
        <v/>
      </c>
      <c r="O1026" s="49" t="str">
        <f t="shared" ca="1" si="47"/>
        <v/>
      </c>
      <c r="P1026" s="38" t="str">
        <f>IF(E1026&lt;&gt;"",RANK(E1026,$E$3:$E$2298)+COUNTIF($E$3:E1026,E1026)-1,"")</f>
        <v/>
      </c>
    </row>
    <row r="1027" spans="4:16" x14ac:dyDescent="0.25">
      <c r="D1027" s="36" t="str" cm="1">
        <f t="array" aca="1" ref="D1027" ca="1">IFERROR(IF(INDIRECT("'"&amp;F1027&amp;"'!$C$5")&gt;0,DATE(YEAR(Dashboard!$AL$2),Dashboard!$AU$4,INDIRECT("'"&amp;F1027&amp;"'!$C$5")),""),"")</f>
        <v/>
      </c>
      <c r="G1027" s="38" t="str" cm="1">
        <f t="array" aca="1" ref="G1027" ca="1">IF(F1027="",
    "",
    IFERROR(
        IF(INDIRECT("'"&amp;F1027&amp;"'!$B$2")="Credit Limit",
            "Credit Accounts",
            IF(INDIRECT("'"&amp;F1027&amp;"'!$E$2")="Location",
                "Cash Accounts",
                IF(INDIRECT("'"&amp;F1027&amp;"'!$B$2")="Amount",
                    "Investments",
                    "Bill Accounts"
                )
            )
        ),
    "")
)</f>
        <v/>
      </c>
      <c r="I1027" s="46" t="str" cm="1">
        <f t="array" aca="1" ref="I1027" ca="1">IF(F1027&lt;&gt;"",IF(OR(G1027="Bill Accounts",G1027="Investments", G1027="Cash Accounts"),INDIRECT("'"&amp;F1027&amp;"'!$C$10"),INDIRECT("'"&amp;F1027&amp;"'!$C$8")),"")</f>
        <v/>
      </c>
      <c r="K1027" s="48">
        <f t="shared" si="48"/>
        <v>1033</v>
      </c>
      <c r="L1027" s="114" t="str" cm="1">
        <f t="array" aca="1" ref="L1027" ca="1">IF(F1027&lt;&gt;"",INDIRECT("'"&amp;F1027&amp;"'!$F$17"),"")</f>
        <v/>
      </c>
      <c r="M1027" s="116" t="str">
        <f t="shared" ca="1" si="46"/>
        <v/>
      </c>
      <c r="O1027" s="49" t="str">
        <f t="shared" ca="1" si="47"/>
        <v/>
      </c>
      <c r="P1027" s="38" t="str">
        <f>IF(E1027&lt;&gt;"",RANK(E1027,$E$3:$E$2298)+COUNTIF($E$3:E1027,E1027)-1,"")</f>
        <v/>
      </c>
    </row>
    <row r="1028" spans="4:16" x14ac:dyDescent="0.25">
      <c r="D1028" s="36" t="str" cm="1">
        <f t="array" aca="1" ref="D1028" ca="1">IFERROR(IF(INDIRECT("'"&amp;F1028&amp;"'!$C$5")&gt;0,DATE(YEAR(Dashboard!$AL$2),Dashboard!$AU$4,INDIRECT("'"&amp;F1028&amp;"'!$C$5")),""),"")</f>
        <v/>
      </c>
      <c r="G1028" s="38" t="str" cm="1">
        <f t="array" aca="1" ref="G1028" ca="1">IF(F1028="",
    "",
    IFERROR(
        IF(INDIRECT("'"&amp;F1028&amp;"'!$B$2")="Credit Limit",
            "Credit Accounts",
            IF(INDIRECT("'"&amp;F1028&amp;"'!$E$2")="Location",
                "Cash Accounts",
                IF(INDIRECT("'"&amp;F1028&amp;"'!$B$2")="Amount",
                    "Investments",
                    "Bill Accounts"
                )
            )
        ),
    "")
)</f>
        <v/>
      </c>
      <c r="I1028" s="46" t="str" cm="1">
        <f t="array" aca="1" ref="I1028" ca="1">IF(F1028&lt;&gt;"",IF(OR(G1028="Bill Accounts",G1028="Investments", G1028="Cash Accounts"),INDIRECT("'"&amp;F1028&amp;"'!$C$10"),INDIRECT("'"&amp;F1028&amp;"'!$C$8")),"")</f>
        <v/>
      </c>
      <c r="K1028" s="48">
        <f t="shared" si="48"/>
        <v>1034</v>
      </c>
      <c r="L1028" s="114" t="str" cm="1">
        <f t="array" aca="1" ref="L1028" ca="1">IF(F1028&lt;&gt;"",INDIRECT("'"&amp;F1028&amp;"'!$F$17"),"")</f>
        <v/>
      </c>
      <c r="M1028" s="116" t="str">
        <f t="shared" ref="M1028:M1091" ca="1" si="49">IF(G1028="Credit Accounts",EDATE(TODAY(),INDIRECT("'"&amp;F1028&amp;"'!$C$14")),"")</f>
        <v/>
      </c>
      <c r="O1028" s="49" t="str">
        <f t="shared" ref="O1028:O1091" ca="1" si="50">IF(D1028&lt;&gt;"",DAY(D1028),"")</f>
        <v/>
      </c>
      <c r="P1028" s="38" t="str">
        <f>IF(E1028&lt;&gt;"",RANK(E1028,$E$3:$E$2298)+COUNTIF($E$3:E1028,E1028)-1,"")</f>
        <v/>
      </c>
    </row>
    <row r="1029" spans="4:16" x14ac:dyDescent="0.25">
      <c r="D1029" s="36" t="str" cm="1">
        <f t="array" aca="1" ref="D1029" ca="1">IFERROR(IF(INDIRECT("'"&amp;F1029&amp;"'!$C$5")&gt;0,DATE(YEAR(Dashboard!$AL$2),Dashboard!$AU$4,INDIRECT("'"&amp;F1029&amp;"'!$C$5")),""),"")</f>
        <v/>
      </c>
      <c r="G1029" s="38" t="str" cm="1">
        <f t="array" aca="1" ref="G1029" ca="1">IF(F1029="",
    "",
    IFERROR(
        IF(INDIRECT("'"&amp;F1029&amp;"'!$B$2")="Credit Limit",
            "Credit Accounts",
            IF(INDIRECT("'"&amp;F1029&amp;"'!$E$2")="Location",
                "Cash Accounts",
                IF(INDIRECT("'"&amp;F1029&amp;"'!$B$2")="Amount",
                    "Investments",
                    "Bill Accounts"
                )
            )
        ),
    "")
)</f>
        <v/>
      </c>
      <c r="I1029" s="46" t="str" cm="1">
        <f t="array" aca="1" ref="I1029" ca="1">IF(F1029&lt;&gt;"",IF(OR(G1029="Bill Accounts",G1029="Investments", G1029="Cash Accounts"),INDIRECT("'"&amp;F1029&amp;"'!$C$10"),INDIRECT("'"&amp;F1029&amp;"'!$C$8")),"")</f>
        <v/>
      </c>
      <c r="K1029" s="48">
        <f t="shared" si="48"/>
        <v>1035</v>
      </c>
      <c r="L1029" s="114" t="str" cm="1">
        <f t="array" aca="1" ref="L1029" ca="1">IF(F1029&lt;&gt;"",INDIRECT("'"&amp;F1029&amp;"'!$F$17"),"")</f>
        <v/>
      </c>
      <c r="M1029" s="116" t="str">
        <f t="shared" ca="1" si="49"/>
        <v/>
      </c>
      <c r="O1029" s="49" t="str">
        <f t="shared" ca="1" si="50"/>
        <v/>
      </c>
      <c r="P1029" s="38" t="str">
        <f>IF(E1029&lt;&gt;"",RANK(E1029,$E$3:$E$2298)+COUNTIF($E$3:E1029,E1029)-1,"")</f>
        <v/>
      </c>
    </row>
    <row r="1030" spans="4:16" x14ac:dyDescent="0.25">
      <c r="D1030" s="36" t="str" cm="1">
        <f t="array" aca="1" ref="D1030" ca="1">IFERROR(IF(INDIRECT("'"&amp;F1030&amp;"'!$C$5")&gt;0,DATE(YEAR(Dashboard!$AL$2),Dashboard!$AU$4,INDIRECT("'"&amp;F1030&amp;"'!$C$5")),""),"")</f>
        <v/>
      </c>
      <c r="G1030" s="38" t="str" cm="1">
        <f t="array" aca="1" ref="G1030" ca="1">IF(F1030="",
    "",
    IFERROR(
        IF(INDIRECT("'"&amp;F1030&amp;"'!$B$2")="Credit Limit",
            "Credit Accounts",
            IF(INDIRECT("'"&amp;F1030&amp;"'!$E$2")="Location",
                "Cash Accounts",
                IF(INDIRECT("'"&amp;F1030&amp;"'!$B$2")="Amount",
                    "Investments",
                    "Bill Accounts"
                )
            )
        ),
    "")
)</f>
        <v/>
      </c>
      <c r="I1030" s="46" t="str" cm="1">
        <f t="array" aca="1" ref="I1030" ca="1">IF(F1030&lt;&gt;"",IF(OR(G1030="Bill Accounts",G1030="Investments", G1030="Cash Accounts"),INDIRECT("'"&amp;F1030&amp;"'!$C$10"),INDIRECT("'"&amp;F1030&amp;"'!$C$8")),"")</f>
        <v/>
      </c>
      <c r="K1030" s="48">
        <f t="shared" si="48"/>
        <v>1036</v>
      </c>
      <c r="L1030" s="114" t="str" cm="1">
        <f t="array" aca="1" ref="L1030" ca="1">IF(F1030&lt;&gt;"",INDIRECT("'"&amp;F1030&amp;"'!$F$17"),"")</f>
        <v/>
      </c>
      <c r="M1030" s="116" t="str">
        <f t="shared" ca="1" si="49"/>
        <v/>
      </c>
      <c r="O1030" s="49" t="str">
        <f t="shared" ca="1" si="50"/>
        <v/>
      </c>
      <c r="P1030" s="38" t="str">
        <f>IF(E1030&lt;&gt;"",RANK(E1030,$E$3:$E$2298)+COUNTIF($E$3:E1030,E1030)-1,"")</f>
        <v/>
      </c>
    </row>
    <row r="1031" spans="4:16" x14ac:dyDescent="0.25">
      <c r="D1031" s="36" t="str" cm="1">
        <f t="array" aca="1" ref="D1031" ca="1">IFERROR(IF(INDIRECT("'"&amp;F1031&amp;"'!$C$5")&gt;0,DATE(YEAR(Dashboard!$AL$2),Dashboard!$AU$4,INDIRECT("'"&amp;F1031&amp;"'!$C$5")),""),"")</f>
        <v/>
      </c>
      <c r="G1031" s="38" t="str" cm="1">
        <f t="array" aca="1" ref="G1031" ca="1">IF(F1031="",
    "",
    IFERROR(
        IF(INDIRECT("'"&amp;F1031&amp;"'!$B$2")="Credit Limit",
            "Credit Accounts",
            IF(INDIRECT("'"&amp;F1031&amp;"'!$E$2")="Location",
                "Cash Accounts",
                IF(INDIRECT("'"&amp;F1031&amp;"'!$B$2")="Amount",
                    "Investments",
                    "Bill Accounts"
                )
            )
        ),
    "")
)</f>
        <v/>
      </c>
      <c r="I1031" s="46" t="str" cm="1">
        <f t="array" aca="1" ref="I1031" ca="1">IF(F1031&lt;&gt;"",IF(OR(G1031="Bill Accounts",G1031="Investments", G1031="Cash Accounts"),INDIRECT("'"&amp;F1031&amp;"'!$C$10"),INDIRECT("'"&amp;F1031&amp;"'!$C$8")),"")</f>
        <v/>
      </c>
      <c r="K1031" s="48">
        <f t="shared" si="48"/>
        <v>1037</v>
      </c>
      <c r="L1031" s="114" t="str" cm="1">
        <f t="array" aca="1" ref="L1031" ca="1">IF(F1031&lt;&gt;"",INDIRECT("'"&amp;F1031&amp;"'!$F$17"),"")</f>
        <v/>
      </c>
      <c r="M1031" s="116" t="str">
        <f t="shared" ca="1" si="49"/>
        <v/>
      </c>
      <c r="O1031" s="49" t="str">
        <f t="shared" ca="1" si="50"/>
        <v/>
      </c>
      <c r="P1031" s="38" t="str">
        <f>IF(E1031&lt;&gt;"",RANK(E1031,$E$3:$E$2298)+COUNTIF($E$3:E1031,E1031)-1,"")</f>
        <v/>
      </c>
    </row>
    <row r="1032" spans="4:16" x14ac:dyDescent="0.25">
      <c r="D1032" s="36" t="str" cm="1">
        <f t="array" aca="1" ref="D1032" ca="1">IFERROR(IF(INDIRECT("'"&amp;F1032&amp;"'!$C$5")&gt;0,DATE(YEAR(Dashboard!$AL$2),Dashboard!$AU$4,INDIRECT("'"&amp;F1032&amp;"'!$C$5")),""),"")</f>
        <v/>
      </c>
      <c r="G1032" s="38" t="str" cm="1">
        <f t="array" aca="1" ref="G1032" ca="1">IF(F1032="",
    "",
    IFERROR(
        IF(INDIRECT("'"&amp;F1032&amp;"'!$B$2")="Credit Limit",
            "Credit Accounts",
            IF(INDIRECT("'"&amp;F1032&amp;"'!$E$2")="Location",
                "Cash Accounts",
                IF(INDIRECT("'"&amp;F1032&amp;"'!$B$2")="Amount",
                    "Investments",
                    "Bill Accounts"
                )
            )
        ),
    "")
)</f>
        <v/>
      </c>
      <c r="I1032" s="46" t="str" cm="1">
        <f t="array" aca="1" ref="I1032" ca="1">IF(F1032&lt;&gt;"",IF(OR(G1032="Bill Accounts",G1032="Investments", G1032="Cash Accounts"),INDIRECT("'"&amp;F1032&amp;"'!$C$10"),INDIRECT("'"&amp;F1032&amp;"'!$C$8")),"")</f>
        <v/>
      </c>
      <c r="K1032" s="48">
        <f t="shared" ref="K1032:K1095" si="51">SUM(K1031+1)</f>
        <v>1038</v>
      </c>
      <c r="L1032" s="114" t="str" cm="1">
        <f t="array" aca="1" ref="L1032" ca="1">IF(F1032&lt;&gt;"",INDIRECT("'"&amp;F1032&amp;"'!$F$17"),"")</f>
        <v/>
      </c>
      <c r="M1032" s="116" t="str">
        <f t="shared" ca="1" si="49"/>
        <v/>
      </c>
      <c r="O1032" s="49" t="str">
        <f t="shared" ca="1" si="50"/>
        <v/>
      </c>
      <c r="P1032" s="38" t="str">
        <f>IF(E1032&lt;&gt;"",RANK(E1032,$E$3:$E$2298)+COUNTIF($E$3:E1032,E1032)-1,"")</f>
        <v/>
      </c>
    </row>
    <row r="1033" spans="4:16" x14ac:dyDescent="0.25">
      <c r="D1033" s="36" t="str" cm="1">
        <f t="array" aca="1" ref="D1033" ca="1">IFERROR(IF(INDIRECT("'"&amp;F1033&amp;"'!$C$5")&gt;0,DATE(YEAR(Dashboard!$AL$2),Dashboard!$AU$4,INDIRECT("'"&amp;F1033&amp;"'!$C$5")),""),"")</f>
        <v/>
      </c>
      <c r="G1033" s="38" t="str" cm="1">
        <f t="array" aca="1" ref="G1033" ca="1">IF(F1033="",
    "",
    IFERROR(
        IF(INDIRECT("'"&amp;F1033&amp;"'!$B$2")="Credit Limit",
            "Credit Accounts",
            IF(INDIRECT("'"&amp;F1033&amp;"'!$E$2")="Location",
                "Cash Accounts",
                IF(INDIRECT("'"&amp;F1033&amp;"'!$B$2")="Amount",
                    "Investments",
                    "Bill Accounts"
                )
            )
        ),
    "")
)</f>
        <v/>
      </c>
      <c r="I1033" s="46" t="str" cm="1">
        <f t="array" aca="1" ref="I1033" ca="1">IF(F1033&lt;&gt;"",IF(OR(G1033="Bill Accounts",G1033="Investments", G1033="Cash Accounts"),INDIRECT("'"&amp;F1033&amp;"'!$C$10"),INDIRECT("'"&amp;F1033&amp;"'!$C$8")),"")</f>
        <v/>
      </c>
      <c r="K1033" s="48">
        <f t="shared" si="51"/>
        <v>1039</v>
      </c>
      <c r="L1033" s="114" t="str" cm="1">
        <f t="array" aca="1" ref="L1033" ca="1">IF(F1033&lt;&gt;"",INDIRECT("'"&amp;F1033&amp;"'!$F$17"),"")</f>
        <v/>
      </c>
      <c r="M1033" s="116" t="str">
        <f t="shared" ca="1" si="49"/>
        <v/>
      </c>
      <c r="O1033" s="49" t="str">
        <f t="shared" ca="1" si="50"/>
        <v/>
      </c>
      <c r="P1033" s="38" t="str">
        <f>IF(E1033&lt;&gt;"",RANK(E1033,$E$3:$E$2298)+COUNTIF($E$3:E1033,E1033)-1,"")</f>
        <v/>
      </c>
    </row>
    <row r="1034" spans="4:16" x14ac:dyDescent="0.25">
      <c r="D1034" s="36" t="str" cm="1">
        <f t="array" aca="1" ref="D1034" ca="1">IFERROR(IF(INDIRECT("'"&amp;F1034&amp;"'!$C$5")&gt;0,DATE(YEAR(Dashboard!$AL$2),Dashboard!$AU$4,INDIRECT("'"&amp;F1034&amp;"'!$C$5")),""),"")</f>
        <v/>
      </c>
      <c r="G1034" s="38" t="str" cm="1">
        <f t="array" aca="1" ref="G1034" ca="1">IF(F1034="",
    "",
    IFERROR(
        IF(INDIRECT("'"&amp;F1034&amp;"'!$B$2")="Credit Limit",
            "Credit Accounts",
            IF(INDIRECT("'"&amp;F1034&amp;"'!$E$2")="Location",
                "Cash Accounts",
                IF(INDIRECT("'"&amp;F1034&amp;"'!$B$2")="Amount",
                    "Investments",
                    "Bill Accounts"
                )
            )
        ),
    "")
)</f>
        <v/>
      </c>
      <c r="I1034" s="46" t="str" cm="1">
        <f t="array" aca="1" ref="I1034" ca="1">IF(F1034&lt;&gt;"",IF(OR(G1034="Bill Accounts",G1034="Investments", G1034="Cash Accounts"),INDIRECT("'"&amp;F1034&amp;"'!$C$10"),INDIRECT("'"&amp;F1034&amp;"'!$C$8")),"")</f>
        <v/>
      </c>
      <c r="K1034" s="48">
        <f t="shared" si="51"/>
        <v>1040</v>
      </c>
      <c r="L1034" s="114" t="str" cm="1">
        <f t="array" aca="1" ref="L1034" ca="1">IF(F1034&lt;&gt;"",INDIRECT("'"&amp;F1034&amp;"'!$F$17"),"")</f>
        <v/>
      </c>
      <c r="M1034" s="116" t="str">
        <f t="shared" ca="1" si="49"/>
        <v/>
      </c>
      <c r="O1034" s="49" t="str">
        <f t="shared" ca="1" si="50"/>
        <v/>
      </c>
      <c r="P1034" s="38" t="str">
        <f>IF(E1034&lt;&gt;"",RANK(E1034,$E$3:$E$2298)+COUNTIF($E$3:E1034,E1034)-1,"")</f>
        <v/>
      </c>
    </row>
    <row r="1035" spans="4:16" x14ac:dyDescent="0.25">
      <c r="D1035" s="36" t="str" cm="1">
        <f t="array" aca="1" ref="D1035" ca="1">IFERROR(IF(INDIRECT("'"&amp;F1035&amp;"'!$C$5")&gt;0,DATE(YEAR(Dashboard!$AL$2),Dashboard!$AU$4,INDIRECT("'"&amp;F1035&amp;"'!$C$5")),""),"")</f>
        <v/>
      </c>
      <c r="G1035" s="38" t="str" cm="1">
        <f t="array" aca="1" ref="G1035" ca="1">IF(F1035="",
    "",
    IFERROR(
        IF(INDIRECT("'"&amp;F1035&amp;"'!$B$2")="Credit Limit",
            "Credit Accounts",
            IF(INDIRECT("'"&amp;F1035&amp;"'!$E$2")="Location",
                "Cash Accounts",
                IF(INDIRECT("'"&amp;F1035&amp;"'!$B$2")="Amount",
                    "Investments",
                    "Bill Accounts"
                )
            )
        ),
    "")
)</f>
        <v/>
      </c>
      <c r="I1035" s="46" t="str" cm="1">
        <f t="array" aca="1" ref="I1035" ca="1">IF(F1035&lt;&gt;"",IF(OR(G1035="Bill Accounts",G1035="Investments", G1035="Cash Accounts"),INDIRECT("'"&amp;F1035&amp;"'!$C$10"),INDIRECT("'"&amp;F1035&amp;"'!$C$8")),"")</f>
        <v/>
      </c>
      <c r="K1035" s="48">
        <f t="shared" si="51"/>
        <v>1041</v>
      </c>
      <c r="L1035" s="114" t="str" cm="1">
        <f t="array" aca="1" ref="L1035" ca="1">IF(F1035&lt;&gt;"",INDIRECT("'"&amp;F1035&amp;"'!$F$17"),"")</f>
        <v/>
      </c>
      <c r="M1035" s="116" t="str">
        <f t="shared" ca="1" si="49"/>
        <v/>
      </c>
      <c r="O1035" s="49" t="str">
        <f t="shared" ca="1" si="50"/>
        <v/>
      </c>
      <c r="P1035" s="38" t="str">
        <f>IF(E1035&lt;&gt;"",RANK(E1035,$E$3:$E$2298)+COUNTIF($E$3:E1035,E1035)-1,"")</f>
        <v/>
      </c>
    </row>
    <row r="1036" spans="4:16" x14ac:dyDescent="0.25">
      <c r="D1036" s="36" t="str" cm="1">
        <f t="array" aca="1" ref="D1036" ca="1">IFERROR(IF(INDIRECT("'"&amp;F1036&amp;"'!$C$5")&gt;0,DATE(YEAR(Dashboard!$AL$2),Dashboard!$AU$4,INDIRECT("'"&amp;F1036&amp;"'!$C$5")),""),"")</f>
        <v/>
      </c>
      <c r="G1036" s="38" t="str" cm="1">
        <f t="array" aca="1" ref="G1036" ca="1">IF(F1036="",
    "",
    IFERROR(
        IF(INDIRECT("'"&amp;F1036&amp;"'!$B$2")="Credit Limit",
            "Credit Accounts",
            IF(INDIRECT("'"&amp;F1036&amp;"'!$E$2")="Location",
                "Cash Accounts",
                IF(INDIRECT("'"&amp;F1036&amp;"'!$B$2")="Amount",
                    "Investments",
                    "Bill Accounts"
                )
            )
        ),
    "")
)</f>
        <v/>
      </c>
      <c r="I1036" s="46" t="str" cm="1">
        <f t="array" aca="1" ref="I1036" ca="1">IF(F1036&lt;&gt;"",IF(OR(G1036="Bill Accounts",G1036="Investments", G1036="Cash Accounts"),INDIRECT("'"&amp;F1036&amp;"'!$C$10"),INDIRECT("'"&amp;F1036&amp;"'!$C$8")),"")</f>
        <v/>
      </c>
      <c r="K1036" s="48">
        <f t="shared" si="51"/>
        <v>1042</v>
      </c>
      <c r="L1036" s="114" t="str" cm="1">
        <f t="array" aca="1" ref="L1036" ca="1">IF(F1036&lt;&gt;"",INDIRECT("'"&amp;F1036&amp;"'!$F$17"),"")</f>
        <v/>
      </c>
      <c r="M1036" s="116" t="str">
        <f t="shared" ca="1" si="49"/>
        <v/>
      </c>
      <c r="O1036" s="49" t="str">
        <f t="shared" ca="1" si="50"/>
        <v/>
      </c>
      <c r="P1036" s="38" t="str">
        <f>IF(E1036&lt;&gt;"",RANK(E1036,$E$3:$E$2298)+COUNTIF($E$3:E1036,E1036)-1,"")</f>
        <v/>
      </c>
    </row>
    <row r="1037" spans="4:16" x14ac:dyDescent="0.25">
      <c r="D1037" s="36" t="str" cm="1">
        <f t="array" aca="1" ref="D1037" ca="1">IFERROR(IF(INDIRECT("'"&amp;F1037&amp;"'!$C$5")&gt;0,DATE(YEAR(Dashboard!$AL$2),Dashboard!$AU$4,INDIRECT("'"&amp;F1037&amp;"'!$C$5")),""),"")</f>
        <v/>
      </c>
      <c r="G1037" s="38" t="str" cm="1">
        <f t="array" aca="1" ref="G1037" ca="1">IF(F1037="",
    "",
    IFERROR(
        IF(INDIRECT("'"&amp;F1037&amp;"'!$B$2")="Credit Limit",
            "Credit Accounts",
            IF(INDIRECT("'"&amp;F1037&amp;"'!$E$2")="Location",
                "Cash Accounts",
                IF(INDIRECT("'"&amp;F1037&amp;"'!$B$2")="Amount",
                    "Investments",
                    "Bill Accounts"
                )
            )
        ),
    "")
)</f>
        <v/>
      </c>
      <c r="I1037" s="46" t="str" cm="1">
        <f t="array" aca="1" ref="I1037" ca="1">IF(F1037&lt;&gt;"",IF(OR(G1037="Bill Accounts",G1037="Investments", G1037="Cash Accounts"),INDIRECT("'"&amp;F1037&amp;"'!$C$10"),INDIRECT("'"&amp;F1037&amp;"'!$C$8")),"")</f>
        <v/>
      </c>
      <c r="K1037" s="48">
        <f t="shared" si="51"/>
        <v>1043</v>
      </c>
      <c r="L1037" s="114" t="str" cm="1">
        <f t="array" aca="1" ref="L1037" ca="1">IF(F1037&lt;&gt;"",INDIRECT("'"&amp;F1037&amp;"'!$F$17"),"")</f>
        <v/>
      </c>
      <c r="M1037" s="116" t="str">
        <f t="shared" ca="1" si="49"/>
        <v/>
      </c>
      <c r="O1037" s="49" t="str">
        <f t="shared" ca="1" si="50"/>
        <v/>
      </c>
      <c r="P1037" s="38" t="str">
        <f>IF(E1037&lt;&gt;"",RANK(E1037,$E$3:$E$2298)+COUNTIF($E$3:E1037,E1037)-1,"")</f>
        <v/>
      </c>
    </row>
    <row r="1038" spans="4:16" x14ac:dyDescent="0.25">
      <c r="D1038" s="36" t="str" cm="1">
        <f t="array" aca="1" ref="D1038" ca="1">IFERROR(IF(INDIRECT("'"&amp;F1038&amp;"'!$C$5")&gt;0,DATE(YEAR(Dashboard!$AL$2),Dashboard!$AU$4,INDIRECT("'"&amp;F1038&amp;"'!$C$5")),""),"")</f>
        <v/>
      </c>
      <c r="G1038" s="38" t="str" cm="1">
        <f t="array" aca="1" ref="G1038" ca="1">IF(F1038="",
    "",
    IFERROR(
        IF(INDIRECT("'"&amp;F1038&amp;"'!$B$2")="Credit Limit",
            "Credit Accounts",
            IF(INDIRECT("'"&amp;F1038&amp;"'!$E$2")="Location",
                "Cash Accounts",
                IF(INDIRECT("'"&amp;F1038&amp;"'!$B$2")="Amount",
                    "Investments",
                    "Bill Accounts"
                )
            )
        ),
    "")
)</f>
        <v/>
      </c>
      <c r="I1038" s="46" t="str" cm="1">
        <f t="array" aca="1" ref="I1038" ca="1">IF(F1038&lt;&gt;"",IF(OR(G1038="Bill Accounts",G1038="Investments", G1038="Cash Accounts"),INDIRECT("'"&amp;F1038&amp;"'!$C$10"),INDIRECT("'"&amp;F1038&amp;"'!$C$8")),"")</f>
        <v/>
      </c>
      <c r="K1038" s="48">
        <f t="shared" si="51"/>
        <v>1044</v>
      </c>
      <c r="L1038" s="114" t="str" cm="1">
        <f t="array" aca="1" ref="L1038" ca="1">IF(F1038&lt;&gt;"",INDIRECT("'"&amp;F1038&amp;"'!$F$17"),"")</f>
        <v/>
      </c>
      <c r="M1038" s="116" t="str">
        <f t="shared" ca="1" si="49"/>
        <v/>
      </c>
      <c r="O1038" s="49" t="str">
        <f t="shared" ca="1" si="50"/>
        <v/>
      </c>
      <c r="P1038" s="38" t="str">
        <f>IF(E1038&lt;&gt;"",RANK(E1038,$E$3:$E$2298)+COUNTIF($E$3:E1038,E1038)-1,"")</f>
        <v/>
      </c>
    </row>
    <row r="1039" spans="4:16" x14ac:dyDescent="0.25">
      <c r="D1039" s="36" t="str" cm="1">
        <f t="array" aca="1" ref="D1039" ca="1">IFERROR(IF(INDIRECT("'"&amp;F1039&amp;"'!$C$5")&gt;0,DATE(YEAR(Dashboard!$AL$2),Dashboard!$AU$4,INDIRECT("'"&amp;F1039&amp;"'!$C$5")),""),"")</f>
        <v/>
      </c>
      <c r="G1039" s="38" t="str" cm="1">
        <f t="array" aca="1" ref="G1039" ca="1">IF(F1039="",
    "",
    IFERROR(
        IF(INDIRECT("'"&amp;F1039&amp;"'!$B$2")="Credit Limit",
            "Credit Accounts",
            IF(INDIRECT("'"&amp;F1039&amp;"'!$E$2")="Location",
                "Cash Accounts",
                IF(INDIRECT("'"&amp;F1039&amp;"'!$B$2")="Amount",
                    "Investments",
                    "Bill Accounts"
                )
            )
        ),
    "")
)</f>
        <v/>
      </c>
      <c r="I1039" s="46" t="str" cm="1">
        <f t="array" aca="1" ref="I1039" ca="1">IF(F1039&lt;&gt;"",IF(OR(G1039="Bill Accounts",G1039="Investments", G1039="Cash Accounts"),INDIRECT("'"&amp;F1039&amp;"'!$C$10"),INDIRECT("'"&amp;F1039&amp;"'!$C$8")),"")</f>
        <v/>
      </c>
      <c r="K1039" s="48">
        <f t="shared" si="51"/>
        <v>1045</v>
      </c>
      <c r="L1039" s="114" t="str" cm="1">
        <f t="array" aca="1" ref="L1039" ca="1">IF(F1039&lt;&gt;"",INDIRECT("'"&amp;F1039&amp;"'!$F$17"),"")</f>
        <v/>
      </c>
      <c r="M1039" s="116" t="str">
        <f t="shared" ca="1" si="49"/>
        <v/>
      </c>
      <c r="O1039" s="49" t="str">
        <f t="shared" ca="1" si="50"/>
        <v/>
      </c>
      <c r="P1039" s="38" t="str">
        <f>IF(E1039&lt;&gt;"",RANK(E1039,$E$3:$E$2298)+COUNTIF($E$3:E1039,E1039)-1,"")</f>
        <v/>
      </c>
    </row>
    <row r="1040" spans="4:16" x14ac:dyDescent="0.25">
      <c r="D1040" s="36" t="str" cm="1">
        <f t="array" aca="1" ref="D1040" ca="1">IFERROR(IF(INDIRECT("'"&amp;F1040&amp;"'!$C$5")&gt;0,DATE(YEAR(Dashboard!$AL$2),Dashboard!$AU$4,INDIRECT("'"&amp;F1040&amp;"'!$C$5")),""),"")</f>
        <v/>
      </c>
      <c r="G1040" s="38" t="str" cm="1">
        <f t="array" aca="1" ref="G1040" ca="1">IF(F1040="",
    "",
    IFERROR(
        IF(INDIRECT("'"&amp;F1040&amp;"'!$B$2")="Credit Limit",
            "Credit Accounts",
            IF(INDIRECT("'"&amp;F1040&amp;"'!$E$2")="Location",
                "Cash Accounts",
                IF(INDIRECT("'"&amp;F1040&amp;"'!$B$2")="Amount",
                    "Investments",
                    "Bill Accounts"
                )
            )
        ),
    "")
)</f>
        <v/>
      </c>
      <c r="I1040" s="46" t="str" cm="1">
        <f t="array" aca="1" ref="I1040" ca="1">IF(F1040&lt;&gt;"",IF(OR(G1040="Bill Accounts",G1040="Investments", G1040="Cash Accounts"),INDIRECT("'"&amp;F1040&amp;"'!$C$10"),INDIRECT("'"&amp;F1040&amp;"'!$C$8")),"")</f>
        <v/>
      </c>
      <c r="K1040" s="48">
        <f t="shared" si="51"/>
        <v>1046</v>
      </c>
      <c r="L1040" s="114" t="str" cm="1">
        <f t="array" aca="1" ref="L1040" ca="1">IF(F1040&lt;&gt;"",INDIRECT("'"&amp;F1040&amp;"'!$F$17"),"")</f>
        <v/>
      </c>
      <c r="M1040" s="116" t="str">
        <f t="shared" ca="1" si="49"/>
        <v/>
      </c>
      <c r="O1040" s="49" t="str">
        <f t="shared" ca="1" si="50"/>
        <v/>
      </c>
      <c r="P1040" s="38" t="str">
        <f>IF(E1040&lt;&gt;"",RANK(E1040,$E$3:$E$2298)+COUNTIF($E$3:E1040,E1040)-1,"")</f>
        <v/>
      </c>
    </row>
    <row r="1041" spans="4:16" x14ac:dyDescent="0.25">
      <c r="D1041" s="36" t="str" cm="1">
        <f t="array" aca="1" ref="D1041" ca="1">IFERROR(IF(INDIRECT("'"&amp;F1041&amp;"'!$C$5")&gt;0,DATE(YEAR(Dashboard!$AL$2),Dashboard!$AU$4,INDIRECT("'"&amp;F1041&amp;"'!$C$5")),""),"")</f>
        <v/>
      </c>
      <c r="G1041" s="38" t="str" cm="1">
        <f t="array" aca="1" ref="G1041" ca="1">IF(F1041="",
    "",
    IFERROR(
        IF(INDIRECT("'"&amp;F1041&amp;"'!$B$2")="Credit Limit",
            "Credit Accounts",
            IF(INDIRECT("'"&amp;F1041&amp;"'!$E$2")="Location",
                "Cash Accounts",
                IF(INDIRECT("'"&amp;F1041&amp;"'!$B$2")="Amount",
                    "Investments",
                    "Bill Accounts"
                )
            )
        ),
    "")
)</f>
        <v/>
      </c>
      <c r="I1041" s="46" t="str" cm="1">
        <f t="array" aca="1" ref="I1041" ca="1">IF(F1041&lt;&gt;"",IF(OR(G1041="Bill Accounts",G1041="Investments", G1041="Cash Accounts"),INDIRECT("'"&amp;F1041&amp;"'!$C$10"),INDIRECT("'"&amp;F1041&amp;"'!$C$8")),"")</f>
        <v/>
      </c>
      <c r="K1041" s="48">
        <f t="shared" si="51"/>
        <v>1047</v>
      </c>
      <c r="L1041" s="114" t="str" cm="1">
        <f t="array" aca="1" ref="L1041" ca="1">IF(F1041&lt;&gt;"",INDIRECT("'"&amp;F1041&amp;"'!$F$17"),"")</f>
        <v/>
      </c>
      <c r="M1041" s="116" t="str">
        <f t="shared" ca="1" si="49"/>
        <v/>
      </c>
      <c r="O1041" s="49" t="str">
        <f t="shared" ca="1" si="50"/>
        <v/>
      </c>
      <c r="P1041" s="38" t="str">
        <f>IF(E1041&lt;&gt;"",RANK(E1041,$E$3:$E$2298)+COUNTIF($E$3:E1041,E1041)-1,"")</f>
        <v/>
      </c>
    </row>
    <row r="1042" spans="4:16" x14ac:dyDescent="0.25">
      <c r="D1042" s="36" t="str" cm="1">
        <f t="array" aca="1" ref="D1042" ca="1">IFERROR(IF(INDIRECT("'"&amp;F1042&amp;"'!$C$5")&gt;0,DATE(YEAR(Dashboard!$AL$2),Dashboard!$AU$4,INDIRECT("'"&amp;F1042&amp;"'!$C$5")),""),"")</f>
        <v/>
      </c>
      <c r="G1042" s="38" t="str" cm="1">
        <f t="array" aca="1" ref="G1042" ca="1">IF(F1042="",
    "",
    IFERROR(
        IF(INDIRECT("'"&amp;F1042&amp;"'!$B$2")="Credit Limit",
            "Credit Accounts",
            IF(INDIRECT("'"&amp;F1042&amp;"'!$E$2")="Location",
                "Cash Accounts",
                IF(INDIRECT("'"&amp;F1042&amp;"'!$B$2")="Amount",
                    "Investments",
                    "Bill Accounts"
                )
            )
        ),
    "")
)</f>
        <v/>
      </c>
      <c r="I1042" s="46" t="str" cm="1">
        <f t="array" aca="1" ref="I1042" ca="1">IF(F1042&lt;&gt;"",IF(OR(G1042="Bill Accounts",G1042="Investments", G1042="Cash Accounts"),INDIRECT("'"&amp;F1042&amp;"'!$C$10"),INDIRECT("'"&amp;F1042&amp;"'!$C$8")),"")</f>
        <v/>
      </c>
      <c r="K1042" s="48">
        <f t="shared" si="51"/>
        <v>1048</v>
      </c>
      <c r="L1042" s="114" t="str" cm="1">
        <f t="array" aca="1" ref="L1042" ca="1">IF(F1042&lt;&gt;"",INDIRECT("'"&amp;F1042&amp;"'!$F$17"),"")</f>
        <v/>
      </c>
      <c r="M1042" s="116" t="str">
        <f t="shared" ca="1" si="49"/>
        <v/>
      </c>
      <c r="O1042" s="49" t="str">
        <f t="shared" ca="1" si="50"/>
        <v/>
      </c>
      <c r="P1042" s="38" t="str">
        <f>IF(E1042&lt;&gt;"",RANK(E1042,$E$3:$E$2298)+COUNTIF($E$3:E1042,E1042)-1,"")</f>
        <v/>
      </c>
    </row>
    <row r="1043" spans="4:16" x14ac:dyDescent="0.25">
      <c r="D1043" s="36" t="str" cm="1">
        <f t="array" aca="1" ref="D1043" ca="1">IFERROR(IF(INDIRECT("'"&amp;F1043&amp;"'!$C$5")&gt;0,DATE(YEAR(Dashboard!$AL$2),Dashboard!$AU$4,INDIRECT("'"&amp;F1043&amp;"'!$C$5")),""),"")</f>
        <v/>
      </c>
      <c r="G1043" s="38" t="str" cm="1">
        <f t="array" aca="1" ref="G1043" ca="1">IF(F1043="",
    "",
    IFERROR(
        IF(INDIRECT("'"&amp;F1043&amp;"'!$B$2")="Credit Limit",
            "Credit Accounts",
            IF(INDIRECT("'"&amp;F1043&amp;"'!$E$2")="Location",
                "Cash Accounts",
                IF(INDIRECT("'"&amp;F1043&amp;"'!$B$2")="Amount",
                    "Investments",
                    "Bill Accounts"
                )
            )
        ),
    "")
)</f>
        <v/>
      </c>
      <c r="I1043" s="46" t="str" cm="1">
        <f t="array" aca="1" ref="I1043" ca="1">IF(F1043&lt;&gt;"",IF(OR(G1043="Bill Accounts",G1043="Investments", G1043="Cash Accounts"),INDIRECT("'"&amp;F1043&amp;"'!$C$10"),INDIRECT("'"&amp;F1043&amp;"'!$C$8")),"")</f>
        <v/>
      </c>
      <c r="K1043" s="48">
        <f t="shared" si="51"/>
        <v>1049</v>
      </c>
      <c r="L1043" s="114" t="str" cm="1">
        <f t="array" aca="1" ref="L1043" ca="1">IF(F1043&lt;&gt;"",INDIRECT("'"&amp;F1043&amp;"'!$F$17"),"")</f>
        <v/>
      </c>
      <c r="M1043" s="116" t="str">
        <f t="shared" ca="1" si="49"/>
        <v/>
      </c>
      <c r="O1043" s="49" t="str">
        <f t="shared" ca="1" si="50"/>
        <v/>
      </c>
      <c r="P1043" s="38" t="str">
        <f>IF(E1043&lt;&gt;"",RANK(E1043,$E$3:$E$2298)+COUNTIF($E$3:E1043,E1043)-1,"")</f>
        <v/>
      </c>
    </row>
    <row r="1044" spans="4:16" x14ac:dyDescent="0.25">
      <c r="D1044" s="36" t="str" cm="1">
        <f t="array" aca="1" ref="D1044" ca="1">IFERROR(IF(INDIRECT("'"&amp;F1044&amp;"'!$C$5")&gt;0,DATE(YEAR(Dashboard!$AL$2),Dashboard!$AU$4,INDIRECT("'"&amp;F1044&amp;"'!$C$5")),""),"")</f>
        <v/>
      </c>
      <c r="G1044" s="38" t="str" cm="1">
        <f t="array" aca="1" ref="G1044" ca="1">IF(F1044="",
    "",
    IFERROR(
        IF(INDIRECT("'"&amp;F1044&amp;"'!$B$2")="Credit Limit",
            "Credit Accounts",
            IF(INDIRECT("'"&amp;F1044&amp;"'!$E$2")="Location",
                "Cash Accounts",
                IF(INDIRECT("'"&amp;F1044&amp;"'!$B$2")="Amount",
                    "Investments",
                    "Bill Accounts"
                )
            )
        ),
    "")
)</f>
        <v/>
      </c>
      <c r="I1044" s="46" t="str" cm="1">
        <f t="array" aca="1" ref="I1044" ca="1">IF(F1044&lt;&gt;"",IF(OR(G1044="Bill Accounts",G1044="Investments", G1044="Cash Accounts"),INDIRECT("'"&amp;F1044&amp;"'!$C$10"),INDIRECT("'"&amp;F1044&amp;"'!$C$8")),"")</f>
        <v/>
      </c>
      <c r="K1044" s="48">
        <f t="shared" si="51"/>
        <v>1050</v>
      </c>
      <c r="L1044" s="114" t="str" cm="1">
        <f t="array" aca="1" ref="L1044" ca="1">IF(F1044&lt;&gt;"",INDIRECT("'"&amp;F1044&amp;"'!$F$17"),"")</f>
        <v/>
      </c>
      <c r="M1044" s="116" t="str">
        <f t="shared" ca="1" si="49"/>
        <v/>
      </c>
      <c r="O1044" s="49" t="str">
        <f t="shared" ca="1" si="50"/>
        <v/>
      </c>
      <c r="P1044" s="38" t="str">
        <f>IF(E1044&lt;&gt;"",RANK(E1044,$E$3:$E$2298)+COUNTIF($E$3:E1044,E1044)-1,"")</f>
        <v/>
      </c>
    </row>
    <row r="1045" spans="4:16" x14ac:dyDescent="0.25">
      <c r="D1045" s="36" t="str" cm="1">
        <f t="array" aca="1" ref="D1045" ca="1">IFERROR(IF(INDIRECT("'"&amp;F1045&amp;"'!$C$5")&gt;0,DATE(YEAR(Dashboard!$AL$2),Dashboard!$AU$4,INDIRECT("'"&amp;F1045&amp;"'!$C$5")),""),"")</f>
        <v/>
      </c>
      <c r="G1045" s="38" t="str" cm="1">
        <f t="array" aca="1" ref="G1045" ca="1">IF(F1045="",
    "",
    IFERROR(
        IF(INDIRECT("'"&amp;F1045&amp;"'!$B$2")="Credit Limit",
            "Credit Accounts",
            IF(INDIRECT("'"&amp;F1045&amp;"'!$E$2")="Location",
                "Cash Accounts",
                IF(INDIRECT("'"&amp;F1045&amp;"'!$B$2")="Amount",
                    "Investments",
                    "Bill Accounts"
                )
            )
        ),
    "")
)</f>
        <v/>
      </c>
      <c r="I1045" s="46" t="str" cm="1">
        <f t="array" aca="1" ref="I1045" ca="1">IF(F1045&lt;&gt;"",IF(OR(G1045="Bill Accounts",G1045="Investments", G1045="Cash Accounts"),INDIRECT("'"&amp;F1045&amp;"'!$C$10"),INDIRECT("'"&amp;F1045&amp;"'!$C$8")),"")</f>
        <v/>
      </c>
      <c r="K1045" s="48">
        <f t="shared" si="51"/>
        <v>1051</v>
      </c>
      <c r="L1045" s="114" t="str" cm="1">
        <f t="array" aca="1" ref="L1045" ca="1">IF(F1045&lt;&gt;"",INDIRECT("'"&amp;F1045&amp;"'!$F$17"),"")</f>
        <v/>
      </c>
      <c r="M1045" s="116" t="str">
        <f t="shared" ca="1" si="49"/>
        <v/>
      </c>
      <c r="O1045" s="49" t="str">
        <f t="shared" ca="1" si="50"/>
        <v/>
      </c>
      <c r="P1045" s="38" t="str">
        <f>IF(E1045&lt;&gt;"",RANK(E1045,$E$3:$E$2298)+COUNTIF($E$3:E1045,E1045)-1,"")</f>
        <v/>
      </c>
    </row>
    <row r="1046" spans="4:16" x14ac:dyDescent="0.25">
      <c r="D1046" s="36" t="str" cm="1">
        <f t="array" aca="1" ref="D1046" ca="1">IFERROR(IF(INDIRECT("'"&amp;F1046&amp;"'!$C$5")&gt;0,DATE(YEAR(Dashboard!$AL$2),Dashboard!$AU$4,INDIRECT("'"&amp;F1046&amp;"'!$C$5")),""),"")</f>
        <v/>
      </c>
      <c r="G1046" s="38" t="str" cm="1">
        <f t="array" aca="1" ref="G1046" ca="1">IF(F1046="",
    "",
    IFERROR(
        IF(INDIRECT("'"&amp;F1046&amp;"'!$B$2")="Credit Limit",
            "Credit Accounts",
            IF(INDIRECT("'"&amp;F1046&amp;"'!$E$2")="Location",
                "Cash Accounts",
                IF(INDIRECT("'"&amp;F1046&amp;"'!$B$2")="Amount",
                    "Investments",
                    "Bill Accounts"
                )
            )
        ),
    "")
)</f>
        <v/>
      </c>
      <c r="I1046" s="46" t="str" cm="1">
        <f t="array" aca="1" ref="I1046" ca="1">IF(F1046&lt;&gt;"",IF(OR(G1046="Bill Accounts",G1046="Investments", G1046="Cash Accounts"),INDIRECT("'"&amp;F1046&amp;"'!$C$10"),INDIRECT("'"&amp;F1046&amp;"'!$C$8")),"")</f>
        <v/>
      </c>
      <c r="K1046" s="48">
        <f t="shared" si="51"/>
        <v>1052</v>
      </c>
      <c r="L1046" s="114" t="str" cm="1">
        <f t="array" aca="1" ref="L1046" ca="1">IF(F1046&lt;&gt;"",INDIRECT("'"&amp;F1046&amp;"'!$F$17"),"")</f>
        <v/>
      </c>
      <c r="M1046" s="116" t="str">
        <f t="shared" ca="1" si="49"/>
        <v/>
      </c>
      <c r="O1046" s="49" t="str">
        <f t="shared" ca="1" si="50"/>
        <v/>
      </c>
      <c r="P1046" s="38" t="str">
        <f>IF(E1046&lt;&gt;"",RANK(E1046,$E$3:$E$2298)+COUNTIF($E$3:E1046,E1046)-1,"")</f>
        <v/>
      </c>
    </row>
    <row r="1047" spans="4:16" x14ac:dyDescent="0.25">
      <c r="D1047" s="36" t="str" cm="1">
        <f t="array" aca="1" ref="D1047" ca="1">IFERROR(IF(INDIRECT("'"&amp;F1047&amp;"'!$C$5")&gt;0,DATE(YEAR(Dashboard!$AL$2),Dashboard!$AU$4,INDIRECT("'"&amp;F1047&amp;"'!$C$5")),""),"")</f>
        <v/>
      </c>
      <c r="G1047" s="38" t="str" cm="1">
        <f t="array" aca="1" ref="G1047" ca="1">IF(F1047="",
    "",
    IFERROR(
        IF(INDIRECT("'"&amp;F1047&amp;"'!$B$2")="Credit Limit",
            "Credit Accounts",
            IF(INDIRECT("'"&amp;F1047&amp;"'!$E$2")="Location",
                "Cash Accounts",
                IF(INDIRECT("'"&amp;F1047&amp;"'!$B$2")="Amount",
                    "Investments",
                    "Bill Accounts"
                )
            )
        ),
    "")
)</f>
        <v/>
      </c>
      <c r="I1047" s="46" t="str" cm="1">
        <f t="array" aca="1" ref="I1047" ca="1">IF(F1047&lt;&gt;"",IF(OR(G1047="Bill Accounts",G1047="Investments", G1047="Cash Accounts"),INDIRECT("'"&amp;F1047&amp;"'!$C$10"),INDIRECT("'"&amp;F1047&amp;"'!$C$8")),"")</f>
        <v/>
      </c>
      <c r="K1047" s="48">
        <f t="shared" si="51"/>
        <v>1053</v>
      </c>
      <c r="L1047" s="114" t="str" cm="1">
        <f t="array" aca="1" ref="L1047" ca="1">IF(F1047&lt;&gt;"",INDIRECT("'"&amp;F1047&amp;"'!$F$17"),"")</f>
        <v/>
      </c>
      <c r="M1047" s="116" t="str">
        <f t="shared" ca="1" si="49"/>
        <v/>
      </c>
      <c r="O1047" s="49" t="str">
        <f t="shared" ca="1" si="50"/>
        <v/>
      </c>
      <c r="P1047" s="38" t="str">
        <f>IF(E1047&lt;&gt;"",RANK(E1047,$E$3:$E$2298)+COUNTIF($E$3:E1047,E1047)-1,"")</f>
        <v/>
      </c>
    </row>
    <row r="1048" spans="4:16" x14ac:dyDescent="0.25">
      <c r="D1048" s="36" t="str" cm="1">
        <f t="array" aca="1" ref="D1048" ca="1">IFERROR(IF(INDIRECT("'"&amp;F1048&amp;"'!$C$5")&gt;0,DATE(YEAR(Dashboard!$AL$2),Dashboard!$AU$4,INDIRECT("'"&amp;F1048&amp;"'!$C$5")),""),"")</f>
        <v/>
      </c>
      <c r="G1048" s="38" t="str" cm="1">
        <f t="array" aca="1" ref="G1048" ca="1">IF(F1048="",
    "",
    IFERROR(
        IF(INDIRECT("'"&amp;F1048&amp;"'!$B$2")="Credit Limit",
            "Credit Accounts",
            IF(INDIRECT("'"&amp;F1048&amp;"'!$E$2")="Location",
                "Cash Accounts",
                IF(INDIRECT("'"&amp;F1048&amp;"'!$B$2")="Amount",
                    "Investments",
                    "Bill Accounts"
                )
            )
        ),
    "")
)</f>
        <v/>
      </c>
      <c r="I1048" s="46" t="str" cm="1">
        <f t="array" aca="1" ref="I1048" ca="1">IF(F1048&lt;&gt;"",IF(OR(G1048="Bill Accounts",G1048="Investments", G1048="Cash Accounts"),INDIRECT("'"&amp;F1048&amp;"'!$C$10"),INDIRECT("'"&amp;F1048&amp;"'!$C$8")),"")</f>
        <v/>
      </c>
      <c r="K1048" s="48">
        <f t="shared" si="51"/>
        <v>1054</v>
      </c>
      <c r="L1048" s="114" t="str" cm="1">
        <f t="array" aca="1" ref="L1048" ca="1">IF(F1048&lt;&gt;"",INDIRECT("'"&amp;F1048&amp;"'!$F$17"),"")</f>
        <v/>
      </c>
      <c r="M1048" s="116" t="str">
        <f t="shared" ca="1" si="49"/>
        <v/>
      </c>
      <c r="O1048" s="49" t="str">
        <f t="shared" ca="1" si="50"/>
        <v/>
      </c>
      <c r="P1048" s="38" t="str">
        <f>IF(E1048&lt;&gt;"",RANK(E1048,$E$3:$E$2298)+COUNTIF($E$3:E1048,E1048)-1,"")</f>
        <v/>
      </c>
    </row>
    <row r="1049" spans="4:16" x14ac:dyDescent="0.25">
      <c r="D1049" s="36" t="str" cm="1">
        <f t="array" aca="1" ref="D1049" ca="1">IFERROR(IF(INDIRECT("'"&amp;F1049&amp;"'!$C$5")&gt;0,DATE(YEAR(Dashboard!$AL$2),Dashboard!$AU$4,INDIRECT("'"&amp;F1049&amp;"'!$C$5")),""),"")</f>
        <v/>
      </c>
      <c r="G1049" s="38" t="str" cm="1">
        <f t="array" aca="1" ref="G1049" ca="1">IF(F1049="",
    "",
    IFERROR(
        IF(INDIRECT("'"&amp;F1049&amp;"'!$B$2")="Credit Limit",
            "Credit Accounts",
            IF(INDIRECT("'"&amp;F1049&amp;"'!$E$2")="Location",
                "Cash Accounts",
                IF(INDIRECT("'"&amp;F1049&amp;"'!$B$2")="Amount",
                    "Investments",
                    "Bill Accounts"
                )
            )
        ),
    "")
)</f>
        <v/>
      </c>
      <c r="I1049" s="46" t="str" cm="1">
        <f t="array" aca="1" ref="I1049" ca="1">IF(F1049&lt;&gt;"",IF(OR(G1049="Bill Accounts",G1049="Investments", G1049="Cash Accounts"),INDIRECT("'"&amp;F1049&amp;"'!$C$10"),INDIRECT("'"&amp;F1049&amp;"'!$C$8")),"")</f>
        <v/>
      </c>
      <c r="K1049" s="48">
        <f t="shared" si="51"/>
        <v>1055</v>
      </c>
      <c r="L1049" s="114" t="str" cm="1">
        <f t="array" aca="1" ref="L1049" ca="1">IF(F1049&lt;&gt;"",INDIRECT("'"&amp;F1049&amp;"'!$F$17"),"")</f>
        <v/>
      </c>
      <c r="M1049" s="116" t="str">
        <f t="shared" ca="1" si="49"/>
        <v/>
      </c>
      <c r="O1049" s="49" t="str">
        <f t="shared" ca="1" si="50"/>
        <v/>
      </c>
      <c r="P1049" s="38" t="str">
        <f>IF(E1049&lt;&gt;"",RANK(E1049,$E$3:$E$2298)+COUNTIF($E$3:E1049,E1049)-1,"")</f>
        <v/>
      </c>
    </row>
    <row r="1050" spans="4:16" x14ac:dyDescent="0.25">
      <c r="D1050" s="36" t="str" cm="1">
        <f t="array" aca="1" ref="D1050" ca="1">IFERROR(IF(INDIRECT("'"&amp;F1050&amp;"'!$C$5")&gt;0,DATE(YEAR(Dashboard!$AL$2),Dashboard!$AU$4,INDIRECT("'"&amp;F1050&amp;"'!$C$5")),""),"")</f>
        <v/>
      </c>
      <c r="G1050" s="38" t="str" cm="1">
        <f t="array" aca="1" ref="G1050" ca="1">IF(F1050="",
    "",
    IFERROR(
        IF(INDIRECT("'"&amp;F1050&amp;"'!$B$2")="Credit Limit",
            "Credit Accounts",
            IF(INDIRECT("'"&amp;F1050&amp;"'!$E$2")="Location",
                "Cash Accounts",
                IF(INDIRECT("'"&amp;F1050&amp;"'!$B$2")="Amount",
                    "Investments",
                    "Bill Accounts"
                )
            )
        ),
    "")
)</f>
        <v/>
      </c>
      <c r="I1050" s="46" t="str" cm="1">
        <f t="array" aca="1" ref="I1050" ca="1">IF(F1050&lt;&gt;"",IF(OR(G1050="Bill Accounts",G1050="Investments", G1050="Cash Accounts"),INDIRECT("'"&amp;F1050&amp;"'!$C$10"),INDIRECT("'"&amp;F1050&amp;"'!$C$8")),"")</f>
        <v/>
      </c>
      <c r="K1050" s="48">
        <f t="shared" si="51"/>
        <v>1056</v>
      </c>
      <c r="L1050" s="114" t="str" cm="1">
        <f t="array" aca="1" ref="L1050" ca="1">IF(F1050&lt;&gt;"",INDIRECT("'"&amp;F1050&amp;"'!$F$17"),"")</f>
        <v/>
      </c>
      <c r="M1050" s="116" t="str">
        <f t="shared" ca="1" si="49"/>
        <v/>
      </c>
      <c r="O1050" s="49" t="str">
        <f t="shared" ca="1" si="50"/>
        <v/>
      </c>
      <c r="P1050" s="38" t="str">
        <f>IF(E1050&lt;&gt;"",RANK(E1050,$E$3:$E$2298)+COUNTIF($E$3:E1050,E1050)-1,"")</f>
        <v/>
      </c>
    </row>
    <row r="1051" spans="4:16" x14ac:dyDescent="0.25">
      <c r="D1051" s="36" t="str" cm="1">
        <f t="array" aca="1" ref="D1051" ca="1">IFERROR(IF(INDIRECT("'"&amp;F1051&amp;"'!$C$5")&gt;0,DATE(YEAR(Dashboard!$AL$2),Dashboard!$AU$4,INDIRECT("'"&amp;F1051&amp;"'!$C$5")),""),"")</f>
        <v/>
      </c>
      <c r="G1051" s="38" t="str" cm="1">
        <f t="array" aca="1" ref="G1051" ca="1">IF(F1051="",
    "",
    IFERROR(
        IF(INDIRECT("'"&amp;F1051&amp;"'!$B$2")="Credit Limit",
            "Credit Accounts",
            IF(INDIRECT("'"&amp;F1051&amp;"'!$E$2")="Location",
                "Cash Accounts",
                IF(INDIRECT("'"&amp;F1051&amp;"'!$B$2")="Amount",
                    "Investments",
                    "Bill Accounts"
                )
            )
        ),
    "")
)</f>
        <v/>
      </c>
      <c r="I1051" s="46" t="str" cm="1">
        <f t="array" aca="1" ref="I1051" ca="1">IF(F1051&lt;&gt;"",IF(OR(G1051="Bill Accounts",G1051="Investments", G1051="Cash Accounts"),INDIRECT("'"&amp;F1051&amp;"'!$C$10"),INDIRECT("'"&amp;F1051&amp;"'!$C$8")),"")</f>
        <v/>
      </c>
      <c r="K1051" s="48">
        <f t="shared" si="51"/>
        <v>1057</v>
      </c>
      <c r="L1051" s="114" t="str" cm="1">
        <f t="array" aca="1" ref="L1051" ca="1">IF(F1051&lt;&gt;"",INDIRECT("'"&amp;F1051&amp;"'!$F$17"),"")</f>
        <v/>
      </c>
      <c r="M1051" s="116" t="str">
        <f t="shared" ca="1" si="49"/>
        <v/>
      </c>
      <c r="O1051" s="49" t="str">
        <f t="shared" ca="1" si="50"/>
        <v/>
      </c>
      <c r="P1051" s="38" t="str">
        <f>IF(E1051&lt;&gt;"",RANK(E1051,$E$3:$E$2298)+COUNTIF($E$3:E1051,E1051)-1,"")</f>
        <v/>
      </c>
    </row>
    <row r="1052" spans="4:16" x14ac:dyDescent="0.25">
      <c r="D1052" s="36" t="str" cm="1">
        <f t="array" aca="1" ref="D1052" ca="1">IFERROR(IF(INDIRECT("'"&amp;F1052&amp;"'!$C$5")&gt;0,DATE(YEAR(Dashboard!$AL$2),Dashboard!$AU$4,INDIRECT("'"&amp;F1052&amp;"'!$C$5")),""),"")</f>
        <v/>
      </c>
      <c r="G1052" s="38" t="str" cm="1">
        <f t="array" aca="1" ref="G1052" ca="1">IF(F1052="",
    "",
    IFERROR(
        IF(INDIRECT("'"&amp;F1052&amp;"'!$B$2")="Credit Limit",
            "Credit Accounts",
            IF(INDIRECT("'"&amp;F1052&amp;"'!$E$2")="Location",
                "Cash Accounts",
                IF(INDIRECT("'"&amp;F1052&amp;"'!$B$2")="Amount",
                    "Investments",
                    "Bill Accounts"
                )
            )
        ),
    "")
)</f>
        <v/>
      </c>
      <c r="I1052" s="46" t="str" cm="1">
        <f t="array" aca="1" ref="I1052" ca="1">IF(F1052&lt;&gt;"",IF(OR(G1052="Bill Accounts",G1052="Investments", G1052="Cash Accounts"),INDIRECT("'"&amp;F1052&amp;"'!$C$10"),INDIRECT("'"&amp;F1052&amp;"'!$C$8")),"")</f>
        <v/>
      </c>
      <c r="K1052" s="48">
        <f t="shared" si="51"/>
        <v>1058</v>
      </c>
      <c r="L1052" s="114" t="str" cm="1">
        <f t="array" aca="1" ref="L1052" ca="1">IF(F1052&lt;&gt;"",INDIRECT("'"&amp;F1052&amp;"'!$F$17"),"")</f>
        <v/>
      </c>
      <c r="M1052" s="116" t="str">
        <f t="shared" ca="1" si="49"/>
        <v/>
      </c>
      <c r="O1052" s="49" t="str">
        <f t="shared" ca="1" si="50"/>
        <v/>
      </c>
      <c r="P1052" s="38" t="str">
        <f>IF(E1052&lt;&gt;"",RANK(E1052,$E$3:$E$2298)+COUNTIF($E$3:E1052,E1052)-1,"")</f>
        <v/>
      </c>
    </row>
    <row r="1053" spans="4:16" x14ac:dyDescent="0.25">
      <c r="D1053" s="36" t="str" cm="1">
        <f t="array" aca="1" ref="D1053" ca="1">IFERROR(IF(INDIRECT("'"&amp;F1053&amp;"'!$C$5")&gt;0,DATE(YEAR(Dashboard!$AL$2),Dashboard!$AU$4,INDIRECT("'"&amp;F1053&amp;"'!$C$5")),""),"")</f>
        <v/>
      </c>
      <c r="G1053" s="38" t="str" cm="1">
        <f t="array" aca="1" ref="G1053" ca="1">IF(F1053="",
    "",
    IFERROR(
        IF(INDIRECT("'"&amp;F1053&amp;"'!$B$2")="Credit Limit",
            "Credit Accounts",
            IF(INDIRECT("'"&amp;F1053&amp;"'!$E$2")="Location",
                "Cash Accounts",
                IF(INDIRECT("'"&amp;F1053&amp;"'!$B$2")="Amount",
                    "Investments",
                    "Bill Accounts"
                )
            )
        ),
    "")
)</f>
        <v/>
      </c>
      <c r="I1053" s="46" t="str" cm="1">
        <f t="array" aca="1" ref="I1053" ca="1">IF(F1053&lt;&gt;"",IF(OR(G1053="Bill Accounts",G1053="Investments", G1053="Cash Accounts"),INDIRECT("'"&amp;F1053&amp;"'!$C$10"),INDIRECT("'"&amp;F1053&amp;"'!$C$8")),"")</f>
        <v/>
      </c>
      <c r="K1053" s="48">
        <f t="shared" si="51"/>
        <v>1059</v>
      </c>
      <c r="L1053" s="114" t="str" cm="1">
        <f t="array" aca="1" ref="L1053" ca="1">IF(F1053&lt;&gt;"",INDIRECT("'"&amp;F1053&amp;"'!$F$17"),"")</f>
        <v/>
      </c>
      <c r="M1053" s="116" t="str">
        <f t="shared" ca="1" si="49"/>
        <v/>
      </c>
      <c r="O1053" s="49" t="str">
        <f t="shared" ca="1" si="50"/>
        <v/>
      </c>
      <c r="P1053" s="38" t="str">
        <f>IF(E1053&lt;&gt;"",RANK(E1053,$E$3:$E$2298)+COUNTIF($E$3:E1053,E1053)-1,"")</f>
        <v/>
      </c>
    </row>
    <row r="1054" spans="4:16" x14ac:dyDescent="0.25">
      <c r="D1054" s="36" t="str" cm="1">
        <f t="array" aca="1" ref="D1054" ca="1">IFERROR(IF(INDIRECT("'"&amp;F1054&amp;"'!$C$5")&gt;0,DATE(YEAR(Dashboard!$AL$2),Dashboard!$AU$4,INDIRECT("'"&amp;F1054&amp;"'!$C$5")),""),"")</f>
        <v/>
      </c>
      <c r="G1054" s="38" t="str" cm="1">
        <f t="array" aca="1" ref="G1054" ca="1">IF(F1054="",
    "",
    IFERROR(
        IF(INDIRECT("'"&amp;F1054&amp;"'!$B$2")="Credit Limit",
            "Credit Accounts",
            IF(INDIRECT("'"&amp;F1054&amp;"'!$E$2")="Location",
                "Cash Accounts",
                IF(INDIRECT("'"&amp;F1054&amp;"'!$B$2")="Amount",
                    "Investments",
                    "Bill Accounts"
                )
            )
        ),
    "")
)</f>
        <v/>
      </c>
      <c r="I1054" s="46" t="str" cm="1">
        <f t="array" aca="1" ref="I1054" ca="1">IF(F1054&lt;&gt;"",IF(OR(G1054="Bill Accounts",G1054="Investments", G1054="Cash Accounts"),INDIRECT("'"&amp;F1054&amp;"'!$C$10"),INDIRECT("'"&amp;F1054&amp;"'!$C$8")),"")</f>
        <v/>
      </c>
      <c r="K1054" s="48">
        <f t="shared" si="51"/>
        <v>1060</v>
      </c>
      <c r="L1054" s="114" t="str" cm="1">
        <f t="array" aca="1" ref="L1054" ca="1">IF(F1054&lt;&gt;"",INDIRECT("'"&amp;F1054&amp;"'!$F$17"),"")</f>
        <v/>
      </c>
      <c r="M1054" s="116" t="str">
        <f t="shared" ca="1" si="49"/>
        <v/>
      </c>
      <c r="O1054" s="49" t="str">
        <f t="shared" ca="1" si="50"/>
        <v/>
      </c>
      <c r="P1054" s="38" t="str">
        <f>IF(E1054&lt;&gt;"",RANK(E1054,$E$3:$E$2298)+COUNTIF($E$3:E1054,E1054)-1,"")</f>
        <v/>
      </c>
    </row>
    <row r="1055" spans="4:16" x14ac:dyDescent="0.25">
      <c r="D1055" s="36" t="str" cm="1">
        <f t="array" aca="1" ref="D1055" ca="1">IFERROR(IF(INDIRECT("'"&amp;F1055&amp;"'!$C$5")&gt;0,DATE(YEAR(Dashboard!$AL$2),Dashboard!$AU$4,INDIRECT("'"&amp;F1055&amp;"'!$C$5")),""),"")</f>
        <v/>
      </c>
      <c r="G1055" s="38" t="str" cm="1">
        <f t="array" aca="1" ref="G1055" ca="1">IF(F1055="",
    "",
    IFERROR(
        IF(INDIRECT("'"&amp;F1055&amp;"'!$B$2")="Credit Limit",
            "Credit Accounts",
            IF(INDIRECT("'"&amp;F1055&amp;"'!$E$2")="Location",
                "Cash Accounts",
                IF(INDIRECT("'"&amp;F1055&amp;"'!$B$2")="Amount",
                    "Investments",
                    "Bill Accounts"
                )
            )
        ),
    "")
)</f>
        <v/>
      </c>
      <c r="I1055" s="46" t="str" cm="1">
        <f t="array" aca="1" ref="I1055" ca="1">IF(F1055&lt;&gt;"",IF(OR(G1055="Bill Accounts",G1055="Investments", G1055="Cash Accounts"),INDIRECT("'"&amp;F1055&amp;"'!$C$10"),INDIRECT("'"&amp;F1055&amp;"'!$C$8")),"")</f>
        <v/>
      </c>
      <c r="K1055" s="48">
        <f t="shared" si="51"/>
        <v>1061</v>
      </c>
      <c r="L1055" s="114" t="str" cm="1">
        <f t="array" aca="1" ref="L1055" ca="1">IF(F1055&lt;&gt;"",INDIRECT("'"&amp;F1055&amp;"'!$F$17"),"")</f>
        <v/>
      </c>
      <c r="M1055" s="116" t="str">
        <f t="shared" ca="1" si="49"/>
        <v/>
      </c>
      <c r="O1055" s="49" t="str">
        <f t="shared" ca="1" si="50"/>
        <v/>
      </c>
      <c r="P1055" s="38" t="str">
        <f>IF(E1055&lt;&gt;"",RANK(E1055,$E$3:$E$2298)+COUNTIF($E$3:E1055,E1055)-1,"")</f>
        <v/>
      </c>
    </row>
    <row r="1056" spans="4:16" x14ac:dyDescent="0.25">
      <c r="D1056" s="36" t="str" cm="1">
        <f t="array" aca="1" ref="D1056" ca="1">IFERROR(IF(INDIRECT("'"&amp;F1056&amp;"'!$C$5")&gt;0,DATE(YEAR(Dashboard!$AL$2),Dashboard!$AU$4,INDIRECT("'"&amp;F1056&amp;"'!$C$5")),""),"")</f>
        <v/>
      </c>
      <c r="G1056" s="38" t="str" cm="1">
        <f t="array" aca="1" ref="G1056" ca="1">IF(F1056="",
    "",
    IFERROR(
        IF(INDIRECT("'"&amp;F1056&amp;"'!$B$2")="Credit Limit",
            "Credit Accounts",
            IF(INDIRECT("'"&amp;F1056&amp;"'!$E$2")="Location",
                "Cash Accounts",
                IF(INDIRECT("'"&amp;F1056&amp;"'!$B$2")="Amount",
                    "Investments",
                    "Bill Accounts"
                )
            )
        ),
    "")
)</f>
        <v/>
      </c>
      <c r="I1056" s="46" t="str" cm="1">
        <f t="array" aca="1" ref="I1056" ca="1">IF(F1056&lt;&gt;"",IF(OR(G1056="Bill Accounts",G1056="Investments", G1056="Cash Accounts"),INDIRECT("'"&amp;F1056&amp;"'!$C$10"),INDIRECT("'"&amp;F1056&amp;"'!$C$8")),"")</f>
        <v/>
      </c>
      <c r="K1056" s="48">
        <f t="shared" si="51"/>
        <v>1062</v>
      </c>
      <c r="L1056" s="114" t="str" cm="1">
        <f t="array" aca="1" ref="L1056" ca="1">IF(F1056&lt;&gt;"",INDIRECT("'"&amp;F1056&amp;"'!$F$17"),"")</f>
        <v/>
      </c>
      <c r="M1056" s="116" t="str">
        <f t="shared" ca="1" si="49"/>
        <v/>
      </c>
      <c r="O1056" s="49" t="str">
        <f t="shared" ca="1" si="50"/>
        <v/>
      </c>
      <c r="P1056" s="38" t="str">
        <f>IF(E1056&lt;&gt;"",RANK(E1056,$E$3:$E$2298)+COUNTIF($E$3:E1056,E1056)-1,"")</f>
        <v/>
      </c>
    </row>
    <row r="1057" spans="4:16" x14ac:dyDescent="0.25">
      <c r="D1057" s="36" t="str" cm="1">
        <f t="array" aca="1" ref="D1057" ca="1">IFERROR(IF(INDIRECT("'"&amp;F1057&amp;"'!$C$5")&gt;0,DATE(YEAR(Dashboard!$AL$2),Dashboard!$AU$4,INDIRECT("'"&amp;F1057&amp;"'!$C$5")),""),"")</f>
        <v/>
      </c>
      <c r="G1057" s="38" t="str" cm="1">
        <f t="array" aca="1" ref="G1057" ca="1">IF(F1057="",
    "",
    IFERROR(
        IF(INDIRECT("'"&amp;F1057&amp;"'!$B$2")="Credit Limit",
            "Credit Accounts",
            IF(INDIRECT("'"&amp;F1057&amp;"'!$E$2")="Location",
                "Cash Accounts",
                IF(INDIRECT("'"&amp;F1057&amp;"'!$B$2")="Amount",
                    "Investments",
                    "Bill Accounts"
                )
            )
        ),
    "")
)</f>
        <v/>
      </c>
      <c r="I1057" s="46" t="str" cm="1">
        <f t="array" aca="1" ref="I1057" ca="1">IF(F1057&lt;&gt;"",IF(OR(G1057="Bill Accounts",G1057="Investments", G1057="Cash Accounts"),INDIRECT("'"&amp;F1057&amp;"'!$C$10"),INDIRECT("'"&amp;F1057&amp;"'!$C$8")),"")</f>
        <v/>
      </c>
      <c r="K1057" s="48">
        <f t="shared" si="51"/>
        <v>1063</v>
      </c>
      <c r="L1057" s="114" t="str" cm="1">
        <f t="array" aca="1" ref="L1057" ca="1">IF(F1057&lt;&gt;"",INDIRECT("'"&amp;F1057&amp;"'!$F$17"),"")</f>
        <v/>
      </c>
      <c r="M1057" s="116" t="str">
        <f t="shared" ca="1" si="49"/>
        <v/>
      </c>
      <c r="O1057" s="49" t="str">
        <f t="shared" ca="1" si="50"/>
        <v/>
      </c>
      <c r="P1057" s="38" t="str">
        <f>IF(E1057&lt;&gt;"",RANK(E1057,$E$3:$E$2298)+COUNTIF($E$3:E1057,E1057)-1,"")</f>
        <v/>
      </c>
    </row>
    <row r="1058" spans="4:16" x14ac:dyDescent="0.25">
      <c r="D1058" s="36" t="str" cm="1">
        <f t="array" aca="1" ref="D1058" ca="1">IFERROR(IF(INDIRECT("'"&amp;F1058&amp;"'!$C$5")&gt;0,DATE(YEAR(Dashboard!$AL$2),Dashboard!$AU$4,INDIRECT("'"&amp;F1058&amp;"'!$C$5")),""),"")</f>
        <v/>
      </c>
      <c r="G1058" s="38" t="str" cm="1">
        <f t="array" aca="1" ref="G1058" ca="1">IF(F1058="",
    "",
    IFERROR(
        IF(INDIRECT("'"&amp;F1058&amp;"'!$B$2")="Credit Limit",
            "Credit Accounts",
            IF(INDIRECT("'"&amp;F1058&amp;"'!$E$2")="Location",
                "Cash Accounts",
                IF(INDIRECT("'"&amp;F1058&amp;"'!$B$2")="Amount",
                    "Investments",
                    "Bill Accounts"
                )
            )
        ),
    "")
)</f>
        <v/>
      </c>
      <c r="I1058" s="46" t="str" cm="1">
        <f t="array" aca="1" ref="I1058" ca="1">IF(F1058&lt;&gt;"",IF(OR(G1058="Bill Accounts",G1058="Investments", G1058="Cash Accounts"),INDIRECT("'"&amp;F1058&amp;"'!$C$10"),INDIRECT("'"&amp;F1058&amp;"'!$C$8")),"")</f>
        <v/>
      </c>
      <c r="K1058" s="48">
        <f t="shared" si="51"/>
        <v>1064</v>
      </c>
      <c r="L1058" s="114" t="str" cm="1">
        <f t="array" aca="1" ref="L1058" ca="1">IF(F1058&lt;&gt;"",INDIRECT("'"&amp;F1058&amp;"'!$F$17"),"")</f>
        <v/>
      </c>
      <c r="M1058" s="116" t="str">
        <f t="shared" ca="1" si="49"/>
        <v/>
      </c>
      <c r="O1058" s="49" t="str">
        <f t="shared" ca="1" si="50"/>
        <v/>
      </c>
      <c r="P1058" s="38" t="str">
        <f>IF(E1058&lt;&gt;"",RANK(E1058,$E$3:$E$2298)+COUNTIF($E$3:E1058,E1058)-1,"")</f>
        <v/>
      </c>
    </row>
    <row r="1059" spans="4:16" x14ac:dyDescent="0.25">
      <c r="D1059" s="36" t="str" cm="1">
        <f t="array" aca="1" ref="D1059" ca="1">IFERROR(IF(INDIRECT("'"&amp;F1059&amp;"'!$C$5")&gt;0,DATE(YEAR(Dashboard!$AL$2),Dashboard!$AU$4,INDIRECT("'"&amp;F1059&amp;"'!$C$5")),""),"")</f>
        <v/>
      </c>
      <c r="G1059" s="38" t="str" cm="1">
        <f t="array" aca="1" ref="G1059" ca="1">IF(F1059="",
    "",
    IFERROR(
        IF(INDIRECT("'"&amp;F1059&amp;"'!$B$2")="Credit Limit",
            "Credit Accounts",
            IF(INDIRECT("'"&amp;F1059&amp;"'!$E$2")="Location",
                "Cash Accounts",
                IF(INDIRECT("'"&amp;F1059&amp;"'!$B$2")="Amount",
                    "Investments",
                    "Bill Accounts"
                )
            )
        ),
    "")
)</f>
        <v/>
      </c>
      <c r="I1059" s="46" t="str" cm="1">
        <f t="array" aca="1" ref="I1059" ca="1">IF(F1059&lt;&gt;"",IF(OR(G1059="Bill Accounts",G1059="Investments", G1059="Cash Accounts"),INDIRECT("'"&amp;F1059&amp;"'!$C$10"),INDIRECT("'"&amp;F1059&amp;"'!$C$8")),"")</f>
        <v/>
      </c>
      <c r="K1059" s="48">
        <f t="shared" si="51"/>
        <v>1065</v>
      </c>
      <c r="L1059" s="114" t="str" cm="1">
        <f t="array" aca="1" ref="L1059" ca="1">IF(F1059&lt;&gt;"",INDIRECT("'"&amp;F1059&amp;"'!$F$17"),"")</f>
        <v/>
      </c>
      <c r="M1059" s="116" t="str">
        <f t="shared" ca="1" si="49"/>
        <v/>
      </c>
      <c r="O1059" s="49" t="str">
        <f t="shared" ca="1" si="50"/>
        <v/>
      </c>
      <c r="P1059" s="38" t="str">
        <f>IF(E1059&lt;&gt;"",RANK(E1059,$E$3:$E$2298)+COUNTIF($E$3:E1059,E1059)-1,"")</f>
        <v/>
      </c>
    </row>
    <row r="1060" spans="4:16" x14ac:dyDescent="0.25">
      <c r="D1060" s="36" t="str" cm="1">
        <f t="array" aca="1" ref="D1060" ca="1">IFERROR(IF(INDIRECT("'"&amp;F1060&amp;"'!$C$5")&gt;0,DATE(YEAR(Dashboard!$AL$2),Dashboard!$AU$4,INDIRECT("'"&amp;F1060&amp;"'!$C$5")),""),"")</f>
        <v/>
      </c>
      <c r="G1060" s="38" t="str" cm="1">
        <f t="array" aca="1" ref="G1060" ca="1">IF(F1060="",
    "",
    IFERROR(
        IF(INDIRECT("'"&amp;F1060&amp;"'!$B$2")="Credit Limit",
            "Credit Accounts",
            IF(INDIRECT("'"&amp;F1060&amp;"'!$E$2")="Location",
                "Cash Accounts",
                IF(INDIRECT("'"&amp;F1060&amp;"'!$B$2")="Amount",
                    "Investments",
                    "Bill Accounts"
                )
            )
        ),
    "")
)</f>
        <v/>
      </c>
      <c r="I1060" s="46" t="str" cm="1">
        <f t="array" aca="1" ref="I1060" ca="1">IF(F1060&lt;&gt;"",IF(OR(G1060="Bill Accounts",G1060="Investments", G1060="Cash Accounts"),INDIRECT("'"&amp;F1060&amp;"'!$C$10"),INDIRECT("'"&amp;F1060&amp;"'!$C$8")),"")</f>
        <v/>
      </c>
      <c r="K1060" s="48">
        <f t="shared" si="51"/>
        <v>1066</v>
      </c>
      <c r="L1060" s="114" t="str" cm="1">
        <f t="array" aca="1" ref="L1060" ca="1">IF(F1060&lt;&gt;"",INDIRECT("'"&amp;F1060&amp;"'!$F$17"),"")</f>
        <v/>
      </c>
      <c r="M1060" s="116" t="str">
        <f t="shared" ca="1" si="49"/>
        <v/>
      </c>
      <c r="O1060" s="49" t="str">
        <f t="shared" ca="1" si="50"/>
        <v/>
      </c>
      <c r="P1060" s="38" t="str">
        <f>IF(E1060&lt;&gt;"",RANK(E1060,$E$3:$E$2298)+COUNTIF($E$3:E1060,E1060)-1,"")</f>
        <v/>
      </c>
    </row>
    <row r="1061" spans="4:16" x14ac:dyDescent="0.25">
      <c r="D1061" s="36" t="str" cm="1">
        <f t="array" aca="1" ref="D1061" ca="1">IFERROR(IF(INDIRECT("'"&amp;F1061&amp;"'!$C$5")&gt;0,DATE(YEAR(Dashboard!$AL$2),Dashboard!$AU$4,INDIRECT("'"&amp;F1061&amp;"'!$C$5")),""),"")</f>
        <v/>
      </c>
      <c r="G1061" s="38" t="str" cm="1">
        <f t="array" aca="1" ref="G1061" ca="1">IF(F1061="",
    "",
    IFERROR(
        IF(INDIRECT("'"&amp;F1061&amp;"'!$B$2")="Credit Limit",
            "Credit Accounts",
            IF(INDIRECT("'"&amp;F1061&amp;"'!$E$2")="Location",
                "Cash Accounts",
                IF(INDIRECT("'"&amp;F1061&amp;"'!$B$2")="Amount",
                    "Investments",
                    "Bill Accounts"
                )
            )
        ),
    "")
)</f>
        <v/>
      </c>
      <c r="I1061" s="46" t="str" cm="1">
        <f t="array" aca="1" ref="I1061" ca="1">IF(F1061&lt;&gt;"",IF(OR(G1061="Bill Accounts",G1061="Investments", G1061="Cash Accounts"),INDIRECT("'"&amp;F1061&amp;"'!$C$10"),INDIRECT("'"&amp;F1061&amp;"'!$C$8")),"")</f>
        <v/>
      </c>
      <c r="K1061" s="48">
        <f t="shared" si="51"/>
        <v>1067</v>
      </c>
      <c r="L1061" s="114" t="str" cm="1">
        <f t="array" aca="1" ref="L1061" ca="1">IF(F1061&lt;&gt;"",INDIRECT("'"&amp;F1061&amp;"'!$F$17"),"")</f>
        <v/>
      </c>
      <c r="M1061" s="116" t="str">
        <f t="shared" ca="1" si="49"/>
        <v/>
      </c>
      <c r="O1061" s="49" t="str">
        <f t="shared" ca="1" si="50"/>
        <v/>
      </c>
      <c r="P1061" s="38" t="str">
        <f>IF(E1061&lt;&gt;"",RANK(E1061,$E$3:$E$2298)+COUNTIF($E$3:E1061,E1061)-1,"")</f>
        <v/>
      </c>
    </row>
    <row r="1062" spans="4:16" x14ac:dyDescent="0.25">
      <c r="D1062" s="36" t="str" cm="1">
        <f t="array" aca="1" ref="D1062" ca="1">IFERROR(IF(INDIRECT("'"&amp;F1062&amp;"'!$C$5")&gt;0,DATE(YEAR(Dashboard!$AL$2),Dashboard!$AU$4,INDIRECT("'"&amp;F1062&amp;"'!$C$5")),""),"")</f>
        <v/>
      </c>
      <c r="G1062" s="38" t="str" cm="1">
        <f t="array" aca="1" ref="G1062" ca="1">IF(F1062="",
    "",
    IFERROR(
        IF(INDIRECT("'"&amp;F1062&amp;"'!$B$2")="Credit Limit",
            "Credit Accounts",
            IF(INDIRECT("'"&amp;F1062&amp;"'!$E$2")="Location",
                "Cash Accounts",
                IF(INDIRECT("'"&amp;F1062&amp;"'!$B$2")="Amount",
                    "Investments",
                    "Bill Accounts"
                )
            )
        ),
    "")
)</f>
        <v/>
      </c>
      <c r="I1062" s="46" t="str" cm="1">
        <f t="array" aca="1" ref="I1062" ca="1">IF(F1062&lt;&gt;"",IF(OR(G1062="Bill Accounts",G1062="Investments", G1062="Cash Accounts"),INDIRECT("'"&amp;F1062&amp;"'!$C$10"),INDIRECT("'"&amp;F1062&amp;"'!$C$8")),"")</f>
        <v/>
      </c>
      <c r="K1062" s="48">
        <f t="shared" si="51"/>
        <v>1068</v>
      </c>
      <c r="L1062" s="114" t="str" cm="1">
        <f t="array" aca="1" ref="L1062" ca="1">IF(F1062&lt;&gt;"",INDIRECT("'"&amp;F1062&amp;"'!$F$17"),"")</f>
        <v/>
      </c>
      <c r="M1062" s="116" t="str">
        <f t="shared" ca="1" si="49"/>
        <v/>
      </c>
      <c r="O1062" s="49" t="str">
        <f t="shared" ca="1" si="50"/>
        <v/>
      </c>
      <c r="P1062" s="38" t="str">
        <f>IF(E1062&lt;&gt;"",RANK(E1062,$E$3:$E$2298)+COUNTIF($E$3:E1062,E1062)-1,"")</f>
        <v/>
      </c>
    </row>
    <row r="1063" spans="4:16" x14ac:dyDescent="0.25">
      <c r="D1063" s="36" t="str" cm="1">
        <f t="array" aca="1" ref="D1063" ca="1">IFERROR(IF(INDIRECT("'"&amp;F1063&amp;"'!$C$5")&gt;0,DATE(YEAR(Dashboard!$AL$2),Dashboard!$AU$4,INDIRECT("'"&amp;F1063&amp;"'!$C$5")),""),"")</f>
        <v/>
      </c>
      <c r="G1063" s="38" t="str" cm="1">
        <f t="array" aca="1" ref="G1063" ca="1">IF(F1063="",
    "",
    IFERROR(
        IF(INDIRECT("'"&amp;F1063&amp;"'!$B$2")="Credit Limit",
            "Credit Accounts",
            IF(INDIRECT("'"&amp;F1063&amp;"'!$E$2")="Location",
                "Cash Accounts",
                IF(INDIRECT("'"&amp;F1063&amp;"'!$B$2")="Amount",
                    "Investments",
                    "Bill Accounts"
                )
            )
        ),
    "")
)</f>
        <v/>
      </c>
      <c r="I1063" s="46" t="str" cm="1">
        <f t="array" aca="1" ref="I1063" ca="1">IF(F1063&lt;&gt;"",IF(OR(G1063="Bill Accounts",G1063="Investments", G1063="Cash Accounts"),INDIRECT("'"&amp;F1063&amp;"'!$C$10"),INDIRECT("'"&amp;F1063&amp;"'!$C$8")),"")</f>
        <v/>
      </c>
      <c r="K1063" s="48">
        <f t="shared" si="51"/>
        <v>1069</v>
      </c>
      <c r="L1063" s="114" t="str" cm="1">
        <f t="array" aca="1" ref="L1063" ca="1">IF(F1063&lt;&gt;"",INDIRECT("'"&amp;F1063&amp;"'!$F$17"),"")</f>
        <v/>
      </c>
      <c r="M1063" s="116" t="str">
        <f t="shared" ca="1" si="49"/>
        <v/>
      </c>
      <c r="O1063" s="49" t="str">
        <f t="shared" ca="1" si="50"/>
        <v/>
      </c>
      <c r="P1063" s="38" t="str">
        <f>IF(E1063&lt;&gt;"",RANK(E1063,$E$3:$E$2298)+COUNTIF($E$3:E1063,E1063)-1,"")</f>
        <v/>
      </c>
    </row>
    <row r="1064" spans="4:16" x14ac:dyDescent="0.25">
      <c r="D1064" s="36" t="str" cm="1">
        <f t="array" aca="1" ref="D1064" ca="1">IFERROR(IF(INDIRECT("'"&amp;F1064&amp;"'!$C$5")&gt;0,DATE(YEAR(Dashboard!$AL$2),Dashboard!$AU$4,INDIRECT("'"&amp;F1064&amp;"'!$C$5")),""),"")</f>
        <v/>
      </c>
      <c r="G1064" s="38" t="str" cm="1">
        <f t="array" aca="1" ref="G1064" ca="1">IF(F1064="",
    "",
    IFERROR(
        IF(INDIRECT("'"&amp;F1064&amp;"'!$B$2")="Credit Limit",
            "Credit Accounts",
            IF(INDIRECT("'"&amp;F1064&amp;"'!$E$2")="Location",
                "Cash Accounts",
                IF(INDIRECT("'"&amp;F1064&amp;"'!$B$2")="Amount",
                    "Investments",
                    "Bill Accounts"
                )
            )
        ),
    "")
)</f>
        <v/>
      </c>
      <c r="I1064" s="46" t="str" cm="1">
        <f t="array" aca="1" ref="I1064" ca="1">IF(F1064&lt;&gt;"",IF(OR(G1064="Bill Accounts",G1064="Investments", G1064="Cash Accounts"),INDIRECT("'"&amp;F1064&amp;"'!$C$10"),INDIRECT("'"&amp;F1064&amp;"'!$C$8")),"")</f>
        <v/>
      </c>
      <c r="K1064" s="48">
        <f t="shared" si="51"/>
        <v>1070</v>
      </c>
      <c r="L1064" s="114" t="str" cm="1">
        <f t="array" aca="1" ref="L1064" ca="1">IF(F1064&lt;&gt;"",INDIRECT("'"&amp;F1064&amp;"'!$F$17"),"")</f>
        <v/>
      </c>
      <c r="M1064" s="116" t="str">
        <f t="shared" ca="1" si="49"/>
        <v/>
      </c>
      <c r="O1064" s="49" t="str">
        <f t="shared" ca="1" si="50"/>
        <v/>
      </c>
      <c r="P1064" s="38" t="str">
        <f>IF(E1064&lt;&gt;"",RANK(E1064,$E$3:$E$2298)+COUNTIF($E$3:E1064,E1064)-1,"")</f>
        <v/>
      </c>
    </row>
    <row r="1065" spans="4:16" x14ac:dyDescent="0.25">
      <c r="D1065" s="36" t="str" cm="1">
        <f t="array" aca="1" ref="D1065" ca="1">IFERROR(IF(INDIRECT("'"&amp;F1065&amp;"'!$C$5")&gt;0,DATE(YEAR(Dashboard!$AL$2),Dashboard!$AU$4,INDIRECT("'"&amp;F1065&amp;"'!$C$5")),""),"")</f>
        <v/>
      </c>
      <c r="G1065" s="38" t="str" cm="1">
        <f t="array" aca="1" ref="G1065" ca="1">IF(F1065="",
    "",
    IFERROR(
        IF(INDIRECT("'"&amp;F1065&amp;"'!$B$2")="Credit Limit",
            "Credit Accounts",
            IF(INDIRECT("'"&amp;F1065&amp;"'!$E$2")="Location",
                "Cash Accounts",
                IF(INDIRECT("'"&amp;F1065&amp;"'!$B$2")="Amount",
                    "Investments",
                    "Bill Accounts"
                )
            )
        ),
    "")
)</f>
        <v/>
      </c>
      <c r="I1065" s="46" t="str" cm="1">
        <f t="array" aca="1" ref="I1065" ca="1">IF(F1065&lt;&gt;"",IF(OR(G1065="Bill Accounts",G1065="Investments", G1065="Cash Accounts"),INDIRECT("'"&amp;F1065&amp;"'!$C$10"),INDIRECT("'"&amp;F1065&amp;"'!$C$8")),"")</f>
        <v/>
      </c>
      <c r="K1065" s="48">
        <f t="shared" si="51"/>
        <v>1071</v>
      </c>
      <c r="L1065" s="114" t="str" cm="1">
        <f t="array" aca="1" ref="L1065" ca="1">IF(F1065&lt;&gt;"",INDIRECT("'"&amp;F1065&amp;"'!$F$17"),"")</f>
        <v/>
      </c>
      <c r="M1065" s="116" t="str">
        <f t="shared" ca="1" si="49"/>
        <v/>
      </c>
      <c r="O1065" s="49" t="str">
        <f t="shared" ca="1" si="50"/>
        <v/>
      </c>
      <c r="P1065" s="38" t="str">
        <f>IF(E1065&lt;&gt;"",RANK(E1065,$E$3:$E$2298)+COUNTIF($E$3:E1065,E1065)-1,"")</f>
        <v/>
      </c>
    </row>
    <row r="1066" spans="4:16" x14ac:dyDescent="0.25">
      <c r="D1066" s="36" t="str" cm="1">
        <f t="array" aca="1" ref="D1066" ca="1">IFERROR(IF(INDIRECT("'"&amp;F1066&amp;"'!$C$5")&gt;0,DATE(YEAR(Dashboard!$AL$2),Dashboard!$AU$4,INDIRECT("'"&amp;F1066&amp;"'!$C$5")),""),"")</f>
        <v/>
      </c>
      <c r="G1066" s="38" t="str" cm="1">
        <f t="array" aca="1" ref="G1066" ca="1">IF(F1066="",
    "",
    IFERROR(
        IF(INDIRECT("'"&amp;F1066&amp;"'!$B$2")="Credit Limit",
            "Credit Accounts",
            IF(INDIRECT("'"&amp;F1066&amp;"'!$E$2")="Location",
                "Cash Accounts",
                IF(INDIRECT("'"&amp;F1066&amp;"'!$B$2")="Amount",
                    "Investments",
                    "Bill Accounts"
                )
            )
        ),
    "")
)</f>
        <v/>
      </c>
      <c r="I1066" s="46" t="str" cm="1">
        <f t="array" aca="1" ref="I1066" ca="1">IF(F1066&lt;&gt;"",IF(OR(G1066="Bill Accounts",G1066="Investments", G1066="Cash Accounts"),INDIRECT("'"&amp;F1066&amp;"'!$C$10"),INDIRECT("'"&amp;F1066&amp;"'!$C$8")),"")</f>
        <v/>
      </c>
      <c r="K1066" s="48">
        <f t="shared" si="51"/>
        <v>1072</v>
      </c>
      <c r="L1066" s="114" t="str" cm="1">
        <f t="array" aca="1" ref="L1066" ca="1">IF(F1066&lt;&gt;"",INDIRECT("'"&amp;F1066&amp;"'!$F$17"),"")</f>
        <v/>
      </c>
      <c r="M1066" s="116" t="str">
        <f t="shared" ca="1" si="49"/>
        <v/>
      </c>
      <c r="O1066" s="49" t="str">
        <f t="shared" ca="1" si="50"/>
        <v/>
      </c>
      <c r="P1066" s="38" t="str">
        <f>IF(E1066&lt;&gt;"",RANK(E1066,$E$3:$E$2298)+COUNTIF($E$3:E1066,E1066)-1,"")</f>
        <v/>
      </c>
    </row>
    <row r="1067" spans="4:16" x14ac:dyDescent="0.25">
      <c r="D1067" s="36" t="str" cm="1">
        <f t="array" aca="1" ref="D1067" ca="1">IFERROR(IF(INDIRECT("'"&amp;F1067&amp;"'!$C$5")&gt;0,DATE(YEAR(Dashboard!$AL$2),Dashboard!$AU$4,INDIRECT("'"&amp;F1067&amp;"'!$C$5")),""),"")</f>
        <v/>
      </c>
      <c r="G1067" s="38" t="str" cm="1">
        <f t="array" aca="1" ref="G1067" ca="1">IF(F1067="",
    "",
    IFERROR(
        IF(INDIRECT("'"&amp;F1067&amp;"'!$B$2")="Credit Limit",
            "Credit Accounts",
            IF(INDIRECT("'"&amp;F1067&amp;"'!$E$2")="Location",
                "Cash Accounts",
                IF(INDIRECT("'"&amp;F1067&amp;"'!$B$2")="Amount",
                    "Investments",
                    "Bill Accounts"
                )
            )
        ),
    "")
)</f>
        <v/>
      </c>
      <c r="I1067" s="46" t="str" cm="1">
        <f t="array" aca="1" ref="I1067" ca="1">IF(F1067&lt;&gt;"",IF(OR(G1067="Bill Accounts",G1067="Investments", G1067="Cash Accounts"),INDIRECT("'"&amp;F1067&amp;"'!$C$10"),INDIRECT("'"&amp;F1067&amp;"'!$C$8")),"")</f>
        <v/>
      </c>
      <c r="K1067" s="48">
        <f t="shared" si="51"/>
        <v>1073</v>
      </c>
      <c r="L1067" s="114" t="str" cm="1">
        <f t="array" aca="1" ref="L1067" ca="1">IF(F1067&lt;&gt;"",INDIRECT("'"&amp;F1067&amp;"'!$F$17"),"")</f>
        <v/>
      </c>
      <c r="M1067" s="116" t="str">
        <f t="shared" ca="1" si="49"/>
        <v/>
      </c>
      <c r="O1067" s="49" t="str">
        <f t="shared" ca="1" si="50"/>
        <v/>
      </c>
      <c r="P1067" s="38" t="str">
        <f>IF(E1067&lt;&gt;"",RANK(E1067,$E$3:$E$2298)+COUNTIF($E$3:E1067,E1067)-1,"")</f>
        <v/>
      </c>
    </row>
    <row r="1068" spans="4:16" x14ac:dyDescent="0.25">
      <c r="D1068" s="36" t="str" cm="1">
        <f t="array" aca="1" ref="D1068" ca="1">IFERROR(IF(INDIRECT("'"&amp;F1068&amp;"'!$C$5")&gt;0,DATE(YEAR(Dashboard!$AL$2),Dashboard!$AU$4,INDIRECT("'"&amp;F1068&amp;"'!$C$5")),""),"")</f>
        <v/>
      </c>
      <c r="G1068" s="38" t="str" cm="1">
        <f t="array" aca="1" ref="G1068" ca="1">IF(F1068="",
    "",
    IFERROR(
        IF(INDIRECT("'"&amp;F1068&amp;"'!$B$2")="Credit Limit",
            "Credit Accounts",
            IF(INDIRECT("'"&amp;F1068&amp;"'!$E$2")="Location",
                "Cash Accounts",
                IF(INDIRECT("'"&amp;F1068&amp;"'!$B$2")="Amount",
                    "Investments",
                    "Bill Accounts"
                )
            )
        ),
    "")
)</f>
        <v/>
      </c>
      <c r="I1068" s="46" t="str" cm="1">
        <f t="array" aca="1" ref="I1068" ca="1">IF(F1068&lt;&gt;"",IF(OR(G1068="Bill Accounts",G1068="Investments", G1068="Cash Accounts"),INDIRECT("'"&amp;F1068&amp;"'!$C$10"),INDIRECT("'"&amp;F1068&amp;"'!$C$8")),"")</f>
        <v/>
      </c>
      <c r="K1068" s="48">
        <f t="shared" si="51"/>
        <v>1074</v>
      </c>
      <c r="L1068" s="114" t="str" cm="1">
        <f t="array" aca="1" ref="L1068" ca="1">IF(F1068&lt;&gt;"",INDIRECT("'"&amp;F1068&amp;"'!$F$17"),"")</f>
        <v/>
      </c>
      <c r="M1068" s="116" t="str">
        <f t="shared" ca="1" si="49"/>
        <v/>
      </c>
      <c r="O1068" s="49" t="str">
        <f t="shared" ca="1" si="50"/>
        <v/>
      </c>
      <c r="P1068" s="38" t="str">
        <f>IF(E1068&lt;&gt;"",RANK(E1068,$E$3:$E$2298)+COUNTIF($E$3:E1068,E1068)-1,"")</f>
        <v/>
      </c>
    </row>
    <row r="1069" spans="4:16" x14ac:dyDescent="0.25">
      <c r="D1069" s="36" t="str" cm="1">
        <f t="array" aca="1" ref="D1069" ca="1">IFERROR(IF(INDIRECT("'"&amp;F1069&amp;"'!$C$5")&gt;0,DATE(YEAR(Dashboard!$AL$2),Dashboard!$AU$4,INDIRECT("'"&amp;F1069&amp;"'!$C$5")),""),"")</f>
        <v/>
      </c>
      <c r="G1069" s="38" t="str" cm="1">
        <f t="array" aca="1" ref="G1069" ca="1">IF(F1069="",
    "",
    IFERROR(
        IF(INDIRECT("'"&amp;F1069&amp;"'!$B$2")="Credit Limit",
            "Credit Accounts",
            IF(INDIRECT("'"&amp;F1069&amp;"'!$E$2")="Location",
                "Cash Accounts",
                IF(INDIRECT("'"&amp;F1069&amp;"'!$B$2")="Amount",
                    "Investments",
                    "Bill Accounts"
                )
            )
        ),
    "")
)</f>
        <v/>
      </c>
      <c r="I1069" s="46" t="str" cm="1">
        <f t="array" aca="1" ref="I1069" ca="1">IF(F1069&lt;&gt;"",IF(OR(G1069="Bill Accounts",G1069="Investments", G1069="Cash Accounts"),INDIRECT("'"&amp;F1069&amp;"'!$C$10"),INDIRECT("'"&amp;F1069&amp;"'!$C$8")),"")</f>
        <v/>
      </c>
      <c r="K1069" s="48">
        <f t="shared" si="51"/>
        <v>1075</v>
      </c>
      <c r="L1069" s="114" t="str" cm="1">
        <f t="array" aca="1" ref="L1069" ca="1">IF(F1069&lt;&gt;"",INDIRECT("'"&amp;F1069&amp;"'!$F$17"),"")</f>
        <v/>
      </c>
      <c r="M1069" s="116" t="str">
        <f t="shared" ca="1" si="49"/>
        <v/>
      </c>
      <c r="O1069" s="49" t="str">
        <f t="shared" ca="1" si="50"/>
        <v/>
      </c>
      <c r="P1069" s="38" t="str">
        <f>IF(E1069&lt;&gt;"",RANK(E1069,$E$3:$E$2298)+COUNTIF($E$3:E1069,E1069)-1,"")</f>
        <v/>
      </c>
    </row>
    <row r="1070" spans="4:16" x14ac:dyDescent="0.25">
      <c r="D1070" s="36" t="str" cm="1">
        <f t="array" aca="1" ref="D1070" ca="1">IFERROR(IF(INDIRECT("'"&amp;F1070&amp;"'!$C$5")&gt;0,DATE(YEAR(Dashboard!$AL$2),Dashboard!$AU$4,INDIRECT("'"&amp;F1070&amp;"'!$C$5")),""),"")</f>
        <v/>
      </c>
      <c r="G1070" s="38" t="str" cm="1">
        <f t="array" aca="1" ref="G1070" ca="1">IF(F1070="",
    "",
    IFERROR(
        IF(INDIRECT("'"&amp;F1070&amp;"'!$B$2")="Credit Limit",
            "Credit Accounts",
            IF(INDIRECT("'"&amp;F1070&amp;"'!$E$2")="Location",
                "Cash Accounts",
                IF(INDIRECT("'"&amp;F1070&amp;"'!$B$2")="Amount",
                    "Investments",
                    "Bill Accounts"
                )
            )
        ),
    "")
)</f>
        <v/>
      </c>
      <c r="I1070" s="46" t="str" cm="1">
        <f t="array" aca="1" ref="I1070" ca="1">IF(F1070&lt;&gt;"",IF(OR(G1070="Bill Accounts",G1070="Investments", G1070="Cash Accounts"),INDIRECT("'"&amp;F1070&amp;"'!$C$10"),INDIRECT("'"&amp;F1070&amp;"'!$C$8")),"")</f>
        <v/>
      </c>
      <c r="K1070" s="48">
        <f t="shared" si="51"/>
        <v>1076</v>
      </c>
      <c r="L1070" s="114" t="str" cm="1">
        <f t="array" aca="1" ref="L1070" ca="1">IF(F1070&lt;&gt;"",INDIRECT("'"&amp;F1070&amp;"'!$F$17"),"")</f>
        <v/>
      </c>
      <c r="M1070" s="116" t="str">
        <f t="shared" ca="1" si="49"/>
        <v/>
      </c>
      <c r="O1070" s="49" t="str">
        <f t="shared" ca="1" si="50"/>
        <v/>
      </c>
      <c r="P1070" s="38" t="str">
        <f>IF(E1070&lt;&gt;"",RANK(E1070,$E$3:$E$2298)+COUNTIF($E$3:E1070,E1070)-1,"")</f>
        <v/>
      </c>
    </row>
    <row r="1071" spans="4:16" x14ac:dyDescent="0.25">
      <c r="D1071" s="36" t="str" cm="1">
        <f t="array" aca="1" ref="D1071" ca="1">IFERROR(IF(INDIRECT("'"&amp;F1071&amp;"'!$C$5")&gt;0,DATE(YEAR(Dashboard!$AL$2),Dashboard!$AU$4,INDIRECT("'"&amp;F1071&amp;"'!$C$5")),""),"")</f>
        <v/>
      </c>
      <c r="G1071" s="38" t="str" cm="1">
        <f t="array" aca="1" ref="G1071" ca="1">IF(F1071="",
    "",
    IFERROR(
        IF(INDIRECT("'"&amp;F1071&amp;"'!$B$2")="Credit Limit",
            "Credit Accounts",
            IF(INDIRECT("'"&amp;F1071&amp;"'!$E$2")="Location",
                "Cash Accounts",
                IF(INDIRECT("'"&amp;F1071&amp;"'!$B$2")="Amount",
                    "Investments",
                    "Bill Accounts"
                )
            )
        ),
    "")
)</f>
        <v/>
      </c>
      <c r="I1071" s="46" t="str" cm="1">
        <f t="array" aca="1" ref="I1071" ca="1">IF(F1071&lt;&gt;"",IF(OR(G1071="Bill Accounts",G1071="Investments", G1071="Cash Accounts"),INDIRECT("'"&amp;F1071&amp;"'!$C$10"),INDIRECT("'"&amp;F1071&amp;"'!$C$8")),"")</f>
        <v/>
      </c>
      <c r="K1071" s="48">
        <f t="shared" si="51"/>
        <v>1077</v>
      </c>
      <c r="L1071" s="114" t="str" cm="1">
        <f t="array" aca="1" ref="L1071" ca="1">IF(F1071&lt;&gt;"",INDIRECT("'"&amp;F1071&amp;"'!$F$17"),"")</f>
        <v/>
      </c>
      <c r="M1071" s="116" t="str">
        <f t="shared" ca="1" si="49"/>
        <v/>
      </c>
      <c r="O1071" s="49" t="str">
        <f t="shared" ca="1" si="50"/>
        <v/>
      </c>
      <c r="P1071" s="38" t="str">
        <f>IF(E1071&lt;&gt;"",RANK(E1071,$E$3:$E$2298)+COUNTIF($E$3:E1071,E1071)-1,"")</f>
        <v/>
      </c>
    </row>
    <row r="1072" spans="4:16" x14ac:dyDescent="0.25">
      <c r="D1072" s="36" t="str" cm="1">
        <f t="array" aca="1" ref="D1072" ca="1">IFERROR(IF(INDIRECT("'"&amp;F1072&amp;"'!$C$5")&gt;0,DATE(YEAR(Dashboard!$AL$2),Dashboard!$AU$4,INDIRECT("'"&amp;F1072&amp;"'!$C$5")),""),"")</f>
        <v/>
      </c>
      <c r="G1072" s="38" t="str" cm="1">
        <f t="array" aca="1" ref="G1072" ca="1">IF(F1072="",
    "",
    IFERROR(
        IF(INDIRECT("'"&amp;F1072&amp;"'!$B$2")="Credit Limit",
            "Credit Accounts",
            IF(INDIRECT("'"&amp;F1072&amp;"'!$E$2")="Location",
                "Cash Accounts",
                IF(INDIRECT("'"&amp;F1072&amp;"'!$B$2")="Amount",
                    "Investments",
                    "Bill Accounts"
                )
            )
        ),
    "")
)</f>
        <v/>
      </c>
      <c r="I1072" s="46" t="str" cm="1">
        <f t="array" aca="1" ref="I1072" ca="1">IF(F1072&lt;&gt;"",IF(OR(G1072="Bill Accounts",G1072="Investments", G1072="Cash Accounts"),INDIRECT("'"&amp;F1072&amp;"'!$C$10"),INDIRECT("'"&amp;F1072&amp;"'!$C$8")),"")</f>
        <v/>
      </c>
      <c r="K1072" s="48">
        <f t="shared" si="51"/>
        <v>1078</v>
      </c>
      <c r="L1072" s="114" t="str" cm="1">
        <f t="array" aca="1" ref="L1072" ca="1">IF(F1072&lt;&gt;"",INDIRECT("'"&amp;F1072&amp;"'!$F$17"),"")</f>
        <v/>
      </c>
      <c r="M1072" s="116" t="str">
        <f t="shared" ca="1" si="49"/>
        <v/>
      </c>
      <c r="O1072" s="49" t="str">
        <f t="shared" ca="1" si="50"/>
        <v/>
      </c>
      <c r="P1072" s="38" t="str">
        <f>IF(E1072&lt;&gt;"",RANK(E1072,$E$3:$E$2298)+COUNTIF($E$3:E1072,E1072)-1,"")</f>
        <v/>
      </c>
    </row>
    <row r="1073" spans="4:16" x14ac:dyDescent="0.25">
      <c r="D1073" s="36" t="str" cm="1">
        <f t="array" aca="1" ref="D1073" ca="1">IFERROR(IF(INDIRECT("'"&amp;F1073&amp;"'!$C$5")&gt;0,DATE(YEAR(Dashboard!$AL$2),Dashboard!$AU$4,INDIRECT("'"&amp;F1073&amp;"'!$C$5")),""),"")</f>
        <v/>
      </c>
      <c r="G1073" s="38" t="str" cm="1">
        <f t="array" aca="1" ref="G1073" ca="1">IF(F1073="",
    "",
    IFERROR(
        IF(INDIRECT("'"&amp;F1073&amp;"'!$B$2")="Credit Limit",
            "Credit Accounts",
            IF(INDIRECT("'"&amp;F1073&amp;"'!$E$2")="Location",
                "Cash Accounts",
                IF(INDIRECT("'"&amp;F1073&amp;"'!$B$2")="Amount",
                    "Investments",
                    "Bill Accounts"
                )
            )
        ),
    "")
)</f>
        <v/>
      </c>
      <c r="I1073" s="46" t="str" cm="1">
        <f t="array" aca="1" ref="I1073" ca="1">IF(F1073&lt;&gt;"",IF(OR(G1073="Bill Accounts",G1073="Investments", G1073="Cash Accounts"),INDIRECT("'"&amp;F1073&amp;"'!$C$10"),INDIRECT("'"&amp;F1073&amp;"'!$C$8")),"")</f>
        <v/>
      </c>
      <c r="K1073" s="48">
        <f t="shared" si="51"/>
        <v>1079</v>
      </c>
      <c r="L1073" s="114" t="str" cm="1">
        <f t="array" aca="1" ref="L1073" ca="1">IF(F1073&lt;&gt;"",INDIRECT("'"&amp;F1073&amp;"'!$F$17"),"")</f>
        <v/>
      </c>
      <c r="M1073" s="116" t="str">
        <f t="shared" ca="1" si="49"/>
        <v/>
      </c>
      <c r="O1073" s="49" t="str">
        <f t="shared" ca="1" si="50"/>
        <v/>
      </c>
      <c r="P1073" s="38" t="str">
        <f>IF(E1073&lt;&gt;"",RANK(E1073,$E$3:$E$2298)+COUNTIF($E$3:E1073,E1073)-1,"")</f>
        <v/>
      </c>
    </row>
    <row r="1074" spans="4:16" x14ac:dyDescent="0.25">
      <c r="D1074" s="36" t="str" cm="1">
        <f t="array" aca="1" ref="D1074" ca="1">IFERROR(IF(INDIRECT("'"&amp;F1074&amp;"'!$C$5")&gt;0,DATE(YEAR(Dashboard!$AL$2),Dashboard!$AU$4,INDIRECT("'"&amp;F1074&amp;"'!$C$5")),""),"")</f>
        <v/>
      </c>
      <c r="G1074" s="38" t="str" cm="1">
        <f t="array" aca="1" ref="G1074" ca="1">IF(F1074="",
    "",
    IFERROR(
        IF(INDIRECT("'"&amp;F1074&amp;"'!$B$2")="Credit Limit",
            "Credit Accounts",
            IF(INDIRECT("'"&amp;F1074&amp;"'!$E$2")="Location",
                "Cash Accounts",
                IF(INDIRECT("'"&amp;F1074&amp;"'!$B$2")="Amount",
                    "Investments",
                    "Bill Accounts"
                )
            )
        ),
    "")
)</f>
        <v/>
      </c>
      <c r="I1074" s="46" t="str" cm="1">
        <f t="array" aca="1" ref="I1074" ca="1">IF(F1074&lt;&gt;"",IF(OR(G1074="Bill Accounts",G1074="Investments", G1074="Cash Accounts"),INDIRECT("'"&amp;F1074&amp;"'!$C$10"),INDIRECT("'"&amp;F1074&amp;"'!$C$8")),"")</f>
        <v/>
      </c>
      <c r="K1074" s="48">
        <f t="shared" si="51"/>
        <v>1080</v>
      </c>
      <c r="L1074" s="114" t="str" cm="1">
        <f t="array" aca="1" ref="L1074" ca="1">IF(F1074&lt;&gt;"",INDIRECT("'"&amp;F1074&amp;"'!$F$17"),"")</f>
        <v/>
      </c>
      <c r="M1074" s="116" t="str">
        <f t="shared" ca="1" si="49"/>
        <v/>
      </c>
      <c r="O1074" s="49" t="str">
        <f t="shared" ca="1" si="50"/>
        <v/>
      </c>
      <c r="P1074" s="38" t="str">
        <f>IF(E1074&lt;&gt;"",RANK(E1074,$E$3:$E$2298)+COUNTIF($E$3:E1074,E1074)-1,"")</f>
        <v/>
      </c>
    </row>
    <row r="1075" spans="4:16" x14ac:dyDescent="0.25">
      <c r="D1075" s="36" t="str" cm="1">
        <f t="array" aca="1" ref="D1075" ca="1">IFERROR(IF(INDIRECT("'"&amp;F1075&amp;"'!$C$5")&gt;0,DATE(YEAR(Dashboard!$AL$2),Dashboard!$AU$4,INDIRECT("'"&amp;F1075&amp;"'!$C$5")),""),"")</f>
        <v/>
      </c>
      <c r="G1075" s="38" t="str" cm="1">
        <f t="array" aca="1" ref="G1075" ca="1">IF(F1075="",
    "",
    IFERROR(
        IF(INDIRECT("'"&amp;F1075&amp;"'!$B$2")="Credit Limit",
            "Credit Accounts",
            IF(INDIRECT("'"&amp;F1075&amp;"'!$E$2")="Location",
                "Cash Accounts",
                IF(INDIRECT("'"&amp;F1075&amp;"'!$B$2")="Amount",
                    "Investments",
                    "Bill Accounts"
                )
            )
        ),
    "")
)</f>
        <v/>
      </c>
      <c r="I1075" s="46" t="str" cm="1">
        <f t="array" aca="1" ref="I1075" ca="1">IF(F1075&lt;&gt;"",IF(OR(G1075="Bill Accounts",G1075="Investments", G1075="Cash Accounts"),INDIRECT("'"&amp;F1075&amp;"'!$C$10"),INDIRECT("'"&amp;F1075&amp;"'!$C$8")),"")</f>
        <v/>
      </c>
      <c r="K1075" s="48">
        <f t="shared" si="51"/>
        <v>1081</v>
      </c>
      <c r="L1075" s="114" t="str" cm="1">
        <f t="array" aca="1" ref="L1075" ca="1">IF(F1075&lt;&gt;"",INDIRECT("'"&amp;F1075&amp;"'!$F$17"),"")</f>
        <v/>
      </c>
      <c r="M1075" s="116" t="str">
        <f t="shared" ca="1" si="49"/>
        <v/>
      </c>
      <c r="O1075" s="49" t="str">
        <f t="shared" ca="1" si="50"/>
        <v/>
      </c>
      <c r="P1075" s="38" t="str">
        <f>IF(E1075&lt;&gt;"",RANK(E1075,$E$3:$E$2298)+COUNTIF($E$3:E1075,E1075)-1,"")</f>
        <v/>
      </c>
    </row>
    <row r="1076" spans="4:16" x14ac:dyDescent="0.25">
      <c r="D1076" s="36" t="str" cm="1">
        <f t="array" aca="1" ref="D1076" ca="1">IFERROR(IF(INDIRECT("'"&amp;F1076&amp;"'!$C$5")&gt;0,DATE(YEAR(Dashboard!$AL$2),Dashboard!$AU$4,INDIRECT("'"&amp;F1076&amp;"'!$C$5")),""),"")</f>
        <v/>
      </c>
      <c r="G1076" s="38" t="str" cm="1">
        <f t="array" aca="1" ref="G1076" ca="1">IF(F1076="",
    "",
    IFERROR(
        IF(INDIRECT("'"&amp;F1076&amp;"'!$B$2")="Credit Limit",
            "Credit Accounts",
            IF(INDIRECT("'"&amp;F1076&amp;"'!$E$2")="Location",
                "Cash Accounts",
                IF(INDIRECT("'"&amp;F1076&amp;"'!$B$2")="Amount",
                    "Investments",
                    "Bill Accounts"
                )
            )
        ),
    "")
)</f>
        <v/>
      </c>
      <c r="I1076" s="46" t="str" cm="1">
        <f t="array" aca="1" ref="I1076" ca="1">IF(F1076&lt;&gt;"",IF(OR(G1076="Bill Accounts",G1076="Investments", G1076="Cash Accounts"),INDIRECT("'"&amp;F1076&amp;"'!$C$10"),INDIRECT("'"&amp;F1076&amp;"'!$C$8")),"")</f>
        <v/>
      </c>
      <c r="K1076" s="48">
        <f t="shared" si="51"/>
        <v>1082</v>
      </c>
      <c r="L1076" s="114" t="str" cm="1">
        <f t="array" aca="1" ref="L1076" ca="1">IF(F1076&lt;&gt;"",INDIRECT("'"&amp;F1076&amp;"'!$F$17"),"")</f>
        <v/>
      </c>
      <c r="M1076" s="116" t="str">
        <f t="shared" ca="1" si="49"/>
        <v/>
      </c>
      <c r="O1076" s="49" t="str">
        <f t="shared" ca="1" si="50"/>
        <v/>
      </c>
      <c r="P1076" s="38" t="str">
        <f>IF(E1076&lt;&gt;"",RANK(E1076,$E$3:$E$2298)+COUNTIF($E$3:E1076,E1076)-1,"")</f>
        <v/>
      </c>
    </row>
    <row r="1077" spans="4:16" x14ac:dyDescent="0.25">
      <c r="D1077" s="36" t="str" cm="1">
        <f t="array" aca="1" ref="D1077" ca="1">IFERROR(IF(INDIRECT("'"&amp;F1077&amp;"'!$C$5")&gt;0,DATE(YEAR(Dashboard!$AL$2),Dashboard!$AU$4,INDIRECT("'"&amp;F1077&amp;"'!$C$5")),""),"")</f>
        <v/>
      </c>
      <c r="G1077" s="38" t="str" cm="1">
        <f t="array" aca="1" ref="G1077" ca="1">IF(F1077="",
    "",
    IFERROR(
        IF(INDIRECT("'"&amp;F1077&amp;"'!$B$2")="Credit Limit",
            "Credit Accounts",
            IF(INDIRECT("'"&amp;F1077&amp;"'!$E$2")="Location",
                "Cash Accounts",
                IF(INDIRECT("'"&amp;F1077&amp;"'!$B$2")="Amount",
                    "Investments",
                    "Bill Accounts"
                )
            )
        ),
    "")
)</f>
        <v/>
      </c>
      <c r="I1077" s="46" t="str" cm="1">
        <f t="array" aca="1" ref="I1077" ca="1">IF(F1077&lt;&gt;"",IF(OR(G1077="Bill Accounts",G1077="Investments", G1077="Cash Accounts"),INDIRECT("'"&amp;F1077&amp;"'!$C$10"),INDIRECT("'"&amp;F1077&amp;"'!$C$8")),"")</f>
        <v/>
      </c>
      <c r="K1077" s="48">
        <f t="shared" si="51"/>
        <v>1083</v>
      </c>
      <c r="L1077" s="114" t="str" cm="1">
        <f t="array" aca="1" ref="L1077" ca="1">IF(F1077&lt;&gt;"",INDIRECT("'"&amp;F1077&amp;"'!$F$17"),"")</f>
        <v/>
      </c>
      <c r="M1077" s="116" t="str">
        <f t="shared" ca="1" si="49"/>
        <v/>
      </c>
      <c r="O1077" s="49" t="str">
        <f t="shared" ca="1" si="50"/>
        <v/>
      </c>
      <c r="P1077" s="38" t="str">
        <f>IF(E1077&lt;&gt;"",RANK(E1077,$E$3:$E$2298)+COUNTIF($E$3:E1077,E1077)-1,"")</f>
        <v/>
      </c>
    </row>
    <row r="1078" spans="4:16" x14ac:dyDescent="0.25">
      <c r="D1078" s="36" t="str" cm="1">
        <f t="array" aca="1" ref="D1078" ca="1">IFERROR(IF(INDIRECT("'"&amp;F1078&amp;"'!$C$5")&gt;0,DATE(YEAR(Dashboard!$AL$2),Dashboard!$AU$4,INDIRECT("'"&amp;F1078&amp;"'!$C$5")),""),"")</f>
        <v/>
      </c>
      <c r="G1078" s="38" t="str" cm="1">
        <f t="array" aca="1" ref="G1078" ca="1">IF(F1078="",
    "",
    IFERROR(
        IF(INDIRECT("'"&amp;F1078&amp;"'!$B$2")="Credit Limit",
            "Credit Accounts",
            IF(INDIRECT("'"&amp;F1078&amp;"'!$E$2")="Location",
                "Cash Accounts",
                IF(INDIRECT("'"&amp;F1078&amp;"'!$B$2")="Amount",
                    "Investments",
                    "Bill Accounts"
                )
            )
        ),
    "")
)</f>
        <v/>
      </c>
      <c r="I1078" s="46" t="str" cm="1">
        <f t="array" aca="1" ref="I1078" ca="1">IF(F1078&lt;&gt;"",IF(OR(G1078="Bill Accounts",G1078="Investments", G1078="Cash Accounts"),INDIRECT("'"&amp;F1078&amp;"'!$C$10"),INDIRECT("'"&amp;F1078&amp;"'!$C$8")),"")</f>
        <v/>
      </c>
      <c r="K1078" s="48">
        <f t="shared" si="51"/>
        <v>1084</v>
      </c>
      <c r="L1078" s="114" t="str" cm="1">
        <f t="array" aca="1" ref="L1078" ca="1">IF(F1078&lt;&gt;"",INDIRECT("'"&amp;F1078&amp;"'!$F$17"),"")</f>
        <v/>
      </c>
      <c r="M1078" s="116" t="str">
        <f t="shared" ca="1" si="49"/>
        <v/>
      </c>
      <c r="O1078" s="49" t="str">
        <f t="shared" ca="1" si="50"/>
        <v/>
      </c>
      <c r="P1078" s="38" t="str">
        <f>IF(E1078&lt;&gt;"",RANK(E1078,$E$3:$E$2298)+COUNTIF($E$3:E1078,E1078)-1,"")</f>
        <v/>
      </c>
    </row>
    <row r="1079" spans="4:16" x14ac:dyDescent="0.25">
      <c r="D1079" s="36" t="str" cm="1">
        <f t="array" aca="1" ref="D1079" ca="1">IFERROR(IF(INDIRECT("'"&amp;F1079&amp;"'!$C$5")&gt;0,DATE(YEAR(Dashboard!$AL$2),Dashboard!$AU$4,INDIRECT("'"&amp;F1079&amp;"'!$C$5")),""),"")</f>
        <v/>
      </c>
      <c r="G1079" s="38" t="str" cm="1">
        <f t="array" aca="1" ref="G1079" ca="1">IF(F1079="",
    "",
    IFERROR(
        IF(INDIRECT("'"&amp;F1079&amp;"'!$B$2")="Credit Limit",
            "Credit Accounts",
            IF(INDIRECT("'"&amp;F1079&amp;"'!$E$2")="Location",
                "Cash Accounts",
                IF(INDIRECT("'"&amp;F1079&amp;"'!$B$2")="Amount",
                    "Investments",
                    "Bill Accounts"
                )
            )
        ),
    "")
)</f>
        <v/>
      </c>
      <c r="I1079" s="46" t="str" cm="1">
        <f t="array" aca="1" ref="I1079" ca="1">IF(F1079&lt;&gt;"",IF(OR(G1079="Bill Accounts",G1079="Investments", G1079="Cash Accounts"),INDIRECT("'"&amp;F1079&amp;"'!$C$10"),INDIRECT("'"&amp;F1079&amp;"'!$C$8")),"")</f>
        <v/>
      </c>
      <c r="K1079" s="48">
        <f t="shared" si="51"/>
        <v>1085</v>
      </c>
      <c r="L1079" s="114" t="str" cm="1">
        <f t="array" aca="1" ref="L1079" ca="1">IF(F1079&lt;&gt;"",INDIRECT("'"&amp;F1079&amp;"'!$F$17"),"")</f>
        <v/>
      </c>
      <c r="M1079" s="116" t="str">
        <f t="shared" ca="1" si="49"/>
        <v/>
      </c>
      <c r="O1079" s="49" t="str">
        <f t="shared" ca="1" si="50"/>
        <v/>
      </c>
      <c r="P1079" s="38" t="str">
        <f>IF(E1079&lt;&gt;"",RANK(E1079,$E$3:$E$2298)+COUNTIF($E$3:E1079,E1079)-1,"")</f>
        <v/>
      </c>
    </row>
    <row r="1080" spans="4:16" x14ac:dyDescent="0.25">
      <c r="D1080" s="36" t="str" cm="1">
        <f t="array" aca="1" ref="D1080" ca="1">IFERROR(IF(INDIRECT("'"&amp;F1080&amp;"'!$C$5")&gt;0,DATE(YEAR(Dashboard!$AL$2),Dashboard!$AU$4,INDIRECT("'"&amp;F1080&amp;"'!$C$5")),""),"")</f>
        <v/>
      </c>
      <c r="G1080" s="38" t="str" cm="1">
        <f t="array" aca="1" ref="G1080" ca="1">IF(F1080="",
    "",
    IFERROR(
        IF(INDIRECT("'"&amp;F1080&amp;"'!$B$2")="Credit Limit",
            "Credit Accounts",
            IF(INDIRECT("'"&amp;F1080&amp;"'!$E$2")="Location",
                "Cash Accounts",
                IF(INDIRECT("'"&amp;F1080&amp;"'!$B$2")="Amount",
                    "Investments",
                    "Bill Accounts"
                )
            )
        ),
    "")
)</f>
        <v/>
      </c>
      <c r="I1080" s="46" t="str" cm="1">
        <f t="array" aca="1" ref="I1080" ca="1">IF(F1080&lt;&gt;"",IF(OR(G1080="Bill Accounts",G1080="Investments", G1080="Cash Accounts"),INDIRECT("'"&amp;F1080&amp;"'!$C$10"),INDIRECT("'"&amp;F1080&amp;"'!$C$8")),"")</f>
        <v/>
      </c>
      <c r="K1080" s="48">
        <f t="shared" si="51"/>
        <v>1086</v>
      </c>
      <c r="L1080" s="114" t="str" cm="1">
        <f t="array" aca="1" ref="L1080" ca="1">IF(F1080&lt;&gt;"",INDIRECT("'"&amp;F1080&amp;"'!$F$17"),"")</f>
        <v/>
      </c>
      <c r="M1080" s="116" t="str">
        <f t="shared" ca="1" si="49"/>
        <v/>
      </c>
      <c r="O1080" s="49" t="str">
        <f t="shared" ca="1" si="50"/>
        <v/>
      </c>
      <c r="P1080" s="38" t="str">
        <f>IF(E1080&lt;&gt;"",RANK(E1080,$E$3:$E$2298)+COUNTIF($E$3:E1080,E1080)-1,"")</f>
        <v/>
      </c>
    </row>
    <row r="1081" spans="4:16" x14ac:dyDescent="0.25">
      <c r="D1081" s="36" t="str" cm="1">
        <f t="array" aca="1" ref="D1081" ca="1">IFERROR(IF(INDIRECT("'"&amp;F1081&amp;"'!$C$5")&gt;0,DATE(YEAR(Dashboard!$AL$2),Dashboard!$AU$4,INDIRECT("'"&amp;F1081&amp;"'!$C$5")),""),"")</f>
        <v/>
      </c>
      <c r="G1081" s="38" t="str" cm="1">
        <f t="array" aca="1" ref="G1081" ca="1">IF(F1081="",
    "",
    IFERROR(
        IF(INDIRECT("'"&amp;F1081&amp;"'!$B$2")="Credit Limit",
            "Credit Accounts",
            IF(INDIRECT("'"&amp;F1081&amp;"'!$E$2")="Location",
                "Cash Accounts",
                IF(INDIRECT("'"&amp;F1081&amp;"'!$B$2")="Amount",
                    "Investments",
                    "Bill Accounts"
                )
            )
        ),
    "")
)</f>
        <v/>
      </c>
      <c r="I1081" s="46" t="str" cm="1">
        <f t="array" aca="1" ref="I1081" ca="1">IF(F1081&lt;&gt;"",IF(OR(G1081="Bill Accounts",G1081="Investments", G1081="Cash Accounts"),INDIRECT("'"&amp;F1081&amp;"'!$C$10"),INDIRECT("'"&amp;F1081&amp;"'!$C$8")),"")</f>
        <v/>
      </c>
      <c r="K1081" s="48">
        <f t="shared" si="51"/>
        <v>1087</v>
      </c>
      <c r="L1081" s="114" t="str" cm="1">
        <f t="array" aca="1" ref="L1081" ca="1">IF(F1081&lt;&gt;"",INDIRECT("'"&amp;F1081&amp;"'!$F$17"),"")</f>
        <v/>
      </c>
      <c r="M1081" s="116" t="str">
        <f t="shared" ca="1" si="49"/>
        <v/>
      </c>
      <c r="O1081" s="49" t="str">
        <f t="shared" ca="1" si="50"/>
        <v/>
      </c>
      <c r="P1081" s="38" t="str">
        <f>IF(E1081&lt;&gt;"",RANK(E1081,$E$3:$E$2298)+COUNTIF($E$3:E1081,E1081)-1,"")</f>
        <v/>
      </c>
    </row>
    <row r="1082" spans="4:16" x14ac:dyDescent="0.25">
      <c r="D1082" s="36" t="str" cm="1">
        <f t="array" aca="1" ref="D1082" ca="1">IFERROR(IF(INDIRECT("'"&amp;F1082&amp;"'!$C$5")&gt;0,DATE(YEAR(Dashboard!$AL$2),Dashboard!$AU$4,INDIRECT("'"&amp;F1082&amp;"'!$C$5")),""),"")</f>
        <v/>
      </c>
      <c r="G1082" s="38" t="str" cm="1">
        <f t="array" aca="1" ref="G1082" ca="1">IF(F1082="",
    "",
    IFERROR(
        IF(INDIRECT("'"&amp;F1082&amp;"'!$B$2")="Credit Limit",
            "Credit Accounts",
            IF(INDIRECT("'"&amp;F1082&amp;"'!$E$2")="Location",
                "Cash Accounts",
                IF(INDIRECT("'"&amp;F1082&amp;"'!$B$2")="Amount",
                    "Investments",
                    "Bill Accounts"
                )
            )
        ),
    "")
)</f>
        <v/>
      </c>
      <c r="I1082" s="46" t="str" cm="1">
        <f t="array" aca="1" ref="I1082" ca="1">IF(F1082&lt;&gt;"",IF(OR(G1082="Bill Accounts",G1082="Investments", G1082="Cash Accounts"),INDIRECT("'"&amp;F1082&amp;"'!$C$10"),INDIRECT("'"&amp;F1082&amp;"'!$C$8")),"")</f>
        <v/>
      </c>
      <c r="K1082" s="48">
        <f t="shared" si="51"/>
        <v>1088</v>
      </c>
      <c r="L1082" s="114" t="str" cm="1">
        <f t="array" aca="1" ref="L1082" ca="1">IF(F1082&lt;&gt;"",INDIRECT("'"&amp;F1082&amp;"'!$F$17"),"")</f>
        <v/>
      </c>
      <c r="M1082" s="116" t="str">
        <f t="shared" ca="1" si="49"/>
        <v/>
      </c>
      <c r="O1082" s="49" t="str">
        <f t="shared" ca="1" si="50"/>
        <v/>
      </c>
      <c r="P1082" s="38" t="str">
        <f>IF(E1082&lt;&gt;"",RANK(E1082,$E$3:$E$2298)+COUNTIF($E$3:E1082,E1082)-1,"")</f>
        <v/>
      </c>
    </row>
    <row r="1083" spans="4:16" x14ac:dyDescent="0.25">
      <c r="D1083" s="36" t="str" cm="1">
        <f t="array" aca="1" ref="D1083" ca="1">IFERROR(IF(INDIRECT("'"&amp;F1083&amp;"'!$C$5")&gt;0,DATE(YEAR(Dashboard!$AL$2),Dashboard!$AU$4,INDIRECT("'"&amp;F1083&amp;"'!$C$5")),""),"")</f>
        <v/>
      </c>
      <c r="G1083" s="38" t="str" cm="1">
        <f t="array" aca="1" ref="G1083" ca="1">IF(F1083="",
    "",
    IFERROR(
        IF(INDIRECT("'"&amp;F1083&amp;"'!$B$2")="Credit Limit",
            "Credit Accounts",
            IF(INDIRECT("'"&amp;F1083&amp;"'!$E$2")="Location",
                "Cash Accounts",
                IF(INDIRECT("'"&amp;F1083&amp;"'!$B$2")="Amount",
                    "Investments",
                    "Bill Accounts"
                )
            )
        ),
    "")
)</f>
        <v/>
      </c>
      <c r="I1083" s="46" t="str" cm="1">
        <f t="array" aca="1" ref="I1083" ca="1">IF(F1083&lt;&gt;"",IF(OR(G1083="Bill Accounts",G1083="Investments", G1083="Cash Accounts"),INDIRECT("'"&amp;F1083&amp;"'!$C$10"),INDIRECT("'"&amp;F1083&amp;"'!$C$8")),"")</f>
        <v/>
      </c>
      <c r="K1083" s="48">
        <f t="shared" si="51"/>
        <v>1089</v>
      </c>
      <c r="L1083" s="114" t="str" cm="1">
        <f t="array" aca="1" ref="L1083" ca="1">IF(F1083&lt;&gt;"",INDIRECT("'"&amp;F1083&amp;"'!$F$17"),"")</f>
        <v/>
      </c>
      <c r="M1083" s="116" t="str">
        <f t="shared" ca="1" si="49"/>
        <v/>
      </c>
      <c r="O1083" s="49" t="str">
        <f t="shared" ca="1" si="50"/>
        <v/>
      </c>
      <c r="P1083" s="38" t="str">
        <f>IF(E1083&lt;&gt;"",RANK(E1083,$E$3:$E$2298)+COUNTIF($E$3:E1083,E1083)-1,"")</f>
        <v/>
      </c>
    </row>
    <row r="1084" spans="4:16" x14ac:dyDescent="0.25">
      <c r="D1084" s="36" t="str" cm="1">
        <f t="array" aca="1" ref="D1084" ca="1">IFERROR(IF(INDIRECT("'"&amp;F1084&amp;"'!$C$5")&gt;0,DATE(YEAR(Dashboard!$AL$2),Dashboard!$AU$4,INDIRECT("'"&amp;F1084&amp;"'!$C$5")),""),"")</f>
        <v/>
      </c>
      <c r="G1084" s="38" t="str" cm="1">
        <f t="array" aca="1" ref="G1084" ca="1">IF(F1084="",
    "",
    IFERROR(
        IF(INDIRECT("'"&amp;F1084&amp;"'!$B$2")="Credit Limit",
            "Credit Accounts",
            IF(INDIRECT("'"&amp;F1084&amp;"'!$E$2")="Location",
                "Cash Accounts",
                IF(INDIRECT("'"&amp;F1084&amp;"'!$B$2")="Amount",
                    "Investments",
                    "Bill Accounts"
                )
            )
        ),
    "")
)</f>
        <v/>
      </c>
      <c r="I1084" s="46" t="str" cm="1">
        <f t="array" aca="1" ref="I1084" ca="1">IF(F1084&lt;&gt;"",IF(OR(G1084="Bill Accounts",G1084="Investments", G1084="Cash Accounts"),INDIRECT("'"&amp;F1084&amp;"'!$C$10"),INDIRECT("'"&amp;F1084&amp;"'!$C$8")),"")</f>
        <v/>
      </c>
      <c r="K1084" s="48">
        <f t="shared" si="51"/>
        <v>1090</v>
      </c>
      <c r="L1084" s="114" t="str" cm="1">
        <f t="array" aca="1" ref="L1084" ca="1">IF(F1084&lt;&gt;"",INDIRECT("'"&amp;F1084&amp;"'!$F$17"),"")</f>
        <v/>
      </c>
      <c r="M1084" s="116" t="str">
        <f t="shared" ca="1" si="49"/>
        <v/>
      </c>
      <c r="O1084" s="49" t="str">
        <f t="shared" ca="1" si="50"/>
        <v/>
      </c>
      <c r="P1084" s="38" t="str">
        <f>IF(E1084&lt;&gt;"",RANK(E1084,$E$3:$E$2298)+COUNTIF($E$3:E1084,E1084)-1,"")</f>
        <v/>
      </c>
    </row>
    <row r="1085" spans="4:16" x14ac:dyDescent="0.25">
      <c r="D1085" s="36" t="str" cm="1">
        <f t="array" aca="1" ref="D1085" ca="1">IFERROR(IF(INDIRECT("'"&amp;F1085&amp;"'!$C$5")&gt;0,DATE(YEAR(Dashboard!$AL$2),Dashboard!$AU$4,INDIRECT("'"&amp;F1085&amp;"'!$C$5")),""),"")</f>
        <v/>
      </c>
      <c r="G1085" s="38" t="str" cm="1">
        <f t="array" aca="1" ref="G1085" ca="1">IF(F1085="",
    "",
    IFERROR(
        IF(INDIRECT("'"&amp;F1085&amp;"'!$B$2")="Credit Limit",
            "Credit Accounts",
            IF(INDIRECT("'"&amp;F1085&amp;"'!$E$2")="Location",
                "Cash Accounts",
                IF(INDIRECT("'"&amp;F1085&amp;"'!$B$2")="Amount",
                    "Investments",
                    "Bill Accounts"
                )
            )
        ),
    "")
)</f>
        <v/>
      </c>
      <c r="I1085" s="46" t="str" cm="1">
        <f t="array" aca="1" ref="I1085" ca="1">IF(F1085&lt;&gt;"",IF(OR(G1085="Bill Accounts",G1085="Investments", G1085="Cash Accounts"),INDIRECT("'"&amp;F1085&amp;"'!$C$10"),INDIRECT("'"&amp;F1085&amp;"'!$C$8")),"")</f>
        <v/>
      </c>
      <c r="K1085" s="48">
        <f t="shared" si="51"/>
        <v>1091</v>
      </c>
      <c r="L1085" s="114" t="str" cm="1">
        <f t="array" aca="1" ref="L1085" ca="1">IF(F1085&lt;&gt;"",INDIRECT("'"&amp;F1085&amp;"'!$F$17"),"")</f>
        <v/>
      </c>
      <c r="M1085" s="116" t="str">
        <f t="shared" ca="1" si="49"/>
        <v/>
      </c>
      <c r="O1085" s="49" t="str">
        <f t="shared" ca="1" si="50"/>
        <v/>
      </c>
      <c r="P1085" s="38" t="str">
        <f>IF(E1085&lt;&gt;"",RANK(E1085,$E$3:$E$2298)+COUNTIF($E$3:E1085,E1085)-1,"")</f>
        <v/>
      </c>
    </row>
    <row r="1086" spans="4:16" x14ac:dyDescent="0.25">
      <c r="D1086" s="36" t="str" cm="1">
        <f t="array" aca="1" ref="D1086" ca="1">IFERROR(IF(INDIRECT("'"&amp;F1086&amp;"'!$C$5")&gt;0,DATE(YEAR(Dashboard!$AL$2),Dashboard!$AU$4,INDIRECT("'"&amp;F1086&amp;"'!$C$5")),""),"")</f>
        <v/>
      </c>
      <c r="G1086" s="38" t="str" cm="1">
        <f t="array" aca="1" ref="G1086" ca="1">IF(F1086="",
    "",
    IFERROR(
        IF(INDIRECT("'"&amp;F1086&amp;"'!$B$2")="Credit Limit",
            "Credit Accounts",
            IF(INDIRECT("'"&amp;F1086&amp;"'!$E$2")="Location",
                "Cash Accounts",
                IF(INDIRECT("'"&amp;F1086&amp;"'!$B$2")="Amount",
                    "Investments",
                    "Bill Accounts"
                )
            )
        ),
    "")
)</f>
        <v/>
      </c>
      <c r="I1086" s="46" t="str" cm="1">
        <f t="array" aca="1" ref="I1086" ca="1">IF(F1086&lt;&gt;"",IF(OR(G1086="Bill Accounts",G1086="Investments", G1086="Cash Accounts"),INDIRECT("'"&amp;F1086&amp;"'!$C$10"),INDIRECT("'"&amp;F1086&amp;"'!$C$8")),"")</f>
        <v/>
      </c>
      <c r="K1086" s="48">
        <f t="shared" si="51"/>
        <v>1092</v>
      </c>
      <c r="L1086" s="114" t="str" cm="1">
        <f t="array" aca="1" ref="L1086" ca="1">IF(F1086&lt;&gt;"",INDIRECT("'"&amp;F1086&amp;"'!$F$17"),"")</f>
        <v/>
      </c>
      <c r="M1086" s="116" t="str">
        <f t="shared" ca="1" si="49"/>
        <v/>
      </c>
      <c r="O1086" s="49" t="str">
        <f t="shared" ca="1" si="50"/>
        <v/>
      </c>
      <c r="P1086" s="38" t="str">
        <f>IF(E1086&lt;&gt;"",RANK(E1086,$E$3:$E$2298)+COUNTIF($E$3:E1086,E1086)-1,"")</f>
        <v/>
      </c>
    </row>
    <row r="1087" spans="4:16" x14ac:dyDescent="0.25">
      <c r="D1087" s="36" t="str" cm="1">
        <f t="array" aca="1" ref="D1087" ca="1">IFERROR(IF(INDIRECT("'"&amp;F1087&amp;"'!$C$5")&gt;0,DATE(YEAR(Dashboard!$AL$2),Dashboard!$AU$4,INDIRECT("'"&amp;F1087&amp;"'!$C$5")),""),"")</f>
        <v/>
      </c>
      <c r="G1087" s="38" t="str" cm="1">
        <f t="array" aca="1" ref="G1087" ca="1">IF(F1087="",
    "",
    IFERROR(
        IF(INDIRECT("'"&amp;F1087&amp;"'!$B$2")="Credit Limit",
            "Credit Accounts",
            IF(INDIRECT("'"&amp;F1087&amp;"'!$E$2")="Location",
                "Cash Accounts",
                IF(INDIRECT("'"&amp;F1087&amp;"'!$B$2")="Amount",
                    "Investments",
                    "Bill Accounts"
                )
            )
        ),
    "")
)</f>
        <v/>
      </c>
      <c r="I1087" s="46" t="str" cm="1">
        <f t="array" aca="1" ref="I1087" ca="1">IF(F1087&lt;&gt;"",IF(OR(G1087="Bill Accounts",G1087="Investments", G1087="Cash Accounts"),INDIRECT("'"&amp;F1087&amp;"'!$C$10"),INDIRECT("'"&amp;F1087&amp;"'!$C$8")),"")</f>
        <v/>
      </c>
      <c r="K1087" s="48">
        <f t="shared" si="51"/>
        <v>1093</v>
      </c>
      <c r="L1087" s="114" t="str" cm="1">
        <f t="array" aca="1" ref="L1087" ca="1">IF(F1087&lt;&gt;"",INDIRECT("'"&amp;F1087&amp;"'!$F$17"),"")</f>
        <v/>
      </c>
      <c r="M1087" s="116" t="str">
        <f t="shared" ca="1" si="49"/>
        <v/>
      </c>
      <c r="O1087" s="49" t="str">
        <f t="shared" ca="1" si="50"/>
        <v/>
      </c>
      <c r="P1087" s="38" t="str">
        <f>IF(E1087&lt;&gt;"",RANK(E1087,$E$3:$E$2298)+COUNTIF($E$3:E1087,E1087)-1,"")</f>
        <v/>
      </c>
    </row>
    <row r="1088" spans="4:16" x14ac:dyDescent="0.25">
      <c r="D1088" s="36" t="str" cm="1">
        <f t="array" aca="1" ref="D1088" ca="1">IFERROR(IF(INDIRECT("'"&amp;F1088&amp;"'!$C$5")&gt;0,DATE(YEAR(Dashboard!$AL$2),Dashboard!$AU$4,INDIRECT("'"&amp;F1088&amp;"'!$C$5")),""),"")</f>
        <v/>
      </c>
      <c r="G1088" s="38" t="str" cm="1">
        <f t="array" aca="1" ref="G1088" ca="1">IF(F1088="",
    "",
    IFERROR(
        IF(INDIRECT("'"&amp;F1088&amp;"'!$B$2")="Credit Limit",
            "Credit Accounts",
            IF(INDIRECT("'"&amp;F1088&amp;"'!$E$2")="Location",
                "Cash Accounts",
                IF(INDIRECT("'"&amp;F1088&amp;"'!$B$2")="Amount",
                    "Investments",
                    "Bill Accounts"
                )
            )
        ),
    "")
)</f>
        <v/>
      </c>
      <c r="I1088" s="46" t="str" cm="1">
        <f t="array" aca="1" ref="I1088" ca="1">IF(F1088&lt;&gt;"",IF(OR(G1088="Bill Accounts",G1088="Investments", G1088="Cash Accounts"),INDIRECT("'"&amp;F1088&amp;"'!$C$10"),INDIRECT("'"&amp;F1088&amp;"'!$C$8")),"")</f>
        <v/>
      </c>
      <c r="K1088" s="48">
        <f t="shared" si="51"/>
        <v>1094</v>
      </c>
      <c r="L1088" s="114" t="str" cm="1">
        <f t="array" aca="1" ref="L1088" ca="1">IF(F1088&lt;&gt;"",INDIRECT("'"&amp;F1088&amp;"'!$F$17"),"")</f>
        <v/>
      </c>
      <c r="M1088" s="116" t="str">
        <f t="shared" ca="1" si="49"/>
        <v/>
      </c>
      <c r="O1088" s="49" t="str">
        <f t="shared" ca="1" si="50"/>
        <v/>
      </c>
      <c r="P1088" s="38" t="str">
        <f>IF(E1088&lt;&gt;"",RANK(E1088,$E$3:$E$2298)+COUNTIF($E$3:E1088,E1088)-1,"")</f>
        <v/>
      </c>
    </row>
    <row r="1089" spans="4:16" x14ac:dyDescent="0.25">
      <c r="D1089" s="36" t="str" cm="1">
        <f t="array" aca="1" ref="D1089" ca="1">IFERROR(IF(INDIRECT("'"&amp;F1089&amp;"'!$C$5")&gt;0,DATE(YEAR(Dashboard!$AL$2),Dashboard!$AU$4,INDIRECT("'"&amp;F1089&amp;"'!$C$5")),""),"")</f>
        <v/>
      </c>
      <c r="G1089" s="38" t="str" cm="1">
        <f t="array" aca="1" ref="G1089" ca="1">IF(F1089="",
    "",
    IFERROR(
        IF(INDIRECT("'"&amp;F1089&amp;"'!$B$2")="Credit Limit",
            "Credit Accounts",
            IF(INDIRECT("'"&amp;F1089&amp;"'!$E$2")="Location",
                "Cash Accounts",
                IF(INDIRECT("'"&amp;F1089&amp;"'!$B$2")="Amount",
                    "Investments",
                    "Bill Accounts"
                )
            )
        ),
    "")
)</f>
        <v/>
      </c>
      <c r="I1089" s="46" t="str" cm="1">
        <f t="array" aca="1" ref="I1089" ca="1">IF(F1089&lt;&gt;"",IF(OR(G1089="Bill Accounts",G1089="Investments", G1089="Cash Accounts"),INDIRECT("'"&amp;F1089&amp;"'!$C$10"),INDIRECT("'"&amp;F1089&amp;"'!$C$8")),"")</f>
        <v/>
      </c>
      <c r="K1089" s="48">
        <f t="shared" si="51"/>
        <v>1095</v>
      </c>
      <c r="L1089" s="114" t="str" cm="1">
        <f t="array" aca="1" ref="L1089" ca="1">IF(F1089&lt;&gt;"",INDIRECT("'"&amp;F1089&amp;"'!$F$17"),"")</f>
        <v/>
      </c>
      <c r="M1089" s="116" t="str">
        <f t="shared" ca="1" si="49"/>
        <v/>
      </c>
      <c r="O1089" s="49" t="str">
        <f t="shared" ca="1" si="50"/>
        <v/>
      </c>
      <c r="P1089" s="38" t="str">
        <f>IF(E1089&lt;&gt;"",RANK(E1089,$E$3:$E$2298)+COUNTIF($E$3:E1089,E1089)-1,"")</f>
        <v/>
      </c>
    </row>
    <row r="1090" spans="4:16" x14ac:dyDescent="0.25">
      <c r="D1090" s="36" t="str" cm="1">
        <f t="array" aca="1" ref="D1090" ca="1">IFERROR(IF(INDIRECT("'"&amp;F1090&amp;"'!$C$5")&gt;0,DATE(YEAR(Dashboard!$AL$2),Dashboard!$AU$4,INDIRECT("'"&amp;F1090&amp;"'!$C$5")),""),"")</f>
        <v/>
      </c>
      <c r="G1090" s="38" t="str" cm="1">
        <f t="array" aca="1" ref="G1090" ca="1">IF(F1090="",
    "",
    IFERROR(
        IF(INDIRECT("'"&amp;F1090&amp;"'!$B$2")="Credit Limit",
            "Credit Accounts",
            IF(INDIRECT("'"&amp;F1090&amp;"'!$E$2")="Location",
                "Cash Accounts",
                IF(INDIRECT("'"&amp;F1090&amp;"'!$B$2")="Amount",
                    "Investments",
                    "Bill Accounts"
                )
            )
        ),
    "")
)</f>
        <v/>
      </c>
      <c r="I1090" s="46" t="str" cm="1">
        <f t="array" aca="1" ref="I1090" ca="1">IF(F1090&lt;&gt;"",IF(OR(G1090="Bill Accounts",G1090="Investments", G1090="Cash Accounts"),INDIRECT("'"&amp;F1090&amp;"'!$C$10"),INDIRECT("'"&amp;F1090&amp;"'!$C$8")),"")</f>
        <v/>
      </c>
      <c r="K1090" s="48">
        <f t="shared" si="51"/>
        <v>1096</v>
      </c>
      <c r="L1090" s="114" t="str" cm="1">
        <f t="array" aca="1" ref="L1090" ca="1">IF(F1090&lt;&gt;"",INDIRECT("'"&amp;F1090&amp;"'!$F$17"),"")</f>
        <v/>
      </c>
      <c r="M1090" s="116" t="str">
        <f t="shared" ca="1" si="49"/>
        <v/>
      </c>
      <c r="O1090" s="49" t="str">
        <f t="shared" ca="1" si="50"/>
        <v/>
      </c>
      <c r="P1090" s="38" t="str">
        <f>IF(E1090&lt;&gt;"",RANK(E1090,$E$3:$E$2298)+COUNTIF($E$3:E1090,E1090)-1,"")</f>
        <v/>
      </c>
    </row>
    <row r="1091" spans="4:16" x14ac:dyDescent="0.25">
      <c r="D1091" s="36" t="str" cm="1">
        <f t="array" aca="1" ref="D1091" ca="1">IFERROR(IF(INDIRECT("'"&amp;F1091&amp;"'!$C$5")&gt;0,DATE(YEAR(Dashboard!$AL$2),Dashboard!$AU$4,INDIRECT("'"&amp;F1091&amp;"'!$C$5")),""),"")</f>
        <v/>
      </c>
      <c r="G1091" s="38" t="str" cm="1">
        <f t="array" aca="1" ref="G1091" ca="1">IF(F1091="",
    "",
    IFERROR(
        IF(INDIRECT("'"&amp;F1091&amp;"'!$B$2")="Credit Limit",
            "Credit Accounts",
            IF(INDIRECT("'"&amp;F1091&amp;"'!$E$2")="Location",
                "Cash Accounts",
                IF(INDIRECT("'"&amp;F1091&amp;"'!$B$2")="Amount",
                    "Investments",
                    "Bill Accounts"
                )
            )
        ),
    "")
)</f>
        <v/>
      </c>
      <c r="I1091" s="46" t="str" cm="1">
        <f t="array" aca="1" ref="I1091" ca="1">IF(F1091&lt;&gt;"",IF(OR(G1091="Bill Accounts",G1091="Investments", G1091="Cash Accounts"),INDIRECT("'"&amp;F1091&amp;"'!$C$10"),INDIRECT("'"&amp;F1091&amp;"'!$C$8")),"")</f>
        <v/>
      </c>
      <c r="K1091" s="48">
        <f t="shared" si="51"/>
        <v>1097</v>
      </c>
      <c r="L1091" s="114" t="str" cm="1">
        <f t="array" aca="1" ref="L1091" ca="1">IF(F1091&lt;&gt;"",INDIRECT("'"&amp;F1091&amp;"'!$F$17"),"")</f>
        <v/>
      </c>
      <c r="M1091" s="116" t="str">
        <f t="shared" ca="1" si="49"/>
        <v/>
      </c>
      <c r="O1091" s="49" t="str">
        <f t="shared" ca="1" si="50"/>
        <v/>
      </c>
      <c r="P1091" s="38" t="str">
        <f>IF(E1091&lt;&gt;"",RANK(E1091,$E$3:$E$2298)+COUNTIF($E$3:E1091,E1091)-1,"")</f>
        <v/>
      </c>
    </row>
    <row r="1092" spans="4:16" x14ac:dyDescent="0.25">
      <c r="D1092" s="36" t="str" cm="1">
        <f t="array" aca="1" ref="D1092" ca="1">IFERROR(IF(INDIRECT("'"&amp;F1092&amp;"'!$C$5")&gt;0,DATE(YEAR(Dashboard!$AL$2),Dashboard!$AU$4,INDIRECT("'"&amp;F1092&amp;"'!$C$5")),""),"")</f>
        <v/>
      </c>
      <c r="G1092" s="38" t="str" cm="1">
        <f t="array" aca="1" ref="G1092" ca="1">IF(F1092="",
    "",
    IFERROR(
        IF(INDIRECT("'"&amp;F1092&amp;"'!$B$2")="Credit Limit",
            "Credit Accounts",
            IF(INDIRECT("'"&amp;F1092&amp;"'!$E$2")="Location",
                "Cash Accounts",
                IF(INDIRECT("'"&amp;F1092&amp;"'!$B$2")="Amount",
                    "Investments",
                    "Bill Accounts"
                )
            )
        ),
    "")
)</f>
        <v/>
      </c>
      <c r="I1092" s="46" t="str" cm="1">
        <f t="array" aca="1" ref="I1092" ca="1">IF(F1092&lt;&gt;"",IF(OR(G1092="Bill Accounts",G1092="Investments", G1092="Cash Accounts"),INDIRECT("'"&amp;F1092&amp;"'!$C$10"),INDIRECT("'"&amp;F1092&amp;"'!$C$8")),"")</f>
        <v/>
      </c>
      <c r="K1092" s="48">
        <f t="shared" si="51"/>
        <v>1098</v>
      </c>
      <c r="L1092" s="114" t="str" cm="1">
        <f t="array" aca="1" ref="L1092" ca="1">IF(F1092&lt;&gt;"",INDIRECT("'"&amp;F1092&amp;"'!$F$17"),"")</f>
        <v/>
      </c>
      <c r="M1092" s="116" t="str">
        <f t="shared" ref="M1092:M1155" ca="1" si="52">IF(G1092="Credit Accounts",EDATE(TODAY(),INDIRECT("'"&amp;F1092&amp;"'!$C$14")),"")</f>
        <v/>
      </c>
      <c r="O1092" s="49" t="str">
        <f t="shared" ref="O1092:O1155" ca="1" si="53">IF(D1092&lt;&gt;"",DAY(D1092),"")</f>
        <v/>
      </c>
      <c r="P1092" s="38" t="str">
        <f>IF(E1092&lt;&gt;"",RANK(E1092,$E$3:$E$2298)+COUNTIF($E$3:E1092,E1092)-1,"")</f>
        <v/>
      </c>
    </row>
    <row r="1093" spans="4:16" x14ac:dyDescent="0.25">
      <c r="D1093" s="36" t="str" cm="1">
        <f t="array" aca="1" ref="D1093" ca="1">IFERROR(IF(INDIRECT("'"&amp;F1093&amp;"'!$C$5")&gt;0,DATE(YEAR(Dashboard!$AL$2),Dashboard!$AU$4,INDIRECT("'"&amp;F1093&amp;"'!$C$5")),""),"")</f>
        <v/>
      </c>
      <c r="G1093" s="38" t="str" cm="1">
        <f t="array" aca="1" ref="G1093" ca="1">IF(F1093="",
    "",
    IFERROR(
        IF(INDIRECT("'"&amp;F1093&amp;"'!$B$2")="Credit Limit",
            "Credit Accounts",
            IF(INDIRECT("'"&amp;F1093&amp;"'!$E$2")="Location",
                "Cash Accounts",
                IF(INDIRECT("'"&amp;F1093&amp;"'!$B$2")="Amount",
                    "Investments",
                    "Bill Accounts"
                )
            )
        ),
    "")
)</f>
        <v/>
      </c>
      <c r="I1093" s="46" t="str" cm="1">
        <f t="array" aca="1" ref="I1093" ca="1">IF(F1093&lt;&gt;"",IF(OR(G1093="Bill Accounts",G1093="Investments", G1093="Cash Accounts"),INDIRECT("'"&amp;F1093&amp;"'!$C$10"),INDIRECT("'"&amp;F1093&amp;"'!$C$8")),"")</f>
        <v/>
      </c>
      <c r="K1093" s="48">
        <f t="shared" si="51"/>
        <v>1099</v>
      </c>
      <c r="L1093" s="114" t="str" cm="1">
        <f t="array" aca="1" ref="L1093" ca="1">IF(F1093&lt;&gt;"",INDIRECT("'"&amp;F1093&amp;"'!$F$17"),"")</f>
        <v/>
      </c>
      <c r="M1093" s="116" t="str">
        <f t="shared" ca="1" si="52"/>
        <v/>
      </c>
      <c r="O1093" s="49" t="str">
        <f t="shared" ca="1" si="53"/>
        <v/>
      </c>
      <c r="P1093" s="38" t="str">
        <f>IF(E1093&lt;&gt;"",RANK(E1093,$E$3:$E$2298)+COUNTIF($E$3:E1093,E1093)-1,"")</f>
        <v/>
      </c>
    </row>
    <row r="1094" spans="4:16" x14ac:dyDescent="0.25">
      <c r="D1094" s="36" t="str" cm="1">
        <f t="array" aca="1" ref="D1094" ca="1">IFERROR(IF(INDIRECT("'"&amp;F1094&amp;"'!$C$5")&gt;0,DATE(YEAR(Dashboard!$AL$2),Dashboard!$AU$4,INDIRECT("'"&amp;F1094&amp;"'!$C$5")),""),"")</f>
        <v/>
      </c>
      <c r="G1094" s="38" t="str" cm="1">
        <f t="array" aca="1" ref="G1094" ca="1">IF(F1094="",
    "",
    IFERROR(
        IF(INDIRECT("'"&amp;F1094&amp;"'!$B$2")="Credit Limit",
            "Credit Accounts",
            IF(INDIRECT("'"&amp;F1094&amp;"'!$E$2")="Location",
                "Cash Accounts",
                IF(INDIRECT("'"&amp;F1094&amp;"'!$B$2")="Amount",
                    "Investments",
                    "Bill Accounts"
                )
            )
        ),
    "")
)</f>
        <v/>
      </c>
      <c r="I1094" s="46" t="str" cm="1">
        <f t="array" aca="1" ref="I1094" ca="1">IF(F1094&lt;&gt;"",IF(OR(G1094="Bill Accounts",G1094="Investments", G1094="Cash Accounts"),INDIRECT("'"&amp;F1094&amp;"'!$C$10"),INDIRECT("'"&amp;F1094&amp;"'!$C$8")),"")</f>
        <v/>
      </c>
      <c r="K1094" s="48">
        <f t="shared" si="51"/>
        <v>1100</v>
      </c>
      <c r="L1094" s="114" t="str" cm="1">
        <f t="array" aca="1" ref="L1094" ca="1">IF(F1094&lt;&gt;"",INDIRECT("'"&amp;F1094&amp;"'!$F$17"),"")</f>
        <v/>
      </c>
      <c r="M1094" s="116" t="str">
        <f t="shared" ca="1" si="52"/>
        <v/>
      </c>
      <c r="O1094" s="49" t="str">
        <f t="shared" ca="1" si="53"/>
        <v/>
      </c>
      <c r="P1094" s="38" t="str">
        <f>IF(E1094&lt;&gt;"",RANK(E1094,$E$3:$E$2298)+COUNTIF($E$3:E1094,E1094)-1,"")</f>
        <v/>
      </c>
    </row>
    <row r="1095" spans="4:16" x14ac:dyDescent="0.25">
      <c r="D1095" s="36" t="str" cm="1">
        <f t="array" aca="1" ref="D1095" ca="1">IFERROR(IF(INDIRECT("'"&amp;F1095&amp;"'!$C$5")&gt;0,DATE(YEAR(Dashboard!$AL$2),Dashboard!$AU$4,INDIRECT("'"&amp;F1095&amp;"'!$C$5")),""),"")</f>
        <v/>
      </c>
      <c r="G1095" s="38" t="str" cm="1">
        <f t="array" aca="1" ref="G1095" ca="1">IF(F1095="",
    "",
    IFERROR(
        IF(INDIRECT("'"&amp;F1095&amp;"'!$B$2")="Credit Limit",
            "Credit Accounts",
            IF(INDIRECT("'"&amp;F1095&amp;"'!$E$2")="Location",
                "Cash Accounts",
                IF(INDIRECT("'"&amp;F1095&amp;"'!$B$2")="Amount",
                    "Investments",
                    "Bill Accounts"
                )
            )
        ),
    "")
)</f>
        <v/>
      </c>
      <c r="I1095" s="46" t="str" cm="1">
        <f t="array" aca="1" ref="I1095" ca="1">IF(F1095&lt;&gt;"",IF(OR(G1095="Bill Accounts",G1095="Investments", G1095="Cash Accounts"),INDIRECT("'"&amp;F1095&amp;"'!$C$10"),INDIRECT("'"&amp;F1095&amp;"'!$C$8")),"")</f>
        <v/>
      </c>
      <c r="K1095" s="48">
        <f t="shared" si="51"/>
        <v>1101</v>
      </c>
      <c r="L1095" s="114" t="str" cm="1">
        <f t="array" aca="1" ref="L1095" ca="1">IF(F1095&lt;&gt;"",INDIRECT("'"&amp;F1095&amp;"'!$F$17"),"")</f>
        <v/>
      </c>
      <c r="M1095" s="116" t="str">
        <f t="shared" ca="1" si="52"/>
        <v/>
      </c>
      <c r="O1095" s="49" t="str">
        <f t="shared" ca="1" si="53"/>
        <v/>
      </c>
      <c r="P1095" s="38" t="str">
        <f>IF(E1095&lt;&gt;"",RANK(E1095,$E$3:$E$2298)+COUNTIF($E$3:E1095,E1095)-1,"")</f>
        <v/>
      </c>
    </row>
    <row r="1096" spans="4:16" x14ac:dyDescent="0.25">
      <c r="D1096" s="36" t="str" cm="1">
        <f t="array" aca="1" ref="D1096" ca="1">IFERROR(IF(INDIRECT("'"&amp;F1096&amp;"'!$C$5")&gt;0,DATE(YEAR(Dashboard!$AL$2),Dashboard!$AU$4,INDIRECT("'"&amp;F1096&amp;"'!$C$5")),""),"")</f>
        <v/>
      </c>
      <c r="G1096" s="38" t="str" cm="1">
        <f t="array" aca="1" ref="G1096" ca="1">IF(F1096="",
    "",
    IFERROR(
        IF(INDIRECT("'"&amp;F1096&amp;"'!$B$2")="Credit Limit",
            "Credit Accounts",
            IF(INDIRECT("'"&amp;F1096&amp;"'!$E$2")="Location",
                "Cash Accounts",
                IF(INDIRECT("'"&amp;F1096&amp;"'!$B$2")="Amount",
                    "Investments",
                    "Bill Accounts"
                )
            )
        ),
    "")
)</f>
        <v/>
      </c>
      <c r="I1096" s="46" t="str" cm="1">
        <f t="array" aca="1" ref="I1096" ca="1">IF(F1096&lt;&gt;"",IF(OR(G1096="Bill Accounts",G1096="Investments", G1096="Cash Accounts"),INDIRECT("'"&amp;F1096&amp;"'!$C$10"),INDIRECT("'"&amp;F1096&amp;"'!$C$8")),"")</f>
        <v/>
      </c>
      <c r="K1096" s="48">
        <f t="shared" ref="K1096:K1159" si="54">SUM(K1095+1)</f>
        <v>1102</v>
      </c>
      <c r="L1096" s="114" t="str" cm="1">
        <f t="array" aca="1" ref="L1096" ca="1">IF(F1096&lt;&gt;"",INDIRECT("'"&amp;F1096&amp;"'!$F$17"),"")</f>
        <v/>
      </c>
      <c r="M1096" s="116" t="str">
        <f t="shared" ca="1" si="52"/>
        <v/>
      </c>
      <c r="O1096" s="49" t="str">
        <f t="shared" ca="1" si="53"/>
        <v/>
      </c>
      <c r="P1096" s="38" t="str">
        <f>IF(E1096&lt;&gt;"",RANK(E1096,$E$3:$E$2298)+COUNTIF($E$3:E1096,E1096)-1,"")</f>
        <v/>
      </c>
    </row>
    <row r="1097" spans="4:16" x14ac:dyDescent="0.25">
      <c r="D1097" s="36" t="str" cm="1">
        <f t="array" aca="1" ref="D1097" ca="1">IFERROR(IF(INDIRECT("'"&amp;F1097&amp;"'!$C$5")&gt;0,DATE(YEAR(Dashboard!$AL$2),Dashboard!$AU$4,INDIRECT("'"&amp;F1097&amp;"'!$C$5")),""),"")</f>
        <v/>
      </c>
      <c r="G1097" s="38" t="str" cm="1">
        <f t="array" aca="1" ref="G1097" ca="1">IF(F1097="",
    "",
    IFERROR(
        IF(INDIRECT("'"&amp;F1097&amp;"'!$B$2")="Credit Limit",
            "Credit Accounts",
            IF(INDIRECT("'"&amp;F1097&amp;"'!$E$2")="Location",
                "Cash Accounts",
                IF(INDIRECT("'"&amp;F1097&amp;"'!$B$2")="Amount",
                    "Investments",
                    "Bill Accounts"
                )
            )
        ),
    "")
)</f>
        <v/>
      </c>
      <c r="I1097" s="46" t="str" cm="1">
        <f t="array" aca="1" ref="I1097" ca="1">IF(F1097&lt;&gt;"",IF(OR(G1097="Bill Accounts",G1097="Investments", G1097="Cash Accounts"),INDIRECT("'"&amp;F1097&amp;"'!$C$10"),INDIRECT("'"&amp;F1097&amp;"'!$C$8")),"")</f>
        <v/>
      </c>
      <c r="K1097" s="48">
        <f t="shared" si="54"/>
        <v>1103</v>
      </c>
      <c r="L1097" s="114" t="str" cm="1">
        <f t="array" aca="1" ref="L1097" ca="1">IF(F1097&lt;&gt;"",INDIRECT("'"&amp;F1097&amp;"'!$F$17"),"")</f>
        <v/>
      </c>
      <c r="M1097" s="116" t="str">
        <f t="shared" ca="1" si="52"/>
        <v/>
      </c>
      <c r="O1097" s="49" t="str">
        <f t="shared" ca="1" si="53"/>
        <v/>
      </c>
      <c r="P1097" s="38" t="str">
        <f>IF(E1097&lt;&gt;"",RANK(E1097,$E$3:$E$2298)+COUNTIF($E$3:E1097,E1097)-1,"")</f>
        <v/>
      </c>
    </row>
    <row r="1098" spans="4:16" x14ac:dyDescent="0.25">
      <c r="D1098" s="36" t="str" cm="1">
        <f t="array" aca="1" ref="D1098" ca="1">IFERROR(IF(INDIRECT("'"&amp;F1098&amp;"'!$C$5")&gt;0,DATE(YEAR(Dashboard!$AL$2),Dashboard!$AU$4,INDIRECT("'"&amp;F1098&amp;"'!$C$5")),""),"")</f>
        <v/>
      </c>
      <c r="G1098" s="38" t="str" cm="1">
        <f t="array" aca="1" ref="G1098" ca="1">IF(F1098="",
    "",
    IFERROR(
        IF(INDIRECT("'"&amp;F1098&amp;"'!$B$2")="Credit Limit",
            "Credit Accounts",
            IF(INDIRECT("'"&amp;F1098&amp;"'!$E$2")="Location",
                "Cash Accounts",
                IF(INDIRECT("'"&amp;F1098&amp;"'!$B$2")="Amount",
                    "Investments",
                    "Bill Accounts"
                )
            )
        ),
    "")
)</f>
        <v/>
      </c>
      <c r="I1098" s="46" t="str" cm="1">
        <f t="array" aca="1" ref="I1098" ca="1">IF(F1098&lt;&gt;"",IF(OR(G1098="Bill Accounts",G1098="Investments", G1098="Cash Accounts"),INDIRECT("'"&amp;F1098&amp;"'!$C$10"),INDIRECT("'"&amp;F1098&amp;"'!$C$8")),"")</f>
        <v/>
      </c>
      <c r="K1098" s="48">
        <f t="shared" si="54"/>
        <v>1104</v>
      </c>
      <c r="L1098" s="114" t="str" cm="1">
        <f t="array" aca="1" ref="L1098" ca="1">IF(F1098&lt;&gt;"",INDIRECT("'"&amp;F1098&amp;"'!$F$17"),"")</f>
        <v/>
      </c>
      <c r="M1098" s="116" t="str">
        <f t="shared" ca="1" si="52"/>
        <v/>
      </c>
      <c r="O1098" s="49" t="str">
        <f t="shared" ca="1" si="53"/>
        <v/>
      </c>
      <c r="P1098" s="38" t="str">
        <f>IF(E1098&lt;&gt;"",RANK(E1098,$E$3:$E$2298)+COUNTIF($E$3:E1098,E1098)-1,"")</f>
        <v/>
      </c>
    </row>
    <row r="1099" spans="4:16" x14ac:dyDescent="0.25">
      <c r="D1099" s="36" t="str" cm="1">
        <f t="array" aca="1" ref="D1099" ca="1">IFERROR(IF(INDIRECT("'"&amp;F1099&amp;"'!$C$5")&gt;0,DATE(YEAR(Dashboard!$AL$2),Dashboard!$AU$4,INDIRECT("'"&amp;F1099&amp;"'!$C$5")),""),"")</f>
        <v/>
      </c>
      <c r="G1099" s="38" t="str" cm="1">
        <f t="array" aca="1" ref="G1099" ca="1">IF(F1099="",
    "",
    IFERROR(
        IF(INDIRECT("'"&amp;F1099&amp;"'!$B$2")="Credit Limit",
            "Credit Accounts",
            IF(INDIRECT("'"&amp;F1099&amp;"'!$E$2")="Location",
                "Cash Accounts",
                IF(INDIRECT("'"&amp;F1099&amp;"'!$B$2")="Amount",
                    "Investments",
                    "Bill Accounts"
                )
            )
        ),
    "")
)</f>
        <v/>
      </c>
      <c r="I1099" s="46" t="str" cm="1">
        <f t="array" aca="1" ref="I1099" ca="1">IF(F1099&lt;&gt;"",IF(OR(G1099="Bill Accounts",G1099="Investments", G1099="Cash Accounts"),INDIRECT("'"&amp;F1099&amp;"'!$C$10"),INDIRECT("'"&amp;F1099&amp;"'!$C$8")),"")</f>
        <v/>
      </c>
      <c r="K1099" s="48">
        <f t="shared" si="54"/>
        <v>1105</v>
      </c>
      <c r="L1099" s="114" t="str" cm="1">
        <f t="array" aca="1" ref="L1099" ca="1">IF(F1099&lt;&gt;"",INDIRECT("'"&amp;F1099&amp;"'!$F$17"),"")</f>
        <v/>
      </c>
      <c r="M1099" s="116" t="str">
        <f t="shared" ca="1" si="52"/>
        <v/>
      </c>
      <c r="O1099" s="49" t="str">
        <f t="shared" ca="1" si="53"/>
        <v/>
      </c>
      <c r="P1099" s="38" t="str">
        <f>IF(E1099&lt;&gt;"",RANK(E1099,$E$3:$E$2298)+COUNTIF($E$3:E1099,E1099)-1,"")</f>
        <v/>
      </c>
    </row>
    <row r="1100" spans="4:16" x14ac:dyDescent="0.25">
      <c r="D1100" s="36" t="str" cm="1">
        <f t="array" aca="1" ref="D1100" ca="1">IFERROR(IF(INDIRECT("'"&amp;F1100&amp;"'!$C$5")&gt;0,DATE(YEAR(Dashboard!$AL$2),Dashboard!$AU$4,INDIRECT("'"&amp;F1100&amp;"'!$C$5")),""),"")</f>
        <v/>
      </c>
      <c r="G1100" s="38" t="str" cm="1">
        <f t="array" aca="1" ref="G1100" ca="1">IF(F1100="",
    "",
    IFERROR(
        IF(INDIRECT("'"&amp;F1100&amp;"'!$B$2")="Credit Limit",
            "Credit Accounts",
            IF(INDIRECT("'"&amp;F1100&amp;"'!$E$2")="Location",
                "Cash Accounts",
                IF(INDIRECT("'"&amp;F1100&amp;"'!$B$2")="Amount",
                    "Investments",
                    "Bill Accounts"
                )
            )
        ),
    "")
)</f>
        <v/>
      </c>
      <c r="I1100" s="46" t="str" cm="1">
        <f t="array" aca="1" ref="I1100" ca="1">IF(F1100&lt;&gt;"",IF(OR(G1100="Bill Accounts",G1100="Investments", G1100="Cash Accounts"),INDIRECT("'"&amp;F1100&amp;"'!$C$10"),INDIRECT("'"&amp;F1100&amp;"'!$C$8")),"")</f>
        <v/>
      </c>
      <c r="K1100" s="48">
        <f t="shared" si="54"/>
        <v>1106</v>
      </c>
      <c r="L1100" s="114" t="str" cm="1">
        <f t="array" aca="1" ref="L1100" ca="1">IF(F1100&lt;&gt;"",INDIRECT("'"&amp;F1100&amp;"'!$F$17"),"")</f>
        <v/>
      </c>
      <c r="M1100" s="116" t="str">
        <f t="shared" ca="1" si="52"/>
        <v/>
      </c>
      <c r="O1100" s="49" t="str">
        <f t="shared" ca="1" si="53"/>
        <v/>
      </c>
      <c r="P1100" s="38" t="str">
        <f>IF(E1100&lt;&gt;"",RANK(E1100,$E$3:$E$2298)+COUNTIF($E$3:E1100,E1100)-1,"")</f>
        <v/>
      </c>
    </row>
    <row r="1101" spans="4:16" x14ac:dyDescent="0.25">
      <c r="D1101" s="36" t="str" cm="1">
        <f t="array" aca="1" ref="D1101" ca="1">IFERROR(IF(INDIRECT("'"&amp;F1101&amp;"'!$C$5")&gt;0,DATE(YEAR(Dashboard!$AL$2),Dashboard!$AU$4,INDIRECT("'"&amp;F1101&amp;"'!$C$5")),""),"")</f>
        <v/>
      </c>
      <c r="G1101" s="38" t="str" cm="1">
        <f t="array" aca="1" ref="G1101" ca="1">IF(F1101="",
    "",
    IFERROR(
        IF(INDIRECT("'"&amp;F1101&amp;"'!$B$2")="Credit Limit",
            "Credit Accounts",
            IF(INDIRECT("'"&amp;F1101&amp;"'!$E$2")="Location",
                "Cash Accounts",
                IF(INDIRECT("'"&amp;F1101&amp;"'!$B$2")="Amount",
                    "Investments",
                    "Bill Accounts"
                )
            )
        ),
    "")
)</f>
        <v/>
      </c>
      <c r="I1101" s="46" t="str" cm="1">
        <f t="array" aca="1" ref="I1101" ca="1">IF(F1101&lt;&gt;"",IF(OR(G1101="Bill Accounts",G1101="Investments", G1101="Cash Accounts"),INDIRECT("'"&amp;F1101&amp;"'!$C$10"),INDIRECT("'"&amp;F1101&amp;"'!$C$8")),"")</f>
        <v/>
      </c>
      <c r="K1101" s="48">
        <f t="shared" si="54"/>
        <v>1107</v>
      </c>
      <c r="L1101" s="114" t="str" cm="1">
        <f t="array" aca="1" ref="L1101" ca="1">IF(F1101&lt;&gt;"",INDIRECT("'"&amp;F1101&amp;"'!$F$17"),"")</f>
        <v/>
      </c>
      <c r="M1101" s="116" t="str">
        <f t="shared" ca="1" si="52"/>
        <v/>
      </c>
      <c r="O1101" s="49" t="str">
        <f t="shared" ca="1" si="53"/>
        <v/>
      </c>
      <c r="P1101" s="38" t="str">
        <f>IF(E1101&lt;&gt;"",RANK(E1101,$E$3:$E$2298)+COUNTIF($E$3:E1101,E1101)-1,"")</f>
        <v/>
      </c>
    </row>
    <row r="1102" spans="4:16" x14ac:dyDescent="0.25">
      <c r="D1102" s="36" t="str" cm="1">
        <f t="array" aca="1" ref="D1102" ca="1">IFERROR(IF(INDIRECT("'"&amp;F1102&amp;"'!$C$5")&gt;0,DATE(YEAR(Dashboard!$AL$2),Dashboard!$AU$4,INDIRECT("'"&amp;F1102&amp;"'!$C$5")),""),"")</f>
        <v/>
      </c>
      <c r="G1102" s="38" t="str" cm="1">
        <f t="array" aca="1" ref="G1102" ca="1">IF(F1102="",
    "",
    IFERROR(
        IF(INDIRECT("'"&amp;F1102&amp;"'!$B$2")="Credit Limit",
            "Credit Accounts",
            IF(INDIRECT("'"&amp;F1102&amp;"'!$E$2")="Location",
                "Cash Accounts",
                IF(INDIRECT("'"&amp;F1102&amp;"'!$B$2")="Amount",
                    "Investments",
                    "Bill Accounts"
                )
            )
        ),
    "")
)</f>
        <v/>
      </c>
      <c r="I1102" s="46" t="str" cm="1">
        <f t="array" aca="1" ref="I1102" ca="1">IF(F1102&lt;&gt;"",IF(OR(G1102="Bill Accounts",G1102="Investments", G1102="Cash Accounts"),INDIRECT("'"&amp;F1102&amp;"'!$C$10"),INDIRECT("'"&amp;F1102&amp;"'!$C$8")),"")</f>
        <v/>
      </c>
      <c r="K1102" s="48">
        <f t="shared" si="54"/>
        <v>1108</v>
      </c>
      <c r="L1102" s="114" t="str" cm="1">
        <f t="array" aca="1" ref="L1102" ca="1">IF(F1102&lt;&gt;"",INDIRECT("'"&amp;F1102&amp;"'!$F$17"),"")</f>
        <v/>
      </c>
      <c r="M1102" s="116" t="str">
        <f t="shared" ca="1" si="52"/>
        <v/>
      </c>
      <c r="O1102" s="49" t="str">
        <f t="shared" ca="1" si="53"/>
        <v/>
      </c>
      <c r="P1102" s="38" t="str">
        <f>IF(E1102&lt;&gt;"",RANK(E1102,$E$3:$E$2298)+COUNTIF($E$3:E1102,E1102)-1,"")</f>
        <v/>
      </c>
    </row>
    <row r="1103" spans="4:16" x14ac:dyDescent="0.25">
      <c r="D1103" s="36" t="str" cm="1">
        <f t="array" aca="1" ref="D1103" ca="1">IFERROR(IF(INDIRECT("'"&amp;F1103&amp;"'!$C$5")&gt;0,DATE(YEAR(Dashboard!$AL$2),Dashboard!$AU$4,INDIRECT("'"&amp;F1103&amp;"'!$C$5")),""),"")</f>
        <v/>
      </c>
      <c r="G1103" s="38" t="str" cm="1">
        <f t="array" aca="1" ref="G1103" ca="1">IF(F1103="",
    "",
    IFERROR(
        IF(INDIRECT("'"&amp;F1103&amp;"'!$B$2")="Credit Limit",
            "Credit Accounts",
            IF(INDIRECT("'"&amp;F1103&amp;"'!$E$2")="Location",
                "Cash Accounts",
                IF(INDIRECT("'"&amp;F1103&amp;"'!$B$2")="Amount",
                    "Investments",
                    "Bill Accounts"
                )
            )
        ),
    "")
)</f>
        <v/>
      </c>
      <c r="I1103" s="46" t="str" cm="1">
        <f t="array" aca="1" ref="I1103" ca="1">IF(F1103&lt;&gt;"",IF(OR(G1103="Bill Accounts",G1103="Investments", G1103="Cash Accounts"),INDIRECT("'"&amp;F1103&amp;"'!$C$10"),INDIRECT("'"&amp;F1103&amp;"'!$C$8")),"")</f>
        <v/>
      </c>
      <c r="K1103" s="48">
        <f t="shared" si="54"/>
        <v>1109</v>
      </c>
      <c r="L1103" s="114" t="str" cm="1">
        <f t="array" aca="1" ref="L1103" ca="1">IF(F1103&lt;&gt;"",INDIRECT("'"&amp;F1103&amp;"'!$F$17"),"")</f>
        <v/>
      </c>
      <c r="M1103" s="116" t="str">
        <f t="shared" ca="1" si="52"/>
        <v/>
      </c>
      <c r="O1103" s="49" t="str">
        <f t="shared" ca="1" si="53"/>
        <v/>
      </c>
      <c r="P1103" s="38" t="str">
        <f>IF(E1103&lt;&gt;"",RANK(E1103,$E$3:$E$2298)+COUNTIF($E$3:E1103,E1103)-1,"")</f>
        <v/>
      </c>
    </row>
    <row r="1104" spans="4:16" x14ac:dyDescent="0.25">
      <c r="D1104" s="36" t="str" cm="1">
        <f t="array" aca="1" ref="D1104" ca="1">IFERROR(IF(INDIRECT("'"&amp;F1104&amp;"'!$C$5")&gt;0,DATE(YEAR(Dashboard!$AL$2),Dashboard!$AU$4,INDIRECT("'"&amp;F1104&amp;"'!$C$5")),""),"")</f>
        <v/>
      </c>
      <c r="G1104" s="38" t="str" cm="1">
        <f t="array" aca="1" ref="G1104" ca="1">IF(F1104="",
    "",
    IFERROR(
        IF(INDIRECT("'"&amp;F1104&amp;"'!$B$2")="Credit Limit",
            "Credit Accounts",
            IF(INDIRECT("'"&amp;F1104&amp;"'!$E$2")="Location",
                "Cash Accounts",
                IF(INDIRECT("'"&amp;F1104&amp;"'!$B$2")="Amount",
                    "Investments",
                    "Bill Accounts"
                )
            )
        ),
    "")
)</f>
        <v/>
      </c>
      <c r="I1104" s="46" t="str" cm="1">
        <f t="array" aca="1" ref="I1104" ca="1">IF(F1104&lt;&gt;"",IF(OR(G1104="Bill Accounts",G1104="Investments", G1104="Cash Accounts"),INDIRECT("'"&amp;F1104&amp;"'!$C$10"),INDIRECT("'"&amp;F1104&amp;"'!$C$8")),"")</f>
        <v/>
      </c>
      <c r="K1104" s="48">
        <f t="shared" si="54"/>
        <v>1110</v>
      </c>
      <c r="L1104" s="114" t="str" cm="1">
        <f t="array" aca="1" ref="L1104" ca="1">IF(F1104&lt;&gt;"",INDIRECT("'"&amp;F1104&amp;"'!$F$17"),"")</f>
        <v/>
      </c>
      <c r="M1104" s="116" t="str">
        <f t="shared" ca="1" si="52"/>
        <v/>
      </c>
      <c r="O1104" s="49" t="str">
        <f t="shared" ca="1" si="53"/>
        <v/>
      </c>
      <c r="P1104" s="38" t="str">
        <f>IF(E1104&lt;&gt;"",RANK(E1104,$E$3:$E$2298)+COUNTIF($E$3:E1104,E1104)-1,"")</f>
        <v/>
      </c>
    </row>
    <row r="1105" spans="4:16" x14ac:dyDescent="0.25">
      <c r="D1105" s="36" t="str" cm="1">
        <f t="array" aca="1" ref="D1105" ca="1">IFERROR(IF(INDIRECT("'"&amp;F1105&amp;"'!$C$5")&gt;0,DATE(YEAR(Dashboard!$AL$2),Dashboard!$AU$4,INDIRECT("'"&amp;F1105&amp;"'!$C$5")),""),"")</f>
        <v/>
      </c>
      <c r="G1105" s="38" t="str" cm="1">
        <f t="array" aca="1" ref="G1105" ca="1">IF(F1105="",
    "",
    IFERROR(
        IF(INDIRECT("'"&amp;F1105&amp;"'!$B$2")="Credit Limit",
            "Credit Accounts",
            IF(INDIRECT("'"&amp;F1105&amp;"'!$E$2")="Location",
                "Cash Accounts",
                IF(INDIRECT("'"&amp;F1105&amp;"'!$B$2")="Amount",
                    "Investments",
                    "Bill Accounts"
                )
            )
        ),
    "")
)</f>
        <v/>
      </c>
      <c r="I1105" s="46" t="str" cm="1">
        <f t="array" aca="1" ref="I1105" ca="1">IF(F1105&lt;&gt;"",IF(OR(G1105="Bill Accounts",G1105="Investments", G1105="Cash Accounts"),INDIRECT("'"&amp;F1105&amp;"'!$C$10"),INDIRECT("'"&amp;F1105&amp;"'!$C$8")),"")</f>
        <v/>
      </c>
      <c r="K1105" s="48">
        <f t="shared" si="54"/>
        <v>1111</v>
      </c>
      <c r="L1105" s="114" t="str" cm="1">
        <f t="array" aca="1" ref="L1105" ca="1">IF(F1105&lt;&gt;"",INDIRECT("'"&amp;F1105&amp;"'!$F$17"),"")</f>
        <v/>
      </c>
      <c r="M1105" s="116" t="str">
        <f t="shared" ca="1" si="52"/>
        <v/>
      </c>
      <c r="O1105" s="49" t="str">
        <f t="shared" ca="1" si="53"/>
        <v/>
      </c>
      <c r="P1105" s="38" t="str">
        <f>IF(E1105&lt;&gt;"",RANK(E1105,$E$3:$E$2298)+COUNTIF($E$3:E1105,E1105)-1,"")</f>
        <v/>
      </c>
    </row>
    <row r="1106" spans="4:16" x14ac:dyDescent="0.25">
      <c r="D1106" s="36" t="str" cm="1">
        <f t="array" aca="1" ref="D1106" ca="1">IFERROR(IF(INDIRECT("'"&amp;F1106&amp;"'!$C$5")&gt;0,DATE(YEAR(Dashboard!$AL$2),Dashboard!$AU$4,INDIRECT("'"&amp;F1106&amp;"'!$C$5")),""),"")</f>
        <v/>
      </c>
      <c r="G1106" s="38" t="str" cm="1">
        <f t="array" aca="1" ref="G1106" ca="1">IF(F1106="",
    "",
    IFERROR(
        IF(INDIRECT("'"&amp;F1106&amp;"'!$B$2")="Credit Limit",
            "Credit Accounts",
            IF(INDIRECT("'"&amp;F1106&amp;"'!$E$2")="Location",
                "Cash Accounts",
                IF(INDIRECT("'"&amp;F1106&amp;"'!$B$2")="Amount",
                    "Investments",
                    "Bill Accounts"
                )
            )
        ),
    "")
)</f>
        <v/>
      </c>
      <c r="I1106" s="46" t="str" cm="1">
        <f t="array" aca="1" ref="I1106" ca="1">IF(F1106&lt;&gt;"",IF(OR(G1106="Bill Accounts",G1106="Investments", G1106="Cash Accounts"),INDIRECT("'"&amp;F1106&amp;"'!$C$10"),INDIRECT("'"&amp;F1106&amp;"'!$C$8")),"")</f>
        <v/>
      </c>
      <c r="K1106" s="48">
        <f t="shared" si="54"/>
        <v>1112</v>
      </c>
      <c r="L1106" s="114" t="str" cm="1">
        <f t="array" aca="1" ref="L1106" ca="1">IF(F1106&lt;&gt;"",INDIRECT("'"&amp;F1106&amp;"'!$F$17"),"")</f>
        <v/>
      </c>
      <c r="M1106" s="116" t="str">
        <f t="shared" ca="1" si="52"/>
        <v/>
      </c>
      <c r="O1106" s="49" t="str">
        <f t="shared" ca="1" si="53"/>
        <v/>
      </c>
      <c r="P1106" s="38" t="str">
        <f>IF(E1106&lt;&gt;"",RANK(E1106,$E$3:$E$2298)+COUNTIF($E$3:E1106,E1106)-1,"")</f>
        <v/>
      </c>
    </row>
    <row r="1107" spans="4:16" x14ac:dyDescent="0.25">
      <c r="D1107" s="36" t="str" cm="1">
        <f t="array" aca="1" ref="D1107" ca="1">IFERROR(IF(INDIRECT("'"&amp;F1107&amp;"'!$C$5")&gt;0,DATE(YEAR(Dashboard!$AL$2),Dashboard!$AU$4,INDIRECT("'"&amp;F1107&amp;"'!$C$5")),""),"")</f>
        <v/>
      </c>
      <c r="G1107" s="38" t="str" cm="1">
        <f t="array" aca="1" ref="G1107" ca="1">IF(F1107="",
    "",
    IFERROR(
        IF(INDIRECT("'"&amp;F1107&amp;"'!$B$2")="Credit Limit",
            "Credit Accounts",
            IF(INDIRECT("'"&amp;F1107&amp;"'!$E$2")="Location",
                "Cash Accounts",
                IF(INDIRECT("'"&amp;F1107&amp;"'!$B$2")="Amount",
                    "Investments",
                    "Bill Accounts"
                )
            )
        ),
    "")
)</f>
        <v/>
      </c>
      <c r="I1107" s="46" t="str" cm="1">
        <f t="array" aca="1" ref="I1107" ca="1">IF(F1107&lt;&gt;"",IF(OR(G1107="Bill Accounts",G1107="Investments", G1107="Cash Accounts"),INDIRECT("'"&amp;F1107&amp;"'!$C$10"),INDIRECT("'"&amp;F1107&amp;"'!$C$8")),"")</f>
        <v/>
      </c>
      <c r="K1107" s="48">
        <f t="shared" si="54"/>
        <v>1113</v>
      </c>
      <c r="L1107" s="114" t="str" cm="1">
        <f t="array" aca="1" ref="L1107" ca="1">IF(F1107&lt;&gt;"",INDIRECT("'"&amp;F1107&amp;"'!$F$17"),"")</f>
        <v/>
      </c>
      <c r="M1107" s="116" t="str">
        <f t="shared" ca="1" si="52"/>
        <v/>
      </c>
      <c r="O1107" s="49" t="str">
        <f t="shared" ca="1" si="53"/>
        <v/>
      </c>
      <c r="P1107" s="38" t="str">
        <f>IF(E1107&lt;&gt;"",RANK(E1107,$E$3:$E$2298)+COUNTIF($E$3:E1107,E1107)-1,"")</f>
        <v/>
      </c>
    </row>
    <row r="1108" spans="4:16" x14ac:dyDescent="0.25">
      <c r="D1108" s="36" t="str" cm="1">
        <f t="array" aca="1" ref="D1108" ca="1">IFERROR(IF(INDIRECT("'"&amp;F1108&amp;"'!$C$5")&gt;0,DATE(YEAR(Dashboard!$AL$2),Dashboard!$AU$4,INDIRECT("'"&amp;F1108&amp;"'!$C$5")),""),"")</f>
        <v/>
      </c>
      <c r="G1108" s="38" t="str" cm="1">
        <f t="array" aca="1" ref="G1108" ca="1">IF(F1108="",
    "",
    IFERROR(
        IF(INDIRECT("'"&amp;F1108&amp;"'!$B$2")="Credit Limit",
            "Credit Accounts",
            IF(INDIRECT("'"&amp;F1108&amp;"'!$E$2")="Location",
                "Cash Accounts",
                IF(INDIRECT("'"&amp;F1108&amp;"'!$B$2")="Amount",
                    "Investments",
                    "Bill Accounts"
                )
            )
        ),
    "")
)</f>
        <v/>
      </c>
      <c r="I1108" s="46" t="str" cm="1">
        <f t="array" aca="1" ref="I1108" ca="1">IF(F1108&lt;&gt;"",IF(OR(G1108="Bill Accounts",G1108="Investments", G1108="Cash Accounts"),INDIRECT("'"&amp;F1108&amp;"'!$C$10"),INDIRECT("'"&amp;F1108&amp;"'!$C$8")),"")</f>
        <v/>
      </c>
      <c r="K1108" s="48">
        <f t="shared" si="54"/>
        <v>1114</v>
      </c>
      <c r="L1108" s="114" t="str" cm="1">
        <f t="array" aca="1" ref="L1108" ca="1">IF(F1108&lt;&gt;"",INDIRECT("'"&amp;F1108&amp;"'!$F$17"),"")</f>
        <v/>
      </c>
      <c r="M1108" s="116" t="str">
        <f t="shared" ca="1" si="52"/>
        <v/>
      </c>
      <c r="O1108" s="49" t="str">
        <f t="shared" ca="1" si="53"/>
        <v/>
      </c>
      <c r="P1108" s="38" t="str">
        <f>IF(E1108&lt;&gt;"",RANK(E1108,$E$3:$E$2298)+COUNTIF($E$3:E1108,E1108)-1,"")</f>
        <v/>
      </c>
    </row>
    <row r="1109" spans="4:16" x14ac:dyDescent="0.25">
      <c r="D1109" s="36" t="str" cm="1">
        <f t="array" aca="1" ref="D1109" ca="1">IFERROR(IF(INDIRECT("'"&amp;F1109&amp;"'!$C$5")&gt;0,DATE(YEAR(Dashboard!$AL$2),Dashboard!$AU$4,INDIRECT("'"&amp;F1109&amp;"'!$C$5")),""),"")</f>
        <v/>
      </c>
      <c r="G1109" s="38" t="str" cm="1">
        <f t="array" aca="1" ref="G1109" ca="1">IF(F1109="",
    "",
    IFERROR(
        IF(INDIRECT("'"&amp;F1109&amp;"'!$B$2")="Credit Limit",
            "Credit Accounts",
            IF(INDIRECT("'"&amp;F1109&amp;"'!$E$2")="Location",
                "Cash Accounts",
                IF(INDIRECT("'"&amp;F1109&amp;"'!$B$2")="Amount",
                    "Investments",
                    "Bill Accounts"
                )
            )
        ),
    "")
)</f>
        <v/>
      </c>
      <c r="I1109" s="46" t="str" cm="1">
        <f t="array" aca="1" ref="I1109" ca="1">IF(F1109&lt;&gt;"",IF(OR(G1109="Bill Accounts",G1109="Investments", G1109="Cash Accounts"),INDIRECT("'"&amp;F1109&amp;"'!$C$10"),INDIRECT("'"&amp;F1109&amp;"'!$C$8")),"")</f>
        <v/>
      </c>
      <c r="K1109" s="48">
        <f t="shared" si="54"/>
        <v>1115</v>
      </c>
      <c r="L1109" s="114" t="str" cm="1">
        <f t="array" aca="1" ref="L1109" ca="1">IF(F1109&lt;&gt;"",INDIRECT("'"&amp;F1109&amp;"'!$F$17"),"")</f>
        <v/>
      </c>
      <c r="M1109" s="116" t="str">
        <f t="shared" ca="1" si="52"/>
        <v/>
      </c>
      <c r="O1109" s="49" t="str">
        <f t="shared" ca="1" si="53"/>
        <v/>
      </c>
      <c r="P1109" s="38" t="str">
        <f>IF(E1109&lt;&gt;"",RANK(E1109,$E$3:$E$2298)+COUNTIF($E$3:E1109,E1109)-1,"")</f>
        <v/>
      </c>
    </row>
    <row r="1110" spans="4:16" x14ac:dyDescent="0.25">
      <c r="D1110" s="36" t="str" cm="1">
        <f t="array" aca="1" ref="D1110" ca="1">IFERROR(IF(INDIRECT("'"&amp;F1110&amp;"'!$C$5")&gt;0,DATE(YEAR(Dashboard!$AL$2),Dashboard!$AU$4,INDIRECT("'"&amp;F1110&amp;"'!$C$5")),""),"")</f>
        <v/>
      </c>
      <c r="G1110" s="38" t="str" cm="1">
        <f t="array" aca="1" ref="G1110" ca="1">IF(F1110="",
    "",
    IFERROR(
        IF(INDIRECT("'"&amp;F1110&amp;"'!$B$2")="Credit Limit",
            "Credit Accounts",
            IF(INDIRECT("'"&amp;F1110&amp;"'!$E$2")="Location",
                "Cash Accounts",
                IF(INDIRECT("'"&amp;F1110&amp;"'!$B$2")="Amount",
                    "Investments",
                    "Bill Accounts"
                )
            )
        ),
    "")
)</f>
        <v/>
      </c>
      <c r="I1110" s="46" t="str" cm="1">
        <f t="array" aca="1" ref="I1110" ca="1">IF(F1110&lt;&gt;"",IF(OR(G1110="Bill Accounts",G1110="Investments", G1110="Cash Accounts"),INDIRECT("'"&amp;F1110&amp;"'!$C$10"),INDIRECT("'"&amp;F1110&amp;"'!$C$8")),"")</f>
        <v/>
      </c>
      <c r="K1110" s="48">
        <f t="shared" si="54"/>
        <v>1116</v>
      </c>
      <c r="L1110" s="114" t="str" cm="1">
        <f t="array" aca="1" ref="L1110" ca="1">IF(F1110&lt;&gt;"",INDIRECT("'"&amp;F1110&amp;"'!$F$17"),"")</f>
        <v/>
      </c>
      <c r="M1110" s="116" t="str">
        <f t="shared" ca="1" si="52"/>
        <v/>
      </c>
      <c r="O1110" s="49" t="str">
        <f t="shared" ca="1" si="53"/>
        <v/>
      </c>
      <c r="P1110" s="38" t="str">
        <f>IF(E1110&lt;&gt;"",RANK(E1110,$E$3:$E$2298)+COUNTIF($E$3:E1110,E1110)-1,"")</f>
        <v/>
      </c>
    </row>
    <row r="1111" spans="4:16" x14ac:dyDescent="0.25">
      <c r="D1111" s="36" t="str" cm="1">
        <f t="array" aca="1" ref="D1111" ca="1">IFERROR(IF(INDIRECT("'"&amp;F1111&amp;"'!$C$5")&gt;0,DATE(YEAR(Dashboard!$AL$2),Dashboard!$AU$4,INDIRECT("'"&amp;F1111&amp;"'!$C$5")),""),"")</f>
        <v/>
      </c>
      <c r="G1111" s="38" t="str" cm="1">
        <f t="array" aca="1" ref="G1111" ca="1">IF(F1111="",
    "",
    IFERROR(
        IF(INDIRECT("'"&amp;F1111&amp;"'!$B$2")="Credit Limit",
            "Credit Accounts",
            IF(INDIRECT("'"&amp;F1111&amp;"'!$E$2")="Location",
                "Cash Accounts",
                IF(INDIRECT("'"&amp;F1111&amp;"'!$B$2")="Amount",
                    "Investments",
                    "Bill Accounts"
                )
            )
        ),
    "")
)</f>
        <v/>
      </c>
      <c r="I1111" s="46" t="str" cm="1">
        <f t="array" aca="1" ref="I1111" ca="1">IF(F1111&lt;&gt;"",IF(OR(G1111="Bill Accounts",G1111="Investments", G1111="Cash Accounts"),INDIRECT("'"&amp;F1111&amp;"'!$C$10"),INDIRECT("'"&amp;F1111&amp;"'!$C$8")),"")</f>
        <v/>
      </c>
      <c r="K1111" s="48">
        <f t="shared" si="54"/>
        <v>1117</v>
      </c>
      <c r="L1111" s="114" t="str" cm="1">
        <f t="array" aca="1" ref="L1111" ca="1">IF(F1111&lt;&gt;"",INDIRECT("'"&amp;F1111&amp;"'!$F$17"),"")</f>
        <v/>
      </c>
      <c r="M1111" s="116" t="str">
        <f t="shared" ca="1" si="52"/>
        <v/>
      </c>
      <c r="O1111" s="49" t="str">
        <f t="shared" ca="1" si="53"/>
        <v/>
      </c>
      <c r="P1111" s="38" t="str">
        <f>IF(E1111&lt;&gt;"",RANK(E1111,$E$3:$E$2298)+COUNTIF($E$3:E1111,E1111)-1,"")</f>
        <v/>
      </c>
    </row>
    <row r="1112" spans="4:16" x14ac:dyDescent="0.25">
      <c r="D1112" s="36" t="str" cm="1">
        <f t="array" aca="1" ref="D1112" ca="1">IFERROR(IF(INDIRECT("'"&amp;F1112&amp;"'!$C$5")&gt;0,DATE(YEAR(Dashboard!$AL$2),Dashboard!$AU$4,INDIRECT("'"&amp;F1112&amp;"'!$C$5")),""),"")</f>
        <v/>
      </c>
      <c r="G1112" s="38" t="str" cm="1">
        <f t="array" aca="1" ref="G1112" ca="1">IF(F1112="",
    "",
    IFERROR(
        IF(INDIRECT("'"&amp;F1112&amp;"'!$B$2")="Credit Limit",
            "Credit Accounts",
            IF(INDIRECT("'"&amp;F1112&amp;"'!$E$2")="Location",
                "Cash Accounts",
                IF(INDIRECT("'"&amp;F1112&amp;"'!$B$2")="Amount",
                    "Investments",
                    "Bill Accounts"
                )
            )
        ),
    "")
)</f>
        <v/>
      </c>
      <c r="I1112" s="46" t="str" cm="1">
        <f t="array" aca="1" ref="I1112" ca="1">IF(F1112&lt;&gt;"",IF(OR(G1112="Bill Accounts",G1112="Investments", G1112="Cash Accounts"),INDIRECT("'"&amp;F1112&amp;"'!$C$10"),INDIRECT("'"&amp;F1112&amp;"'!$C$8")),"")</f>
        <v/>
      </c>
      <c r="K1112" s="48">
        <f t="shared" si="54"/>
        <v>1118</v>
      </c>
      <c r="L1112" s="114" t="str" cm="1">
        <f t="array" aca="1" ref="L1112" ca="1">IF(F1112&lt;&gt;"",INDIRECT("'"&amp;F1112&amp;"'!$F$17"),"")</f>
        <v/>
      </c>
      <c r="M1112" s="116" t="str">
        <f t="shared" ca="1" si="52"/>
        <v/>
      </c>
      <c r="O1112" s="49" t="str">
        <f t="shared" ca="1" si="53"/>
        <v/>
      </c>
      <c r="P1112" s="38" t="str">
        <f>IF(E1112&lt;&gt;"",RANK(E1112,$E$3:$E$2298)+COUNTIF($E$3:E1112,E1112)-1,"")</f>
        <v/>
      </c>
    </row>
    <row r="1113" spans="4:16" x14ac:dyDescent="0.25">
      <c r="D1113" s="36" t="str" cm="1">
        <f t="array" aca="1" ref="D1113" ca="1">IFERROR(IF(INDIRECT("'"&amp;F1113&amp;"'!$C$5")&gt;0,DATE(YEAR(Dashboard!$AL$2),Dashboard!$AU$4,INDIRECT("'"&amp;F1113&amp;"'!$C$5")),""),"")</f>
        <v/>
      </c>
      <c r="G1113" s="38" t="str" cm="1">
        <f t="array" aca="1" ref="G1113" ca="1">IF(F1113="",
    "",
    IFERROR(
        IF(INDIRECT("'"&amp;F1113&amp;"'!$B$2")="Credit Limit",
            "Credit Accounts",
            IF(INDIRECT("'"&amp;F1113&amp;"'!$E$2")="Location",
                "Cash Accounts",
                IF(INDIRECT("'"&amp;F1113&amp;"'!$B$2")="Amount",
                    "Investments",
                    "Bill Accounts"
                )
            )
        ),
    "")
)</f>
        <v/>
      </c>
      <c r="I1113" s="46" t="str" cm="1">
        <f t="array" aca="1" ref="I1113" ca="1">IF(F1113&lt;&gt;"",IF(OR(G1113="Bill Accounts",G1113="Investments", G1113="Cash Accounts"),INDIRECT("'"&amp;F1113&amp;"'!$C$10"),INDIRECT("'"&amp;F1113&amp;"'!$C$8")),"")</f>
        <v/>
      </c>
      <c r="K1113" s="48">
        <f t="shared" si="54"/>
        <v>1119</v>
      </c>
      <c r="L1113" s="114" t="str" cm="1">
        <f t="array" aca="1" ref="L1113" ca="1">IF(F1113&lt;&gt;"",INDIRECT("'"&amp;F1113&amp;"'!$F$17"),"")</f>
        <v/>
      </c>
      <c r="M1113" s="116" t="str">
        <f t="shared" ca="1" si="52"/>
        <v/>
      </c>
      <c r="O1113" s="49" t="str">
        <f t="shared" ca="1" si="53"/>
        <v/>
      </c>
      <c r="P1113" s="38" t="str">
        <f>IF(E1113&lt;&gt;"",RANK(E1113,$E$3:$E$2298)+COUNTIF($E$3:E1113,E1113)-1,"")</f>
        <v/>
      </c>
    </row>
    <row r="1114" spans="4:16" x14ac:dyDescent="0.25">
      <c r="D1114" s="36" t="str" cm="1">
        <f t="array" aca="1" ref="D1114" ca="1">IFERROR(IF(INDIRECT("'"&amp;F1114&amp;"'!$C$5")&gt;0,DATE(YEAR(Dashboard!$AL$2),Dashboard!$AU$4,INDIRECT("'"&amp;F1114&amp;"'!$C$5")),""),"")</f>
        <v/>
      </c>
      <c r="G1114" s="38" t="str" cm="1">
        <f t="array" aca="1" ref="G1114" ca="1">IF(F1114="",
    "",
    IFERROR(
        IF(INDIRECT("'"&amp;F1114&amp;"'!$B$2")="Credit Limit",
            "Credit Accounts",
            IF(INDIRECT("'"&amp;F1114&amp;"'!$E$2")="Location",
                "Cash Accounts",
                IF(INDIRECT("'"&amp;F1114&amp;"'!$B$2")="Amount",
                    "Investments",
                    "Bill Accounts"
                )
            )
        ),
    "")
)</f>
        <v/>
      </c>
      <c r="I1114" s="46" t="str" cm="1">
        <f t="array" aca="1" ref="I1114" ca="1">IF(F1114&lt;&gt;"",IF(OR(G1114="Bill Accounts",G1114="Investments", G1114="Cash Accounts"),INDIRECT("'"&amp;F1114&amp;"'!$C$10"),INDIRECT("'"&amp;F1114&amp;"'!$C$8")),"")</f>
        <v/>
      </c>
      <c r="K1114" s="48">
        <f t="shared" si="54"/>
        <v>1120</v>
      </c>
      <c r="L1114" s="114" t="str" cm="1">
        <f t="array" aca="1" ref="L1114" ca="1">IF(F1114&lt;&gt;"",INDIRECT("'"&amp;F1114&amp;"'!$F$17"),"")</f>
        <v/>
      </c>
      <c r="M1114" s="116" t="str">
        <f t="shared" ca="1" si="52"/>
        <v/>
      </c>
      <c r="O1114" s="49" t="str">
        <f t="shared" ca="1" si="53"/>
        <v/>
      </c>
      <c r="P1114" s="38" t="str">
        <f>IF(E1114&lt;&gt;"",RANK(E1114,$E$3:$E$2298)+COUNTIF($E$3:E1114,E1114)-1,"")</f>
        <v/>
      </c>
    </row>
    <row r="1115" spans="4:16" x14ac:dyDescent="0.25">
      <c r="D1115" s="36" t="str" cm="1">
        <f t="array" aca="1" ref="D1115" ca="1">IFERROR(IF(INDIRECT("'"&amp;F1115&amp;"'!$C$5")&gt;0,DATE(YEAR(Dashboard!$AL$2),Dashboard!$AU$4,INDIRECT("'"&amp;F1115&amp;"'!$C$5")),""),"")</f>
        <v/>
      </c>
      <c r="G1115" s="38" t="str" cm="1">
        <f t="array" aca="1" ref="G1115" ca="1">IF(F1115="",
    "",
    IFERROR(
        IF(INDIRECT("'"&amp;F1115&amp;"'!$B$2")="Credit Limit",
            "Credit Accounts",
            IF(INDIRECT("'"&amp;F1115&amp;"'!$E$2")="Location",
                "Cash Accounts",
                IF(INDIRECT("'"&amp;F1115&amp;"'!$B$2")="Amount",
                    "Investments",
                    "Bill Accounts"
                )
            )
        ),
    "")
)</f>
        <v/>
      </c>
      <c r="I1115" s="46" t="str" cm="1">
        <f t="array" aca="1" ref="I1115" ca="1">IF(F1115&lt;&gt;"",IF(OR(G1115="Bill Accounts",G1115="Investments", G1115="Cash Accounts"),INDIRECT("'"&amp;F1115&amp;"'!$C$10"),INDIRECT("'"&amp;F1115&amp;"'!$C$8")),"")</f>
        <v/>
      </c>
      <c r="K1115" s="48">
        <f t="shared" si="54"/>
        <v>1121</v>
      </c>
      <c r="L1115" s="114" t="str" cm="1">
        <f t="array" aca="1" ref="L1115" ca="1">IF(F1115&lt;&gt;"",INDIRECT("'"&amp;F1115&amp;"'!$F$17"),"")</f>
        <v/>
      </c>
      <c r="M1115" s="116" t="str">
        <f t="shared" ca="1" si="52"/>
        <v/>
      </c>
      <c r="O1115" s="49" t="str">
        <f t="shared" ca="1" si="53"/>
        <v/>
      </c>
      <c r="P1115" s="38" t="str">
        <f>IF(E1115&lt;&gt;"",RANK(E1115,$E$3:$E$2298)+COUNTIF($E$3:E1115,E1115)-1,"")</f>
        <v/>
      </c>
    </row>
    <row r="1116" spans="4:16" x14ac:dyDescent="0.25">
      <c r="D1116" s="36" t="str" cm="1">
        <f t="array" aca="1" ref="D1116" ca="1">IFERROR(IF(INDIRECT("'"&amp;F1116&amp;"'!$C$5")&gt;0,DATE(YEAR(Dashboard!$AL$2),Dashboard!$AU$4,INDIRECT("'"&amp;F1116&amp;"'!$C$5")),""),"")</f>
        <v/>
      </c>
      <c r="G1116" s="38" t="str" cm="1">
        <f t="array" aca="1" ref="G1116" ca="1">IF(F1116="",
    "",
    IFERROR(
        IF(INDIRECT("'"&amp;F1116&amp;"'!$B$2")="Credit Limit",
            "Credit Accounts",
            IF(INDIRECT("'"&amp;F1116&amp;"'!$E$2")="Location",
                "Cash Accounts",
                IF(INDIRECT("'"&amp;F1116&amp;"'!$B$2")="Amount",
                    "Investments",
                    "Bill Accounts"
                )
            )
        ),
    "")
)</f>
        <v/>
      </c>
      <c r="I1116" s="46" t="str" cm="1">
        <f t="array" aca="1" ref="I1116" ca="1">IF(F1116&lt;&gt;"",IF(OR(G1116="Bill Accounts",G1116="Investments", G1116="Cash Accounts"),INDIRECT("'"&amp;F1116&amp;"'!$C$10"),INDIRECT("'"&amp;F1116&amp;"'!$C$8")),"")</f>
        <v/>
      </c>
      <c r="K1116" s="48">
        <f t="shared" si="54"/>
        <v>1122</v>
      </c>
      <c r="L1116" s="114" t="str" cm="1">
        <f t="array" aca="1" ref="L1116" ca="1">IF(F1116&lt;&gt;"",INDIRECT("'"&amp;F1116&amp;"'!$F$17"),"")</f>
        <v/>
      </c>
      <c r="M1116" s="116" t="str">
        <f t="shared" ca="1" si="52"/>
        <v/>
      </c>
      <c r="O1116" s="49" t="str">
        <f t="shared" ca="1" si="53"/>
        <v/>
      </c>
      <c r="P1116" s="38" t="str">
        <f>IF(E1116&lt;&gt;"",RANK(E1116,$E$3:$E$2298)+COUNTIF($E$3:E1116,E1116)-1,"")</f>
        <v/>
      </c>
    </row>
    <row r="1117" spans="4:16" x14ac:dyDescent="0.25">
      <c r="D1117" s="36" t="str" cm="1">
        <f t="array" aca="1" ref="D1117" ca="1">IFERROR(IF(INDIRECT("'"&amp;F1117&amp;"'!$C$5")&gt;0,DATE(YEAR(Dashboard!$AL$2),Dashboard!$AU$4,INDIRECT("'"&amp;F1117&amp;"'!$C$5")),""),"")</f>
        <v/>
      </c>
      <c r="G1117" s="38" t="str" cm="1">
        <f t="array" aca="1" ref="G1117" ca="1">IF(F1117="",
    "",
    IFERROR(
        IF(INDIRECT("'"&amp;F1117&amp;"'!$B$2")="Credit Limit",
            "Credit Accounts",
            IF(INDIRECT("'"&amp;F1117&amp;"'!$E$2")="Location",
                "Cash Accounts",
                IF(INDIRECT("'"&amp;F1117&amp;"'!$B$2")="Amount",
                    "Investments",
                    "Bill Accounts"
                )
            )
        ),
    "")
)</f>
        <v/>
      </c>
      <c r="I1117" s="46" t="str" cm="1">
        <f t="array" aca="1" ref="I1117" ca="1">IF(F1117&lt;&gt;"",IF(OR(G1117="Bill Accounts",G1117="Investments", G1117="Cash Accounts"),INDIRECT("'"&amp;F1117&amp;"'!$C$10"),INDIRECT("'"&amp;F1117&amp;"'!$C$8")),"")</f>
        <v/>
      </c>
      <c r="K1117" s="48">
        <f t="shared" si="54"/>
        <v>1123</v>
      </c>
      <c r="L1117" s="114" t="str" cm="1">
        <f t="array" aca="1" ref="L1117" ca="1">IF(F1117&lt;&gt;"",INDIRECT("'"&amp;F1117&amp;"'!$F$17"),"")</f>
        <v/>
      </c>
      <c r="M1117" s="116" t="str">
        <f t="shared" ca="1" si="52"/>
        <v/>
      </c>
      <c r="O1117" s="49" t="str">
        <f t="shared" ca="1" si="53"/>
        <v/>
      </c>
      <c r="P1117" s="38" t="str">
        <f>IF(E1117&lt;&gt;"",RANK(E1117,$E$3:$E$2298)+COUNTIF($E$3:E1117,E1117)-1,"")</f>
        <v/>
      </c>
    </row>
    <row r="1118" spans="4:16" x14ac:dyDescent="0.25">
      <c r="D1118" s="36" t="str" cm="1">
        <f t="array" aca="1" ref="D1118" ca="1">IFERROR(IF(INDIRECT("'"&amp;F1118&amp;"'!$C$5")&gt;0,DATE(YEAR(Dashboard!$AL$2),Dashboard!$AU$4,INDIRECT("'"&amp;F1118&amp;"'!$C$5")),""),"")</f>
        <v/>
      </c>
      <c r="G1118" s="38" t="str" cm="1">
        <f t="array" aca="1" ref="G1118" ca="1">IF(F1118="",
    "",
    IFERROR(
        IF(INDIRECT("'"&amp;F1118&amp;"'!$B$2")="Credit Limit",
            "Credit Accounts",
            IF(INDIRECT("'"&amp;F1118&amp;"'!$E$2")="Location",
                "Cash Accounts",
                IF(INDIRECT("'"&amp;F1118&amp;"'!$B$2")="Amount",
                    "Investments",
                    "Bill Accounts"
                )
            )
        ),
    "")
)</f>
        <v/>
      </c>
      <c r="I1118" s="46" t="str" cm="1">
        <f t="array" aca="1" ref="I1118" ca="1">IF(F1118&lt;&gt;"",IF(OR(G1118="Bill Accounts",G1118="Investments", G1118="Cash Accounts"),INDIRECT("'"&amp;F1118&amp;"'!$C$10"),INDIRECT("'"&amp;F1118&amp;"'!$C$8")),"")</f>
        <v/>
      </c>
      <c r="K1118" s="48">
        <f t="shared" si="54"/>
        <v>1124</v>
      </c>
      <c r="L1118" s="114" t="str" cm="1">
        <f t="array" aca="1" ref="L1118" ca="1">IF(F1118&lt;&gt;"",INDIRECT("'"&amp;F1118&amp;"'!$F$17"),"")</f>
        <v/>
      </c>
      <c r="M1118" s="116" t="str">
        <f t="shared" ca="1" si="52"/>
        <v/>
      </c>
      <c r="O1118" s="49" t="str">
        <f t="shared" ca="1" si="53"/>
        <v/>
      </c>
      <c r="P1118" s="38" t="str">
        <f>IF(E1118&lt;&gt;"",RANK(E1118,$E$3:$E$2298)+COUNTIF($E$3:E1118,E1118)-1,"")</f>
        <v/>
      </c>
    </row>
    <row r="1119" spans="4:16" x14ac:dyDescent="0.25">
      <c r="D1119" s="36" t="str" cm="1">
        <f t="array" aca="1" ref="D1119" ca="1">IFERROR(IF(INDIRECT("'"&amp;F1119&amp;"'!$C$5")&gt;0,DATE(YEAR(Dashboard!$AL$2),Dashboard!$AU$4,INDIRECT("'"&amp;F1119&amp;"'!$C$5")),""),"")</f>
        <v/>
      </c>
      <c r="G1119" s="38" t="str" cm="1">
        <f t="array" aca="1" ref="G1119" ca="1">IF(F1119="",
    "",
    IFERROR(
        IF(INDIRECT("'"&amp;F1119&amp;"'!$B$2")="Credit Limit",
            "Credit Accounts",
            IF(INDIRECT("'"&amp;F1119&amp;"'!$E$2")="Location",
                "Cash Accounts",
                IF(INDIRECT("'"&amp;F1119&amp;"'!$B$2")="Amount",
                    "Investments",
                    "Bill Accounts"
                )
            )
        ),
    "")
)</f>
        <v/>
      </c>
      <c r="I1119" s="46" t="str" cm="1">
        <f t="array" aca="1" ref="I1119" ca="1">IF(F1119&lt;&gt;"",IF(OR(G1119="Bill Accounts",G1119="Investments", G1119="Cash Accounts"),INDIRECT("'"&amp;F1119&amp;"'!$C$10"),INDIRECT("'"&amp;F1119&amp;"'!$C$8")),"")</f>
        <v/>
      </c>
      <c r="K1119" s="48">
        <f t="shared" si="54"/>
        <v>1125</v>
      </c>
      <c r="L1119" s="114" t="str" cm="1">
        <f t="array" aca="1" ref="L1119" ca="1">IF(F1119&lt;&gt;"",INDIRECT("'"&amp;F1119&amp;"'!$F$17"),"")</f>
        <v/>
      </c>
      <c r="M1119" s="116" t="str">
        <f t="shared" ca="1" si="52"/>
        <v/>
      </c>
      <c r="O1119" s="49" t="str">
        <f t="shared" ca="1" si="53"/>
        <v/>
      </c>
      <c r="P1119" s="38" t="str">
        <f>IF(E1119&lt;&gt;"",RANK(E1119,$E$3:$E$2298)+COUNTIF($E$3:E1119,E1119)-1,"")</f>
        <v/>
      </c>
    </row>
    <row r="1120" spans="4:16" x14ac:dyDescent="0.25">
      <c r="D1120" s="36" t="str" cm="1">
        <f t="array" aca="1" ref="D1120" ca="1">IFERROR(IF(INDIRECT("'"&amp;F1120&amp;"'!$C$5")&gt;0,DATE(YEAR(Dashboard!$AL$2),Dashboard!$AU$4,INDIRECT("'"&amp;F1120&amp;"'!$C$5")),""),"")</f>
        <v/>
      </c>
      <c r="G1120" s="38" t="str" cm="1">
        <f t="array" aca="1" ref="G1120" ca="1">IF(F1120="",
    "",
    IFERROR(
        IF(INDIRECT("'"&amp;F1120&amp;"'!$B$2")="Credit Limit",
            "Credit Accounts",
            IF(INDIRECT("'"&amp;F1120&amp;"'!$E$2")="Location",
                "Cash Accounts",
                IF(INDIRECT("'"&amp;F1120&amp;"'!$B$2")="Amount",
                    "Investments",
                    "Bill Accounts"
                )
            )
        ),
    "")
)</f>
        <v/>
      </c>
      <c r="I1120" s="46" t="str" cm="1">
        <f t="array" aca="1" ref="I1120" ca="1">IF(F1120&lt;&gt;"",IF(OR(G1120="Bill Accounts",G1120="Investments", G1120="Cash Accounts"),INDIRECT("'"&amp;F1120&amp;"'!$C$10"),INDIRECT("'"&amp;F1120&amp;"'!$C$8")),"")</f>
        <v/>
      </c>
      <c r="K1120" s="48">
        <f t="shared" si="54"/>
        <v>1126</v>
      </c>
      <c r="L1120" s="114" t="str" cm="1">
        <f t="array" aca="1" ref="L1120" ca="1">IF(F1120&lt;&gt;"",INDIRECT("'"&amp;F1120&amp;"'!$F$17"),"")</f>
        <v/>
      </c>
      <c r="M1120" s="116" t="str">
        <f t="shared" ca="1" si="52"/>
        <v/>
      </c>
      <c r="O1120" s="49" t="str">
        <f t="shared" ca="1" si="53"/>
        <v/>
      </c>
      <c r="P1120" s="38" t="str">
        <f>IF(E1120&lt;&gt;"",RANK(E1120,$E$3:$E$2298)+COUNTIF($E$3:E1120,E1120)-1,"")</f>
        <v/>
      </c>
    </row>
    <row r="1121" spans="4:16" x14ac:dyDescent="0.25">
      <c r="D1121" s="36" t="str" cm="1">
        <f t="array" aca="1" ref="D1121" ca="1">IFERROR(IF(INDIRECT("'"&amp;F1121&amp;"'!$C$5")&gt;0,DATE(YEAR(Dashboard!$AL$2),Dashboard!$AU$4,INDIRECT("'"&amp;F1121&amp;"'!$C$5")),""),"")</f>
        <v/>
      </c>
      <c r="G1121" s="38" t="str" cm="1">
        <f t="array" aca="1" ref="G1121" ca="1">IF(F1121="",
    "",
    IFERROR(
        IF(INDIRECT("'"&amp;F1121&amp;"'!$B$2")="Credit Limit",
            "Credit Accounts",
            IF(INDIRECT("'"&amp;F1121&amp;"'!$E$2")="Location",
                "Cash Accounts",
                IF(INDIRECT("'"&amp;F1121&amp;"'!$B$2")="Amount",
                    "Investments",
                    "Bill Accounts"
                )
            )
        ),
    "")
)</f>
        <v/>
      </c>
      <c r="I1121" s="46" t="str" cm="1">
        <f t="array" aca="1" ref="I1121" ca="1">IF(F1121&lt;&gt;"",IF(OR(G1121="Bill Accounts",G1121="Investments", G1121="Cash Accounts"),INDIRECT("'"&amp;F1121&amp;"'!$C$10"),INDIRECT("'"&amp;F1121&amp;"'!$C$8")),"")</f>
        <v/>
      </c>
      <c r="K1121" s="48">
        <f t="shared" si="54"/>
        <v>1127</v>
      </c>
      <c r="L1121" s="114" t="str" cm="1">
        <f t="array" aca="1" ref="L1121" ca="1">IF(F1121&lt;&gt;"",INDIRECT("'"&amp;F1121&amp;"'!$F$17"),"")</f>
        <v/>
      </c>
      <c r="M1121" s="116" t="str">
        <f t="shared" ca="1" si="52"/>
        <v/>
      </c>
      <c r="O1121" s="49" t="str">
        <f t="shared" ca="1" si="53"/>
        <v/>
      </c>
      <c r="P1121" s="38" t="str">
        <f>IF(E1121&lt;&gt;"",RANK(E1121,$E$3:$E$2298)+COUNTIF($E$3:E1121,E1121)-1,"")</f>
        <v/>
      </c>
    </row>
    <row r="1122" spans="4:16" x14ac:dyDescent="0.25">
      <c r="D1122" s="36" t="str" cm="1">
        <f t="array" aca="1" ref="D1122" ca="1">IFERROR(IF(INDIRECT("'"&amp;F1122&amp;"'!$C$5")&gt;0,DATE(YEAR(Dashboard!$AL$2),Dashboard!$AU$4,INDIRECT("'"&amp;F1122&amp;"'!$C$5")),""),"")</f>
        <v/>
      </c>
      <c r="G1122" s="38" t="str" cm="1">
        <f t="array" aca="1" ref="G1122" ca="1">IF(F1122="",
    "",
    IFERROR(
        IF(INDIRECT("'"&amp;F1122&amp;"'!$B$2")="Credit Limit",
            "Credit Accounts",
            IF(INDIRECT("'"&amp;F1122&amp;"'!$E$2")="Location",
                "Cash Accounts",
                IF(INDIRECT("'"&amp;F1122&amp;"'!$B$2")="Amount",
                    "Investments",
                    "Bill Accounts"
                )
            )
        ),
    "")
)</f>
        <v/>
      </c>
      <c r="I1122" s="46" t="str" cm="1">
        <f t="array" aca="1" ref="I1122" ca="1">IF(F1122&lt;&gt;"",IF(OR(G1122="Bill Accounts",G1122="Investments", G1122="Cash Accounts"),INDIRECT("'"&amp;F1122&amp;"'!$C$10"),INDIRECT("'"&amp;F1122&amp;"'!$C$8")),"")</f>
        <v/>
      </c>
      <c r="K1122" s="48">
        <f t="shared" si="54"/>
        <v>1128</v>
      </c>
      <c r="L1122" s="114" t="str" cm="1">
        <f t="array" aca="1" ref="L1122" ca="1">IF(F1122&lt;&gt;"",INDIRECT("'"&amp;F1122&amp;"'!$F$17"),"")</f>
        <v/>
      </c>
      <c r="M1122" s="116" t="str">
        <f t="shared" ca="1" si="52"/>
        <v/>
      </c>
      <c r="O1122" s="49" t="str">
        <f t="shared" ca="1" si="53"/>
        <v/>
      </c>
      <c r="P1122" s="38" t="str">
        <f>IF(E1122&lt;&gt;"",RANK(E1122,$E$3:$E$2298)+COUNTIF($E$3:E1122,E1122)-1,"")</f>
        <v/>
      </c>
    </row>
    <row r="1123" spans="4:16" x14ac:dyDescent="0.25">
      <c r="D1123" s="36" t="str" cm="1">
        <f t="array" aca="1" ref="D1123" ca="1">IFERROR(IF(INDIRECT("'"&amp;F1123&amp;"'!$C$5")&gt;0,DATE(YEAR(Dashboard!$AL$2),Dashboard!$AU$4,INDIRECT("'"&amp;F1123&amp;"'!$C$5")),""),"")</f>
        <v/>
      </c>
      <c r="G1123" s="38" t="str" cm="1">
        <f t="array" aca="1" ref="G1123" ca="1">IF(F1123="",
    "",
    IFERROR(
        IF(INDIRECT("'"&amp;F1123&amp;"'!$B$2")="Credit Limit",
            "Credit Accounts",
            IF(INDIRECT("'"&amp;F1123&amp;"'!$E$2")="Location",
                "Cash Accounts",
                IF(INDIRECT("'"&amp;F1123&amp;"'!$B$2")="Amount",
                    "Investments",
                    "Bill Accounts"
                )
            )
        ),
    "")
)</f>
        <v/>
      </c>
      <c r="I1123" s="46" t="str" cm="1">
        <f t="array" aca="1" ref="I1123" ca="1">IF(F1123&lt;&gt;"",IF(OR(G1123="Bill Accounts",G1123="Investments", G1123="Cash Accounts"),INDIRECT("'"&amp;F1123&amp;"'!$C$10"),INDIRECT("'"&amp;F1123&amp;"'!$C$8")),"")</f>
        <v/>
      </c>
      <c r="K1123" s="48">
        <f t="shared" si="54"/>
        <v>1129</v>
      </c>
      <c r="L1123" s="114" t="str" cm="1">
        <f t="array" aca="1" ref="L1123" ca="1">IF(F1123&lt;&gt;"",INDIRECT("'"&amp;F1123&amp;"'!$F$17"),"")</f>
        <v/>
      </c>
      <c r="M1123" s="116" t="str">
        <f t="shared" ca="1" si="52"/>
        <v/>
      </c>
      <c r="O1123" s="49" t="str">
        <f t="shared" ca="1" si="53"/>
        <v/>
      </c>
      <c r="P1123" s="38" t="str">
        <f>IF(E1123&lt;&gt;"",RANK(E1123,$E$3:$E$2298)+COUNTIF($E$3:E1123,E1123)-1,"")</f>
        <v/>
      </c>
    </row>
    <row r="1124" spans="4:16" x14ac:dyDescent="0.25">
      <c r="D1124" s="36" t="str" cm="1">
        <f t="array" aca="1" ref="D1124" ca="1">IFERROR(IF(INDIRECT("'"&amp;F1124&amp;"'!$C$5")&gt;0,DATE(YEAR(Dashboard!$AL$2),Dashboard!$AU$4,INDIRECT("'"&amp;F1124&amp;"'!$C$5")),""),"")</f>
        <v/>
      </c>
      <c r="G1124" s="38" t="str" cm="1">
        <f t="array" aca="1" ref="G1124" ca="1">IF(F1124="",
    "",
    IFERROR(
        IF(INDIRECT("'"&amp;F1124&amp;"'!$B$2")="Credit Limit",
            "Credit Accounts",
            IF(INDIRECT("'"&amp;F1124&amp;"'!$E$2")="Location",
                "Cash Accounts",
                IF(INDIRECT("'"&amp;F1124&amp;"'!$B$2")="Amount",
                    "Investments",
                    "Bill Accounts"
                )
            )
        ),
    "")
)</f>
        <v/>
      </c>
      <c r="I1124" s="46" t="str" cm="1">
        <f t="array" aca="1" ref="I1124" ca="1">IF(F1124&lt;&gt;"",IF(OR(G1124="Bill Accounts",G1124="Investments", G1124="Cash Accounts"),INDIRECT("'"&amp;F1124&amp;"'!$C$10"),INDIRECT("'"&amp;F1124&amp;"'!$C$8")),"")</f>
        <v/>
      </c>
      <c r="K1124" s="48">
        <f t="shared" si="54"/>
        <v>1130</v>
      </c>
      <c r="L1124" s="114" t="str" cm="1">
        <f t="array" aca="1" ref="L1124" ca="1">IF(F1124&lt;&gt;"",INDIRECT("'"&amp;F1124&amp;"'!$F$17"),"")</f>
        <v/>
      </c>
      <c r="M1124" s="116" t="str">
        <f t="shared" ca="1" si="52"/>
        <v/>
      </c>
      <c r="O1124" s="49" t="str">
        <f t="shared" ca="1" si="53"/>
        <v/>
      </c>
      <c r="P1124" s="38" t="str">
        <f>IF(E1124&lt;&gt;"",RANK(E1124,$E$3:$E$2298)+COUNTIF($E$3:E1124,E1124)-1,"")</f>
        <v/>
      </c>
    </row>
    <row r="1125" spans="4:16" x14ac:dyDescent="0.25">
      <c r="D1125" s="36" t="str" cm="1">
        <f t="array" aca="1" ref="D1125" ca="1">IFERROR(IF(INDIRECT("'"&amp;F1125&amp;"'!$C$5")&gt;0,DATE(YEAR(Dashboard!$AL$2),Dashboard!$AU$4,INDIRECT("'"&amp;F1125&amp;"'!$C$5")),""),"")</f>
        <v/>
      </c>
      <c r="G1125" s="38" t="str" cm="1">
        <f t="array" aca="1" ref="G1125" ca="1">IF(F1125="",
    "",
    IFERROR(
        IF(INDIRECT("'"&amp;F1125&amp;"'!$B$2")="Credit Limit",
            "Credit Accounts",
            IF(INDIRECT("'"&amp;F1125&amp;"'!$E$2")="Location",
                "Cash Accounts",
                IF(INDIRECT("'"&amp;F1125&amp;"'!$B$2")="Amount",
                    "Investments",
                    "Bill Accounts"
                )
            )
        ),
    "")
)</f>
        <v/>
      </c>
      <c r="I1125" s="46" t="str" cm="1">
        <f t="array" aca="1" ref="I1125" ca="1">IF(F1125&lt;&gt;"",IF(OR(G1125="Bill Accounts",G1125="Investments", G1125="Cash Accounts"),INDIRECT("'"&amp;F1125&amp;"'!$C$10"),INDIRECT("'"&amp;F1125&amp;"'!$C$8")),"")</f>
        <v/>
      </c>
      <c r="K1125" s="48">
        <f t="shared" si="54"/>
        <v>1131</v>
      </c>
      <c r="L1125" s="114" t="str" cm="1">
        <f t="array" aca="1" ref="L1125" ca="1">IF(F1125&lt;&gt;"",INDIRECT("'"&amp;F1125&amp;"'!$F$17"),"")</f>
        <v/>
      </c>
      <c r="M1125" s="116" t="str">
        <f t="shared" ca="1" si="52"/>
        <v/>
      </c>
      <c r="O1125" s="49" t="str">
        <f t="shared" ca="1" si="53"/>
        <v/>
      </c>
      <c r="P1125" s="38" t="str">
        <f>IF(E1125&lt;&gt;"",RANK(E1125,$E$3:$E$2298)+COUNTIF($E$3:E1125,E1125)-1,"")</f>
        <v/>
      </c>
    </row>
    <row r="1126" spans="4:16" x14ac:dyDescent="0.25">
      <c r="D1126" s="36" t="str" cm="1">
        <f t="array" aca="1" ref="D1126" ca="1">IFERROR(IF(INDIRECT("'"&amp;F1126&amp;"'!$C$5")&gt;0,DATE(YEAR(Dashboard!$AL$2),Dashboard!$AU$4,INDIRECT("'"&amp;F1126&amp;"'!$C$5")),""),"")</f>
        <v/>
      </c>
      <c r="G1126" s="38" t="str" cm="1">
        <f t="array" aca="1" ref="G1126" ca="1">IF(F1126="",
    "",
    IFERROR(
        IF(INDIRECT("'"&amp;F1126&amp;"'!$B$2")="Credit Limit",
            "Credit Accounts",
            IF(INDIRECT("'"&amp;F1126&amp;"'!$E$2")="Location",
                "Cash Accounts",
                IF(INDIRECT("'"&amp;F1126&amp;"'!$B$2")="Amount",
                    "Investments",
                    "Bill Accounts"
                )
            )
        ),
    "")
)</f>
        <v/>
      </c>
      <c r="I1126" s="46" t="str" cm="1">
        <f t="array" aca="1" ref="I1126" ca="1">IF(F1126&lt;&gt;"",IF(OR(G1126="Bill Accounts",G1126="Investments", G1126="Cash Accounts"),INDIRECT("'"&amp;F1126&amp;"'!$C$10"),INDIRECT("'"&amp;F1126&amp;"'!$C$8")),"")</f>
        <v/>
      </c>
      <c r="K1126" s="48">
        <f t="shared" si="54"/>
        <v>1132</v>
      </c>
      <c r="L1126" s="114" t="str" cm="1">
        <f t="array" aca="1" ref="L1126" ca="1">IF(F1126&lt;&gt;"",INDIRECT("'"&amp;F1126&amp;"'!$F$17"),"")</f>
        <v/>
      </c>
      <c r="M1126" s="116" t="str">
        <f t="shared" ca="1" si="52"/>
        <v/>
      </c>
      <c r="O1126" s="49" t="str">
        <f t="shared" ca="1" si="53"/>
        <v/>
      </c>
      <c r="P1126" s="38" t="str">
        <f>IF(E1126&lt;&gt;"",RANK(E1126,$E$3:$E$2298)+COUNTIF($E$3:E1126,E1126)-1,"")</f>
        <v/>
      </c>
    </row>
    <row r="1127" spans="4:16" x14ac:dyDescent="0.25">
      <c r="D1127" s="36" t="str" cm="1">
        <f t="array" aca="1" ref="D1127" ca="1">IFERROR(IF(INDIRECT("'"&amp;F1127&amp;"'!$C$5")&gt;0,DATE(YEAR(Dashboard!$AL$2),Dashboard!$AU$4,INDIRECT("'"&amp;F1127&amp;"'!$C$5")),""),"")</f>
        <v/>
      </c>
      <c r="G1127" s="38" t="str" cm="1">
        <f t="array" aca="1" ref="G1127" ca="1">IF(F1127="",
    "",
    IFERROR(
        IF(INDIRECT("'"&amp;F1127&amp;"'!$B$2")="Credit Limit",
            "Credit Accounts",
            IF(INDIRECT("'"&amp;F1127&amp;"'!$E$2")="Location",
                "Cash Accounts",
                IF(INDIRECT("'"&amp;F1127&amp;"'!$B$2")="Amount",
                    "Investments",
                    "Bill Accounts"
                )
            )
        ),
    "")
)</f>
        <v/>
      </c>
      <c r="I1127" s="46" t="str" cm="1">
        <f t="array" aca="1" ref="I1127" ca="1">IF(F1127&lt;&gt;"",IF(OR(G1127="Bill Accounts",G1127="Investments", G1127="Cash Accounts"),INDIRECT("'"&amp;F1127&amp;"'!$C$10"),INDIRECT("'"&amp;F1127&amp;"'!$C$8")),"")</f>
        <v/>
      </c>
      <c r="K1127" s="48">
        <f t="shared" si="54"/>
        <v>1133</v>
      </c>
      <c r="L1127" s="114" t="str" cm="1">
        <f t="array" aca="1" ref="L1127" ca="1">IF(F1127&lt;&gt;"",INDIRECT("'"&amp;F1127&amp;"'!$F$17"),"")</f>
        <v/>
      </c>
      <c r="M1127" s="116" t="str">
        <f t="shared" ca="1" si="52"/>
        <v/>
      </c>
      <c r="O1127" s="49" t="str">
        <f t="shared" ca="1" si="53"/>
        <v/>
      </c>
      <c r="P1127" s="38" t="str">
        <f>IF(E1127&lt;&gt;"",RANK(E1127,$E$3:$E$2298)+COUNTIF($E$3:E1127,E1127)-1,"")</f>
        <v/>
      </c>
    </row>
    <row r="1128" spans="4:16" x14ac:dyDescent="0.25">
      <c r="D1128" s="36" t="str" cm="1">
        <f t="array" aca="1" ref="D1128" ca="1">IFERROR(IF(INDIRECT("'"&amp;F1128&amp;"'!$C$5")&gt;0,DATE(YEAR(Dashboard!$AL$2),Dashboard!$AU$4,INDIRECT("'"&amp;F1128&amp;"'!$C$5")),""),"")</f>
        <v/>
      </c>
      <c r="G1128" s="38" t="str" cm="1">
        <f t="array" aca="1" ref="G1128" ca="1">IF(F1128="",
    "",
    IFERROR(
        IF(INDIRECT("'"&amp;F1128&amp;"'!$B$2")="Credit Limit",
            "Credit Accounts",
            IF(INDIRECT("'"&amp;F1128&amp;"'!$E$2")="Location",
                "Cash Accounts",
                IF(INDIRECT("'"&amp;F1128&amp;"'!$B$2")="Amount",
                    "Investments",
                    "Bill Accounts"
                )
            )
        ),
    "")
)</f>
        <v/>
      </c>
      <c r="I1128" s="46" t="str" cm="1">
        <f t="array" aca="1" ref="I1128" ca="1">IF(F1128&lt;&gt;"",IF(OR(G1128="Bill Accounts",G1128="Investments", G1128="Cash Accounts"),INDIRECT("'"&amp;F1128&amp;"'!$C$10"),INDIRECT("'"&amp;F1128&amp;"'!$C$8")),"")</f>
        <v/>
      </c>
      <c r="K1128" s="48">
        <f t="shared" si="54"/>
        <v>1134</v>
      </c>
      <c r="L1128" s="114" t="str" cm="1">
        <f t="array" aca="1" ref="L1128" ca="1">IF(F1128&lt;&gt;"",INDIRECT("'"&amp;F1128&amp;"'!$F$17"),"")</f>
        <v/>
      </c>
      <c r="M1128" s="116" t="str">
        <f t="shared" ca="1" si="52"/>
        <v/>
      </c>
      <c r="O1128" s="49" t="str">
        <f t="shared" ca="1" si="53"/>
        <v/>
      </c>
      <c r="P1128" s="38" t="str">
        <f>IF(E1128&lt;&gt;"",RANK(E1128,$E$3:$E$2298)+COUNTIF($E$3:E1128,E1128)-1,"")</f>
        <v/>
      </c>
    </row>
    <row r="1129" spans="4:16" x14ac:dyDescent="0.25">
      <c r="D1129" s="36" t="str" cm="1">
        <f t="array" aca="1" ref="D1129" ca="1">IFERROR(IF(INDIRECT("'"&amp;F1129&amp;"'!$C$5")&gt;0,DATE(YEAR(Dashboard!$AL$2),Dashboard!$AU$4,INDIRECT("'"&amp;F1129&amp;"'!$C$5")),""),"")</f>
        <v/>
      </c>
      <c r="G1129" s="38" t="str" cm="1">
        <f t="array" aca="1" ref="G1129" ca="1">IF(F1129="",
    "",
    IFERROR(
        IF(INDIRECT("'"&amp;F1129&amp;"'!$B$2")="Credit Limit",
            "Credit Accounts",
            IF(INDIRECT("'"&amp;F1129&amp;"'!$E$2")="Location",
                "Cash Accounts",
                IF(INDIRECT("'"&amp;F1129&amp;"'!$B$2")="Amount",
                    "Investments",
                    "Bill Accounts"
                )
            )
        ),
    "")
)</f>
        <v/>
      </c>
      <c r="I1129" s="46" t="str" cm="1">
        <f t="array" aca="1" ref="I1129" ca="1">IF(F1129&lt;&gt;"",IF(OR(G1129="Bill Accounts",G1129="Investments", G1129="Cash Accounts"),INDIRECT("'"&amp;F1129&amp;"'!$C$10"),INDIRECT("'"&amp;F1129&amp;"'!$C$8")),"")</f>
        <v/>
      </c>
      <c r="K1129" s="48">
        <f t="shared" si="54"/>
        <v>1135</v>
      </c>
      <c r="L1129" s="114" t="str" cm="1">
        <f t="array" aca="1" ref="L1129" ca="1">IF(F1129&lt;&gt;"",INDIRECT("'"&amp;F1129&amp;"'!$F$17"),"")</f>
        <v/>
      </c>
      <c r="M1129" s="116" t="str">
        <f t="shared" ca="1" si="52"/>
        <v/>
      </c>
      <c r="O1129" s="49" t="str">
        <f t="shared" ca="1" si="53"/>
        <v/>
      </c>
      <c r="P1129" s="38" t="str">
        <f>IF(E1129&lt;&gt;"",RANK(E1129,$E$3:$E$2298)+COUNTIF($E$3:E1129,E1129)-1,"")</f>
        <v/>
      </c>
    </row>
    <row r="1130" spans="4:16" x14ac:dyDescent="0.25">
      <c r="D1130" s="36" t="str" cm="1">
        <f t="array" aca="1" ref="D1130" ca="1">IFERROR(IF(INDIRECT("'"&amp;F1130&amp;"'!$C$5")&gt;0,DATE(YEAR(Dashboard!$AL$2),Dashboard!$AU$4,INDIRECT("'"&amp;F1130&amp;"'!$C$5")),""),"")</f>
        <v/>
      </c>
      <c r="G1130" s="38" t="str" cm="1">
        <f t="array" aca="1" ref="G1130" ca="1">IF(F1130="",
    "",
    IFERROR(
        IF(INDIRECT("'"&amp;F1130&amp;"'!$B$2")="Credit Limit",
            "Credit Accounts",
            IF(INDIRECT("'"&amp;F1130&amp;"'!$E$2")="Location",
                "Cash Accounts",
                IF(INDIRECT("'"&amp;F1130&amp;"'!$B$2")="Amount",
                    "Investments",
                    "Bill Accounts"
                )
            )
        ),
    "")
)</f>
        <v/>
      </c>
      <c r="I1130" s="46" t="str" cm="1">
        <f t="array" aca="1" ref="I1130" ca="1">IF(F1130&lt;&gt;"",IF(OR(G1130="Bill Accounts",G1130="Investments", G1130="Cash Accounts"),INDIRECT("'"&amp;F1130&amp;"'!$C$10"),INDIRECT("'"&amp;F1130&amp;"'!$C$8")),"")</f>
        <v/>
      </c>
      <c r="K1130" s="48">
        <f t="shared" si="54"/>
        <v>1136</v>
      </c>
      <c r="L1130" s="114" t="str" cm="1">
        <f t="array" aca="1" ref="L1130" ca="1">IF(F1130&lt;&gt;"",INDIRECT("'"&amp;F1130&amp;"'!$F$17"),"")</f>
        <v/>
      </c>
      <c r="M1130" s="116" t="str">
        <f t="shared" ca="1" si="52"/>
        <v/>
      </c>
      <c r="O1130" s="49" t="str">
        <f t="shared" ca="1" si="53"/>
        <v/>
      </c>
      <c r="P1130" s="38" t="str">
        <f>IF(E1130&lt;&gt;"",RANK(E1130,$E$3:$E$2298)+COUNTIF($E$3:E1130,E1130)-1,"")</f>
        <v/>
      </c>
    </row>
    <row r="1131" spans="4:16" x14ac:dyDescent="0.25">
      <c r="D1131" s="36" t="str" cm="1">
        <f t="array" aca="1" ref="D1131" ca="1">IFERROR(IF(INDIRECT("'"&amp;F1131&amp;"'!$C$5")&gt;0,DATE(YEAR(Dashboard!$AL$2),Dashboard!$AU$4,INDIRECT("'"&amp;F1131&amp;"'!$C$5")),""),"")</f>
        <v/>
      </c>
      <c r="G1131" s="38" t="str" cm="1">
        <f t="array" aca="1" ref="G1131" ca="1">IF(F1131="",
    "",
    IFERROR(
        IF(INDIRECT("'"&amp;F1131&amp;"'!$B$2")="Credit Limit",
            "Credit Accounts",
            IF(INDIRECT("'"&amp;F1131&amp;"'!$E$2")="Location",
                "Cash Accounts",
                IF(INDIRECT("'"&amp;F1131&amp;"'!$B$2")="Amount",
                    "Investments",
                    "Bill Accounts"
                )
            )
        ),
    "")
)</f>
        <v/>
      </c>
      <c r="I1131" s="46" t="str" cm="1">
        <f t="array" aca="1" ref="I1131" ca="1">IF(F1131&lt;&gt;"",IF(OR(G1131="Bill Accounts",G1131="Investments", G1131="Cash Accounts"),INDIRECT("'"&amp;F1131&amp;"'!$C$10"),INDIRECT("'"&amp;F1131&amp;"'!$C$8")),"")</f>
        <v/>
      </c>
      <c r="K1131" s="48">
        <f t="shared" si="54"/>
        <v>1137</v>
      </c>
      <c r="L1131" s="114" t="str" cm="1">
        <f t="array" aca="1" ref="L1131" ca="1">IF(F1131&lt;&gt;"",INDIRECT("'"&amp;F1131&amp;"'!$F$17"),"")</f>
        <v/>
      </c>
      <c r="M1131" s="116" t="str">
        <f t="shared" ca="1" si="52"/>
        <v/>
      </c>
      <c r="O1131" s="49" t="str">
        <f t="shared" ca="1" si="53"/>
        <v/>
      </c>
      <c r="P1131" s="38" t="str">
        <f>IF(E1131&lt;&gt;"",RANK(E1131,$E$3:$E$2298)+COUNTIF($E$3:E1131,E1131)-1,"")</f>
        <v/>
      </c>
    </row>
    <row r="1132" spans="4:16" x14ac:dyDescent="0.25">
      <c r="D1132" s="36" t="str" cm="1">
        <f t="array" aca="1" ref="D1132" ca="1">IFERROR(IF(INDIRECT("'"&amp;F1132&amp;"'!$C$5")&gt;0,DATE(YEAR(Dashboard!$AL$2),Dashboard!$AU$4,INDIRECT("'"&amp;F1132&amp;"'!$C$5")),""),"")</f>
        <v/>
      </c>
      <c r="G1132" s="38" t="str" cm="1">
        <f t="array" aca="1" ref="G1132" ca="1">IF(F1132="",
    "",
    IFERROR(
        IF(INDIRECT("'"&amp;F1132&amp;"'!$B$2")="Credit Limit",
            "Credit Accounts",
            IF(INDIRECT("'"&amp;F1132&amp;"'!$E$2")="Location",
                "Cash Accounts",
                IF(INDIRECT("'"&amp;F1132&amp;"'!$B$2")="Amount",
                    "Investments",
                    "Bill Accounts"
                )
            )
        ),
    "")
)</f>
        <v/>
      </c>
      <c r="I1132" s="46" t="str" cm="1">
        <f t="array" aca="1" ref="I1132" ca="1">IF(F1132&lt;&gt;"",IF(OR(G1132="Bill Accounts",G1132="Investments", G1132="Cash Accounts"),INDIRECT("'"&amp;F1132&amp;"'!$C$10"),INDIRECT("'"&amp;F1132&amp;"'!$C$8")),"")</f>
        <v/>
      </c>
      <c r="K1132" s="48">
        <f t="shared" si="54"/>
        <v>1138</v>
      </c>
      <c r="L1132" s="114" t="str" cm="1">
        <f t="array" aca="1" ref="L1132" ca="1">IF(F1132&lt;&gt;"",INDIRECT("'"&amp;F1132&amp;"'!$F$17"),"")</f>
        <v/>
      </c>
      <c r="M1132" s="116" t="str">
        <f t="shared" ca="1" si="52"/>
        <v/>
      </c>
      <c r="O1132" s="49" t="str">
        <f t="shared" ca="1" si="53"/>
        <v/>
      </c>
      <c r="P1132" s="38" t="str">
        <f>IF(E1132&lt;&gt;"",RANK(E1132,$E$3:$E$2298)+COUNTIF($E$3:E1132,E1132)-1,"")</f>
        <v/>
      </c>
    </row>
    <row r="1133" spans="4:16" x14ac:dyDescent="0.25">
      <c r="D1133" s="36" t="str" cm="1">
        <f t="array" aca="1" ref="D1133" ca="1">IFERROR(IF(INDIRECT("'"&amp;F1133&amp;"'!$C$5")&gt;0,DATE(YEAR(Dashboard!$AL$2),Dashboard!$AU$4,INDIRECT("'"&amp;F1133&amp;"'!$C$5")),""),"")</f>
        <v/>
      </c>
      <c r="G1133" s="38" t="str" cm="1">
        <f t="array" aca="1" ref="G1133" ca="1">IF(F1133="",
    "",
    IFERROR(
        IF(INDIRECT("'"&amp;F1133&amp;"'!$B$2")="Credit Limit",
            "Credit Accounts",
            IF(INDIRECT("'"&amp;F1133&amp;"'!$E$2")="Location",
                "Cash Accounts",
                IF(INDIRECT("'"&amp;F1133&amp;"'!$B$2")="Amount",
                    "Investments",
                    "Bill Accounts"
                )
            )
        ),
    "")
)</f>
        <v/>
      </c>
      <c r="I1133" s="46" t="str" cm="1">
        <f t="array" aca="1" ref="I1133" ca="1">IF(F1133&lt;&gt;"",IF(OR(G1133="Bill Accounts",G1133="Investments", G1133="Cash Accounts"),INDIRECT("'"&amp;F1133&amp;"'!$C$10"),INDIRECT("'"&amp;F1133&amp;"'!$C$8")),"")</f>
        <v/>
      </c>
      <c r="K1133" s="48">
        <f t="shared" si="54"/>
        <v>1139</v>
      </c>
      <c r="L1133" s="114" t="str" cm="1">
        <f t="array" aca="1" ref="L1133" ca="1">IF(F1133&lt;&gt;"",INDIRECT("'"&amp;F1133&amp;"'!$F$17"),"")</f>
        <v/>
      </c>
      <c r="M1133" s="116" t="str">
        <f t="shared" ca="1" si="52"/>
        <v/>
      </c>
      <c r="O1133" s="49" t="str">
        <f t="shared" ca="1" si="53"/>
        <v/>
      </c>
      <c r="P1133" s="38" t="str">
        <f>IF(E1133&lt;&gt;"",RANK(E1133,$E$3:$E$2298)+COUNTIF($E$3:E1133,E1133)-1,"")</f>
        <v/>
      </c>
    </row>
    <row r="1134" spans="4:16" x14ac:dyDescent="0.25">
      <c r="D1134" s="36" t="str" cm="1">
        <f t="array" aca="1" ref="D1134" ca="1">IFERROR(IF(INDIRECT("'"&amp;F1134&amp;"'!$C$5")&gt;0,DATE(YEAR(Dashboard!$AL$2),Dashboard!$AU$4,INDIRECT("'"&amp;F1134&amp;"'!$C$5")),""),"")</f>
        <v/>
      </c>
      <c r="G1134" s="38" t="str" cm="1">
        <f t="array" aca="1" ref="G1134" ca="1">IF(F1134="",
    "",
    IFERROR(
        IF(INDIRECT("'"&amp;F1134&amp;"'!$B$2")="Credit Limit",
            "Credit Accounts",
            IF(INDIRECT("'"&amp;F1134&amp;"'!$E$2")="Location",
                "Cash Accounts",
                IF(INDIRECT("'"&amp;F1134&amp;"'!$B$2")="Amount",
                    "Investments",
                    "Bill Accounts"
                )
            )
        ),
    "")
)</f>
        <v/>
      </c>
      <c r="I1134" s="46" t="str" cm="1">
        <f t="array" aca="1" ref="I1134" ca="1">IF(F1134&lt;&gt;"",IF(OR(G1134="Bill Accounts",G1134="Investments", G1134="Cash Accounts"),INDIRECT("'"&amp;F1134&amp;"'!$C$10"),INDIRECT("'"&amp;F1134&amp;"'!$C$8")),"")</f>
        <v/>
      </c>
      <c r="K1134" s="48">
        <f t="shared" si="54"/>
        <v>1140</v>
      </c>
      <c r="L1134" s="114" t="str" cm="1">
        <f t="array" aca="1" ref="L1134" ca="1">IF(F1134&lt;&gt;"",INDIRECT("'"&amp;F1134&amp;"'!$F$17"),"")</f>
        <v/>
      </c>
      <c r="M1134" s="116" t="str">
        <f t="shared" ca="1" si="52"/>
        <v/>
      </c>
      <c r="O1134" s="49" t="str">
        <f t="shared" ca="1" si="53"/>
        <v/>
      </c>
      <c r="P1134" s="38" t="str">
        <f>IF(E1134&lt;&gt;"",RANK(E1134,$E$3:$E$2298)+COUNTIF($E$3:E1134,E1134)-1,"")</f>
        <v/>
      </c>
    </row>
    <row r="1135" spans="4:16" x14ac:dyDescent="0.25">
      <c r="D1135" s="36" t="str" cm="1">
        <f t="array" aca="1" ref="D1135" ca="1">IFERROR(IF(INDIRECT("'"&amp;F1135&amp;"'!$C$5")&gt;0,DATE(YEAR(Dashboard!$AL$2),Dashboard!$AU$4,INDIRECT("'"&amp;F1135&amp;"'!$C$5")),""),"")</f>
        <v/>
      </c>
      <c r="G1135" s="38" t="str" cm="1">
        <f t="array" aca="1" ref="G1135" ca="1">IF(F1135="",
    "",
    IFERROR(
        IF(INDIRECT("'"&amp;F1135&amp;"'!$B$2")="Credit Limit",
            "Credit Accounts",
            IF(INDIRECT("'"&amp;F1135&amp;"'!$E$2")="Location",
                "Cash Accounts",
                IF(INDIRECT("'"&amp;F1135&amp;"'!$B$2")="Amount",
                    "Investments",
                    "Bill Accounts"
                )
            )
        ),
    "")
)</f>
        <v/>
      </c>
      <c r="I1135" s="46" t="str" cm="1">
        <f t="array" aca="1" ref="I1135" ca="1">IF(F1135&lt;&gt;"",IF(OR(G1135="Bill Accounts",G1135="Investments", G1135="Cash Accounts"),INDIRECT("'"&amp;F1135&amp;"'!$C$10"),INDIRECT("'"&amp;F1135&amp;"'!$C$8")),"")</f>
        <v/>
      </c>
      <c r="K1135" s="48">
        <f t="shared" si="54"/>
        <v>1141</v>
      </c>
      <c r="L1135" s="114" t="str" cm="1">
        <f t="array" aca="1" ref="L1135" ca="1">IF(F1135&lt;&gt;"",INDIRECT("'"&amp;F1135&amp;"'!$F$17"),"")</f>
        <v/>
      </c>
      <c r="M1135" s="116" t="str">
        <f t="shared" ca="1" si="52"/>
        <v/>
      </c>
      <c r="O1135" s="49" t="str">
        <f t="shared" ca="1" si="53"/>
        <v/>
      </c>
      <c r="P1135" s="38" t="str">
        <f>IF(E1135&lt;&gt;"",RANK(E1135,$E$3:$E$2298)+COUNTIF($E$3:E1135,E1135)-1,"")</f>
        <v/>
      </c>
    </row>
    <row r="1136" spans="4:16" x14ac:dyDescent="0.25">
      <c r="D1136" s="36" t="str" cm="1">
        <f t="array" aca="1" ref="D1136" ca="1">IFERROR(IF(INDIRECT("'"&amp;F1136&amp;"'!$C$5")&gt;0,DATE(YEAR(Dashboard!$AL$2),Dashboard!$AU$4,INDIRECT("'"&amp;F1136&amp;"'!$C$5")),""),"")</f>
        <v/>
      </c>
      <c r="G1136" s="38" t="str" cm="1">
        <f t="array" aca="1" ref="G1136" ca="1">IF(F1136="",
    "",
    IFERROR(
        IF(INDIRECT("'"&amp;F1136&amp;"'!$B$2")="Credit Limit",
            "Credit Accounts",
            IF(INDIRECT("'"&amp;F1136&amp;"'!$E$2")="Location",
                "Cash Accounts",
                IF(INDIRECT("'"&amp;F1136&amp;"'!$B$2")="Amount",
                    "Investments",
                    "Bill Accounts"
                )
            )
        ),
    "")
)</f>
        <v/>
      </c>
      <c r="I1136" s="46" t="str" cm="1">
        <f t="array" aca="1" ref="I1136" ca="1">IF(F1136&lt;&gt;"",IF(OR(G1136="Bill Accounts",G1136="Investments", G1136="Cash Accounts"),INDIRECT("'"&amp;F1136&amp;"'!$C$10"),INDIRECT("'"&amp;F1136&amp;"'!$C$8")),"")</f>
        <v/>
      </c>
      <c r="K1136" s="48">
        <f t="shared" si="54"/>
        <v>1142</v>
      </c>
      <c r="L1136" s="114" t="str" cm="1">
        <f t="array" aca="1" ref="L1136" ca="1">IF(F1136&lt;&gt;"",INDIRECT("'"&amp;F1136&amp;"'!$F$17"),"")</f>
        <v/>
      </c>
      <c r="M1136" s="116" t="str">
        <f t="shared" ca="1" si="52"/>
        <v/>
      </c>
      <c r="O1136" s="49" t="str">
        <f t="shared" ca="1" si="53"/>
        <v/>
      </c>
      <c r="P1136" s="38" t="str">
        <f>IF(E1136&lt;&gt;"",RANK(E1136,$E$3:$E$2298)+COUNTIF($E$3:E1136,E1136)-1,"")</f>
        <v/>
      </c>
    </row>
    <row r="1137" spans="4:16" x14ac:dyDescent="0.25">
      <c r="D1137" s="36" t="str" cm="1">
        <f t="array" aca="1" ref="D1137" ca="1">IFERROR(IF(INDIRECT("'"&amp;F1137&amp;"'!$C$5")&gt;0,DATE(YEAR(Dashboard!$AL$2),Dashboard!$AU$4,INDIRECT("'"&amp;F1137&amp;"'!$C$5")),""),"")</f>
        <v/>
      </c>
      <c r="G1137" s="38" t="str" cm="1">
        <f t="array" aca="1" ref="G1137" ca="1">IF(F1137="",
    "",
    IFERROR(
        IF(INDIRECT("'"&amp;F1137&amp;"'!$B$2")="Credit Limit",
            "Credit Accounts",
            IF(INDIRECT("'"&amp;F1137&amp;"'!$E$2")="Location",
                "Cash Accounts",
                IF(INDIRECT("'"&amp;F1137&amp;"'!$B$2")="Amount",
                    "Investments",
                    "Bill Accounts"
                )
            )
        ),
    "")
)</f>
        <v/>
      </c>
      <c r="I1137" s="46" t="str" cm="1">
        <f t="array" aca="1" ref="I1137" ca="1">IF(F1137&lt;&gt;"",IF(OR(G1137="Bill Accounts",G1137="Investments", G1137="Cash Accounts"),INDIRECT("'"&amp;F1137&amp;"'!$C$10"),INDIRECT("'"&amp;F1137&amp;"'!$C$8")),"")</f>
        <v/>
      </c>
      <c r="K1137" s="48">
        <f t="shared" si="54"/>
        <v>1143</v>
      </c>
      <c r="L1137" s="114" t="str" cm="1">
        <f t="array" aca="1" ref="L1137" ca="1">IF(F1137&lt;&gt;"",INDIRECT("'"&amp;F1137&amp;"'!$F$17"),"")</f>
        <v/>
      </c>
      <c r="M1137" s="116" t="str">
        <f t="shared" ca="1" si="52"/>
        <v/>
      </c>
      <c r="O1137" s="49" t="str">
        <f t="shared" ca="1" si="53"/>
        <v/>
      </c>
      <c r="P1137" s="38" t="str">
        <f>IF(E1137&lt;&gt;"",RANK(E1137,$E$3:$E$2298)+COUNTIF($E$3:E1137,E1137)-1,"")</f>
        <v/>
      </c>
    </row>
    <row r="1138" spans="4:16" x14ac:dyDescent="0.25">
      <c r="D1138" s="36" t="str" cm="1">
        <f t="array" aca="1" ref="D1138" ca="1">IFERROR(IF(INDIRECT("'"&amp;F1138&amp;"'!$C$5")&gt;0,DATE(YEAR(Dashboard!$AL$2),Dashboard!$AU$4,INDIRECT("'"&amp;F1138&amp;"'!$C$5")),""),"")</f>
        <v/>
      </c>
      <c r="G1138" s="38" t="str" cm="1">
        <f t="array" aca="1" ref="G1138" ca="1">IF(F1138="",
    "",
    IFERROR(
        IF(INDIRECT("'"&amp;F1138&amp;"'!$B$2")="Credit Limit",
            "Credit Accounts",
            IF(INDIRECT("'"&amp;F1138&amp;"'!$E$2")="Location",
                "Cash Accounts",
                IF(INDIRECT("'"&amp;F1138&amp;"'!$B$2")="Amount",
                    "Investments",
                    "Bill Accounts"
                )
            )
        ),
    "")
)</f>
        <v/>
      </c>
      <c r="I1138" s="46" t="str" cm="1">
        <f t="array" aca="1" ref="I1138" ca="1">IF(F1138&lt;&gt;"",IF(OR(G1138="Bill Accounts",G1138="Investments", G1138="Cash Accounts"),INDIRECT("'"&amp;F1138&amp;"'!$C$10"),INDIRECT("'"&amp;F1138&amp;"'!$C$8")),"")</f>
        <v/>
      </c>
      <c r="K1138" s="48">
        <f t="shared" si="54"/>
        <v>1144</v>
      </c>
      <c r="L1138" s="114" t="str" cm="1">
        <f t="array" aca="1" ref="L1138" ca="1">IF(F1138&lt;&gt;"",INDIRECT("'"&amp;F1138&amp;"'!$F$17"),"")</f>
        <v/>
      </c>
      <c r="M1138" s="116" t="str">
        <f t="shared" ca="1" si="52"/>
        <v/>
      </c>
      <c r="O1138" s="49" t="str">
        <f t="shared" ca="1" si="53"/>
        <v/>
      </c>
      <c r="P1138" s="38" t="str">
        <f>IF(E1138&lt;&gt;"",RANK(E1138,$E$3:$E$2298)+COUNTIF($E$3:E1138,E1138)-1,"")</f>
        <v/>
      </c>
    </row>
    <row r="1139" spans="4:16" x14ac:dyDescent="0.25">
      <c r="D1139" s="36" t="str" cm="1">
        <f t="array" aca="1" ref="D1139" ca="1">IFERROR(IF(INDIRECT("'"&amp;F1139&amp;"'!$C$5")&gt;0,DATE(YEAR(Dashboard!$AL$2),Dashboard!$AU$4,INDIRECT("'"&amp;F1139&amp;"'!$C$5")),""),"")</f>
        <v/>
      </c>
      <c r="G1139" s="38" t="str" cm="1">
        <f t="array" aca="1" ref="G1139" ca="1">IF(F1139="",
    "",
    IFERROR(
        IF(INDIRECT("'"&amp;F1139&amp;"'!$B$2")="Credit Limit",
            "Credit Accounts",
            IF(INDIRECT("'"&amp;F1139&amp;"'!$E$2")="Location",
                "Cash Accounts",
                IF(INDIRECT("'"&amp;F1139&amp;"'!$B$2")="Amount",
                    "Investments",
                    "Bill Accounts"
                )
            )
        ),
    "")
)</f>
        <v/>
      </c>
      <c r="I1139" s="46" t="str" cm="1">
        <f t="array" aca="1" ref="I1139" ca="1">IF(F1139&lt;&gt;"",IF(OR(G1139="Bill Accounts",G1139="Investments", G1139="Cash Accounts"),INDIRECT("'"&amp;F1139&amp;"'!$C$10"),INDIRECT("'"&amp;F1139&amp;"'!$C$8")),"")</f>
        <v/>
      </c>
      <c r="K1139" s="48">
        <f t="shared" si="54"/>
        <v>1145</v>
      </c>
      <c r="L1139" s="114" t="str" cm="1">
        <f t="array" aca="1" ref="L1139" ca="1">IF(F1139&lt;&gt;"",INDIRECT("'"&amp;F1139&amp;"'!$F$17"),"")</f>
        <v/>
      </c>
      <c r="M1139" s="116" t="str">
        <f t="shared" ca="1" si="52"/>
        <v/>
      </c>
      <c r="O1139" s="49" t="str">
        <f t="shared" ca="1" si="53"/>
        <v/>
      </c>
      <c r="P1139" s="38" t="str">
        <f>IF(E1139&lt;&gt;"",RANK(E1139,$E$3:$E$2298)+COUNTIF($E$3:E1139,E1139)-1,"")</f>
        <v/>
      </c>
    </row>
    <row r="1140" spans="4:16" x14ac:dyDescent="0.25">
      <c r="D1140" s="36" t="str" cm="1">
        <f t="array" aca="1" ref="D1140" ca="1">IFERROR(IF(INDIRECT("'"&amp;F1140&amp;"'!$C$5")&gt;0,DATE(YEAR(Dashboard!$AL$2),Dashboard!$AU$4,INDIRECT("'"&amp;F1140&amp;"'!$C$5")),""),"")</f>
        <v/>
      </c>
      <c r="G1140" s="38" t="str" cm="1">
        <f t="array" aca="1" ref="G1140" ca="1">IF(F1140="",
    "",
    IFERROR(
        IF(INDIRECT("'"&amp;F1140&amp;"'!$B$2")="Credit Limit",
            "Credit Accounts",
            IF(INDIRECT("'"&amp;F1140&amp;"'!$E$2")="Location",
                "Cash Accounts",
                IF(INDIRECT("'"&amp;F1140&amp;"'!$B$2")="Amount",
                    "Investments",
                    "Bill Accounts"
                )
            )
        ),
    "")
)</f>
        <v/>
      </c>
      <c r="I1140" s="46" t="str" cm="1">
        <f t="array" aca="1" ref="I1140" ca="1">IF(F1140&lt;&gt;"",IF(OR(G1140="Bill Accounts",G1140="Investments", G1140="Cash Accounts"),INDIRECT("'"&amp;F1140&amp;"'!$C$10"),INDIRECT("'"&amp;F1140&amp;"'!$C$8")),"")</f>
        <v/>
      </c>
      <c r="K1140" s="48">
        <f t="shared" si="54"/>
        <v>1146</v>
      </c>
      <c r="L1140" s="114" t="str" cm="1">
        <f t="array" aca="1" ref="L1140" ca="1">IF(F1140&lt;&gt;"",INDIRECT("'"&amp;F1140&amp;"'!$F$17"),"")</f>
        <v/>
      </c>
      <c r="M1140" s="116" t="str">
        <f t="shared" ca="1" si="52"/>
        <v/>
      </c>
      <c r="O1140" s="49" t="str">
        <f t="shared" ca="1" si="53"/>
        <v/>
      </c>
      <c r="P1140" s="38" t="str">
        <f>IF(E1140&lt;&gt;"",RANK(E1140,$E$3:$E$2298)+COUNTIF($E$3:E1140,E1140)-1,"")</f>
        <v/>
      </c>
    </row>
    <row r="1141" spans="4:16" x14ac:dyDescent="0.25">
      <c r="D1141" s="36" t="str" cm="1">
        <f t="array" aca="1" ref="D1141" ca="1">IFERROR(IF(INDIRECT("'"&amp;F1141&amp;"'!$C$5")&gt;0,DATE(YEAR(Dashboard!$AL$2),Dashboard!$AU$4,INDIRECT("'"&amp;F1141&amp;"'!$C$5")),""),"")</f>
        <v/>
      </c>
      <c r="G1141" s="38" t="str" cm="1">
        <f t="array" aca="1" ref="G1141" ca="1">IF(F1141="",
    "",
    IFERROR(
        IF(INDIRECT("'"&amp;F1141&amp;"'!$B$2")="Credit Limit",
            "Credit Accounts",
            IF(INDIRECT("'"&amp;F1141&amp;"'!$E$2")="Location",
                "Cash Accounts",
                IF(INDIRECT("'"&amp;F1141&amp;"'!$B$2")="Amount",
                    "Investments",
                    "Bill Accounts"
                )
            )
        ),
    "")
)</f>
        <v/>
      </c>
      <c r="I1141" s="46" t="str" cm="1">
        <f t="array" aca="1" ref="I1141" ca="1">IF(F1141&lt;&gt;"",IF(OR(G1141="Bill Accounts",G1141="Investments", G1141="Cash Accounts"),INDIRECT("'"&amp;F1141&amp;"'!$C$10"),INDIRECT("'"&amp;F1141&amp;"'!$C$8")),"")</f>
        <v/>
      </c>
      <c r="K1141" s="48">
        <f t="shared" si="54"/>
        <v>1147</v>
      </c>
      <c r="L1141" s="114" t="str" cm="1">
        <f t="array" aca="1" ref="L1141" ca="1">IF(F1141&lt;&gt;"",INDIRECT("'"&amp;F1141&amp;"'!$F$17"),"")</f>
        <v/>
      </c>
      <c r="M1141" s="116" t="str">
        <f t="shared" ca="1" si="52"/>
        <v/>
      </c>
      <c r="O1141" s="49" t="str">
        <f t="shared" ca="1" si="53"/>
        <v/>
      </c>
      <c r="P1141" s="38" t="str">
        <f>IF(E1141&lt;&gt;"",RANK(E1141,$E$3:$E$2298)+COUNTIF($E$3:E1141,E1141)-1,"")</f>
        <v/>
      </c>
    </row>
    <row r="1142" spans="4:16" x14ac:dyDescent="0.25">
      <c r="D1142" s="36" t="str" cm="1">
        <f t="array" aca="1" ref="D1142" ca="1">IFERROR(IF(INDIRECT("'"&amp;F1142&amp;"'!$C$5")&gt;0,DATE(YEAR(Dashboard!$AL$2),Dashboard!$AU$4,INDIRECT("'"&amp;F1142&amp;"'!$C$5")),""),"")</f>
        <v/>
      </c>
      <c r="G1142" s="38" t="str" cm="1">
        <f t="array" aca="1" ref="G1142" ca="1">IF(F1142="",
    "",
    IFERROR(
        IF(INDIRECT("'"&amp;F1142&amp;"'!$B$2")="Credit Limit",
            "Credit Accounts",
            IF(INDIRECT("'"&amp;F1142&amp;"'!$E$2")="Location",
                "Cash Accounts",
                IF(INDIRECT("'"&amp;F1142&amp;"'!$B$2")="Amount",
                    "Investments",
                    "Bill Accounts"
                )
            )
        ),
    "")
)</f>
        <v/>
      </c>
      <c r="I1142" s="46" t="str" cm="1">
        <f t="array" aca="1" ref="I1142" ca="1">IF(F1142&lt;&gt;"",IF(OR(G1142="Bill Accounts",G1142="Investments", G1142="Cash Accounts"),INDIRECT("'"&amp;F1142&amp;"'!$C$10"),INDIRECT("'"&amp;F1142&amp;"'!$C$8")),"")</f>
        <v/>
      </c>
      <c r="K1142" s="48">
        <f t="shared" si="54"/>
        <v>1148</v>
      </c>
      <c r="L1142" s="114" t="str" cm="1">
        <f t="array" aca="1" ref="L1142" ca="1">IF(F1142&lt;&gt;"",INDIRECT("'"&amp;F1142&amp;"'!$F$17"),"")</f>
        <v/>
      </c>
      <c r="M1142" s="116" t="str">
        <f t="shared" ca="1" si="52"/>
        <v/>
      </c>
      <c r="O1142" s="49" t="str">
        <f t="shared" ca="1" si="53"/>
        <v/>
      </c>
      <c r="P1142" s="38" t="str">
        <f>IF(E1142&lt;&gt;"",RANK(E1142,$E$3:$E$2298)+COUNTIF($E$3:E1142,E1142)-1,"")</f>
        <v/>
      </c>
    </row>
    <row r="1143" spans="4:16" x14ac:dyDescent="0.25">
      <c r="D1143" s="36" t="str" cm="1">
        <f t="array" aca="1" ref="D1143" ca="1">IFERROR(IF(INDIRECT("'"&amp;F1143&amp;"'!$C$5")&gt;0,DATE(YEAR(Dashboard!$AL$2),Dashboard!$AU$4,INDIRECT("'"&amp;F1143&amp;"'!$C$5")),""),"")</f>
        <v/>
      </c>
      <c r="G1143" s="38" t="str" cm="1">
        <f t="array" aca="1" ref="G1143" ca="1">IF(F1143="",
    "",
    IFERROR(
        IF(INDIRECT("'"&amp;F1143&amp;"'!$B$2")="Credit Limit",
            "Credit Accounts",
            IF(INDIRECT("'"&amp;F1143&amp;"'!$E$2")="Location",
                "Cash Accounts",
                IF(INDIRECT("'"&amp;F1143&amp;"'!$B$2")="Amount",
                    "Investments",
                    "Bill Accounts"
                )
            )
        ),
    "")
)</f>
        <v/>
      </c>
      <c r="I1143" s="46" t="str" cm="1">
        <f t="array" aca="1" ref="I1143" ca="1">IF(F1143&lt;&gt;"",IF(OR(G1143="Bill Accounts",G1143="Investments", G1143="Cash Accounts"),INDIRECT("'"&amp;F1143&amp;"'!$C$10"),INDIRECT("'"&amp;F1143&amp;"'!$C$8")),"")</f>
        <v/>
      </c>
      <c r="K1143" s="48">
        <f t="shared" si="54"/>
        <v>1149</v>
      </c>
      <c r="L1143" s="114" t="str" cm="1">
        <f t="array" aca="1" ref="L1143" ca="1">IF(F1143&lt;&gt;"",INDIRECT("'"&amp;F1143&amp;"'!$F$17"),"")</f>
        <v/>
      </c>
      <c r="M1143" s="116" t="str">
        <f t="shared" ca="1" si="52"/>
        <v/>
      </c>
      <c r="O1143" s="49" t="str">
        <f t="shared" ca="1" si="53"/>
        <v/>
      </c>
      <c r="P1143" s="38" t="str">
        <f>IF(E1143&lt;&gt;"",RANK(E1143,$E$3:$E$2298)+COUNTIF($E$3:E1143,E1143)-1,"")</f>
        <v/>
      </c>
    </row>
    <row r="1144" spans="4:16" x14ac:dyDescent="0.25">
      <c r="D1144" s="36" t="str" cm="1">
        <f t="array" aca="1" ref="D1144" ca="1">IFERROR(IF(INDIRECT("'"&amp;F1144&amp;"'!$C$5")&gt;0,DATE(YEAR(Dashboard!$AL$2),Dashboard!$AU$4,INDIRECT("'"&amp;F1144&amp;"'!$C$5")),""),"")</f>
        <v/>
      </c>
      <c r="G1144" s="38" t="str" cm="1">
        <f t="array" aca="1" ref="G1144" ca="1">IF(F1144="",
    "",
    IFERROR(
        IF(INDIRECT("'"&amp;F1144&amp;"'!$B$2")="Credit Limit",
            "Credit Accounts",
            IF(INDIRECT("'"&amp;F1144&amp;"'!$E$2")="Location",
                "Cash Accounts",
                IF(INDIRECT("'"&amp;F1144&amp;"'!$B$2")="Amount",
                    "Investments",
                    "Bill Accounts"
                )
            )
        ),
    "")
)</f>
        <v/>
      </c>
      <c r="I1144" s="46" t="str" cm="1">
        <f t="array" aca="1" ref="I1144" ca="1">IF(F1144&lt;&gt;"",IF(OR(G1144="Bill Accounts",G1144="Investments", G1144="Cash Accounts"),INDIRECT("'"&amp;F1144&amp;"'!$C$10"),INDIRECT("'"&amp;F1144&amp;"'!$C$8")),"")</f>
        <v/>
      </c>
      <c r="K1144" s="48">
        <f t="shared" si="54"/>
        <v>1150</v>
      </c>
      <c r="L1144" s="114" t="str" cm="1">
        <f t="array" aca="1" ref="L1144" ca="1">IF(F1144&lt;&gt;"",INDIRECT("'"&amp;F1144&amp;"'!$F$17"),"")</f>
        <v/>
      </c>
      <c r="M1144" s="116" t="str">
        <f t="shared" ca="1" si="52"/>
        <v/>
      </c>
      <c r="O1144" s="49" t="str">
        <f t="shared" ca="1" si="53"/>
        <v/>
      </c>
      <c r="P1144" s="38" t="str">
        <f>IF(E1144&lt;&gt;"",RANK(E1144,$E$3:$E$2298)+COUNTIF($E$3:E1144,E1144)-1,"")</f>
        <v/>
      </c>
    </row>
    <row r="1145" spans="4:16" x14ac:dyDescent="0.25">
      <c r="D1145" s="36" t="str" cm="1">
        <f t="array" aca="1" ref="D1145" ca="1">IFERROR(IF(INDIRECT("'"&amp;F1145&amp;"'!$C$5")&gt;0,DATE(YEAR(Dashboard!$AL$2),Dashboard!$AU$4,INDIRECT("'"&amp;F1145&amp;"'!$C$5")),""),"")</f>
        <v/>
      </c>
      <c r="G1145" s="38" t="str" cm="1">
        <f t="array" aca="1" ref="G1145" ca="1">IF(F1145="",
    "",
    IFERROR(
        IF(INDIRECT("'"&amp;F1145&amp;"'!$B$2")="Credit Limit",
            "Credit Accounts",
            IF(INDIRECT("'"&amp;F1145&amp;"'!$E$2")="Location",
                "Cash Accounts",
                IF(INDIRECT("'"&amp;F1145&amp;"'!$B$2")="Amount",
                    "Investments",
                    "Bill Accounts"
                )
            )
        ),
    "")
)</f>
        <v/>
      </c>
      <c r="I1145" s="46" t="str" cm="1">
        <f t="array" aca="1" ref="I1145" ca="1">IF(F1145&lt;&gt;"",IF(OR(G1145="Bill Accounts",G1145="Investments", G1145="Cash Accounts"),INDIRECT("'"&amp;F1145&amp;"'!$C$10"),INDIRECT("'"&amp;F1145&amp;"'!$C$8")),"")</f>
        <v/>
      </c>
      <c r="K1145" s="48">
        <f t="shared" si="54"/>
        <v>1151</v>
      </c>
      <c r="L1145" s="114" t="str" cm="1">
        <f t="array" aca="1" ref="L1145" ca="1">IF(F1145&lt;&gt;"",INDIRECT("'"&amp;F1145&amp;"'!$F$17"),"")</f>
        <v/>
      </c>
      <c r="M1145" s="116" t="str">
        <f t="shared" ca="1" si="52"/>
        <v/>
      </c>
      <c r="O1145" s="49" t="str">
        <f t="shared" ca="1" si="53"/>
        <v/>
      </c>
      <c r="P1145" s="38" t="str">
        <f>IF(E1145&lt;&gt;"",RANK(E1145,$E$3:$E$2298)+COUNTIF($E$3:E1145,E1145)-1,"")</f>
        <v/>
      </c>
    </row>
    <row r="1146" spans="4:16" x14ac:dyDescent="0.25">
      <c r="D1146" s="36" t="str" cm="1">
        <f t="array" aca="1" ref="D1146" ca="1">IFERROR(IF(INDIRECT("'"&amp;F1146&amp;"'!$C$5")&gt;0,DATE(YEAR(Dashboard!$AL$2),Dashboard!$AU$4,INDIRECT("'"&amp;F1146&amp;"'!$C$5")),""),"")</f>
        <v/>
      </c>
      <c r="G1146" s="38" t="str" cm="1">
        <f t="array" aca="1" ref="G1146" ca="1">IF(F1146="",
    "",
    IFERROR(
        IF(INDIRECT("'"&amp;F1146&amp;"'!$B$2")="Credit Limit",
            "Credit Accounts",
            IF(INDIRECT("'"&amp;F1146&amp;"'!$E$2")="Location",
                "Cash Accounts",
                IF(INDIRECT("'"&amp;F1146&amp;"'!$B$2")="Amount",
                    "Investments",
                    "Bill Accounts"
                )
            )
        ),
    "")
)</f>
        <v/>
      </c>
      <c r="I1146" s="46" t="str" cm="1">
        <f t="array" aca="1" ref="I1146" ca="1">IF(F1146&lt;&gt;"",IF(OR(G1146="Bill Accounts",G1146="Investments", G1146="Cash Accounts"),INDIRECT("'"&amp;F1146&amp;"'!$C$10"),INDIRECT("'"&amp;F1146&amp;"'!$C$8")),"")</f>
        <v/>
      </c>
      <c r="K1146" s="48">
        <f t="shared" si="54"/>
        <v>1152</v>
      </c>
      <c r="L1146" s="114" t="str" cm="1">
        <f t="array" aca="1" ref="L1146" ca="1">IF(F1146&lt;&gt;"",INDIRECT("'"&amp;F1146&amp;"'!$F$17"),"")</f>
        <v/>
      </c>
      <c r="M1146" s="116" t="str">
        <f t="shared" ca="1" si="52"/>
        <v/>
      </c>
      <c r="O1146" s="49" t="str">
        <f t="shared" ca="1" si="53"/>
        <v/>
      </c>
      <c r="P1146" s="38" t="str">
        <f>IF(E1146&lt;&gt;"",RANK(E1146,$E$3:$E$2298)+COUNTIF($E$3:E1146,E1146)-1,"")</f>
        <v/>
      </c>
    </row>
    <row r="1147" spans="4:16" x14ac:dyDescent="0.25">
      <c r="D1147" s="36" t="str" cm="1">
        <f t="array" aca="1" ref="D1147" ca="1">IFERROR(IF(INDIRECT("'"&amp;F1147&amp;"'!$C$5")&gt;0,DATE(YEAR(Dashboard!$AL$2),Dashboard!$AU$4,INDIRECT("'"&amp;F1147&amp;"'!$C$5")),""),"")</f>
        <v/>
      </c>
      <c r="G1147" s="38" t="str" cm="1">
        <f t="array" aca="1" ref="G1147" ca="1">IF(F1147="",
    "",
    IFERROR(
        IF(INDIRECT("'"&amp;F1147&amp;"'!$B$2")="Credit Limit",
            "Credit Accounts",
            IF(INDIRECT("'"&amp;F1147&amp;"'!$E$2")="Location",
                "Cash Accounts",
                IF(INDIRECT("'"&amp;F1147&amp;"'!$B$2")="Amount",
                    "Investments",
                    "Bill Accounts"
                )
            )
        ),
    "")
)</f>
        <v/>
      </c>
      <c r="I1147" s="46" t="str" cm="1">
        <f t="array" aca="1" ref="I1147" ca="1">IF(F1147&lt;&gt;"",IF(OR(G1147="Bill Accounts",G1147="Investments", G1147="Cash Accounts"),INDIRECT("'"&amp;F1147&amp;"'!$C$10"),INDIRECT("'"&amp;F1147&amp;"'!$C$8")),"")</f>
        <v/>
      </c>
      <c r="K1147" s="48">
        <f t="shared" si="54"/>
        <v>1153</v>
      </c>
      <c r="L1147" s="114" t="str" cm="1">
        <f t="array" aca="1" ref="L1147" ca="1">IF(F1147&lt;&gt;"",INDIRECT("'"&amp;F1147&amp;"'!$F$17"),"")</f>
        <v/>
      </c>
      <c r="M1147" s="116" t="str">
        <f t="shared" ca="1" si="52"/>
        <v/>
      </c>
      <c r="O1147" s="49" t="str">
        <f t="shared" ca="1" si="53"/>
        <v/>
      </c>
      <c r="P1147" s="38" t="str">
        <f>IF(E1147&lt;&gt;"",RANK(E1147,$E$3:$E$2298)+COUNTIF($E$3:E1147,E1147)-1,"")</f>
        <v/>
      </c>
    </row>
    <row r="1148" spans="4:16" x14ac:dyDescent="0.25">
      <c r="D1148" s="36" t="str" cm="1">
        <f t="array" aca="1" ref="D1148" ca="1">IFERROR(IF(INDIRECT("'"&amp;F1148&amp;"'!$C$5")&gt;0,DATE(YEAR(Dashboard!$AL$2),Dashboard!$AU$4,INDIRECT("'"&amp;F1148&amp;"'!$C$5")),""),"")</f>
        <v/>
      </c>
      <c r="G1148" s="38" t="str" cm="1">
        <f t="array" aca="1" ref="G1148" ca="1">IF(F1148="",
    "",
    IFERROR(
        IF(INDIRECT("'"&amp;F1148&amp;"'!$B$2")="Credit Limit",
            "Credit Accounts",
            IF(INDIRECT("'"&amp;F1148&amp;"'!$E$2")="Location",
                "Cash Accounts",
                IF(INDIRECT("'"&amp;F1148&amp;"'!$B$2")="Amount",
                    "Investments",
                    "Bill Accounts"
                )
            )
        ),
    "")
)</f>
        <v/>
      </c>
      <c r="I1148" s="46" t="str" cm="1">
        <f t="array" aca="1" ref="I1148" ca="1">IF(F1148&lt;&gt;"",IF(OR(G1148="Bill Accounts",G1148="Investments", G1148="Cash Accounts"),INDIRECT("'"&amp;F1148&amp;"'!$C$10"),INDIRECT("'"&amp;F1148&amp;"'!$C$8")),"")</f>
        <v/>
      </c>
      <c r="K1148" s="48">
        <f t="shared" si="54"/>
        <v>1154</v>
      </c>
      <c r="L1148" s="114" t="str" cm="1">
        <f t="array" aca="1" ref="L1148" ca="1">IF(F1148&lt;&gt;"",INDIRECT("'"&amp;F1148&amp;"'!$F$17"),"")</f>
        <v/>
      </c>
      <c r="M1148" s="116" t="str">
        <f t="shared" ca="1" si="52"/>
        <v/>
      </c>
      <c r="O1148" s="49" t="str">
        <f t="shared" ca="1" si="53"/>
        <v/>
      </c>
      <c r="P1148" s="38" t="str">
        <f>IF(E1148&lt;&gt;"",RANK(E1148,$E$3:$E$2298)+COUNTIF($E$3:E1148,E1148)-1,"")</f>
        <v/>
      </c>
    </row>
    <row r="1149" spans="4:16" x14ac:dyDescent="0.25">
      <c r="D1149" s="36" t="str" cm="1">
        <f t="array" aca="1" ref="D1149" ca="1">IFERROR(IF(INDIRECT("'"&amp;F1149&amp;"'!$C$5")&gt;0,DATE(YEAR(Dashboard!$AL$2),Dashboard!$AU$4,INDIRECT("'"&amp;F1149&amp;"'!$C$5")),""),"")</f>
        <v/>
      </c>
      <c r="G1149" s="38" t="str" cm="1">
        <f t="array" aca="1" ref="G1149" ca="1">IF(F1149="",
    "",
    IFERROR(
        IF(INDIRECT("'"&amp;F1149&amp;"'!$B$2")="Credit Limit",
            "Credit Accounts",
            IF(INDIRECT("'"&amp;F1149&amp;"'!$E$2")="Location",
                "Cash Accounts",
                IF(INDIRECT("'"&amp;F1149&amp;"'!$B$2")="Amount",
                    "Investments",
                    "Bill Accounts"
                )
            )
        ),
    "")
)</f>
        <v/>
      </c>
      <c r="I1149" s="46" t="str" cm="1">
        <f t="array" aca="1" ref="I1149" ca="1">IF(F1149&lt;&gt;"",IF(OR(G1149="Bill Accounts",G1149="Investments", G1149="Cash Accounts"),INDIRECT("'"&amp;F1149&amp;"'!$C$10"),INDIRECT("'"&amp;F1149&amp;"'!$C$8")),"")</f>
        <v/>
      </c>
      <c r="K1149" s="48">
        <f t="shared" si="54"/>
        <v>1155</v>
      </c>
      <c r="L1149" s="114" t="str" cm="1">
        <f t="array" aca="1" ref="L1149" ca="1">IF(F1149&lt;&gt;"",INDIRECT("'"&amp;F1149&amp;"'!$F$17"),"")</f>
        <v/>
      </c>
      <c r="M1149" s="116" t="str">
        <f t="shared" ca="1" si="52"/>
        <v/>
      </c>
      <c r="O1149" s="49" t="str">
        <f t="shared" ca="1" si="53"/>
        <v/>
      </c>
      <c r="P1149" s="38" t="str">
        <f>IF(E1149&lt;&gt;"",RANK(E1149,$E$3:$E$2298)+COUNTIF($E$3:E1149,E1149)-1,"")</f>
        <v/>
      </c>
    </row>
    <row r="1150" spans="4:16" x14ac:dyDescent="0.25">
      <c r="D1150" s="36" t="str" cm="1">
        <f t="array" aca="1" ref="D1150" ca="1">IFERROR(IF(INDIRECT("'"&amp;F1150&amp;"'!$C$5")&gt;0,DATE(YEAR(Dashboard!$AL$2),Dashboard!$AU$4,INDIRECT("'"&amp;F1150&amp;"'!$C$5")),""),"")</f>
        <v/>
      </c>
      <c r="G1150" s="38" t="str" cm="1">
        <f t="array" aca="1" ref="G1150" ca="1">IF(F1150="",
    "",
    IFERROR(
        IF(INDIRECT("'"&amp;F1150&amp;"'!$B$2")="Credit Limit",
            "Credit Accounts",
            IF(INDIRECT("'"&amp;F1150&amp;"'!$E$2")="Location",
                "Cash Accounts",
                IF(INDIRECT("'"&amp;F1150&amp;"'!$B$2")="Amount",
                    "Investments",
                    "Bill Accounts"
                )
            )
        ),
    "")
)</f>
        <v/>
      </c>
      <c r="I1150" s="46" t="str" cm="1">
        <f t="array" aca="1" ref="I1150" ca="1">IF(F1150&lt;&gt;"",IF(OR(G1150="Bill Accounts",G1150="Investments", G1150="Cash Accounts"),INDIRECT("'"&amp;F1150&amp;"'!$C$10"),INDIRECT("'"&amp;F1150&amp;"'!$C$8")),"")</f>
        <v/>
      </c>
      <c r="K1150" s="48">
        <f t="shared" si="54"/>
        <v>1156</v>
      </c>
      <c r="L1150" s="114" t="str" cm="1">
        <f t="array" aca="1" ref="L1150" ca="1">IF(F1150&lt;&gt;"",INDIRECT("'"&amp;F1150&amp;"'!$F$17"),"")</f>
        <v/>
      </c>
      <c r="M1150" s="116" t="str">
        <f t="shared" ca="1" si="52"/>
        <v/>
      </c>
      <c r="O1150" s="49" t="str">
        <f t="shared" ca="1" si="53"/>
        <v/>
      </c>
      <c r="P1150" s="38" t="str">
        <f>IF(E1150&lt;&gt;"",RANK(E1150,$E$3:$E$2298)+COUNTIF($E$3:E1150,E1150)-1,"")</f>
        <v/>
      </c>
    </row>
    <row r="1151" spans="4:16" x14ac:dyDescent="0.25">
      <c r="D1151" s="36" t="str" cm="1">
        <f t="array" aca="1" ref="D1151" ca="1">IFERROR(IF(INDIRECT("'"&amp;F1151&amp;"'!$C$5")&gt;0,DATE(YEAR(Dashboard!$AL$2),Dashboard!$AU$4,INDIRECT("'"&amp;F1151&amp;"'!$C$5")),""),"")</f>
        <v/>
      </c>
      <c r="G1151" s="38" t="str" cm="1">
        <f t="array" aca="1" ref="G1151" ca="1">IF(F1151="",
    "",
    IFERROR(
        IF(INDIRECT("'"&amp;F1151&amp;"'!$B$2")="Credit Limit",
            "Credit Accounts",
            IF(INDIRECT("'"&amp;F1151&amp;"'!$E$2")="Location",
                "Cash Accounts",
                IF(INDIRECT("'"&amp;F1151&amp;"'!$B$2")="Amount",
                    "Investments",
                    "Bill Accounts"
                )
            )
        ),
    "")
)</f>
        <v/>
      </c>
      <c r="I1151" s="46" t="str" cm="1">
        <f t="array" aca="1" ref="I1151" ca="1">IF(F1151&lt;&gt;"",IF(OR(G1151="Bill Accounts",G1151="Investments", G1151="Cash Accounts"),INDIRECT("'"&amp;F1151&amp;"'!$C$10"),INDIRECT("'"&amp;F1151&amp;"'!$C$8")),"")</f>
        <v/>
      </c>
      <c r="K1151" s="48">
        <f t="shared" si="54"/>
        <v>1157</v>
      </c>
      <c r="L1151" s="114" t="str" cm="1">
        <f t="array" aca="1" ref="L1151" ca="1">IF(F1151&lt;&gt;"",INDIRECT("'"&amp;F1151&amp;"'!$F$17"),"")</f>
        <v/>
      </c>
      <c r="M1151" s="116" t="str">
        <f t="shared" ca="1" si="52"/>
        <v/>
      </c>
      <c r="O1151" s="49" t="str">
        <f t="shared" ca="1" si="53"/>
        <v/>
      </c>
      <c r="P1151" s="38" t="str">
        <f>IF(E1151&lt;&gt;"",RANK(E1151,$E$3:$E$2298)+COUNTIF($E$3:E1151,E1151)-1,"")</f>
        <v/>
      </c>
    </row>
    <row r="1152" spans="4:16" x14ac:dyDescent="0.25">
      <c r="D1152" s="36" t="str" cm="1">
        <f t="array" aca="1" ref="D1152" ca="1">IFERROR(IF(INDIRECT("'"&amp;F1152&amp;"'!$C$5")&gt;0,DATE(YEAR(Dashboard!$AL$2),Dashboard!$AU$4,INDIRECT("'"&amp;F1152&amp;"'!$C$5")),""),"")</f>
        <v/>
      </c>
      <c r="G1152" s="38" t="str" cm="1">
        <f t="array" aca="1" ref="G1152" ca="1">IF(F1152="",
    "",
    IFERROR(
        IF(INDIRECT("'"&amp;F1152&amp;"'!$B$2")="Credit Limit",
            "Credit Accounts",
            IF(INDIRECT("'"&amp;F1152&amp;"'!$E$2")="Location",
                "Cash Accounts",
                IF(INDIRECT("'"&amp;F1152&amp;"'!$B$2")="Amount",
                    "Investments",
                    "Bill Accounts"
                )
            )
        ),
    "")
)</f>
        <v/>
      </c>
      <c r="I1152" s="46" t="str" cm="1">
        <f t="array" aca="1" ref="I1152" ca="1">IF(F1152&lt;&gt;"",IF(OR(G1152="Bill Accounts",G1152="Investments", G1152="Cash Accounts"),INDIRECT("'"&amp;F1152&amp;"'!$C$10"),INDIRECT("'"&amp;F1152&amp;"'!$C$8")),"")</f>
        <v/>
      </c>
      <c r="K1152" s="48">
        <f t="shared" si="54"/>
        <v>1158</v>
      </c>
      <c r="L1152" s="114" t="str" cm="1">
        <f t="array" aca="1" ref="L1152" ca="1">IF(F1152&lt;&gt;"",INDIRECT("'"&amp;F1152&amp;"'!$F$17"),"")</f>
        <v/>
      </c>
      <c r="M1152" s="116" t="str">
        <f t="shared" ca="1" si="52"/>
        <v/>
      </c>
      <c r="O1152" s="49" t="str">
        <f t="shared" ca="1" si="53"/>
        <v/>
      </c>
      <c r="P1152" s="38" t="str">
        <f>IF(E1152&lt;&gt;"",RANK(E1152,$E$3:$E$2298)+COUNTIF($E$3:E1152,E1152)-1,"")</f>
        <v/>
      </c>
    </row>
    <row r="1153" spans="4:16" x14ac:dyDescent="0.25">
      <c r="D1153" s="36" t="str" cm="1">
        <f t="array" aca="1" ref="D1153" ca="1">IFERROR(IF(INDIRECT("'"&amp;F1153&amp;"'!$C$5")&gt;0,DATE(YEAR(Dashboard!$AL$2),Dashboard!$AU$4,INDIRECT("'"&amp;F1153&amp;"'!$C$5")),""),"")</f>
        <v/>
      </c>
      <c r="G1153" s="38" t="str" cm="1">
        <f t="array" aca="1" ref="G1153" ca="1">IF(F1153="",
    "",
    IFERROR(
        IF(INDIRECT("'"&amp;F1153&amp;"'!$B$2")="Credit Limit",
            "Credit Accounts",
            IF(INDIRECT("'"&amp;F1153&amp;"'!$E$2")="Location",
                "Cash Accounts",
                IF(INDIRECT("'"&amp;F1153&amp;"'!$B$2")="Amount",
                    "Investments",
                    "Bill Accounts"
                )
            )
        ),
    "")
)</f>
        <v/>
      </c>
      <c r="I1153" s="46" t="str" cm="1">
        <f t="array" aca="1" ref="I1153" ca="1">IF(F1153&lt;&gt;"",IF(OR(G1153="Bill Accounts",G1153="Investments", G1153="Cash Accounts"),INDIRECT("'"&amp;F1153&amp;"'!$C$10"),INDIRECT("'"&amp;F1153&amp;"'!$C$8")),"")</f>
        <v/>
      </c>
      <c r="K1153" s="48">
        <f t="shared" si="54"/>
        <v>1159</v>
      </c>
      <c r="L1153" s="114" t="str" cm="1">
        <f t="array" aca="1" ref="L1153" ca="1">IF(F1153&lt;&gt;"",INDIRECT("'"&amp;F1153&amp;"'!$F$17"),"")</f>
        <v/>
      </c>
      <c r="M1153" s="116" t="str">
        <f t="shared" ca="1" si="52"/>
        <v/>
      </c>
      <c r="O1153" s="49" t="str">
        <f t="shared" ca="1" si="53"/>
        <v/>
      </c>
      <c r="P1153" s="38" t="str">
        <f>IF(E1153&lt;&gt;"",RANK(E1153,$E$3:$E$2298)+COUNTIF($E$3:E1153,E1153)-1,"")</f>
        <v/>
      </c>
    </row>
    <row r="1154" spans="4:16" x14ac:dyDescent="0.25">
      <c r="D1154" s="36" t="str" cm="1">
        <f t="array" aca="1" ref="D1154" ca="1">IFERROR(IF(INDIRECT("'"&amp;F1154&amp;"'!$C$5")&gt;0,DATE(YEAR(Dashboard!$AL$2),Dashboard!$AU$4,INDIRECT("'"&amp;F1154&amp;"'!$C$5")),""),"")</f>
        <v/>
      </c>
      <c r="G1154" s="38" t="str" cm="1">
        <f t="array" aca="1" ref="G1154" ca="1">IF(F1154="",
    "",
    IFERROR(
        IF(INDIRECT("'"&amp;F1154&amp;"'!$B$2")="Credit Limit",
            "Credit Accounts",
            IF(INDIRECT("'"&amp;F1154&amp;"'!$E$2")="Location",
                "Cash Accounts",
                IF(INDIRECT("'"&amp;F1154&amp;"'!$B$2")="Amount",
                    "Investments",
                    "Bill Accounts"
                )
            )
        ),
    "")
)</f>
        <v/>
      </c>
      <c r="I1154" s="46" t="str" cm="1">
        <f t="array" aca="1" ref="I1154" ca="1">IF(F1154&lt;&gt;"",IF(OR(G1154="Bill Accounts",G1154="Investments", G1154="Cash Accounts"),INDIRECT("'"&amp;F1154&amp;"'!$C$10"),INDIRECT("'"&amp;F1154&amp;"'!$C$8")),"")</f>
        <v/>
      </c>
      <c r="K1154" s="48">
        <f t="shared" si="54"/>
        <v>1160</v>
      </c>
      <c r="L1154" s="114" t="str" cm="1">
        <f t="array" aca="1" ref="L1154" ca="1">IF(F1154&lt;&gt;"",INDIRECT("'"&amp;F1154&amp;"'!$F$17"),"")</f>
        <v/>
      </c>
      <c r="M1154" s="116" t="str">
        <f t="shared" ca="1" si="52"/>
        <v/>
      </c>
      <c r="O1154" s="49" t="str">
        <f t="shared" ca="1" si="53"/>
        <v/>
      </c>
      <c r="P1154" s="38" t="str">
        <f>IF(E1154&lt;&gt;"",RANK(E1154,$E$3:$E$2298)+COUNTIF($E$3:E1154,E1154)-1,"")</f>
        <v/>
      </c>
    </row>
    <row r="1155" spans="4:16" x14ac:dyDescent="0.25">
      <c r="D1155" s="36" t="str" cm="1">
        <f t="array" aca="1" ref="D1155" ca="1">IFERROR(IF(INDIRECT("'"&amp;F1155&amp;"'!$C$5")&gt;0,DATE(YEAR(Dashboard!$AL$2),Dashboard!$AU$4,INDIRECT("'"&amp;F1155&amp;"'!$C$5")),""),"")</f>
        <v/>
      </c>
      <c r="G1155" s="38" t="str" cm="1">
        <f t="array" aca="1" ref="G1155" ca="1">IF(F1155="",
    "",
    IFERROR(
        IF(INDIRECT("'"&amp;F1155&amp;"'!$B$2")="Credit Limit",
            "Credit Accounts",
            IF(INDIRECT("'"&amp;F1155&amp;"'!$E$2")="Location",
                "Cash Accounts",
                IF(INDIRECT("'"&amp;F1155&amp;"'!$B$2")="Amount",
                    "Investments",
                    "Bill Accounts"
                )
            )
        ),
    "")
)</f>
        <v/>
      </c>
      <c r="I1155" s="46" t="str" cm="1">
        <f t="array" aca="1" ref="I1155" ca="1">IF(F1155&lt;&gt;"",IF(OR(G1155="Bill Accounts",G1155="Investments", G1155="Cash Accounts"),INDIRECT("'"&amp;F1155&amp;"'!$C$10"),INDIRECT("'"&amp;F1155&amp;"'!$C$8")),"")</f>
        <v/>
      </c>
      <c r="K1155" s="48">
        <f t="shared" si="54"/>
        <v>1161</v>
      </c>
      <c r="L1155" s="114" t="str" cm="1">
        <f t="array" aca="1" ref="L1155" ca="1">IF(F1155&lt;&gt;"",INDIRECT("'"&amp;F1155&amp;"'!$F$17"),"")</f>
        <v/>
      </c>
      <c r="M1155" s="116" t="str">
        <f t="shared" ca="1" si="52"/>
        <v/>
      </c>
      <c r="O1155" s="49" t="str">
        <f t="shared" ca="1" si="53"/>
        <v/>
      </c>
      <c r="P1155" s="38" t="str">
        <f>IF(E1155&lt;&gt;"",RANK(E1155,$E$3:$E$2298)+COUNTIF($E$3:E1155,E1155)-1,"")</f>
        <v/>
      </c>
    </row>
    <row r="1156" spans="4:16" x14ac:dyDescent="0.25">
      <c r="D1156" s="36" t="str" cm="1">
        <f t="array" aca="1" ref="D1156" ca="1">IFERROR(IF(INDIRECT("'"&amp;F1156&amp;"'!$C$5")&gt;0,DATE(YEAR(Dashboard!$AL$2),Dashboard!$AU$4,INDIRECT("'"&amp;F1156&amp;"'!$C$5")),""),"")</f>
        <v/>
      </c>
      <c r="G1156" s="38" t="str" cm="1">
        <f t="array" aca="1" ref="G1156" ca="1">IF(F1156="",
    "",
    IFERROR(
        IF(INDIRECT("'"&amp;F1156&amp;"'!$B$2")="Credit Limit",
            "Credit Accounts",
            IF(INDIRECT("'"&amp;F1156&amp;"'!$E$2")="Location",
                "Cash Accounts",
                IF(INDIRECT("'"&amp;F1156&amp;"'!$B$2")="Amount",
                    "Investments",
                    "Bill Accounts"
                )
            )
        ),
    "")
)</f>
        <v/>
      </c>
      <c r="I1156" s="46" t="str" cm="1">
        <f t="array" aca="1" ref="I1156" ca="1">IF(F1156&lt;&gt;"",IF(OR(G1156="Bill Accounts",G1156="Investments", G1156="Cash Accounts"),INDIRECT("'"&amp;F1156&amp;"'!$C$10"),INDIRECT("'"&amp;F1156&amp;"'!$C$8")),"")</f>
        <v/>
      </c>
      <c r="K1156" s="48">
        <f t="shared" si="54"/>
        <v>1162</v>
      </c>
      <c r="L1156" s="114" t="str" cm="1">
        <f t="array" aca="1" ref="L1156" ca="1">IF(F1156&lt;&gt;"",INDIRECT("'"&amp;F1156&amp;"'!$F$17"),"")</f>
        <v/>
      </c>
      <c r="M1156" s="116" t="str">
        <f t="shared" ref="M1156:M1219" ca="1" si="55">IF(G1156="Credit Accounts",EDATE(TODAY(),INDIRECT("'"&amp;F1156&amp;"'!$C$14")),"")</f>
        <v/>
      </c>
      <c r="O1156" s="49" t="str">
        <f t="shared" ref="O1156:O1219" ca="1" si="56">IF(D1156&lt;&gt;"",DAY(D1156),"")</f>
        <v/>
      </c>
      <c r="P1156" s="38" t="str">
        <f>IF(E1156&lt;&gt;"",RANK(E1156,$E$3:$E$2298)+COUNTIF($E$3:E1156,E1156)-1,"")</f>
        <v/>
      </c>
    </row>
    <row r="1157" spans="4:16" x14ac:dyDescent="0.25">
      <c r="D1157" s="36" t="str" cm="1">
        <f t="array" aca="1" ref="D1157" ca="1">IFERROR(IF(INDIRECT("'"&amp;F1157&amp;"'!$C$5")&gt;0,DATE(YEAR(Dashboard!$AL$2),Dashboard!$AU$4,INDIRECT("'"&amp;F1157&amp;"'!$C$5")),""),"")</f>
        <v/>
      </c>
      <c r="G1157" s="38" t="str" cm="1">
        <f t="array" aca="1" ref="G1157" ca="1">IF(F1157="",
    "",
    IFERROR(
        IF(INDIRECT("'"&amp;F1157&amp;"'!$B$2")="Credit Limit",
            "Credit Accounts",
            IF(INDIRECT("'"&amp;F1157&amp;"'!$E$2")="Location",
                "Cash Accounts",
                IF(INDIRECT("'"&amp;F1157&amp;"'!$B$2")="Amount",
                    "Investments",
                    "Bill Accounts"
                )
            )
        ),
    "")
)</f>
        <v/>
      </c>
      <c r="I1157" s="46" t="str" cm="1">
        <f t="array" aca="1" ref="I1157" ca="1">IF(F1157&lt;&gt;"",IF(OR(G1157="Bill Accounts",G1157="Investments", G1157="Cash Accounts"),INDIRECT("'"&amp;F1157&amp;"'!$C$10"),INDIRECT("'"&amp;F1157&amp;"'!$C$8")),"")</f>
        <v/>
      </c>
      <c r="K1157" s="48">
        <f t="shared" si="54"/>
        <v>1163</v>
      </c>
      <c r="L1157" s="114" t="str" cm="1">
        <f t="array" aca="1" ref="L1157" ca="1">IF(F1157&lt;&gt;"",INDIRECT("'"&amp;F1157&amp;"'!$F$17"),"")</f>
        <v/>
      </c>
      <c r="M1157" s="116" t="str">
        <f t="shared" ca="1" si="55"/>
        <v/>
      </c>
      <c r="O1157" s="49" t="str">
        <f t="shared" ca="1" si="56"/>
        <v/>
      </c>
      <c r="P1157" s="38" t="str">
        <f>IF(E1157&lt;&gt;"",RANK(E1157,$E$3:$E$2298)+COUNTIF($E$3:E1157,E1157)-1,"")</f>
        <v/>
      </c>
    </row>
    <row r="1158" spans="4:16" x14ac:dyDescent="0.25">
      <c r="D1158" s="36" t="str" cm="1">
        <f t="array" aca="1" ref="D1158" ca="1">IFERROR(IF(INDIRECT("'"&amp;F1158&amp;"'!$C$5")&gt;0,DATE(YEAR(Dashboard!$AL$2),Dashboard!$AU$4,INDIRECT("'"&amp;F1158&amp;"'!$C$5")),""),"")</f>
        <v/>
      </c>
      <c r="G1158" s="38" t="str" cm="1">
        <f t="array" aca="1" ref="G1158" ca="1">IF(F1158="",
    "",
    IFERROR(
        IF(INDIRECT("'"&amp;F1158&amp;"'!$B$2")="Credit Limit",
            "Credit Accounts",
            IF(INDIRECT("'"&amp;F1158&amp;"'!$E$2")="Location",
                "Cash Accounts",
                IF(INDIRECT("'"&amp;F1158&amp;"'!$B$2")="Amount",
                    "Investments",
                    "Bill Accounts"
                )
            )
        ),
    "")
)</f>
        <v/>
      </c>
      <c r="I1158" s="46" t="str" cm="1">
        <f t="array" aca="1" ref="I1158" ca="1">IF(F1158&lt;&gt;"",IF(OR(G1158="Bill Accounts",G1158="Investments", G1158="Cash Accounts"),INDIRECT("'"&amp;F1158&amp;"'!$C$10"),INDIRECT("'"&amp;F1158&amp;"'!$C$8")),"")</f>
        <v/>
      </c>
      <c r="K1158" s="48">
        <f t="shared" si="54"/>
        <v>1164</v>
      </c>
      <c r="L1158" s="114" t="str" cm="1">
        <f t="array" aca="1" ref="L1158" ca="1">IF(F1158&lt;&gt;"",INDIRECT("'"&amp;F1158&amp;"'!$F$17"),"")</f>
        <v/>
      </c>
      <c r="M1158" s="116" t="str">
        <f t="shared" ca="1" si="55"/>
        <v/>
      </c>
      <c r="O1158" s="49" t="str">
        <f t="shared" ca="1" si="56"/>
        <v/>
      </c>
      <c r="P1158" s="38" t="str">
        <f>IF(E1158&lt;&gt;"",RANK(E1158,$E$3:$E$2298)+COUNTIF($E$3:E1158,E1158)-1,"")</f>
        <v/>
      </c>
    </row>
    <row r="1159" spans="4:16" x14ac:dyDescent="0.25">
      <c r="D1159" s="36" t="str" cm="1">
        <f t="array" aca="1" ref="D1159" ca="1">IFERROR(IF(INDIRECT("'"&amp;F1159&amp;"'!$C$5")&gt;0,DATE(YEAR(Dashboard!$AL$2),Dashboard!$AU$4,INDIRECT("'"&amp;F1159&amp;"'!$C$5")),""),"")</f>
        <v/>
      </c>
      <c r="G1159" s="38" t="str" cm="1">
        <f t="array" aca="1" ref="G1159" ca="1">IF(F1159="",
    "",
    IFERROR(
        IF(INDIRECT("'"&amp;F1159&amp;"'!$B$2")="Credit Limit",
            "Credit Accounts",
            IF(INDIRECT("'"&amp;F1159&amp;"'!$E$2")="Location",
                "Cash Accounts",
                IF(INDIRECT("'"&amp;F1159&amp;"'!$B$2")="Amount",
                    "Investments",
                    "Bill Accounts"
                )
            )
        ),
    "")
)</f>
        <v/>
      </c>
      <c r="I1159" s="46" t="str" cm="1">
        <f t="array" aca="1" ref="I1159" ca="1">IF(F1159&lt;&gt;"",IF(OR(G1159="Bill Accounts",G1159="Investments", G1159="Cash Accounts"),INDIRECT("'"&amp;F1159&amp;"'!$C$10"),INDIRECT("'"&amp;F1159&amp;"'!$C$8")),"")</f>
        <v/>
      </c>
      <c r="K1159" s="48">
        <f t="shared" si="54"/>
        <v>1165</v>
      </c>
      <c r="L1159" s="114" t="str" cm="1">
        <f t="array" aca="1" ref="L1159" ca="1">IF(F1159&lt;&gt;"",INDIRECT("'"&amp;F1159&amp;"'!$F$17"),"")</f>
        <v/>
      </c>
      <c r="M1159" s="116" t="str">
        <f t="shared" ca="1" si="55"/>
        <v/>
      </c>
      <c r="O1159" s="49" t="str">
        <f t="shared" ca="1" si="56"/>
        <v/>
      </c>
      <c r="P1159" s="38" t="str">
        <f>IF(E1159&lt;&gt;"",RANK(E1159,$E$3:$E$2298)+COUNTIF($E$3:E1159,E1159)-1,"")</f>
        <v/>
      </c>
    </row>
    <row r="1160" spans="4:16" x14ac:dyDescent="0.25">
      <c r="D1160" s="36" t="str" cm="1">
        <f t="array" aca="1" ref="D1160" ca="1">IFERROR(IF(INDIRECT("'"&amp;F1160&amp;"'!$C$5")&gt;0,DATE(YEAR(Dashboard!$AL$2),Dashboard!$AU$4,INDIRECT("'"&amp;F1160&amp;"'!$C$5")),""),"")</f>
        <v/>
      </c>
      <c r="G1160" s="38" t="str" cm="1">
        <f t="array" aca="1" ref="G1160" ca="1">IF(F1160="",
    "",
    IFERROR(
        IF(INDIRECT("'"&amp;F1160&amp;"'!$B$2")="Credit Limit",
            "Credit Accounts",
            IF(INDIRECT("'"&amp;F1160&amp;"'!$E$2")="Location",
                "Cash Accounts",
                IF(INDIRECT("'"&amp;F1160&amp;"'!$B$2")="Amount",
                    "Investments",
                    "Bill Accounts"
                )
            )
        ),
    "")
)</f>
        <v/>
      </c>
      <c r="I1160" s="46" t="str" cm="1">
        <f t="array" aca="1" ref="I1160" ca="1">IF(F1160&lt;&gt;"",IF(OR(G1160="Bill Accounts",G1160="Investments", G1160="Cash Accounts"),INDIRECT("'"&amp;F1160&amp;"'!$C$10"),INDIRECT("'"&amp;F1160&amp;"'!$C$8")),"")</f>
        <v/>
      </c>
      <c r="K1160" s="48">
        <f t="shared" ref="K1160:K1223" si="57">SUM(K1159+1)</f>
        <v>1166</v>
      </c>
      <c r="L1160" s="114" t="str" cm="1">
        <f t="array" aca="1" ref="L1160" ca="1">IF(F1160&lt;&gt;"",INDIRECT("'"&amp;F1160&amp;"'!$F$17"),"")</f>
        <v/>
      </c>
      <c r="M1160" s="116" t="str">
        <f t="shared" ca="1" si="55"/>
        <v/>
      </c>
      <c r="O1160" s="49" t="str">
        <f t="shared" ca="1" si="56"/>
        <v/>
      </c>
      <c r="P1160" s="38" t="str">
        <f>IF(E1160&lt;&gt;"",RANK(E1160,$E$3:$E$2298)+COUNTIF($E$3:E1160,E1160)-1,"")</f>
        <v/>
      </c>
    </row>
    <row r="1161" spans="4:16" x14ac:dyDescent="0.25">
      <c r="D1161" s="36" t="str" cm="1">
        <f t="array" aca="1" ref="D1161" ca="1">IFERROR(IF(INDIRECT("'"&amp;F1161&amp;"'!$C$5")&gt;0,DATE(YEAR(Dashboard!$AL$2),Dashboard!$AU$4,INDIRECT("'"&amp;F1161&amp;"'!$C$5")),""),"")</f>
        <v/>
      </c>
      <c r="G1161" s="38" t="str" cm="1">
        <f t="array" aca="1" ref="G1161" ca="1">IF(F1161="",
    "",
    IFERROR(
        IF(INDIRECT("'"&amp;F1161&amp;"'!$B$2")="Credit Limit",
            "Credit Accounts",
            IF(INDIRECT("'"&amp;F1161&amp;"'!$E$2")="Location",
                "Cash Accounts",
                IF(INDIRECT("'"&amp;F1161&amp;"'!$B$2")="Amount",
                    "Investments",
                    "Bill Accounts"
                )
            )
        ),
    "")
)</f>
        <v/>
      </c>
      <c r="I1161" s="46" t="str" cm="1">
        <f t="array" aca="1" ref="I1161" ca="1">IF(F1161&lt;&gt;"",IF(OR(G1161="Bill Accounts",G1161="Investments", G1161="Cash Accounts"),INDIRECT("'"&amp;F1161&amp;"'!$C$10"),INDIRECT("'"&amp;F1161&amp;"'!$C$8")),"")</f>
        <v/>
      </c>
      <c r="K1161" s="48">
        <f t="shared" si="57"/>
        <v>1167</v>
      </c>
      <c r="L1161" s="114" t="str" cm="1">
        <f t="array" aca="1" ref="L1161" ca="1">IF(F1161&lt;&gt;"",INDIRECT("'"&amp;F1161&amp;"'!$F$17"),"")</f>
        <v/>
      </c>
      <c r="M1161" s="116" t="str">
        <f t="shared" ca="1" si="55"/>
        <v/>
      </c>
      <c r="O1161" s="49" t="str">
        <f t="shared" ca="1" si="56"/>
        <v/>
      </c>
      <c r="P1161" s="38" t="str">
        <f>IF(E1161&lt;&gt;"",RANK(E1161,$E$3:$E$2298)+COUNTIF($E$3:E1161,E1161)-1,"")</f>
        <v/>
      </c>
    </row>
    <row r="1162" spans="4:16" x14ac:dyDescent="0.25">
      <c r="D1162" s="36" t="str" cm="1">
        <f t="array" aca="1" ref="D1162" ca="1">IFERROR(IF(INDIRECT("'"&amp;F1162&amp;"'!$C$5")&gt;0,DATE(YEAR(Dashboard!$AL$2),Dashboard!$AU$4,INDIRECT("'"&amp;F1162&amp;"'!$C$5")),""),"")</f>
        <v/>
      </c>
      <c r="G1162" s="38" t="str" cm="1">
        <f t="array" aca="1" ref="G1162" ca="1">IF(F1162="",
    "",
    IFERROR(
        IF(INDIRECT("'"&amp;F1162&amp;"'!$B$2")="Credit Limit",
            "Credit Accounts",
            IF(INDIRECT("'"&amp;F1162&amp;"'!$E$2")="Location",
                "Cash Accounts",
                IF(INDIRECT("'"&amp;F1162&amp;"'!$B$2")="Amount",
                    "Investments",
                    "Bill Accounts"
                )
            )
        ),
    "")
)</f>
        <v/>
      </c>
      <c r="I1162" s="46" t="str" cm="1">
        <f t="array" aca="1" ref="I1162" ca="1">IF(F1162&lt;&gt;"",IF(OR(G1162="Bill Accounts",G1162="Investments", G1162="Cash Accounts"),INDIRECT("'"&amp;F1162&amp;"'!$C$10"),INDIRECT("'"&amp;F1162&amp;"'!$C$8")),"")</f>
        <v/>
      </c>
      <c r="K1162" s="48">
        <f t="shared" si="57"/>
        <v>1168</v>
      </c>
      <c r="L1162" s="114" t="str" cm="1">
        <f t="array" aca="1" ref="L1162" ca="1">IF(F1162&lt;&gt;"",INDIRECT("'"&amp;F1162&amp;"'!$F$17"),"")</f>
        <v/>
      </c>
      <c r="M1162" s="116" t="str">
        <f t="shared" ca="1" si="55"/>
        <v/>
      </c>
      <c r="O1162" s="49" t="str">
        <f t="shared" ca="1" si="56"/>
        <v/>
      </c>
      <c r="P1162" s="38" t="str">
        <f>IF(E1162&lt;&gt;"",RANK(E1162,$E$3:$E$2298)+COUNTIF($E$3:E1162,E1162)-1,"")</f>
        <v/>
      </c>
    </row>
    <row r="1163" spans="4:16" x14ac:dyDescent="0.25">
      <c r="D1163" s="36" t="str" cm="1">
        <f t="array" aca="1" ref="D1163" ca="1">IFERROR(IF(INDIRECT("'"&amp;F1163&amp;"'!$C$5")&gt;0,DATE(YEAR(Dashboard!$AL$2),Dashboard!$AU$4,INDIRECT("'"&amp;F1163&amp;"'!$C$5")),""),"")</f>
        <v/>
      </c>
      <c r="G1163" s="38" t="str" cm="1">
        <f t="array" aca="1" ref="G1163" ca="1">IF(F1163="",
    "",
    IFERROR(
        IF(INDIRECT("'"&amp;F1163&amp;"'!$B$2")="Credit Limit",
            "Credit Accounts",
            IF(INDIRECT("'"&amp;F1163&amp;"'!$E$2")="Location",
                "Cash Accounts",
                IF(INDIRECT("'"&amp;F1163&amp;"'!$B$2")="Amount",
                    "Investments",
                    "Bill Accounts"
                )
            )
        ),
    "")
)</f>
        <v/>
      </c>
      <c r="I1163" s="46" t="str" cm="1">
        <f t="array" aca="1" ref="I1163" ca="1">IF(F1163&lt;&gt;"",IF(OR(G1163="Bill Accounts",G1163="Investments", G1163="Cash Accounts"),INDIRECT("'"&amp;F1163&amp;"'!$C$10"),INDIRECT("'"&amp;F1163&amp;"'!$C$8")),"")</f>
        <v/>
      </c>
      <c r="K1163" s="48">
        <f t="shared" si="57"/>
        <v>1169</v>
      </c>
      <c r="L1163" s="114" t="str" cm="1">
        <f t="array" aca="1" ref="L1163" ca="1">IF(F1163&lt;&gt;"",INDIRECT("'"&amp;F1163&amp;"'!$F$17"),"")</f>
        <v/>
      </c>
      <c r="M1163" s="116" t="str">
        <f t="shared" ca="1" si="55"/>
        <v/>
      </c>
      <c r="O1163" s="49" t="str">
        <f t="shared" ca="1" si="56"/>
        <v/>
      </c>
      <c r="P1163" s="38" t="str">
        <f>IF(E1163&lt;&gt;"",RANK(E1163,$E$3:$E$2298)+COUNTIF($E$3:E1163,E1163)-1,"")</f>
        <v/>
      </c>
    </row>
    <row r="1164" spans="4:16" x14ac:dyDescent="0.25">
      <c r="D1164" s="36" t="str" cm="1">
        <f t="array" aca="1" ref="D1164" ca="1">IFERROR(IF(INDIRECT("'"&amp;F1164&amp;"'!$C$5")&gt;0,DATE(YEAR(Dashboard!$AL$2),Dashboard!$AU$4,INDIRECT("'"&amp;F1164&amp;"'!$C$5")),""),"")</f>
        <v/>
      </c>
      <c r="G1164" s="38" t="str" cm="1">
        <f t="array" aca="1" ref="G1164" ca="1">IF(F1164="",
    "",
    IFERROR(
        IF(INDIRECT("'"&amp;F1164&amp;"'!$B$2")="Credit Limit",
            "Credit Accounts",
            IF(INDIRECT("'"&amp;F1164&amp;"'!$E$2")="Location",
                "Cash Accounts",
                IF(INDIRECT("'"&amp;F1164&amp;"'!$B$2")="Amount",
                    "Investments",
                    "Bill Accounts"
                )
            )
        ),
    "")
)</f>
        <v/>
      </c>
      <c r="I1164" s="46" t="str" cm="1">
        <f t="array" aca="1" ref="I1164" ca="1">IF(F1164&lt;&gt;"",IF(OR(G1164="Bill Accounts",G1164="Investments", G1164="Cash Accounts"),INDIRECT("'"&amp;F1164&amp;"'!$C$10"),INDIRECT("'"&amp;F1164&amp;"'!$C$8")),"")</f>
        <v/>
      </c>
      <c r="K1164" s="48">
        <f t="shared" si="57"/>
        <v>1170</v>
      </c>
      <c r="L1164" s="114" t="str" cm="1">
        <f t="array" aca="1" ref="L1164" ca="1">IF(F1164&lt;&gt;"",INDIRECT("'"&amp;F1164&amp;"'!$F$17"),"")</f>
        <v/>
      </c>
      <c r="M1164" s="116" t="str">
        <f t="shared" ca="1" si="55"/>
        <v/>
      </c>
      <c r="O1164" s="49" t="str">
        <f t="shared" ca="1" si="56"/>
        <v/>
      </c>
      <c r="P1164" s="38" t="str">
        <f>IF(E1164&lt;&gt;"",RANK(E1164,$E$3:$E$2298)+COUNTIF($E$3:E1164,E1164)-1,"")</f>
        <v/>
      </c>
    </row>
    <row r="1165" spans="4:16" x14ac:dyDescent="0.25">
      <c r="D1165" s="36" t="str" cm="1">
        <f t="array" aca="1" ref="D1165" ca="1">IFERROR(IF(INDIRECT("'"&amp;F1165&amp;"'!$C$5")&gt;0,DATE(YEAR(Dashboard!$AL$2),Dashboard!$AU$4,INDIRECT("'"&amp;F1165&amp;"'!$C$5")),""),"")</f>
        <v/>
      </c>
      <c r="G1165" s="38" t="str" cm="1">
        <f t="array" aca="1" ref="G1165" ca="1">IF(F1165="",
    "",
    IFERROR(
        IF(INDIRECT("'"&amp;F1165&amp;"'!$B$2")="Credit Limit",
            "Credit Accounts",
            IF(INDIRECT("'"&amp;F1165&amp;"'!$E$2")="Location",
                "Cash Accounts",
                IF(INDIRECT("'"&amp;F1165&amp;"'!$B$2")="Amount",
                    "Investments",
                    "Bill Accounts"
                )
            )
        ),
    "")
)</f>
        <v/>
      </c>
      <c r="I1165" s="46" t="str" cm="1">
        <f t="array" aca="1" ref="I1165" ca="1">IF(F1165&lt;&gt;"",IF(OR(G1165="Bill Accounts",G1165="Investments", G1165="Cash Accounts"),INDIRECT("'"&amp;F1165&amp;"'!$C$10"),INDIRECT("'"&amp;F1165&amp;"'!$C$8")),"")</f>
        <v/>
      </c>
      <c r="K1165" s="48">
        <f t="shared" si="57"/>
        <v>1171</v>
      </c>
      <c r="L1165" s="114" t="str" cm="1">
        <f t="array" aca="1" ref="L1165" ca="1">IF(F1165&lt;&gt;"",INDIRECT("'"&amp;F1165&amp;"'!$F$17"),"")</f>
        <v/>
      </c>
      <c r="M1165" s="116" t="str">
        <f t="shared" ca="1" si="55"/>
        <v/>
      </c>
      <c r="O1165" s="49" t="str">
        <f t="shared" ca="1" si="56"/>
        <v/>
      </c>
      <c r="P1165" s="38" t="str">
        <f>IF(E1165&lt;&gt;"",RANK(E1165,$E$3:$E$2298)+COUNTIF($E$3:E1165,E1165)-1,"")</f>
        <v/>
      </c>
    </row>
    <row r="1166" spans="4:16" x14ac:dyDescent="0.25">
      <c r="D1166" s="36" t="str" cm="1">
        <f t="array" aca="1" ref="D1166" ca="1">IFERROR(IF(INDIRECT("'"&amp;F1166&amp;"'!$C$5")&gt;0,DATE(YEAR(Dashboard!$AL$2),Dashboard!$AU$4,INDIRECT("'"&amp;F1166&amp;"'!$C$5")),""),"")</f>
        <v/>
      </c>
      <c r="G1166" s="38" t="str" cm="1">
        <f t="array" aca="1" ref="G1166" ca="1">IF(F1166="",
    "",
    IFERROR(
        IF(INDIRECT("'"&amp;F1166&amp;"'!$B$2")="Credit Limit",
            "Credit Accounts",
            IF(INDIRECT("'"&amp;F1166&amp;"'!$E$2")="Location",
                "Cash Accounts",
                IF(INDIRECT("'"&amp;F1166&amp;"'!$B$2")="Amount",
                    "Investments",
                    "Bill Accounts"
                )
            )
        ),
    "")
)</f>
        <v/>
      </c>
      <c r="I1166" s="46" t="str" cm="1">
        <f t="array" aca="1" ref="I1166" ca="1">IF(F1166&lt;&gt;"",IF(OR(G1166="Bill Accounts",G1166="Investments", G1166="Cash Accounts"),INDIRECT("'"&amp;F1166&amp;"'!$C$10"),INDIRECT("'"&amp;F1166&amp;"'!$C$8")),"")</f>
        <v/>
      </c>
      <c r="K1166" s="48">
        <f t="shared" si="57"/>
        <v>1172</v>
      </c>
      <c r="L1166" s="114" t="str" cm="1">
        <f t="array" aca="1" ref="L1166" ca="1">IF(F1166&lt;&gt;"",INDIRECT("'"&amp;F1166&amp;"'!$F$17"),"")</f>
        <v/>
      </c>
      <c r="M1166" s="116" t="str">
        <f t="shared" ca="1" si="55"/>
        <v/>
      </c>
      <c r="O1166" s="49" t="str">
        <f t="shared" ca="1" si="56"/>
        <v/>
      </c>
      <c r="P1166" s="38" t="str">
        <f>IF(E1166&lt;&gt;"",RANK(E1166,$E$3:$E$2298)+COUNTIF($E$3:E1166,E1166)-1,"")</f>
        <v/>
      </c>
    </row>
    <row r="1167" spans="4:16" x14ac:dyDescent="0.25">
      <c r="D1167" s="36" t="str" cm="1">
        <f t="array" aca="1" ref="D1167" ca="1">IFERROR(IF(INDIRECT("'"&amp;F1167&amp;"'!$C$5")&gt;0,DATE(YEAR(Dashboard!$AL$2),Dashboard!$AU$4,INDIRECT("'"&amp;F1167&amp;"'!$C$5")),""),"")</f>
        <v/>
      </c>
      <c r="G1167" s="38" t="str" cm="1">
        <f t="array" aca="1" ref="G1167" ca="1">IF(F1167="",
    "",
    IFERROR(
        IF(INDIRECT("'"&amp;F1167&amp;"'!$B$2")="Credit Limit",
            "Credit Accounts",
            IF(INDIRECT("'"&amp;F1167&amp;"'!$E$2")="Location",
                "Cash Accounts",
                IF(INDIRECT("'"&amp;F1167&amp;"'!$B$2")="Amount",
                    "Investments",
                    "Bill Accounts"
                )
            )
        ),
    "")
)</f>
        <v/>
      </c>
      <c r="I1167" s="46" t="str" cm="1">
        <f t="array" aca="1" ref="I1167" ca="1">IF(F1167&lt;&gt;"",IF(OR(G1167="Bill Accounts",G1167="Investments", G1167="Cash Accounts"),INDIRECT("'"&amp;F1167&amp;"'!$C$10"),INDIRECT("'"&amp;F1167&amp;"'!$C$8")),"")</f>
        <v/>
      </c>
      <c r="K1167" s="48">
        <f t="shared" si="57"/>
        <v>1173</v>
      </c>
      <c r="L1167" s="114" t="str" cm="1">
        <f t="array" aca="1" ref="L1167" ca="1">IF(F1167&lt;&gt;"",INDIRECT("'"&amp;F1167&amp;"'!$F$17"),"")</f>
        <v/>
      </c>
      <c r="M1167" s="116" t="str">
        <f t="shared" ca="1" si="55"/>
        <v/>
      </c>
      <c r="O1167" s="49" t="str">
        <f t="shared" ca="1" si="56"/>
        <v/>
      </c>
      <c r="P1167" s="38" t="str">
        <f>IF(E1167&lt;&gt;"",RANK(E1167,$E$3:$E$2298)+COUNTIF($E$3:E1167,E1167)-1,"")</f>
        <v/>
      </c>
    </row>
    <row r="1168" spans="4:16" x14ac:dyDescent="0.25">
      <c r="D1168" s="36" t="str" cm="1">
        <f t="array" aca="1" ref="D1168" ca="1">IFERROR(IF(INDIRECT("'"&amp;F1168&amp;"'!$C$5")&gt;0,DATE(YEAR(Dashboard!$AL$2),Dashboard!$AU$4,INDIRECT("'"&amp;F1168&amp;"'!$C$5")),""),"")</f>
        <v/>
      </c>
      <c r="G1168" s="38" t="str" cm="1">
        <f t="array" aca="1" ref="G1168" ca="1">IF(F1168="",
    "",
    IFERROR(
        IF(INDIRECT("'"&amp;F1168&amp;"'!$B$2")="Credit Limit",
            "Credit Accounts",
            IF(INDIRECT("'"&amp;F1168&amp;"'!$E$2")="Location",
                "Cash Accounts",
                IF(INDIRECT("'"&amp;F1168&amp;"'!$B$2")="Amount",
                    "Investments",
                    "Bill Accounts"
                )
            )
        ),
    "")
)</f>
        <v/>
      </c>
      <c r="I1168" s="46" t="str" cm="1">
        <f t="array" aca="1" ref="I1168" ca="1">IF(F1168&lt;&gt;"",IF(OR(G1168="Bill Accounts",G1168="Investments", G1168="Cash Accounts"),INDIRECT("'"&amp;F1168&amp;"'!$C$10"),INDIRECT("'"&amp;F1168&amp;"'!$C$8")),"")</f>
        <v/>
      </c>
      <c r="K1168" s="48">
        <f t="shared" si="57"/>
        <v>1174</v>
      </c>
      <c r="L1168" s="114" t="str" cm="1">
        <f t="array" aca="1" ref="L1168" ca="1">IF(F1168&lt;&gt;"",INDIRECT("'"&amp;F1168&amp;"'!$F$17"),"")</f>
        <v/>
      </c>
      <c r="M1168" s="116" t="str">
        <f t="shared" ca="1" si="55"/>
        <v/>
      </c>
      <c r="O1168" s="49" t="str">
        <f t="shared" ca="1" si="56"/>
        <v/>
      </c>
      <c r="P1168" s="38" t="str">
        <f>IF(E1168&lt;&gt;"",RANK(E1168,$E$3:$E$2298)+COUNTIF($E$3:E1168,E1168)-1,"")</f>
        <v/>
      </c>
    </row>
    <row r="1169" spans="4:16" x14ac:dyDescent="0.25">
      <c r="D1169" s="36" t="str" cm="1">
        <f t="array" aca="1" ref="D1169" ca="1">IFERROR(IF(INDIRECT("'"&amp;F1169&amp;"'!$C$5")&gt;0,DATE(YEAR(Dashboard!$AL$2),Dashboard!$AU$4,INDIRECT("'"&amp;F1169&amp;"'!$C$5")),""),"")</f>
        <v/>
      </c>
      <c r="G1169" s="38" t="str" cm="1">
        <f t="array" aca="1" ref="G1169" ca="1">IF(F1169="",
    "",
    IFERROR(
        IF(INDIRECT("'"&amp;F1169&amp;"'!$B$2")="Credit Limit",
            "Credit Accounts",
            IF(INDIRECT("'"&amp;F1169&amp;"'!$E$2")="Location",
                "Cash Accounts",
                IF(INDIRECT("'"&amp;F1169&amp;"'!$B$2")="Amount",
                    "Investments",
                    "Bill Accounts"
                )
            )
        ),
    "")
)</f>
        <v/>
      </c>
      <c r="I1169" s="46" t="str" cm="1">
        <f t="array" aca="1" ref="I1169" ca="1">IF(F1169&lt;&gt;"",IF(OR(G1169="Bill Accounts",G1169="Investments", G1169="Cash Accounts"),INDIRECT("'"&amp;F1169&amp;"'!$C$10"),INDIRECT("'"&amp;F1169&amp;"'!$C$8")),"")</f>
        <v/>
      </c>
      <c r="K1169" s="48">
        <f t="shared" si="57"/>
        <v>1175</v>
      </c>
      <c r="L1169" s="114" t="str" cm="1">
        <f t="array" aca="1" ref="L1169" ca="1">IF(F1169&lt;&gt;"",INDIRECT("'"&amp;F1169&amp;"'!$F$17"),"")</f>
        <v/>
      </c>
      <c r="M1169" s="116" t="str">
        <f t="shared" ca="1" si="55"/>
        <v/>
      </c>
      <c r="O1169" s="49" t="str">
        <f t="shared" ca="1" si="56"/>
        <v/>
      </c>
      <c r="P1169" s="38" t="str">
        <f>IF(E1169&lt;&gt;"",RANK(E1169,$E$3:$E$2298)+COUNTIF($E$3:E1169,E1169)-1,"")</f>
        <v/>
      </c>
    </row>
    <row r="1170" spans="4:16" x14ac:dyDescent="0.25">
      <c r="D1170" s="36" t="str" cm="1">
        <f t="array" aca="1" ref="D1170" ca="1">IFERROR(IF(INDIRECT("'"&amp;F1170&amp;"'!$C$5")&gt;0,DATE(YEAR(Dashboard!$AL$2),Dashboard!$AU$4,INDIRECT("'"&amp;F1170&amp;"'!$C$5")),""),"")</f>
        <v/>
      </c>
      <c r="G1170" s="38" t="str" cm="1">
        <f t="array" aca="1" ref="G1170" ca="1">IF(F1170="",
    "",
    IFERROR(
        IF(INDIRECT("'"&amp;F1170&amp;"'!$B$2")="Credit Limit",
            "Credit Accounts",
            IF(INDIRECT("'"&amp;F1170&amp;"'!$E$2")="Location",
                "Cash Accounts",
                IF(INDIRECT("'"&amp;F1170&amp;"'!$B$2")="Amount",
                    "Investments",
                    "Bill Accounts"
                )
            )
        ),
    "")
)</f>
        <v/>
      </c>
      <c r="I1170" s="46" t="str" cm="1">
        <f t="array" aca="1" ref="I1170" ca="1">IF(F1170&lt;&gt;"",IF(OR(G1170="Bill Accounts",G1170="Investments", G1170="Cash Accounts"),INDIRECT("'"&amp;F1170&amp;"'!$C$10"),INDIRECT("'"&amp;F1170&amp;"'!$C$8")),"")</f>
        <v/>
      </c>
      <c r="K1170" s="48">
        <f t="shared" si="57"/>
        <v>1176</v>
      </c>
      <c r="L1170" s="114" t="str" cm="1">
        <f t="array" aca="1" ref="L1170" ca="1">IF(F1170&lt;&gt;"",INDIRECT("'"&amp;F1170&amp;"'!$F$17"),"")</f>
        <v/>
      </c>
      <c r="M1170" s="116" t="str">
        <f t="shared" ca="1" si="55"/>
        <v/>
      </c>
      <c r="O1170" s="49" t="str">
        <f t="shared" ca="1" si="56"/>
        <v/>
      </c>
      <c r="P1170" s="38" t="str">
        <f>IF(E1170&lt;&gt;"",RANK(E1170,$E$3:$E$2298)+COUNTIF($E$3:E1170,E1170)-1,"")</f>
        <v/>
      </c>
    </row>
    <row r="1171" spans="4:16" x14ac:dyDescent="0.25">
      <c r="D1171" s="36" t="str" cm="1">
        <f t="array" aca="1" ref="D1171" ca="1">IFERROR(IF(INDIRECT("'"&amp;F1171&amp;"'!$C$5")&gt;0,DATE(YEAR(Dashboard!$AL$2),Dashboard!$AU$4,INDIRECT("'"&amp;F1171&amp;"'!$C$5")),""),"")</f>
        <v/>
      </c>
      <c r="G1171" s="38" t="str" cm="1">
        <f t="array" aca="1" ref="G1171" ca="1">IF(F1171="",
    "",
    IFERROR(
        IF(INDIRECT("'"&amp;F1171&amp;"'!$B$2")="Credit Limit",
            "Credit Accounts",
            IF(INDIRECT("'"&amp;F1171&amp;"'!$E$2")="Location",
                "Cash Accounts",
                IF(INDIRECT("'"&amp;F1171&amp;"'!$B$2")="Amount",
                    "Investments",
                    "Bill Accounts"
                )
            )
        ),
    "")
)</f>
        <v/>
      </c>
      <c r="I1171" s="46" t="str" cm="1">
        <f t="array" aca="1" ref="I1171" ca="1">IF(F1171&lt;&gt;"",IF(OR(G1171="Bill Accounts",G1171="Investments", G1171="Cash Accounts"),INDIRECT("'"&amp;F1171&amp;"'!$C$10"),INDIRECT("'"&amp;F1171&amp;"'!$C$8")),"")</f>
        <v/>
      </c>
      <c r="K1171" s="48">
        <f t="shared" si="57"/>
        <v>1177</v>
      </c>
      <c r="L1171" s="114" t="str" cm="1">
        <f t="array" aca="1" ref="L1171" ca="1">IF(F1171&lt;&gt;"",INDIRECT("'"&amp;F1171&amp;"'!$F$17"),"")</f>
        <v/>
      </c>
      <c r="M1171" s="116" t="str">
        <f t="shared" ca="1" si="55"/>
        <v/>
      </c>
      <c r="O1171" s="49" t="str">
        <f t="shared" ca="1" si="56"/>
        <v/>
      </c>
      <c r="P1171" s="38" t="str">
        <f>IF(E1171&lt;&gt;"",RANK(E1171,$E$3:$E$2298)+COUNTIF($E$3:E1171,E1171)-1,"")</f>
        <v/>
      </c>
    </row>
    <row r="1172" spans="4:16" x14ac:dyDescent="0.25">
      <c r="D1172" s="36" t="str" cm="1">
        <f t="array" aca="1" ref="D1172" ca="1">IFERROR(IF(INDIRECT("'"&amp;F1172&amp;"'!$C$5")&gt;0,DATE(YEAR(Dashboard!$AL$2),Dashboard!$AU$4,INDIRECT("'"&amp;F1172&amp;"'!$C$5")),""),"")</f>
        <v/>
      </c>
      <c r="G1172" s="38" t="str" cm="1">
        <f t="array" aca="1" ref="G1172" ca="1">IF(F1172="",
    "",
    IFERROR(
        IF(INDIRECT("'"&amp;F1172&amp;"'!$B$2")="Credit Limit",
            "Credit Accounts",
            IF(INDIRECT("'"&amp;F1172&amp;"'!$E$2")="Location",
                "Cash Accounts",
                IF(INDIRECT("'"&amp;F1172&amp;"'!$B$2")="Amount",
                    "Investments",
                    "Bill Accounts"
                )
            )
        ),
    "")
)</f>
        <v/>
      </c>
      <c r="I1172" s="46" t="str" cm="1">
        <f t="array" aca="1" ref="I1172" ca="1">IF(F1172&lt;&gt;"",IF(OR(G1172="Bill Accounts",G1172="Investments", G1172="Cash Accounts"),INDIRECT("'"&amp;F1172&amp;"'!$C$10"),INDIRECT("'"&amp;F1172&amp;"'!$C$8")),"")</f>
        <v/>
      </c>
      <c r="K1172" s="48">
        <f t="shared" si="57"/>
        <v>1178</v>
      </c>
      <c r="L1172" s="114" t="str" cm="1">
        <f t="array" aca="1" ref="L1172" ca="1">IF(F1172&lt;&gt;"",INDIRECT("'"&amp;F1172&amp;"'!$F$17"),"")</f>
        <v/>
      </c>
      <c r="M1172" s="116" t="str">
        <f t="shared" ca="1" si="55"/>
        <v/>
      </c>
      <c r="O1172" s="49" t="str">
        <f t="shared" ca="1" si="56"/>
        <v/>
      </c>
      <c r="P1172" s="38" t="str">
        <f>IF(E1172&lt;&gt;"",RANK(E1172,$E$3:$E$2298)+COUNTIF($E$3:E1172,E1172)-1,"")</f>
        <v/>
      </c>
    </row>
    <row r="1173" spans="4:16" x14ac:dyDescent="0.25">
      <c r="D1173" s="36" t="str" cm="1">
        <f t="array" aca="1" ref="D1173" ca="1">IFERROR(IF(INDIRECT("'"&amp;F1173&amp;"'!$C$5")&gt;0,DATE(YEAR(Dashboard!$AL$2),Dashboard!$AU$4,INDIRECT("'"&amp;F1173&amp;"'!$C$5")),""),"")</f>
        <v/>
      </c>
      <c r="G1173" s="38" t="str" cm="1">
        <f t="array" aca="1" ref="G1173" ca="1">IF(F1173="",
    "",
    IFERROR(
        IF(INDIRECT("'"&amp;F1173&amp;"'!$B$2")="Credit Limit",
            "Credit Accounts",
            IF(INDIRECT("'"&amp;F1173&amp;"'!$E$2")="Location",
                "Cash Accounts",
                IF(INDIRECT("'"&amp;F1173&amp;"'!$B$2")="Amount",
                    "Investments",
                    "Bill Accounts"
                )
            )
        ),
    "")
)</f>
        <v/>
      </c>
      <c r="I1173" s="46" t="str" cm="1">
        <f t="array" aca="1" ref="I1173" ca="1">IF(F1173&lt;&gt;"",IF(OR(G1173="Bill Accounts",G1173="Investments", G1173="Cash Accounts"),INDIRECT("'"&amp;F1173&amp;"'!$C$10"),INDIRECT("'"&amp;F1173&amp;"'!$C$8")),"")</f>
        <v/>
      </c>
      <c r="K1173" s="48">
        <f t="shared" si="57"/>
        <v>1179</v>
      </c>
      <c r="L1173" s="114" t="str" cm="1">
        <f t="array" aca="1" ref="L1173" ca="1">IF(F1173&lt;&gt;"",INDIRECT("'"&amp;F1173&amp;"'!$F$17"),"")</f>
        <v/>
      </c>
      <c r="M1173" s="116" t="str">
        <f t="shared" ca="1" si="55"/>
        <v/>
      </c>
      <c r="O1173" s="49" t="str">
        <f t="shared" ca="1" si="56"/>
        <v/>
      </c>
      <c r="P1173" s="38" t="str">
        <f>IF(E1173&lt;&gt;"",RANK(E1173,$E$3:$E$2298)+COUNTIF($E$3:E1173,E1173)-1,"")</f>
        <v/>
      </c>
    </row>
    <row r="1174" spans="4:16" x14ac:dyDescent="0.25">
      <c r="D1174" s="36" t="str" cm="1">
        <f t="array" aca="1" ref="D1174" ca="1">IFERROR(IF(INDIRECT("'"&amp;F1174&amp;"'!$C$5")&gt;0,DATE(YEAR(Dashboard!$AL$2),Dashboard!$AU$4,INDIRECT("'"&amp;F1174&amp;"'!$C$5")),""),"")</f>
        <v/>
      </c>
      <c r="G1174" s="38" t="str" cm="1">
        <f t="array" aca="1" ref="G1174" ca="1">IF(F1174="",
    "",
    IFERROR(
        IF(INDIRECT("'"&amp;F1174&amp;"'!$B$2")="Credit Limit",
            "Credit Accounts",
            IF(INDIRECT("'"&amp;F1174&amp;"'!$E$2")="Location",
                "Cash Accounts",
                IF(INDIRECT("'"&amp;F1174&amp;"'!$B$2")="Amount",
                    "Investments",
                    "Bill Accounts"
                )
            )
        ),
    "")
)</f>
        <v/>
      </c>
      <c r="I1174" s="46" t="str" cm="1">
        <f t="array" aca="1" ref="I1174" ca="1">IF(F1174&lt;&gt;"",IF(OR(G1174="Bill Accounts",G1174="Investments", G1174="Cash Accounts"),INDIRECT("'"&amp;F1174&amp;"'!$C$10"),INDIRECT("'"&amp;F1174&amp;"'!$C$8")),"")</f>
        <v/>
      </c>
      <c r="K1174" s="48">
        <f t="shared" si="57"/>
        <v>1180</v>
      </c>
      <c r="L1174" s="114" t="str" cm="1">
        <f t="array" aca="1" ref="L1174" ca="1">IF(F1174&lt;&gt;"",INDIRECT("'"&amp;F1174&amp;"'!$F$17"),"")</f>
        <v/>
      </c>
      <c r="M1174" s="116" t="str">
        <f t="shared" ca="1" si="55"/>
        <v/>
      </c>
      <c r="O1174" s="49" t="str">
        <f t="shared" ca="1" si="56"/>
        <v/>
      </c>
      <c r="P1174" s="38" t="str">
        <f>IF(E1174&lt;&gt;"",RANK(E1174,$E$3:$E$2298)+COUNTIF($E$3:E1174,E1174)-1,"")</f>
        <v/>
      </c>
    </row>
    <row r="1175" spans="4:16" x14ac:dyDescent="0.25">
      <c r="D1175" s="36" t="str" cm="1">
        <f t="array" aca="1" ref="D1175" ca="1">IFERROR(IF(INDIRECT("'"&amp;F1175&amp;"'!$C$5")&gt;0,DATE(YEAR(Dashboard!$AL$2),Dashboard!$AU$4,INDIRECT("'"&amp;F1175&amp;"'!$C$5")),""),"")</f>
        <v/>
      </c>
      <c r="G1175" s="38" t="str" cm="1">
        <f t="array" aca="1" ref="G1175" ca="1">IF(F1175="",
    "",
    IFERROR(
        IF(INDIRECT("'"&amp;F1175&amp;"'!$B$2")="Credit Limit",
            "Credit Accounts",
            IF(INDIRECT("'"&amp;F1175&amp;"'!$E$2")="Location",
                "Cash Accounts",
                IF(INDIRECT("'"&amp;F1175&amp;"'!$B$2")="Amount",
                    "Investments",
                    "Bill Accounts"
                )
            )
        ),
    "")
)</f>
        <v/>
      </c>
      <c r="I1175" s="46" t="str" cm="1">
        <f t="array" aca="1" ref="I1175" ca="1">IF(F1175&lt;&gt;"",IF(OR(G1175="Bill Accounts",G1175="Investments", G1175="Cash Accounts"),INDIRECT("'"&amp;F1175&amp;"'!$C$10"),INDIRECT("'"&amp;F1175&amp;"'!$C$8")),"")</f>
        <v/>
      </c>
      <c r="K1175" s="48">
        <f t="shared" si="57"/>
        <v>1181</v>
      </c>
      <c r="L1175" s="114" t="str" cm="1">
        <f t="array" aca="1" ref="L1175" ca="1">IF(F1175&lt;&gt;"",INDIRECT("'"&amp;F1175&amp;"'!$F$17"),"")</f>
        <v/>
      </c>
      <c r="M1175" s="116" t="str">
        <f t="shared" ca="1" si="55"/>
        <v/>
      </c>
      <c r="O1175" s="49" t="str">
        <f t="shared" ca="1" si="56"/>
        <v/>
      </c>
      <c r="P1175" s="38" t="str">
        <f>IF(E1175&lt;&gt;"",RANK(E1175,$E$3:$E$2298)+COUNTIF($E$3:E1175,E1175)-1,"")</f>
        <v/>
      </c>
    </row>
    <row r="1176" spans="4:16" x14ac:dyDescent="0.25">
      <c r="D1176" s="36" t="str" cm="1">
        <f t="array" aca="1" ref="D1176" ca="1">IFERROR(IF(INDIRECT("'"&amp;F1176&amp;"'!$C$5")&gt;0,DATE(YEAR(Dashboard!$AL$2),Dashboard!$AU$4,INDIRECT("'"&amp;F1176&amp;"'!$C$5")),""),"")</f>
        <v/>
      </c>
      <c r="G1176" s="38" t="str" cm="1">
        <f t="array" aca="1" ref="G1176" ca="1">IF(F1176="",
    "",
    IFERROR(
        IF(INDIRECT("'"&amp;F1176&amp;"'!$B$2")="Credit Limit",
            "Credit Accounts",
            IF(INDIRECT("'"&amp;F1176&amp;"'!$E$2")="Location",
                "Cash Accounts",
                IF(INDIRECT("'"&amp;F1176&amp;"'!$B$2")="Amount",
                    "Investments",
                    "Bill Accounts"
                )
            )
        ),
    "")
)</f>
        <v/>
      </c>
      <c r="I1176" s="46" t="str" cm="1">
        <f t="array" aca="1" ref="I1176" ca="1">IF(F1176&lt;&gt;"",IF(OR(G1176="Bill Accounts",G1176="Investments", G1176="Cash Accounts"),INDIRECT("'"&amp;F1176&amp;"'!$C$10"),INDIRECT("'"&amp;F1176&amp;"'!$C$8")),"")</f>
        <v/>
      </c>
      <c r="K1176" s="48">
        <f t="shared" si="57"/>
        <v>1182</v>
      </c>
      <c r="L1176" s="114" t="str" cm="1">
        <f t="array" aca="1" ref="L1176" ca="1">IF(F1176&lt;&gt;"",INDIRECT("'"&amp;F1176&amp;"'!$F$17"),"")</f>
        <v/>
      </c>
      <c r="M1176" s="116" t="str">
        <f t="shared" ca="1" si="55"/>
        <v/>
      </c>
      <c r="O1176" s="49" t="str">
        <f t="shared" ca="1" si="56"/>
        <v/>
      </c>
      <c r="P1176" s="38" t="str">
        <f>IF(E1176&lt;&gt;"",RANK(E1176,$E$3:$E$2298)+COUNTIF($E$3:E1176,E1176)-1,"")</f>
        <v/>
      </c>
    </row>
    <row r="1177" spans="4:16" x14ac:dyDescent="0.25">
      <c r="D1177" s="36" t="str" cm="1">
        <f t="array" aca="1" ref="D1177" ca="1">IFERROR(IF(INDIRECT("'"&amp;F1177&amp;"'!$C$5")&gt;0,DATE(YEAR(Dashboard!$AL$2),Dashboard!$AU$4,INDIRECT("'"&amp;F1177&amp;"'!$C$5")),""),"")</f>
        <v/>
      </c>
      <c r="G1177" s="38" t="str" cm="1">
        <f t="array" aca="1" ref="G1177" ca="1">IF(F1177="",
    "",
    IFERROR(
        IF(INDIRECT("'"&amp;F1177&amp;"'!$B$2")="Credit Limit",
            "Credit Accounts",
            IF(INDIRECT("'"&amp;F1177&amp;"'!$E$2")="Location",
                "Cash Accounts",
                IF(INDIRECT("'"&amp;F1177&amp;"'!$B$2")="Amount",
                    "Investments",
                    "Bill Accounts"
                )
            )
        ),
    "")
)</f>
        <v/>
      </c>
      <c r="I1177" s="46" t="str" cm="1">
        <f t="array" aca="1" ref="I1177" ca="1">IF(F1177&lt;&gt;"",IF(OR(G1177="Bill Accounts",G1177="Investments", G1177="Cash Accounts"),INDIRECT("'"&amp;F1177&amp;"'!$C$10"),INDIRECT("'"&amp;F1177&amp;"'!$C$8")),"")</f>
        <v/>
      </c>
      <c r="K1177" s="48">
        <f t="shared" si="57"/>
        <v>1183</v>
      </c>
      <c r="L1177" s="114" t="str" cm="1">
        <f t="array" aca="1" ref="L1177" ca="1">IF(F1177&lt;&gt;"",INDIRECT("'"&amp;F1177&amp;"'!$F$17"),"")</f>
        <v/>
      </c>
      <c r="M1177" s="116" t="str">
        <f t="shared" ca="1" si="55"/>
        <v/>
      </c>
      <c r="O1177" s="49" t="str">
        <f t="shared" ca="1" si="56"/>
        <v/>
      </c>
      <c r="P1177" s="38" t="str">
        <f>IF(E1177&lt;&gt;"",RANK(E1177,$E$3:$E$2298)+COUNTIF($E$3:E1177,E1177)-1,"")</f>
        <v/>
      </c>
    </row>
    <row r="1178" spans="4:16" x14ac:dyDescent="0.25">
      <c r="D1178" s="36" t="str" cm="1">
        <f t="array" aca="1" ref="D1178" ca="1">IFERROR(IF(INDIRECT("'"&amp;F1178&amp;"'!$C$5")&gt;0,DATE(YEAR(Dashboard!$AL$2),Dashboard!$AU$4,INDIRECT("'"&amp;F1178&amp;"'!$C$5")),""),"")</f>
        <v/>
      </c>
      <c r="G1178" s="38" t="str" cm="1">
        <f t="array" aca="1" ref="G1178" ca="1">IF(F1178="",
    "",
    IFERROR(
        IF(INDIRECT("'"&amp;F1178&amp;"'!$B$2")="Credit Limit",
            "Credit Accounts",
            IF(INDIRECT("'"&amp;F1178&amp;"'!$E$2")="Location",
                "Cash Accounts",
                IF(INDIRECT("'"&amp;F1178&amp;"'!$B$2")="Amount",
                    "Investments",
                    "Bill Accounts"
                )
            )
        ),
    "")
)</f>
        <v/>
      </c>
      <c r="I1178" s="46" t="str" cm="1">
        <f t="array" aca="1" ref="I1178" ca="1">IF(F1178&lt;&gt;"",IF(OR(G1178="Bill Accounts",G1178="Investments", G1178="Cash Accounts"),INDIRECT("'"&amp;F1178&amp;"'!$C$10"),INDIRECT("'"&amp;F1178&amp;"'!$C$8")),"")</f>
        <v/>
      </c>
      <c r="K1178" s="48">
        <f t="shared" si="57"/>
        <v>1184</v>
      </c>
      <c r="L1178" s="114" t="str" cm="1">
        <f t="array" aca="1" ref="L1178" ca="1">IF(F1178&lt;&gt;"",INDIRECT("'"&amp;F1178&amp;"'!$F$17"),"")</f>
        <v/>
      </c>
      <c r="M1178" s="116" t="str">
        <f t="shared" ca="1" si="55"/>
        <v/>
      </c>
      <c r="O1178" s="49" t="str">
        <f t="shared" ca="1" si="56"/>
        <v/>
      </c>
      <c r="P1178" s="38" t="str">
        <f>IF(E1178&lt;&gt;"",RANK(E1178,$E$3:$E$2298)+COUNTIF($E$3:E1178,E1178)-1,"")</f>
        <v/>
      </c>
    </row>
    <row r="1179" spans="4:16" x14ac:dyDescent="0.25">
      <c r="D1179" s="36" t="str" cm="1">
        <f t="array" aca="1" ref="D1179" ca="1">IFERROR(IF(INDIRECT("'"&amp;F1179&amp;"'!$C$5")&gt;0,DATE(YEAR(Dashboard!$AL$2),Dashboard!$AU$4,INDIRECT("'"&amp;F1179&amp;"'!$C$5")),""),"")</f>
        <v/>
      </c>
      <c r="G1179" s="38" t="str" cm="1">
        <f t="array" aca="1" ref="G1179" ca="1">IF(F1179="",
    "",
    IFERROR(
        IF(INDIRECT("'"&amp;F1179&amp;"'!$B$2")="Credit Limit",
            "Credit Accounts",
            IF(INDIRECT("'"&amp;F1179&amp;"'!$E$2")="Location",
                "Cash Accounts",
                IF(INDIRECT("'"&amp;F1179&amp;"'!$B$2")="Amount",
                    "Investments",
                    "Bill Accounts"
                )
            )
        ),
    "")
)</f>
        <v/>
      </c>
      <c r="I1179" s="46" t="str" cm="1">
        <f t="array" aca="1" ref="I1179" ca="1">IF(F1179&lt;&gt;"",IF(OR(G1179="Bill Accounts",G1179="Investments", G1179="Cash Accounts"),INDIRECT("'"&amp;F1179&amp;"'!$C$10"),INDIRECT("'"&amp;F1179&amp;"'!$C$8")),"")</f>
        <v/>
      </c>
      <c r="K1179" s="48">
        <f t="shared" si="57"/>
        <v>1185</v>
      </c>
      <c r="L1179" s="114" t="str" cm="1">
        <f t="array" aca="1" ref="L1179" ca="1">IF(F1179&lt;&gt;"",INDIRECT("'"&amp;F1179&amp;"'!$F$17"),"")</f>
        <v/>
      </c>
      <c r="M1179" s="116" t="str">
        <f t="shared" ca="1" si="55"/>
        <v/>
      </c>
      <c r="O1179" s="49" t="str">
        <f t="shared" ca="1" si="56"/>
        <v/>
      </c>
      <c r="P1179" s="38" t="str">
        <f>IF(E1179&lt;&gt;"",RANK(E1179,$E$3:$E$2298)+COUNTIF($E$3:E1179,E1179)-1,"")</f>
        <v/>
      </c>
    </row>
    <row r="1180" spans="4:16" x14ac:dyDescent="0.25">
      <c r="D1180" s="36" t="str" cm="1">
        <f t="array" aca="1" ref="D1180" ca="1">IFERROR(IF(INDIRECT("'"&amp;F1180&amp;"'!$C$5")&gt;0,DATE(YEAR(Dashboard!$AL$2),Dashboard!$AU$4,INDIRECT("'"&amp;F1180&amp;"'!$C$5")),""),"")</f>
        <v/>
      </c>
      <c r="G1180" s="38" t="str" cm="1">
        <f t="array" aca="1" ref="G1180" ca="1">IF(F1180="",
    "",
    IFERROR(
        IF(INDIRECT("'"&amp;F1180&amp;"'!$B$2")="Credit Limit",
            "Credit Accounts",
            IF(INDIRECT("'"&amp;F1180&amp;"'!$E$2")="Location",
                "Cash Accounts",
                IF(INDIRECT("'"&amp;F1180&amp;"'!$B$2")="Amount",
                    "Investments",
                    "Bill Accounts"
                )
            )
        ),
    "")
)</f>
        <v/>
      </c>
      <c r="I1180" s="46" t="str" cm="1">
        <f t="array" aca="1" ref="I1180" ca="1">IF(F1180&lt;&gt;"",IF(OR(G1180="Bill Accounts",G1180="Investments", G1180="Cash Accounts"),INDIRECT("'"&amp;F1180&amp;"'!$C$10"),INDIRECT("'"&amp;F1180&amp;"'!$C$8")),"")</f>
        <v/>
      </c>
      <c r="K1180" s="48">
        <f t="shared" si="57"/>
        <v>1186</v>
      </c>
      <c r="L1180" s="114" t="str" cm="1">
        <f t="array" aca="1" ref="L1180" ca="1">IF(F1180&lt;&gt;"",INDIRECT("'"&amp;F1180&amp;"'!$F$17"),"")</f>
        <v/>
      </c>
      <c r="M1180" s="116" t="str">
        <f t="shared" ca="1" si="55"/>
        <v/>
      </c>
      <c r="O1180" s="49" t="str">
        <f t="shared" ca="1" si="56"/>
        <v/>
      </c>
      <c r="P1180" s="38" t="str">
        <f>IF(E1180&lt;&gt;"",RANK(E1180,$E$3:$E$2298)+COUNTIF($E$3:E1180,E1180)-1,"")</f>
        <v/>
      </c>
    </row>
    <row r="1181" spans="4:16" x14ac:dyDescent="0.25">
      <c r="D1181" s="36" t="str" cm="1">
        <f t="array" aca="1" ref="D1181" ca="1">IFERROR(IF(INDIRECT("'"&amp;F1181&amp;"'!$C$5")&gt;0,DATE(YEAR(Dashboard!$AL$2),Dashboard!$AU$4,INDIRECT("'"&amp;F1181&amp;"'!$C$5")),""),"")</f>
        <v/>
      </c>
      <c r="G1181" s="38" t="str" cm="1">
        <f t="array" aca="1" ref="G1181" ca="1">IF(F1181="",
    "",
    IFERROR(
        IF(INDIRECT("'"&amp;F1181&amp;"'!$B$2")="Credit Limit",
            "Credit Accounts",
            IF(INDIRECT("'"&amp;F1181&amp;"'!$E$2")="Location",
                "Cash Accounts",
                IF(INDIRECT("'"&amp;F1181&amp;"'!$B$2")="Amount",
                    "Investments",
                    "Bill Accounts"
                )
            )
        ),
    "")
)</f>
        <v/>
      </c>
      <c r="I1181" s="46" t="str" cm="1">
        <f t="array" aca="1" ref="I1181" ca="1">IF(F1181&lt;&gt;"",IF(OR(G1181="Bill Accounts",G1181="Investments", G1181="Cash Accounts"),INDIRECT("'"&amp;F1181&amp;"'!$C$10"),INDIRECT("'"&amp;F1181&amp;"'!$C$8")),"")</f>
        <v/>
      </c>
      <c r="K1181" s="48">
        <f t="shared" si="57"/>
        <v>1187</v>
      </c>
      <c r="L1181" s="114" t="str" cm="1">
        <f t="array" aca="1" ref="L1181" ca="1">IF(F1181&lt;&gt;"",INDIRECT("'"&amp;F1181&amp;"'!$F$17"),"")</f>
        <v/>
      </c>
      <c r="M1181" s="116" t="str">
        <f t="shared" ca="1" si="55"/>
        <v/>
      </c>
      <c r="O1181" s="49" t="str">
        <f t="shared" ca="1" si="56"/>
        <v/>
      </c>
      <c r="P1181" s="38" t="str">
        <f>IF(E1181&lt;&gt;"",RANK(E1181,$E$3:$E$2298)+COUNTIF($E$3:E1181,E1181)-1,"")</f>
        <v/>
      </c>
    </row>
    <row r="1182" spans="4:16" x14ac:dyDescent="0.25">
      <c r="D1182" s="36" t="str" cm="1">
        <f t="array" aca="1" ref="D1182" ca="1">IFERROR(IF(INDIRECT("'"&amp;F1182&amp;"'!$C$5")&gt;0,DATE(YEAR(Dashboard!$AL$2),Dashboard!$AU$4,INDIRECT("'"&amp;F1182&amp;"'!$C$5")),""),"")</f>
        <v/>
      </c>
      <c r="G1182" s="38" t="str" cm="1">
        <f t="array" aca="1" ref="G1182" ca="1">IF(F1182="",
    "",
    IFERROR(
        IF(INDIRECT("'"&amp;F1182&amp;"'!$B$2")="Credit Limit",
            "Credit Accounts",
            IF(INDIRECT("'"&amp;F1182&amp;"'!$E$2")="Location",
                "Cash Accounts",
                IF(INDIRECT("'"&amp;F1182&amp;"'!$B$2")="Amount",
                    "Investments",
                    "Bill Accounts"
                )
            )
        ),
    "")
)</f>
        <v/>
      </c>
      <c r="I1182" s="46" t="str" cm="1">
        <f t="array" aca="1" ref="I1182" ca="1">IF(F1182&lt;&gt;"",IF(OR(G1182="Bill Accounts",G1182="Investments", G1182="Cash Accounts"),INDIRECT("'"&amp;F1182&amp;"'!$C$10"),INDIRECT("'"&amp;F1182&amp;"'!$C$8")),"")</f>
        <v/>
      </c>
      <c r="K1182" s="48">
        <f t="shared" si="57"/>
        <v>1188</v>
      </c>
      <c r="L1182" s="114" t="str" cm="1">
        <f t="array" aca="1" ref="L1182" ca="1">IF(F1182&lt;&gt;"",INDIRECT("'"&amp;F1182&amp;"'!$F$17"),"")</f>
        <v/>
      </c>
      <c r="M1182" s="116" t="str">
        <f t="shared" ca="1" si="55"/>
        <v/>
      </c>
      <c r="O1182" s="49" t="str">
        <f t="shared" ca="1" si="56"/>
        <v/>
      </c>
      <c r="P1182" s="38" t="str">
        <f>IF(E1182&lt;&gt;"",RANK(E1182,$E$3:$E$2298)+COUNTIF($E$3:E1182,E1182)-1,"")</f>
        <v/>
      </c>
    </row>
    <row r="1183" spans="4:16" x14ac:dyDescent="0.25">
      <c r="D1183" s="36" t="str" cm="1">
        <f t="array" aca="1" ref="D1183" ca="1">IFERROR(IF(INDIRECT("'"&amp;F1183&amp;"'!$C$5")&gt;0,DATE(YEAR(Dashboard!$AL$2),Dashboard!$AU$4,INDIRECT("'"&amp;F1183&amp;"'!$C$5")),""),"")</f>
        <v/>
      </c>
      <c r="G1183" s="38" t="str" cm="1">
        <f t="array" aca="1" ref="G1183" ca="1">IF(F1183="",
    "",
    IFERROR(
        IF(INDIRECT("'"&amp;F1183&amp;"'!$B$2")="Credit Limit",
            "Credit Accounts",
            IF(INDIRECT("'"&amp;F1183&amp;"'!$E$2")="Location",
                "Cash Accounts",
                IF(INDIRECT("'"&amp;F1183&amp;"'!$B$2")="Amount",
                    "Investments",
                    "Bill Accounts"
                )
            )
        ),
    "")
)</f>
        <v/>
      </c>
      <c r="I1183" s="46" t="str" cm="1">
        <f t="array" aca="1" ref="I1183" ca="1">IF(F1183&lt;&gt;"",IF(OR(G1183="Bill Accounts",G1183="Investments", G1183="Cash Accounts"),INDIRECT("'"&amp;F1183&amp;"'!$C$10"),INDIRECT("'"&amp;F1183&amp;"'!$C$8")),"")</f>
        <v/>
      </c>
      <c r="K1183" s="48">
        <f t="shared" si="57"/>
        <v>1189</v>
      </c>
      <c r="L1183" s="114" t="str" cm="1">
        <f t="array" aca="1" ref="L1183" ca="1">IF(F1183&lt;&gt;"",INDIRECT("'"&amp;F1183&amp;"'!$F$17"),"")</f>
        <v/>
      </c>
      <c r="M1183" s="116" t="str">
        <f t="shared" ca="1" si="55"/>
        <v/>
      </c>
      <c r="O1183" s="49" t="str">
        <f t="shared" ca="1" si="56"/>
        <v/>
      </c>
      <c r="P1183" s="38" t="str">
        <f>IF(E1183&lt;&gt;"",RANK(E1183,$E$3:$E$2298)+COUNTIF($E$3:E1183,E1183)-1,"")</f>
        <v/>
      </c>
    </row>
    <row r="1184" spans="4:16" x14ac:dyDescent="0.25">
      <c r="D1184" s="36" t="str" cm="1">
        <f t="array" aca="1" ref="D1184" ca="1">IFERROR(IF(INDIRECT("'"&amp;F1184&amp;"'!$C$5")&gt;0,DATE(YEAR(Dashboard!$AL$2),Dashboard!$AU$4,INDIRECT("'"&amp;F1184&amp;"'!$C$5")),""),"")</f>
        <v/>
      </c>
      <c r="G1184" s="38" t="str" cm="1">
        <f t="array" aca="1" ref="G1184" ca="1">IF(F1184="",
    "",
    IFERROR(
        IF(INDIRECT("'"&amp;F1184&amp;"'!$B$2")="Credit Limit",
            "Credit Accounts",
            IF(INDIRECT("'"&amp;F1184&amp;"'!$E$2")="Location",
                "Cash Accounts",
                IF(INDIRECT("'"&amp;F1184&amp;"'!$B$2")="Amount",
                    "Investments",
                    "Bill Accounts"
                )
            )
        ),
    "")
)</f>
        <v/>
      </c>
      <c r="I1184" s="46" t="str" cm="1">
        <f t="array" aca="1" ref="I1184" ca="1">IF(F1184&lt;&gt;"",IF(OR(G1184="Bill Accounts",G1184="Investments", G1184="Cash Accounts"),INDIRECT("'"&amp;F1184&amp;"'!$C$10"),INDIRECT("'"&amp;F1184&amp;"'!$C$8")),"")</f>
        <v/>
      </c>
      <c r="K1184" s="48">
        <f t="shared" si="57"/>
        <v>1190</v>
      </c>
      <c r="L1184" s="114" t="str" cm="1">
        <f t="array" aca="1" ref="L1184" ca="1">IF(F1184&lt;&gt;"",INDIRECT("'"&amp;F1184&amp;"'!$F$17"),"")</f>
        <v/>
      </c>
      <c r="M1184" s="116" t="str">
        <f t="shared" ca="1" si="55"/>
        <v/>
      </c>
      <c r="O1184" s="49" t="str">
        <f t="shared" ca="1" si="56"/>
        <v/>
      </c>
      <c r="P1184" s="38" t="str">
        <f>IF(E1184&lt;&gt;"",RANK(E1184,$E$3:$E$2298)+COUNTIF($E$3:E1184,E1184)-1,"")</f>
        <v/>
      </c>
    </row>
    <row r="1185" spans="4:16" x14ac:dyDescent="0.25">
      <c r="D1185" s="36" t="str" cm="1">
        <f t="array" aca="1" ref="D1185" ca="1">IFERROR(IF(INDIRECT("'"&amp;F1185&amp;"'!$C$5")&gt;0,DATE(YEAR(Dashboard!$AL$2),Dashboard!$AU$4,INDIRECT("'"&amp;F1185&amp;"'!$C$5")),""),"")</f>
        <v/>
      </c>
      <c r="G1185" s="38" t="str" cm="1">
        <f t="array" aca="1" ref="G1185" ca="1">IF(F1185="",
    "",
    IFERROR(
        IF(INDIRECT("'"&amp;F1185&amp;"'!$B$2")="Credit Limit",
            "Credit Accounts",
            IF(INDIRECT("'"&amp;F1185&amp;"'!$E$2")="Location",
                "Cash Accounts",
                IF(INDIRECT("'"&amp;F1185&amp;"'!$B$2")="Amount",
                    "Investments",
                    "Bill Accounts"
                )
            )
        ),
    "")
)</f>
        <v/>
      </c>
      <c r="I1185" s="46" t="str" cm="1">
        <f t="array" aca="1" ref="I1185" ca="1">IF(F1185&lt;&gt;"",IF(OR(G1185="Bill Accounts",G1185="Investments", G1185="Cash Accounts"),INDIRECT("'"&amp;F1185&amp;"'!$C$10"),INDIRECT("'"&amp;F1185&amp;"'!$C$8")),"")</f>
        <v/>
      </c>
      <c r="K1185" s="48">
        <f t="shared" si="57"/>
        <v>1191</v>
      </c>
      <c r="L1185" s="114" t="str" cm="1">
        <f t="array" aca="1" ref="L1185" ca="1">IF(F1185&lt;&gt;"",INDIRECT("'"&amp;F1185&amp;"'!$F$17"),"")</f>
        <v/>
      </c>
      <c r="M1185" s="116" t="str">
        <f t="shared" ca="1" si="55"/>
        <v/>
      </c>
      <c r="O1185" s="49" t="str">
        <f t="shared" ca="1" si="56"/>
        <v/>
      </c>
      <c r="P1185" s="38" t="str">
        <f>IF(E1185&lt;&gt;"",RANK(E1185,$E$3:$E$2298)+COUNTIF($E$3:E1185,E1185)-1,"")</f>
        <v/>
      </c>
    </row>
    <row r="1186" spans="4:16" x14ac:dyDescent="0.25">
      <c r="D1186" s="36" t="str" cm="1">
        <f t="array" aca="1" ref="D1186" ca="1">IFERROR(IF(INDIRECT("'"&amp;F1186&amp;"'!$C$5")&gt;0,DATE(YEAR(Dashboard!$AL$2),Dashboard!$AU$4,INDIRECT("'"&amp;F1186&amp;"'!$C$5")),""),"")</f>
        <v/>
      </c>
      <c r="G1186" s="38" t="str" cm="1">
        <f t="array" aca="1" ref="G1186" ca="1">IF(F1186="",
    "",
    IFERROR(
        IF(INDIRECT("'"&amp;F1186&amp;"'!$B$2")="Credit Limit",
            "Credit Accounts",
            IF(INDIRECT("'"&amp;F1186&amp;"'!$E$2")="Location",
                "Cash Accounts",
                IF(INDIRECT("'"&amp;F1186&amp;"'!$B$2")="Amount",
                    "Investments",
                    "Bill Accounts"
                )
            )
        ),
    "")
)</f>
        <v/>
      </c>
      <c r="I1186" s="46" t="str" cm="1">
        <f t="array" aca="1" ref="I1186" ca="1">IF(F1186&lt;&gt;"",IF(OR(G1186="Bill Accounts",G1186="Investments", G1186="Cash Accounts"),INDIRECT("'"&amp;F1186&amp;"'!$C$10"),INDIRECT("'"&amp;F1186&amp;"'!$C$8")),"")</f>
        <v/>
      </c>
      <c r="K1186" s="48">
        <f t="shared" si="57"/>
        <v>1192</v>
      </c>
      <c r="L1186" s="114" t="str" cm="1">
        <f t="array" aca="1" ref="L1186" ca="1">IF(F1186&lt;&gt;"",INDIRECT("'"&amp;F1186&amp;"'!$F$17"),"")</f>
        <v/>
      </c>
      <c r="M1186" s="116" t="str">
        <f t="shared" ca="1" si="55"/>
        <v/>
      </c>
      <c r="O1186" s="49" t="str">
        <f t="shared" ca="1" si="56"/>
        <v/>
      </c>
      <c r="P1186" s="38" t="str">
        <f>IF(E1186&lt;&gt;"",RANK(E1186,$E$3:$E$2298)+COUNTIF($E$3:E1186,E1186)-1,"")</f>
        <v/>
      </c>
    </row>
    <row r="1187" spans="4:16" x14ac:dyDescent="0.25">
      <c r="D1187" s="36" t="str" cm="1">
        <f t="array" aca="1" ref="D1187" ca="1">IFERROR(IF(INDIRECT("'"&amp;F1187&amp;"'!$C$5")&gt;0,DATE(YEAR(Dashboard!$AL$2),Dashboard!$AU$4,INDIRECT("'"&amp;F1187&amp;"'!$C$5")),""),"")</f>
        <v/>
      </c>
      <c r="G1187" s="38" t="str" cm="1">
        <f t="array" aca="1" ref="G1187" ca="1">IF(F1187="",
    "",
    IFERROR(
        IF(INDIRECT("'"&amp;F1187&amp;"'!$B$2")="Credit Limit",
            "Credit Accounts",
            IF(INDIRECT("'"&amp;F1187&amp;"'!$E$2")="Location",
                "Cash Accounts",
                IF(INDIRECT("'"&amp;F1187&amp;"'!$B$2")="Amount",
                    "Investments",
                    "Bill Accounts"
                )
            )
        ),
    "")
)</f>
        <v/>
      </c>
      <c r="I1187" s="46" t="str" cm="1">
        <f t="array" aca="1" ref="I1187" ca="1">IF(F1187&lt;&gt;"",IF(OR(G1187="Bill Accounts",G1187="Investments", G1187="Cash Accounts"),INDIRECT("'"&amp;F1187&amp;"'!$C$10"),INDIRECT("'"&amp;F1187&amp;"'!$C$8")),"")</f>
        <v/>
      </c>
      <c r="K1187" s="48">
        <f t="shared" si="57"/>
        <v>1193</v>
      </c>
      <c r="L1187" s="114" t="str" cm="1">
        <f t="array" aca="1" ref="L1187" ca="1">IF(F1187&lt;&gt;"",INDIRECT("'"&amp;F1187&amp;"'!$F$17"),"")</f>
        <v/>
      </c>
      <c r="M1187" s="116" t="str">
        <f t="shared" ca="1" si="55"/>
        <v/>
      </c>
      <c r="O1187" s="49" t="str">
        <f t="shared" ca="1" si="56"/>
        <v/>
      </c>
      <c r="P1187" s="38" t="str">
        <f>IF(E1187&lt;&gt;"",RANK(E1187,$E$3:$E$2298)+COUNTIF($E$3:E1187,E1187)-1,"")</f>
        <v/>
      </c>
    </row>
    <row r="1188" spans="4:16" x14ac:dyDescent="0.25">
      <c r="D1188" s="36" t="str" cm="1">
        <f t="array" aca="1" ref="D1188" ca="1">IFERROR(IF(INDIRECT("'"&amp;F1188&amp;"'!$C$5")&gt;0,DATE(YEAR(Dashboard!$AL$2),Dashboard!$AU$4,INDIRECT("'"&amp;F1188&amp;"'!$C$5")),""),"")</f>
        <v/>
      </c>
      <c r="G1188" s="38" t="str" cm="1">
        <f t="array" aca="1" ref="G1188" ca="1">IF(F1188="",
    "",
    IFERROR(
        IF(INDIRECT("'"&amp;F1188&amp;"'!$B$2")="Credit Limit",
            "Credit Accounts",
            IF(INDIRECT("'"&amp;F1188&amp;"'!$E$2")="Location",
                "Cash Accounts",
                IF(INDIRECT("'"&amp;F1188&amp;"'!$B$2")="Amount",
                    "Investments",
                    "Bill Accounts"
                )
            )
        ),
    "")
)</f>
        <v/>
      </c>
      <c r="I1188" s="46" t="str" cm="1">
        <f t="array" aca="1" ref="I1188" ca="1">IF(F1188&lt;&gt;"",IF(OR(G1188="Bill Accounts",G1188="Investments", G1188="Cash Accounts"),INDIRECT("'"&amp;F1188&amp;"'!$C$10"),INDIRECT("'"&amp;F1188&amp;"'!$C$8")),"")</f>
        <v/>
      </c>
      <c r="K1188" s="48">
        <f t="shared" si="57"/>
        <v>1194</v>
      </c>
      <c r="L1188" s="114" t="str" cm="1">
        <f t="array" aca="1" ref="L1188" ca="1">IF(F1188&lt;&gt;"",INDIRECT("'"&amp;F1188&amp;"'!$F$17"),"")</f>
        <v/>
      </c>
      <c r="M1188" s="116" t="str">
        <f t="shared" ca="1" si="55"/>
        <v/>
      </c>
      <c r="O1188" s="49" t="str">
        <f t="shared" ca="1" si="56"/>
        <v/>
      </c>
      <c r="P1188" s="38" t="str">
        <f>IF(E1188&lt;&gt;"",RANK(E1188,$E$3:$E$2298)+COUNTIF($E$3:E1188,E1188)-1,"")</f>
        <v/>
      </c>
    </row>
    <row r="1189" spans="4:16" x14ac:dyDescent="0.25">
      <c r="D1189" s="36" t="str" cm="1">
        <f t="array" aca="1" ref="D1189" ca="1">IFERROR(IF(INDIRECT("'"&amp;F1189&amp;"'!$C$5")&gt;0,DATE(YEAR(Dashboard!$AL$2),Dashboard!$AU$4,INDIRECT("'"&amp;F1189&amp;"'!$C$5")),""),"")</f>
        <v/>
      </c>
      <c r="G1189" s="38" t="str" cm="1">
        <f t="array" aca="1" ref="G1189" ca="1">IF(F1189="",
    "",
    IFERROR(
        IF(INDIRECT("'"&amp;F1189&amp;"'!$B$2")="Credit Limit",
            "Credit Accounts",
            IF(INDIRECT("'"&amp;F1189&amp;"'!$E$2")="Location",
                "Cash Accounts",
                IF(INDIRECT("'"&amp;F1189&amp;"'!$B$2")="Amount",
                    "Investments",
                    "Bill Accounts"
                )
            )
        ),
    "")
)</f>
        <v/>
      </c>
      <c r="I1189" s="46" t="str" cm="1">
        <f t="array" aca="1" ref="I1189" ca="1">IF(F1189&lt;&gt;"",IF(OR(G1189="Bill Accounts",G1189="Investments", G1189="Cash Accounts"),INDIRECT("'"&amp;F1189&amp;"'!$C$10"),INDIRECT("'"&amp;F1189&amp;"'!$C$8")),"")</f>
        <v/>
      </c>
      <c r="K1189" s="48">
        <f t="shared" si="57"/>
        <v>1195</v>
      </c>
      <c r="L1189" s="114" t="str" cm="1">
        <f t="array" aca="1" ref="L1189" ca="1">IF(F1189&lt;&gt;"",INDIRECT("'"&amp;F1189&amp;"'!$F$17"),"")</f>
        <v/>
      </c>
      <c r="M1189" s="116" t="str">
        <f t="shared" ca="1" si="55"/>
        <v/>
      </c>
      <c r="O1189" s="49" t="str">
        <f t="shared" ca="1" si="56"/>
        <v/>
      </c>
      <c r="P1189" s="38" t="str">
        <f>IF(E1189&lt;&gt;"",RANK(E1189,$E$3:$E$2298)+COUNTIF($E$3:E1189,E1189)-1,"")</f>
        <v/>
      </c>
    </row>
    <row r="1190" spans="4:16" x14ac:dyDescent="0.25">
      <c r="D1190" s="36" t="str" cm="1">
        <f t="array" aca="1" ref="D1190" ca="1">IFERROR(IF(INDIRECT("'"&amp;F1190&amp;"'!$C$5")&gt;0,DATE(YEAR(Dashboard!$AL$2),Dashboard!$AU$4,INDIRECT("'"&amp;F1190&amp;"'!$C$5")),""),"")</f>
        <v/>
      </c>
      <c r="G1190" s="38" t="str" cm="1">
        <f t="array" aca="1" ref="G1190" ca="1">IF(F1190="",
    "",
    IFERROR(
        IF(INDIRECT("'"&amp;F1190&amp;"'!$B$2")="Credit Limit",
            "Credit Accounts",
            IF(INDIRECT("'"&amp;F1190&amp;"'!$E$2")="Location",
                "Cash Accounts",
                IF(INDIRECT("'"&amp;F1190&amp;"'!$B$2")="Amount",
                    "Investments",
                    "Bill Accounts"
                )
            )
        ),
    "")
)</f>
        <v/>
      </c>
      <c r="I1190" s="46" t="str" cm="1">
        <f t="array" aca="1" ref="I1190" ca="1">IF(F1190&lt;&gt;"",IF(OR(G1190="Bill Accounts",G1190="Investments", G1190="Cash Accounts"),INDIRECT("'"&amp;F1190&amp;"'!$C$10"),INDIRECT("'"&amp;F1190&amp;"'!$C$8")),"")</f>
        <v/>
      </c>
      <c r="K1190" s="48">
        <f t="shared" si="57"/>
        <v>1196</v>
      </c>
      <c r="L1190" s="114" t="str" cm="1">
        <f t="array" aca="1" ref="L1190" ca="1">IF(F1190&lt;&gt;"",INDIRECT("'"&amp;F1190&amp;"'!$F$17"),"")</f>
        <v/>
      </c>
      <c r="M1190" s="116" t="str">
        <f t="shared" ca="1" si="55"/>
        <v/>
      </c>
      <c r="O1190" s="49" t="str">
        <f t="shared" ca="1" si="56"/>
        <v/>
      </c>
      <c r="P1190" s="38" t="str">
        <f>IF(E1190&lt;&gt;"",RANK(E1190,$E$3:$E$2298)+COUNTIF($E$3:E1190,E1190)-1,"")</f>
        <v/>
      </c>
    </row>
    <row r="1191" spans="4:16" x14ac:dyDescent="0.25">
      <c r="D1191" s="36" t="str" cm="1">
        <f t="array" aca="1" ref="D1191" ca="1">IFERROR(IF(INDIRECT("'"&amp;F1191&amp;"'!$C$5")&gt;0,DATE(YEAR(Dashboard!$AL$2),Dashboard!$AU$4,INDIRECT("'"&amp;F1191&amp;"'!$C$5")),""),"")</f>
        <v/>
      </c>
      <c r="G1191" s="38" t="str" cm="1">
        <f t="array" aca="1" ref="G1191" ca="1">IF(F1191="",
    "",
    IFERROR(
        IF(INDIRECT("'"&amp;F1191&amp;"'!$B$2")="Credit Limit",
            "Credit Accounts",
            IF(INDIRECT("'"&amp;F1191&amp;"'!$E$2")="Location",
                "Cash Accounts",
                IF(INDIRECT("'"&amp;F1191&amp;"'!$B$2")="Amount",
                    "Investments",
                    "Bill Accounts"
                )
            )
        ),
    "")
)</f>
        <v/>
      </c>
      <c r="I1191" s="46" t="str" cm="1">
        <f t="array" aca="1" ref="I1191" ca="1">IF(F1191&lt;&gt;"",IF(OR(G1191="Bill Accounts",G1191="Investments", G1191="Cash Accounts"),INDIRECT("'"&amp;F1191&amp;"'!$C$10"),INDIRECT("'"&amp;F1191&amp;"'!$C$8")),"")</f>
        <v/>
      </c>
      <c r="K1191" s="48">
        <f t="shared" si="57"/>
        <v>1197</v>
      </c>
      <c r="L1191" s="114" t="str" cm="1">
        <f t="array" aca="1" ref="L1191" ca="1">IF(F1191&lt;&gt;"",INDIRECT("'"&amp;F1191&amp;"'!$F$17"),"")</f>
        <v/>
      </c>
      <c r="M1191" s="116" t="str">
        <f t="shared" ca="1" si="55"/>
        <v/>
      </c>
      <c r="O1191" s="49" t="str">
        <f t="shared" ca="1" si="56"/>
        <v/>
      </c>
      <c r="P1191" s="38" t="str">
        <f>IF(E1191&lt;&gt;"",RANK(E1191,$E$3:$E$2298)+COUNTIF($E$3:E1191,E1191)-1,"")</f>
        <v/>
      </c>
    </row>
    <row r="1192" spans="4:16" x14ac:dyDescent="0.25">
      <c r="D1192" s="36" t="str" cm="1">
        <f t="array" aca="1" ref="D1192" ca="1">IFERROR(IF(INDIRECT("'"&amp;F1192&amp;"'!$C$5")&gt;0,DATE(YEAR(Dashboard!$AL$2),Dashboard!$AU$4,INDIRECT("'"&amp;F1192&amp;"'!$C$5")),""),"")</f>
        <v/>
      </c>
      <c r="G1192" s="38" t="str" cm="1">
        <f t="array" aca="1" ref="G1192" ca="1">IF(F1192="",
    "",
    IFERROR(
        IF(INDIRECT("'"&amp;F1192&amp;"'!$B$2")="Credit Limit",
            "Credit Accounts",
            IF(INDIRECT("'"&amp;F1192&amp;"'!$E$2")="Location",
                "Cash Accounts",
                IF(INDIRECT("'"&amp;F1192&amp;"'!$B$2")="Amount",
                    "Investments",
                    "Bill Accounts"
                )
            )
        ),
    "")
)</f>
        <v/>
      </c>
      <c r="I1192" s="46" t="str" cm="1">
        <f t="array" aca="1" ref="I1192" ca="1">IF(F1192&lt;&gt;"",IF(OR(G1192="Bill Accounts",G1192="Investments", G1192="Cash Accounts"),INDIRECT("'"&amp;F1192&amp;"'!$C$10"),INDIRECT("'"&amp;F1192&amp;"'!$C$8")),"")</f>
        <v/>
      </c>
      <c r="K1192" s="48">
        <f t="shared" si="57"/>
        <v>1198</v>
      </c>
      <c r="L1192" s="114" t="str" cm="1">
        <f t="array" aca="1" ref="L1192" ca="1">IF(F1192&lt;&gt;"",INDIRECT("'"&amp;F1192&amp;"'!$F$17"),"")</f>
        <v/>
      </c>
      <c r="M1192" s="116" t="str">
        <f t="shared" ca="1" si="55"/>
        <v/>
      </c>
      <c r="O1192" s="49" t="str">
        <f t="shared" ca="1" si="56"/>
        <v/>
      </c>
      <c r="P1192" s="38" t="str">
        <f>IF(E1192&lt;&gt;"",RANK(E1192,$E$3:$E$2298)+COUNTIF($E$3:E1192,E1192)-1,"")</f>
        <v/>
      </c>
    </row>
    <row r="1193" spans="4:16" x14ac:dyDescent="0.25">
      <c r="D1193" s="36" t="str" cm="1">
        <f t="array" aca="1" ref="D1193" ca="1">IFERROR(IF(INDIRECT("'"&amp;F1193&amp;"'!$C$5")&gt;0,DATE(YEAR(Dashboard!$AL$2),Dashboard!$AU$4,INDIRECT("'"&amp;F1193&amp;"'!$C$5")),""),"")</f>
        <v/>
      </c>
      <c r="G1193" s="38" t="str" cm="1">
        <f t="array" aca="1" ref="G1193" ca="1">IF(F1193="",
    "",
    IFERROR(
        IF(INDIRECT("'"&amp;F1193&amp;"'!$B$2")="Credit Limit",
            "Credit Accounts",
            IF(INDIRECT("'"&amp;F1193&amp;"'!$E$2")="Location",
                "Cash Accounts",
                IF(INDIRECT("'"&amp;F1193&amp;"'!$B$2")="Amount",
                    "Investments",
                    "Bill Accounts"
                )
            )
        ),
    "")
)</f>
        <v/>
      </c>
      <c r="I1193" s="46" t="str" cm="1">
        <f t="array" aca="1" ref="I1193" ca="1">IF(F1193&lt;&gt;"",IF(OR(G1193="Bill Accounts",G1193="Investments", G1193="Cash Accounts"),INDIRECT("'"&amp;F1193&amp;"'!$C$10"),INDIRECT("'"&amp;F1193&amp;"'!$C$8")),"")</f>
        <v/>
      </c>
      <c r="K1193" s="48">
        <f t="shared" si="57"/>
        <v>1199</v>
      </c>
      <c r="L1193" s="114" t="str" cm="1">
        <f t="array" aca="1" ref="L1193" ca="1">IF(F1193&lt;&gt;"",INDIRECT("'"&amp;F1193&amp;"'!$F$17"),"")</f>
        <v/>
      </c>
      <c r="M1193" s="116" t="str">
        <f t="shared" ca="1" si="55"/>
        <v/>
      </c>
      <c r="O1193" s="49" t="str">
        <f t="shared" ca="1" si="56"/>
        <v/>
      </c>
      <c r="P1193" s="38" t="str">
        <f>IF(E1193&lt;&gt;"",RANK(E1193,$E$3:$E$2298)+COUNTIF($E$3:E1193,E1193)-1,"")</f>
        <v/>
      </c>
    </row>
    <row r="1194" spans="4:16" x14ac:dyDescent="0.25">
      <c r="D1194" s="36" t="str" cm="1">
        <f t="array" aca="1" ref="D1194" ca="1">IFERROR(IF(INDIRECT("'"&amp;F1194&amp;"'!$C$5")&gt;0,DATE(YEAR(Dashboard!$AL$2),Dashboard!$AU$4,INDIRECT("'"&amp;F1194&amp;"'!$C$5")),""),"")</f>
        <v/>
      </c>
      <c r="G1194" s="38" t="str" cm="1">
        <f t="array" aca="1" ref="G1194" ca="1">IF(F1194="",
    "",
    IFERROR(
        IF(INDIRECT("'"&amp;F1194&amp;"'!$B$2")="Credit Limit",
            "Credit Accounts",
            IF(INDIRECT("'"&amp;F1194&amp;"'!$E$2")="Location",
                "Cash Accounts",
                IF(INDIRECT("'"&amp;F1194&amp;"'!$B$2")="Amount",
                    "Investments",
                    "Bill Accounts"
                )
            )
        ),
    "")
)</f>
        <v/>
      </c>
      <c r="I1194" s="46" t="str" cm="1">
        <f t="array" aca="1" ref="I1194" ca="1">IF(F1194&lt;&gt;"",IF(OR(G1194="Bill Accounts",G1194="Investments", G1194="Cash Accounts"),INDIRECT("'"&amp;F1194&amp;"'!$C$10"),INDIRECT("'"&amp;F1194&amp;"'!$C$8")),"")</f>
        <v/>
      </c>
      <c r="K1194" s="48">
        <f t="shared" si="57"/>
        <v>1200</v>
      </c>
      <c r="L1194" s="114" t="str" cm="1">
        <f t="array" aca="1" ref="L1194" ca="1">IF(F1194&lt;&gt;"",INDIRECT("'"&amp;F1194&amp;"'!$F$17"),"")</f>
        <v/>
      </c>
      <c r="M1194" s="116" t="str">
        <f t="shared" ca="1" si="55"/>
        <v/>
      </c>
      <c r="O1194" s="49" t="str">
        <f t="shared" ca="1" si="56"/>
        <v/>
      </c>
      <c r="P1194" s="38" t="str">
        <f>IF(E1194&lt;&gt;"",RANK(E1194,$E$3:$E$2298)+COUNTIF($E$3:E1194,E1194)-1,"")</f>
        <v/>
      </c>
    </row>
    <row r="1195" spans="4:16" x14ac:dyDescent="0.25">
      <c r="D1195" s="36" t="str" cm="1">
        <f t="array" aca="1" ref="D1195" ca="1">IFERROR(IF(INDIRECT("'"&amp;F1195&amp;"'!$C$5")&gt;0,DATE(YEAR(Dashboard!$AL$2),Dashboard!$AU$4,INDIRECT("'"&amp;F1195&amp;"'!$C$5")),""),"")</f>
        <v/>
      </c>
      <c r="G1195" s="38" t="str" cm="1">
        <f t="array" aca="1" ref="G1195" ca="1">IF(F1195="",
    "",
    IFERROR(
        IF(INDIRECT("'"&amp;F1195&amp;"'!$B$2")="Credit Limit",
            "Credit Accounts",
            IF(INDIRECT("'"&amp;F1195&amp;"'!$E$2")="Location",
                "Cash Accounts",
                IF(INDIRECT("'"&amp;F1195&amp;"'!$B$2")="Amount",
                    "Investments",
                    "Bill Accounts"
                )
            )
        ),
    "")
)</f>
        <v/>
      </c>
      <c r="I1195" s="46" t="str" cm="1">
        <f t="array" aca="1" ref="I1195" ca="1">IF(F1195&lt;&gt;"",IF(OR(G1195="Bill Accounts",G1195="Investments", G1195="Cash Accounts"),INDIRECT("'"&amp;F1195&amp;"'!$C$10"),INDIRECT("'"&amp;F1195&amp;"'!$C$8")),"")</f>
        <v/>
      </c>
      <c r="K1195" s="48">
        <f t="shared" si="57"/>
        <v>1201</v>
      </c>
      <c r="L1195" s="114" t="str" cm="1">
        <f t="array" aca="1" ref="L1195" ca="1">IF(F1195&lt;&gt;"",INDIRECT("'"&amp;F1195&amp;"'!$F$17"),"")</f>
        <v/>
      </c>
      <c r="M1195" s="116" t="str">
        <f t="shared" ca="1" si="55"/>
        <v/>
      </c>
      <c r="O1195" s="49" t="str">
        <f t="shared" ca="1" si="56"/>
        <v/>
      </c>
      <c r="P1195" s="38" t="str">
        <f>IF(E1195&lt;&gt;"",RANK(E1195,$E$3:$E$2298)+COUNTIF($E$3:E1195,E1195)-1,"")</f>
        <v/>
      </c>
    </row>
    <row r="1196" spans="4:16" x14ac:dyDescent="0.25">
      <c r="D1196" s="36" t="str" cm="1">
        <f t="array" aca="1" ref="D1196" ca="1">IFERROR(IF(INDIRECT("'"&amp;F1196&amp;"'!$C$5")&gt;0,DATE(YEAR(Dashboard!$AL$2),Dashboard!$AU$4,INDIRECT("'"&amp;F1196&amp;"'!$C$5")),""),"")</f>
        <v/>
      </c>
      <c r="G1196" s="38" t="str" cm="1">
        <f t="array" aca="1" ref="G1196" ca="1">IF(F1196="",
    "",
    IFERROR(
        IF(INDIRECT("'"&amp;F1196&amp;"'!$B$2")="Credit Limit",
            "Credit Accounts",
            IF(INDIRECT("'"&amp;F1196&amp;"'!$E$2")="Location",
                "Cash Accounts",
                IF(INDIRECT("'"&amp;F1196&amp;"'!$B$2")="Amount",
                    "Investments",
                    "Bill Accounts"
                )
            )
        ),
    "")
)</f>
        <v/>
      </c>
      <c r="I1196" s="46" t="str" cm="1">
        <f t="array" aca="1" ref="I1196" ca="1">IF(F1196&lt;&gt;"",IF(OR(G1196="Bill Accounts",G1196="Investments", G1196="Cash Accounts"),INDIRECT("'"&amp;F1196&amp;"'!$C$10"),INDIRECT("'"&amp;F1196&amp;"'!$C$8")),"")</f>
        <v/>
      </c>
      <c r="K1196" s="48">
        <f t="shared" si="57"/>
        <v>1202</v>
      </c>
      <c r="L1196" s="114" t="str" cm="1">
        <f t="array" aca="1" ref="L1196" ca="1">IF(F1196&lt;&gt;"",INDIRECT("'"&amp;F1196&amp;"'!$F$17"),"")</f>
        <v/>
      </c>
      <c r="M1196" s="116" t="str">
        <f t="shared" ca="1" si="55"/>
        <v/>
      </c>
      <c r="O1196" s="49" t="str">
        <f t="shared" ca="1" si="56"/>
        <v/>
      </c>
      <c r="P1196" s="38" t="str">
        <f>IF(E1196&lt;&gt;"",RANK(E1196,$E$3:$E$2298)+COUNTIF($E$3:E1196,E1196)-1,"")</f>
        <v/>
      </c>
    </row>
    <row r="1197" spans="4:16" x14ac:dyDescent="0.25">
      <c r="D1197" s="36" t="str" cm="1">
        <f t="array" aca="1" ref="D1197" ca="1">IFERROR(IF(INDIRECT("'"&amp;F1197&amp;"'!$C$5")&gt;0,DATE(YEAR(Dashboard!$AL$2),Dashboard!$AU$4,INDIRECT("'"&amp;F1197&amp;"'!$C$5")),""),"")</f>
        <v/>
      </c>
      <c r="G1197" s="38" t="str" cm="1">
        <f t="array" aca="1" ref="G1197" ca="1">IF(F1197="",
    "",
    IFERROR(
        IF(INDIRECT("'"&amp;F1197&amp;"'!$B$2")="Credit Limit",
            "Credit Accounts",
            IF(INDIRECT("'"&amp;F1197&amp;"'!$E$2")="Location",
                "Cash Accounts",
                IF(INDIRECT("'"&amp;F1197&amp;"'!$B$2")="Amount",
                    "Investments",
                    "Bill Accounts"
                )
            )
        ),
    "")
)</f>
        <v/>
      </c>
      <c r="I1197" s="46" t="str" cm="1">
        <f t="array" aca="1" ref="I1197" ca="1">IF(F1197&lt;&gt;"",IF(OR(G1197="Bill Accounts",G1197="Investments", G1197="Cash Accounts"),INDIRECT("'"&amp;F1197&amp;"'!$C$10"),INDIRECT("'"&amp;F1197&amp;"'!$C$8")),"")</f>
        <v/>
      </c>
      <c r="K1197" s="48">
        <f t="shared" si="57"/>
        <v>1203</v>
      </c>
      <c r="L1197" s="114" t="str" cm="1">
        <f t="array" aca="1" ref="L1197" ca="1">IF(F1197&lt;&gt;"",INDIRECT("'"&amp;F1197&amp;"'!$F$17"),"")</f>
        <v/>
      </c>
      <c r="M1197" s="116" t="str">
        <f t="shared" ca="1" si="55"/>
        <v/>
      </c>
      <c r="O1197" s="49" t="str">
        <f t="shared" ca="1" si="56"/>
        <v/>
      </c>
      <c r="P1197" s="38" t="str">
        <f>IF(E1197&lt;&gt;"",RANK(E1197,$E$3:$E$2298)+COUNTIF($E$3:E1197,E1197)-1,"")</f>
        <v/>
      </c>
    </row>
    <row r="1198" spans="4:16" x14ac:dyDescent="0.25">
      <c r="D1198" s="36" t="str" cm="1">
        <f t="array" aca="1" ref="D1198" ca="1">IFERROR(IF(INDIRECT("'"&amp;F1198&amp;"'!$C$5")&gt;0,DATE(YEAR(Dashboard!$AL$2),Dashboard!$AU$4,INDIRECT("'"&amp;F1198&amp;"'!$C$5")),""),"")</f>
        <v/>
      </c>
      <c r="G1198" s="38" t="str" cm="1">
        <f t="array" aca="1" ref="G1198" ca="1">IF(F1198="",
    "",
    IFERROR(
        IF(INDIRECT("'"&amp;F1198&amp;"'!$B$2")="Credit Limit",
            "Credit Accounts",
            IF(INDIRECT("'"&amp;F1198&amp;"'!$E$2")="Location",
                "Cash Accounts",
                IF(INDIRECT("'"&amp;F1198&amp;"'!$B$2")="Amount",
                    "Investments",
                    "Bill Accounts"
                )
            )
        ),
    "")
)</f>
        <v/>
      </c>
      <c r="I1198" s="46" t="str" cm="1">
        <f t="array" aca="1" ref="I1198" ca="1">IF(F1198&lt;&gt;"",IF(OR(G1198="Bill Accounts",G1198="Investments", G1198="Cash Accounts"),INDIRECT("'"&amp;F1198&amp;"'!$C$10"),INDIRECT("'"&amp;F1198&amp;"'!$C$8")),"")</f>
        <v/>
      </c>
      <c r="K1198" s="48">
        <f t="shared" si="57"/>
        <v>1204</v>
      </c>
      <c r="L1198" s="114" t="str" cm="1">
        <f t="array" aca="1" ref="L1198" ca="1">IF(F1198&lt;&gt;"",INDIRECT("'"&amp;F1198&amp;"'!$F$17"),"")</f>
        <v/>
      </c>
      <c r="M1198" s="116" t="str">
        <f t="shared" ca="1" si="55"/>
        <v/>
      </c>
      <c r="O1198" s="49" t="str">
        <f t="shared" ca="1" si="56"/>
        <v/>
      </c>
      <c r="P1198" s="38" t="str">
        <f>IF(E1198&lt;&gt;"",RANK(E1198,$E$3:$E$2298)+COUNTIF($E$3:E1198,E1198)-1,"")</f>
        <v/>
      </c>
    </row>
    <row r="1199" spans="4:16" x14ac:dyDescent="0.25">
      <c r="D1199" s="36" t="str" cm="1">
        <f t="array" aca="1" ref="D1199" ca="1">IFERROR(IF(INDIRECT("'"&amp;F1199&amp;"'!$C$5")&gt;0,DATE(YEAR(Dashboard!$AL$2),Dashboard!$AU$4,INDIRECT("'"&amp;F1199&amp;"'!$C$5")),""),"")</f>
        <v/>
      </c>
      <c r="G1199" s="38" t="str" cm="1">
        <f t="array" aca="1" ref="G1199" ca="1">IF(F1199="",
    "",
    IFERROR(
        IF(INDIRECT("'"&amp;F1199&amp;"'!$B$2")="Credit Limit",
            "Credit Accounts",
            IF(INDIRECT("'"&amp;F1199&amp;"'!$E$2")="Location",
                "Cash Accounts",
                IF(INDIRECT("'"&amp;F1199&amp;"'!$B$2")="Amount",
                    "Investments",
                    "Bill Accounts"
                )
            )
        ),
    "")
)</f>
        <v/>
      </c>
      <c r="I1199" s="46" t="str" cm="1">
        <f t="array" aca="1" ref="I1199" ca="1">IF(F1199&lt;&gt;"",IF(OR(G1199="Bill Accounts",G1199="Investments", G1199="Cash Accounts"),INDIRECT("'"&amp;F1199&amp;"'!$C$10"),INDIRECT("'"&amp;F1199&amp;"'!$C$8")),"")</f>
        <v/>
      </c>
      <c r="K1199" s="48">
        <f t="shared" si="57"/>
        <v>1205</v>
      </c>
      <c r="L1199" s="114" t="str" cm="1">
        <f t="array" aca="1" ref="L1199" ca="1">IF(F1199&lt;&gt;"",INDIRECT("'"&amp;F1199&amp;"'!$F$17"),"")</f>
        <v/>
      </c>
      <c r="M1199" s="116" t="str">
        <f t="shared" ca="1" si="55"/>
        <v/>
      </c>
      <c r="O1199" s="49" t="str">
        <f t="shared" ca="1" si="56"/>
        <v/>
      </c>
      <c r="P1199" s="38" t="str">
        <f>IF(E1199&lt;&gt;"",RANK(E1199,$E$3:$E$2298)+COUNTIF($E$3:E1199,E1199)-1,"")</f>
        <v/>
      </c>
    </row>
    <row r="1200" spans="4:16" x14ac:dyDescent="0.25">
      <c r="D1200" s="36" t="str" cm="1">
        <f t="array" aca="1" ref="D1200" ca="1">IFERROR(IF(INDIRECT("'"&amp;F1200&amp;"'!$C$5")&gt;0,DATE(YEAR(Dashboard!$AL$2),Dashboard!$AU$4,INDIRECT("'"&amp;F1200&amp;"'!$C$5")),""),"")</f>
        <v/>
      </c>
      <c r="G1200" s="38" t="str" cm="1">
        <f t="array" aca="1" ref="G1200" ca="1">IF(F1200="",
    "",
    IFERROR(
        IF(INDIRECT("'"&amp;F1200&amp;"'!$B$2")="Credit Limit",
            "Credit Accounts",
            IF(INDIRECT("'"&amp;F1200&amp;"'!$E$2")="Location",
                "Cash Accounts",
                IF(INDIRECT("'"&amp;F1200&amp;"'!$B$2")="Amount",
                    "Investments",
                    "Bill Accounts"
                )
            )
        ),
    "")
)</f>
        <v/>
      </c>
      <c r="I1200" s="46" t="str" cm="1">
        <f t="array" aca="1" ref="I1200" ca="1">IF(F1200&lt;&gt;"",IF(OR(G1200="Bill Accounts",G1200="Investments", G1200="Cash Accounts"),INDIRECT("'"&amp;F1200&amp;"'!$C$10"),INDIRECT("'"&amp;F1200&amp;"'!$C$8")),"")</f>
        <v/>
      </c>
      <c r="K1200" s="48">
        <f t="shared" si="57"/>
        <v>1206</v>
      </c>
      <c r="L1200" s="114" t="str" cm="1">
        <f t="array" aca="1" ref="L1200" ca="1">IF(F1200&lt;&gt;"",INDIRECT("'"&amp;F1200&amp;"'!$F$17"),"")</f>
        <v/>
      </c>
      <c r="M1200" s="116" t="str">
        <f t="shared" ca="1" si="55"/>
        <v/>
      </c>
      <c r="O1200" s="49" t="str">
        <f t="shared" ca="1" si="56"/>
        <v/>
      </c>
      <c r="P1200" s="38" t="str">
        <f>IF(E1200&lt;&gt;"",RANK(E1200,$E$3:$E$2298)+COUNTIF($E$3:E1200,E1200)-1,"")</f>
        <v/>
      </c>
    </row>
    <row r="1201" spans="4:16" x14ac:dyDescent="0.25">
      <c r="D1201" s="36" t="str" cm="1">
        <f t="array" aca="1" ref="D1201" ca="1">IFERROR(IF(INDIRECT("'"&amp;F1201&amp;"'!$C$5")&gt;0,DATE(YEAR(Dashboard!$AL$2),Dashboard!$AU$4,INDIRECT("'"&amp;F1201&amp;"'!$C$5")),""),"")</f>
        <v/>
      </c>
      <c r="G1201" s="38" t="str" cm="1">
        <f t="array" aca="1" ref="G1201" ca="1">IF(F1201="",
    "",
    IFERROR(
        IF(INDIRECT("'"&amp;F1201&amp;"'!$B$2")="Credit Limit",
            "Credit Accounts",
            IF(INDIRECT("'"&amp;F1201&amp;"'!$E$2")="Location",
                "Cash Accounts",
                IF(INDIRECT("'"&amp;F1201&amp;"'!$B$2")="Amount",
                    "Investments",
                    "Bill Accounts"
                )
            )
        ),
    "")
)</f>
        <v/>
      </c>
      <c r="I1201" s="46" t="str" cm="1">
        <f t="array" aca="1" ref="I1201" ca="1">IF(F1201&lt;&gt;"",IF(OR(G1201="Bill Accounts",G1201="Investments", G1201="Cash Accounts"),INDIRECT("'"&amp;F1201&amp;"'!$C$10"),INDIRECT("'"&amp;F1201&amp;"'!$C$8")),"")</f>
        <v/>
      </c>
      <c r="K1201" s="48">
        <f t="shared" si="57"/>
        <v>1207</v>
      </c>
      <c r="L1201" s="114" t="str" cm="1">
        <f t="array" aca="1" ref="L1201" ca="1">IF(F1201&lt;&gt;"",INDIRECT("'"&amp;F1201&amp;"'!$F$17"),"")</f>
        <v/>
      </c>
      <c r="M1201" s="116" t="str">
        <f t="shared" ca="1" si="55"/>
        <v/>
      </c>
      <c r="O1201" s="49" t="str">
        <f t="shared" ca="1" si="56"/>
        <v/>
      </c>
      <c r="P1201" s="38" t="str">
        <f>IF(E1201&lt;&gt;"",RANK(E1201,$E$3:$E$2298)+COUNTIF($E$3:E1201,E1201)-1,"")</f>
        <v/>
      </c>
    </row>
    <row r="1202" spans="4:16" x14ac:dyDescent="0.25">
      <c r="D1202" s="36" t="str" cm="1">
        <f t="array" aca="1" ref="D1202" ca="1">IFERROR(IF(INDIRECT("'"&amp;F1202&amp;"'!$C$5")&gt;0,DATE(YEAR(Dashboard!$AL$2),Dashboard!$AU$4,INDIRECT("'"&amp;F1202&amp;"'!$C$5")),""),"")</f>
        <v/>
      </c>
      <c r="G1202" s="38" t="str" cm="1">
        <f t="array" aca="1" ref="G1202" ca="1">IF(F1202="",
    "",
    IFERROR(
        IF(INDIRECT("'"&amp;F1202&amp;"'!$B$2")="Credit Limit",
            "Credit Accounts",
            IF(INDIRECT("'"&amp;F1202&amp;"'!$E$2")="Location",
                "Cash Accounts",
                IF(INDIRECT("'"&amp;F1202&amp;"'!$B$2")="Amount",
                    "Investments",
                    "Bill Accounts"
                )
            )
        ),
    "")
)</f>
        <v/>
      </c>
      <c r="I1202" s="46" t="str" cm="1">
        <f t="array" aca="1" ref="I1202" ca="1">IF(F1202&lt;&gt;"",IF(OR(G1202="Bill Accounts",G1202="Investments", G1202="Cash Accounts"),INDIRECT("'"&amp;F1202&amp;"'!$C$10"),INDIRECT("'"&amp;F1202&amp;"'!$C$8")),"")</f>
        <v/>
      </c>
      <c r="K1202" s="48">
        <f t="shared" si="57"/>
        <v>1208</v>
      </c>
      <c r="L1202" s="114" t="str" cm="1">
        <f t="array" aca="1" ref="L1202" ca="1">IF(F1202&lt;&gt;"",INDIRECT("'"&amp;F1202&amp;"'!$F$17"),"")</f>
        <v/>
      </c>
      <c r="M1202" s="116" t="str">
        <f t="shared" ca="1" si="55"/>
        <v/>
      </c>
      <c r="O1202" s="49" t="str">
        <f t="shared" ca="1" si="56"/>
        <v/>
      </c>
      <c r="P1202" s="38" t="str">
        <f>IF(E1202&lt;&gt;"",RANK(E1202,$E$3:$E$2298)+COUNTIF($E$3:E1202,E1202)-1,"")</f>
        <v/>
      </c>
    </row>
    <row r="1203" spans="4:16" x14ac:dyDescent="0.25">
      <c r="D1203" s="36" t="str" cm="1">
        <f t="array" aca="1" ref="D1203" ca="1">IFERROR(IF(INDIRECT("'"&amp;F1203&amp;"'!$C$5")&gt;0,DATE(YEAR(Dashboard!$AL$2),Dashboard!$AU$4,INDIRECT("'"&amp;F1203&amp;"'!$C$5")),""),"")</f>
        <v/>
      </c>
      <c r="G1203" s="38" t="str" cm="1">
        <f t="array" aca="1" ref="G1203" ca="1">IF(F1203="",
    "",
    IFERROR(
        IF(INDIRECT("'"&amp;F1203&amp;"'!$B$2")="Credit Limit",
            "Credit Accounts",
            IF(INDIRECT("'"&amp;F1203&amp;"'!$E$2")="Location",
                "Cash Accounts",
                IF(INDIRECT("'"&amp;F1203&amp;"'!$B$2")="Amount",
                    "Investments",
                    "Bill Accounts"
                )
            )
        ),
    "")
)</f>
        <v/>
      </c>
      <c r="I1203" s="46" t="str" cm="1">
        <f t="array" aca="1" ref="I1203" ca="1">IF(F1203&lt;&gt;"",IF(OR(G1203="Bill Accounts",G1203="Investments", G1203="Cash Accounts"),INDIRECT("'"&amp;F1203&amp;"'!$C$10"),INDIRECT("'"&amp;F1203&amp;"'!$C$8")),"")</f>
        <v/>
      </c>
      <c r="K1203" s="48">
        <f t="shared" si="57"/>
        <v>1209</v>
      </c>
      <c r="L1203" s="114" t="str" cm="1">
        <f t="array" aca="1" ref="L1203" ca="1">IF(F1203&lt;&gt;"",INDIRECT("'"&amp;F1203&amp;"'!$F$17"),"")</f>
        <v/>
      </c>
      <c r="M1203" s="116" t="str">
        <f t="shared" ca="1" si="55"/>
        <v/>
      </c>
      <c r="O1203" s="49" t="str">
        <f t="shared" ca="1" si="56"/>
        <v/>
      </c>
      <c r="P1203" s="38" t="str">
        <f>IF(E1203&lt;&gt;"",RANK(E1203,$E$3:$E$2298)+COUNTIF($E$3:E1203,E1203)-1,"")</f>
        <v/>
      </c>
    </row>
    <row r="1204" spans="4:16" x14ac:dyDescent="0.25">
      <c r="D1204" s="36" t="str" cm="1">
        <f t="array" aca="1" ref="D1204" ca="1">IFERROR(IF(INDIRECT("'"&amp;F1204&amp;"'!$C$5")&gt;0,DATE(YEAR(Dashboard!$AL$2),Dashboard!$AU$4,INDIRECT("'"&amp;F1204&amp;"'!$C$5")),""),"")</f>
        <v/>
      </c>
      <c r="G1204" s="38" t="str" cm="1">
        <f t="array" aca="1" ref="G1204" ca="1">IF(F1204="",
    "",
    IFERROR(
        IF(INDIRECT("'"&amp;F1204&amp;"'!$B$2")="Credit Limit",
            "Credit Accounts",
            IF(INDIRECT("'"&amp;F1204&amp;"'!$E$2")="Location",
                "Cash Accounts",
                IF(INDIRECT("'"&amp;F1204&amp;"'!$B$2")="Amount",
                    "Investments",
                    "Bill Accounts"
                )
            )
        ),
    "")
)</f>
        <v/>
      </c>
      <c r="I1204" s="46" t="str" cm="1">
        <f t="array" aca="1" ref="I1204" ca="1">IF(F1204&lt;&gt;"",IF(OR(G1204="Bill Accounts",G1204="Investments", G1204="Cash Accounts"),INDIRECT("'"&amp;F1204&amp;"'!$C$10"),INDIRECT("'"&amp;F1204&amp;"'!$C$8")),"")</f>
        <v/>
      </c>
      <c r="K1204" s="48">
        <f t="shared" si="57"/>
        <v>1210</v>
      </c>
      <c r="L1204" s="114" t="str" cm="1">
        <f t="array" aca="1" ref="L1204" ca="1">IF(F1204&lt;&gt;"",INDIRECT("'"&amp;F1204&amp;"'!$F$17"),"")</f>
        <v/>
      </c>
      <c r="M1204" s="116" t="str">
        <f t="shared" ca="1" si="55"/>
        <v/>
      </c>
      <c r="O1204" s="49" t="str">
        <f t="shared" ca="1" si="56"/>
        <v/>
      </c>
      <c r="P1204" s="38" t="str">
        <f>IF(E1204&lt;&gt;"",RANK(E1204,$E$3:$E$2298)+COUNTIF($E$3:E1204,E1204)-1,"")</f>
        <v/>
      </c>
    </row>
    <row r="1205" spans="4:16" x14ac:dyDescent="0.25">
      <c r="D1205" s="36" t="str" cm="1">
        <f t="array" aca="1" ref="D1205" ca="1">IFERROR(IF(INDIRECT("'"&amp;F1205&amp;"'!$C$5")&gt;0,DATE(YEAR(Dashboard!$AL$2),Dashboard!$AU$4,INDIRECT("'"&amp;F1205&amp;"'!$C$5")),""),"")</f>
        <v/>
      </c>
      <c r="G1205" s="38" t="str" cm="1">
        <f t="array" aca="1" ref="G1205" ca="1">IF(F1205="",
    "",
    IFERROR(
        IF(INDIRECT("'"&amp;F1205&amp;"'!$B$2")="Credit Limit",
            "Credit Accounts",
            IF(INDIRECT("'"&amp;F1205&amp;"'!$E$2")="Location",
                "Cash Accounts",
                IF(INDIRECT("'"&amp;F1205&amp;"'!$B$2")="Amount",
                    "Investments",
                    "Bill Accounts"
                )
            )
        ),
    "")
)</f>
        <v/>
      </c>
      <c r="I1205" s="46" t="str" cm="1">
        <f t="array" aca="1" ref="I1205" ca="1">IF(F1205&lt;&gt;"",IF(OR(G1205="Bill Accounts",G1205="Investments", G1205="Cash Accounts"),INDIRECT("'"&amp;F1205&amp;"'!$C$10"),INDIRECT("'"&amp;F1205&amp;"'!$C$8")),"")</f>
        <v/>
      </c>
      <c r="K1205" s="48">
        <f t="shared" si="57"/>
        <v>1211</v>
      </c>
      <c r="L1205" s="114" t="str" cm="1">
        <f t="array" aca="1" ref="L1205" ca="1">IF(F1205&lt;&gt;"",INDIRECT("'"&amp;F1205&amp;"'!$F$17"),"")</f>
        <v/>
      </c>
      <c r="M1205" s="116" t="str">
        <f t="shared" ca="1" si="55"/>
        <v/>
      </c>
      <c r="O1205" s="49" t="str">
        <f t="shared" ca="1" si="56"/>
        <v/>
      </c>
      <c r="P1205" s="38" t="str">
        <f>IF(E1205&lt;&gt;"",RANK(E1205,$E$3:$E$2298)+COUNTIF($E$3:E1205,E1205)-1,"")</f>
        <v/>
      </c>
    </row>
    <row r="1206" spans="4:16" x14ac:dyDescent="0.25">
      <c r="D1206" s="36" t="str" cm="1">
        <f t="array" aca="1" ref="D1206" ca="1">IFERROR(IF(INDIRECT("'"&amp;F1206&amp;"'!$C$5")&gt;0,DATE(YEAR(Dashboard!$AL$2),Dashboard!$AU$4,INDIRECT("'"&amp;F1206&amp;"'!$C$5")),""),"")</f>
        <v/>
      </c>
      <c r="G1206" s="38" t="str" cm="1">
        <f t="array" aca="1" ref="G1206" ca="1">IF(F1206="",
    "",
    IFERROR(
        IF(INDIRECT("'"&amp;F1206&amp;"'!$B$2")="Credit Limit",
            "Credit Accounts",
            IF(INDIRECT("'"&amp;F1206&amp;"'!$E$2")="Location",
                "Cash Accounts",
                IF(INDIRECT("'"&amp;F1206&amp;"'!$B$2")="Amount",
                    "Investments",
                    "Bill Accounts"
                )
            )
        ),
    "")
)</f>
        <v/>
      </c>
      <c r="I1206" s="46" t="str" cm="1">
        <f t="array" aca="1" ref="I1206" ca="1">IF(F1206&lt;&gt;"",IF(OR(G1206="Bill Accounts",G1206="Investments", G1206="Cash Accounts"),INDIRECT("'"&amp;F1206&amp;"'!$C$10"),INDIRECT("'"&amp;F1206&amp;"'!$C$8")),"")</f>
        <v/>
      </c>
      <c r="K1206" s="48">
        <f t="shared" si="57"/>
        <v>1212</v>
      </c>
      <c r="L1206" s="114" t="str" cm="1">
        <f t="array" aca="1" ref="L1206" ca="1">IF(F1206&lt;&gt;"",INDIRECT("'"&amp;F1206&amp;"'!$F$17"),"")</f>
        <v/>
      </c>
      <c r="M1206" s="116" t="str">
        <f t="shared" ca="1" si="55"/>
        <v/>
      </c>
      <c r="O1206" s="49" t="str">
        <f t="shared" ca="1" si="56"/>
        <v/>
      </c>
      <c r="P1206" s="38" t="str">
        <f>IF(E1206&lt;&gt;"",RANK(E1206,$E$3:$E$2298)+COUNTIF($E$3:E1206,E1206)-1,"")</f>
        <v/>
      </c>
    </row>
    <row r="1207" spans="4:16" x14ac:dyDescent="0.25">
      <c r="D1207" s="36" t="str" cm="1">
        <f t="array" aca="1" ref="D1207" ca="1">IFERROR(IF(INDIRECT("'"&amp;F1207&amp;"'!$C$5")&gt;0,DATE(YEAR(Dashboard!$AL$2),Dashboard!$AU$4,INDIRECT("'"&amp;F1207&amp;"'!$C$5")),""),"")</f>
        <v/>
      </c>
      <c r="G1207" s="38" t="str" cm="1">
        <f t="array" aca="1" ref="G1207" ca="1">IF(F1207="",
    "",
    IFERROR(
        IF(INDIRECT("'"&amp;F1207&amp;"'!$B$2")="Credit Limit",
            "Credit Accounts",
            IF(INDIRECT("'"&amp;F1207&amp;"'!$E$2")="Location",
                "Cash Accounts",
                IF(INDIRECT("'"&amp;F1207&amp;"'!$B$2")="Amount",
                    "Investments",
                    "Bill Accounts"
                )
            )
        ),
    "")
)</f>
        <v/>
      </c>
      <c r="I1207" s="46" t="str" cm="1">
        <f t="array" aca="1" ref="I1207" ca="1">IF(F1207&lt;&gt;"",IF(OR(G1207="Bill Accounts",G1207="Investments", G1207="Cash Accounts"),INDIRECT("'"&amp;F1207&amp;"'!$C$10"),INDIRECT("'"&amp;F1207&amp;"'!$C$8")),"")</f>
        <v/>
      </c>
      <c r="K1207" s="48">
        <f t="shared" si="57"/>
        <v>1213</v>
      </c>
      <c r="L1207" s="114" t="str" cm="1">
        <f t="array" aca="1" ref="L1207" ca="1">IF(F1207&lt;&gt;"",INDIRECT("'"&amp;F1207&amp;"'!$F$17"),"")</f>
        <v/>
      </c>
      <c r="M1207" s="116" t="str">
        <f t="shared" ca="1" si="55"/>
        <v/>
      </c>
      <c r="O1207" s="49" t="str">
        <f t="shared" ca="1" si="56"/>
        <v/>
      </c>
      <c r="P1207" s="38" t="str">
        <f>IF(E1207&lt;&gt;"",RANK(E1207,$E$3:$E$2298)+COUNTIF($E$3:E1207,E1207)-1,"")</f>
        <v/>
      </c>
    </row>
    <row r="1208" spans="4:16" x14ac:dyDescent="0.25">
      <c r="D1208" s="36" t="str" cm="1">
        <f t="array" aca="1" ref="D1208" ca="1">IFERROR(IF(INDIRECT("'"&amp;F1208&amp;"'!$C$5")&gt;0,DATE(YEAR(Dashboard!$AL$2),Dashboard!$AU$4,INDIRECT("'"&amp;F1208&amp;"'!$C$5")),""),"")</f>
        <v/>
      </c>
      <c r="G1208" s="38" t="str" cm="1">
        <f t="array" aca="1" ref="G1208" ca="1">IF(F1208="",
    "",
    IFERROR(
        IF(INDIRECT("'"&amp;F1208&amp;"'!$B$2")="Credit Limit",
            "Credit Accounts",
            IF(INDIRECT("'"&amp;F1208&amp;"'!$E$2")="Location",
                "Cash Accounts",
                IF(INDIRECT("'"&amp;F1208&amp;"'!$B$2")="Amount",
                    "Investments",
                    "Bill Accounts"
                )
            )
        ),
    "")
)</f>
        <v/>
      </c>
      <c r="I1208" s="46" t="str" cm="1">
        <f t="array" aca="1" ref="I1208" ca="1">IF(F1208&lt;&gt;"",IF(OR(G1208="Bill Accounts",G1208="Investments", G1208="Cash Accounts"),INDIRECT("'"&amp;F1208&amp;"'!$C$10"),INDIRECT("'"&amp;F1208&amp;"'!$C$8")),"")</f>
        <v/>
      </c>
      <c r="K1208" s="48">
        <f t="shared" si="57"/>
        <v>1214</v>
      </c>
      <c r="L1208" s="114" t="str" cm="1">
        <f t="array" aca="1" ref="L1208" ca="1">IF(F1208&lt;&gt;"",INDIRECT("'"&amp;F1208&amp;"'!$F$17"),"")</f>
        <v/>
      </c>
      <c r="M1208" s="116" t="str">
        <f t="shared" ca="1" si="55"/>
        <v/>
      </c>
      <c r="O1208" s="49" t="str">
        <f t="shared" ca="1" si="56"/>
        <v/>
      </c>
      <c r="P1208" s="38" t="str">
        <f>IF(E1208&lt;&gt;"",RANK(E1208,$E$3:$E$2298)+COUNTIF($E$3:E1208,E1208)-1,"")</f>
        <v/>
      </c>
    </row>
    <row r="1209" spans="4:16" x14ac:dyDescent="0.25">
      <c r="D1209" s="36" t="str" cm="1">
        <f t="array" aca="1" ref="D1209" ca="1">IFERROR(IF(INDIRECT("'"&amp;F1209&amp;"'!$C$5")&gt;0,DATE(YEAR(Dashboard!$AL$2),Dashboard!$AU$4,INDIRECT("'"&amp;F1209&amp;"'!$C$5")),""),"")</f>
        <v/>
      </c>
      <c r="G1209" s="38" t="str" cm="1">
        <f t="array" aca="1" ref="G1209" ca="1">IF(F1209="",
    "",
    IFERROR(
        IF(INDIRECT("'"&amp;F1209&amp;"'!$B$2")="Credit Limit",
            "Credit Accounts",
            IF(INDIRECT("'"&amp;F1209&amp;"'!$E$2")="Location",
                "Cash Accounts",
                IF(INDIRECT("'"&amp;F1209&amp;"'!$B$2")="Amount",
                    "Investments",
                    "Bill Accounts"
                )
            )
        ),
    "")
)</f>
        <v/>
      </c>
      <c r="I1209" s="46" t="str" cm="1">
        <f t="array" aca="1" ref="I1209" ca="1">IF(F1209&lt;&gt;"",IF(OR(G1209="Bill Accounts",G1209="Investments", G1209="Cash Accounts"),INDIRECT("'"&amp;F1209&amp;"'!$C$10"),INDIRECT("'"&amp;F1209&amp;"'!$C$8")),"")</f>
        <v/>
      </c>
      <c r="K1209" s="48">
        <f t="shared" si="57"/>
        <v>1215</v>
      </c>
      <c r="L1209" s="114" t="str" cm="1">
        <f t="array" aca="1" ref="L1209" ca="1">IF(F1209&lt;&gt;"",INDIRECT("'"&amp;F1209&amp;"'!$F$17"),"")</f>
        <v/>
      </c>
      <c r="M1209" s="116" t="str">
        <f t="shared" ca="1" si="55"/>
        <v/>
      </c>
      <c r="O1209" s="49" t="str">
        <f t="shared" ca="1" si="56"/>
        <v/>
      </c>
      <c r="P1209" s="38" t="str">
        <f>IF(E1209&lt;&gt;"",RANK(E1209,$E$3:$E$2298)+COUNTIF($E$3:E1209,E1209)-1,"")</f>
        <v/>
      </c>
    </row>
    <row r="1210" spans="4:16" x14ac:dyDescent="0.25">
      <c r="D1210" s="36" t="str" cm="1">
        <f t="array" aca="1" ref="D1210" ca="1">IFERROR(IF(INDIRECT("'"&amp;F1210&amp;"'!$C$5")&gt;0,DATE(YEAR(Dashboard!$AL$2),Dashboard!$AU$4,INDIRECT("'"&amp;F1210&amp;"'!$C$5")),""),"")</f>
        <v/>
      </c>
      <c r="G1210" s="38" t="str" cm="1">
        <f t="array" aca="1" ref="G1210" ca="1">IF(F1210="",
    "",
    IFERROR(
        IF(INDIRECT("'"&amp;F1210&amp;"'!$B$2")="Credit Limit",
            "Credit Accounts",
            IF(INDIRECT("'"&amp;F1210&amp;"'!$E$2")="Location",
                "Cash Accounts",
                IF(INDIRECT("'"&amp;F1210&amp;"'!$B$2")="Amount",
                    "Investments",
                    "Bill Accounts"
                )
            )
        ),
    "")
)</f>
        <v/>
      </c>
      <c r="I1210" s="46" t="str" cm="1">
        <f t="array" aca="1" ref="I1210" ca="1">IF(F1210&lt;&gt;"",IF(OR(G1210="Bill Accounts",G1210="Investments", G1210="Cash Accounts"),INDIRECT("'"&amp;F1210&amp;"'!$C$10"),INDIRECT("'"&amp;F1210&amp;"'!$C$8")),"")</f>
        <v/>
      </c>
      <c r="K1210" s="48">
        <f t="shared" si="57"/>
        <v>1216</v>
      </c>
      <c r="L1210" s="114" t="str" cm="1">
        <f t="array" aca="1" ref="L1210" ca="1">IF(F1210&lt;&gt;"",INDIRECT("'"&amp;F1210&amp;"'!$F$17"),"")</f>
        <v/>
      </c>
      <c r="M1210" s="116" t="str">
        <f t="shared" ca="1" si="55"/>
        <v/>
      </c>
      <c r="O1210" s="49" t="str">
        <f t="shared" ca="1" si="56"/>
        <v/>
      </c>
      <c r="P1210" s="38" t="str">
        <f>IF(E1210&lt;&gt;"",RANK(E1210,$E$3:$E$2298)+COUNTIF($E$3:E1210,E1210)-1,"")</f>
        <v/>
      </c>
    </row>
    <row r="1211" spans="4:16" x14ac:dyDescent="0.25">
      <c r="D1211" s="36" t="str" cm="1">
        <f t="array" aca="1" ref="D1211" ca="1">IFERROR(IF(INDIRECT("'"&amp;F1211&amp;"'!$C$5")&gt;0,DATE(YEAR(Dashboard!$AL$2),Dashboard!$AU$4,INDIRECT("'"&amp;F1211&amp;"'!$C$5")),""),"")</f>
        <v/>
      </c>
      <c r="G1211" s="38" t="str" cm="1">
        <f t="array" aca="1" ref="G1211" ca="1">IF(F1211="",
    "",
    IFERROR(
        IF(INDIRECT("'"&amp;F1211&amp;"'!$B$2")="Credit Limit",
            "Credit Accounts",
            IF(INDIRECT("'"&amp;F1211&amp;"'!$E$2")="Location",
                "Cash Accounts",
                IF(INDIRECT("'"&amp;F1211&amp;"'!$B$2")="Amount",
                    "Investments",
                    "Bill Accounts"
                )
            )
        ),
    "")
)</f>
        <v/>
      </c>
      <c r="I1211" s="46" t="str" cm="1">
        <f t="array" aca="1" ref="I1211" ca="1">IF(F1211&lt;&gt;"",IF(OR(G1211="Bill Accounts",G1211="Investments", G1211="Cash Accounts"),INDIRECT("'"&amp;F1211&amp;"'!$C$10"),INDIRECT("'"&amp;F1211&amp;"'!$C$8")),"")</f>
        <v/>
      </c>
      <c r="K1211" s="48">
        <f t="shared" si="57"/>
        <v>1217</v>
      </c>
      <c r="L1211" s="114" t="str" cm="1">
        <f t="array" aca="1" ref="L1211" ca="1">IF(F1211&lt;&gt;"",INDIRECT("'"&amp;F1211&amp;"'!$F$17"),"")</f>
        <v/>
      </c>
      <c r="M1211" s="116" t="str">
        <f t="shared" ca="1" si="55"/>
        <v/>
      </c>
      <c r="O1211" s="49" t="str">
        <f t="shared" ca="1" si="56"/>
        <v/>
      </c>
      <c r="P1211" s="38" t="str">
        <f>IF(E1211&lt;&gt;"",RANK(E1211,$E$3:$E$2298)+COUNTIF($E$3:E1211,E1211)-1,"")</f>
        <v/>
      </c>
    </row>
    <row r="1212" spans="4:16" x14ac:dyDescent="0.25">
      <c r="D1212" s="36" t="str" cm="1">
        <f t="array" aca="1" ref="D1212" ca="1">IFERROR(IF(INDIRECT("'"&amp;F1212&amp;"'!$C$5")&gt;0,DATE(YEAR(Dashboard!$AL$2),Dashboard!$AU$4,INDIRECT("'"&amp;F1212&amp;"'!$C$5")),""),"")</f>
        <v/>
      </c>
      <c r="G1212" s="38" t="str" cm="1">
        <f t="array" aca="1" ref="G1212" ca="1">IF(F1212="",
    "",
    IFERROR(
        IF(INDIRECT("'"&amp;F1212&amp;"'!$B$2")="Credit Limit",
            "Credit Accounts",
            IF(INDIRECT("'"&amp;F1212&amp;"'!$E$2")="Location",
                "Cash Accounts",
                IF(INDIRECT("'"&amp;F1212&amp;"'!$B$2")="Amount",
                    "Investments",
                    "Bill Accounts"
                )
            )
        ),
    "")
)</f>
        <v/>
      </c>
      <c r="I1212" s="46" t="str" cm="1">
        <f t="array" aca="1" ref="I1212" ca="1">IF(F1212&lt;&gt;"",IF(OR(G1212="Bill Accounts",G1212="Investments", G1212="Cash Accounts"),INDIRECT("'"&amp;F1212&amp;"'!$C$10"),INDIRECT("'"&amp;F1212&amp;"'!$C$8")),"")</f>
        <v/>
      </c>
      <c r="K1212" s="48">
        <f t="shared" si="57"/>
        <v>1218</v>
      </c>
      <c r="L1212" s="114" t="str" cm="1">
        <f t="array" aca="1" ref="L1212" ca="1">IF(F1212&lt;&gt;"",INDIRECT("'"&amp;F1212&amp;"'!$F$17"),"")</f>
        <v/>
      </c>
      <c r="M1212" s="116" t="str">
        <f t="shared" ca="1" si="55"/>
        <v/>
      </c>
      <c r="O1212" s="49" t="str">
        <f t="shared" ca="1" si="56"/>
        <v/>
      </c>
      <c r="P1212" s="38" t="str">
        <f>IF(E1212&lt;&gt;"",RANK(E1212,$E$3:$E$2298)+COUNTIF($E$3:E1212,E1212)-1,"")</f>
        <v/>
      </c>
    </row>
    <row r="1213" spans="4:16" x14ac:dyDescent="0.25">
      <c r="D1213" s="36" t="str" cm="1">
        <f t="array" aca="1" ref="D1213" ca="1">IFERROR(IF(INDIRECT("'"&amp;F1213&amp;"'!$C$5")&gt;0,DATE(YEAR(Dashboard!$AL$2),Dashboard!$AU$4,INDIRECT("'"&amp;F1213&amp;"'!$C$5")),""),"")</f>
        <v/>
      </c>
      <c r="G1213" s="38" t="str" cm="1">
        <f t="array" aca="1" ref="G1213" ca="1">IF(F1213="",
    "",
    IFERROR(
        IF(INDIRECT("'"&amp;F1213&amp;"'!$B$2")="Credit Limit",
            "Credit Accounts",
            IF(INDIRECT("'"&amp;F1213&amp;"'!$E$2")="Location",
                "Cash Accounts",
                IF(INDIRECT("'"&amp;F1213&amp;"'!$B$2")="Amount",
                    "Investments",
                    "Bill Accounts"
                )
            )
        ),
    "")
)</f>
        <v/>
      </c>
      <c r="I1213" s="46" t="str" cm="1">
        <f t="array" aca="1" ref="I1213" ca="1">IF(F1213&lt;&gt;"",IF(OR(G1213="Bill Accounts",G1213="Investments", G1213="Cash Accounts"),INDIRECT("'"&amp;F1213&amp;"'!$C$10"),INDIRECT("'"&amp;F1213&amp;"'!$C$8")),"")</f>
        <v/>
      </c>
      <c r="K1213" s="48">
        <f t="shared" si="57"/>
        <v>1219</v>
      </c>
      <c r="L1213" s="114" t="str" cm="1">
        <f t="array" aca="1" ref="L1213" ca="1">IF(F1213&lt;&gt;"",INDIRECT("'"&amp;F1213&amp;"'!$F$17"),"")</f>
        <v/>
      </c>
      <c r="M1213" s="116" t="str">
        <f t="shared" ca="1" si="55"/>
        <v/>
      </c>
      <c r="O1213" s="49" t="str">
        <f t="shared" ca="1" si="56"/>
        <v/>
      </c>
      <c r="P1213" s="38" t="str">
        <f>IF(E1213&lt;&gt;"",RANK(E1213,$E$3:$E$2298)+COUNTIF($E$3:E1213,E1213)-1,"")</f>
        <v/>
      </c>
    </row>
    <row r="1214" spans="4:16" x14ac:dyDescent="0.25">
      <c r="D1214" s="36" t="str" cm="1">
        <f t="array" aca="1" ref="D1214" ca="1">IFERROR(IF(INDIRECT("'"&amp;F1214&amp;"'!$C$5")&gt;0,DATE(YEAR(Dashboard!$AL$2),Dashboard!$AU$4,INDIRECT("'"&amp;F1214&amp;"'!$C$5")),""),"")</f>
        <v/>
      </c>
      <c r="G1214" s="38" t="str" cm="1">
        <f t="array" aca="1" ref="G1214" ca="1">IF(F1214="",
    "",
    IFERROR(
        IF(INDIRECT("'"&amp;F1214&amp;"'!$B$2")="Credit Limit",
            "Credit Accounts",
            IF(INDIRECT("'"&amp;F1214&amp;"'!$E$2")="Location",
                "Cash Accounts",
                IF(INDIRECT("'"&amp;F1214&amp;"'!$B$2")="Amount",
                    "Investments",
                    "Bill Accounts"
                )
            )
        ),
    "")
)</f>
        <v/>
      </c>
      <c r="I1214" s="46" t="str" cm="1">
        <f t="array" aca="1" ref="I1214" ca="1">IF(F1214&lt;&gt;"",IF(OR(G1214="Bill Accounts",G1214="Investments", G1214="Cash Accounts"),INDIRECT("'"&amp;F1214&amp;"'!$C$10"),INDIRECT("'"&amp;F1214&amp;"'!$C$8")),"")</f>
        <v/>
      </c>
      <c r="K1214" s="48">
        <f t="shared" si="57"/>
        <v>1220</v>
      </c>
      <c r="L1214" s="114" t="str" cm="1">
        <f t="array" aca="1" ref="L1214" ca="1">IF(F1214&lt;&gt;"",INDIRECT("'"&amp;F1214&amp;"'!$F$17"),"")</f>
        <v/>
      </c>
      <c r="M1214" s="116" t="str">
        <f t="shared" ca="1" si="55"/>
        <v/>
      </c>
      <c r="O1214" s="49" t="str">
        <f t="shared" ca="1" si="56"/>
        <v/>
      </c>
      <c r="P1214" s="38" t="str">
        <f>IF(E1214&lt;&gt;"",RANK(E1214,$E$3:$E$2298)+COUNTIF($E$3:E1214,E1214)-1,"")</f>
        <v/>
      </c>
    </row>
    <row r="1215" spans="4:16" x14ac:dyDescent="0.25">
      <c r="D1215" s="36" t="str" cm="1">
        <f t="array" aca="1" ref="D1215" ca="1">IFERROR(IF(INDIRECT("'"&amp;F1215&amp;"'!$C$5")&gt;0,DATE(YEAR(Dashboard!$AL$2),Dashboard!$AU$4,INDIRECT("'"&amp;F1215&amp;"'!$C$5")),""),"")</f>
        <v/>
      </c>
      <c r="G1215" s="38" t="str" cm="1">
        <f t="array" aca="1" ref="G1215" ca="1">IF(F1215="",
    "",
    IFERROR(
        IF(INDIRECT("'"&amp;F1215&amp;"'!$B$2")="Credit Limit",
            "Credit Accounts",
            IF(INDIRECT("'"&amp;F1215&amp;"'!$E$2")="Location",
                "Cash Accounts",
                IF(INDIRECT("'"&amp;F1215&amp;"'!$B$2")="Amount",
                    "Investments",
                    "Bill Accounts"
                )
            )
        ),
    "")
)</f>
        <v/>
      </c>
      <c r="I1215" s="46" t="str" cm="1">
        <f t="array" aca="1" ref="I1215" ca="1">IF(F1215&lt;&gt;"",IF(OR(G1215="Bill Accounts",G1215="Investments", G1215="Cash Accounts"),INDIRECT("'"&amp;F1215&amp;"'!$C$10"),INDIRECT("'"&amp;F1215&amp;"'!$C$8")),"")</f>
        <v/>
      </c>
      <c r="K1215" s="48">
        <f t="shared" si="57"/>
        <v>1221</v>
      </c>
      <c r="L1215" s="114" t="str" cm="1">
        <f t="array" aca="1" ref="L1215" ca="1">IF(F1215&lt;&gt;"",INDIRECT("'"&amp;F1215&amp;"'!$F$17"),"")</f>
        <v/>
      </c>
      <c r="M1215" s="116" t="str">
        <f t="shared" ca="1" si="55"/>
        <v/>
      </c>
      <c r="O1215" s="49" t="str">
        <f t="shared" ca="1" si="56"/>
        <v/>
      </c>
      <c r="P1215" s="38" t="str">
        <f>IF(E1215&lt;&gt;"",RANK(E1215,$E$3:$E$2298)+COUNTIF($E$3:E1215,E1215)-1,"")</f>
        <v/>
      </c>
    </row>
    <row r="1216" spans="4:16" x14ac:dyDescent="0.25">
      <c r="D1216" s="36" t="str" cm="1">
        <f t="array" aca="1" ref="D1216" ca="1">IFERROR(IF(INDIRECT("'"&amp;F1216&amp;"'!$C$5")&gt;0,DATE(YEAR(Dashboard!$AL$2),Dashboard!$AU$4,INDIRECT("'"&amp;F1216&amp;"'!$C$5")),""),"")</f>
        <v/>
      </c>
      <c r="G1216" s="38" t="str" cm="1">
        <f t="array" aca="1" ref="G1216" ca="1">IF(F1216="",
    "",
    IFERROR(
        IF(INDIRECT("'"&amp;F1216&amp;"'!$B$2")="Credit Limit",
            "Credit Accounts",
            IF(INDIRECT("'"&amp;F1216&amp;"'!$E$2")="Location",
                "Cash Accounts",
                IF(INDIRECT("'"&amp;F1216&amp;"'!$B$2")="Amount",
                    "Investments",
                    "Bill Accounts"
                )
            )
        ),
    "")
)</f>
        <v/>
      </c>
      <c r="I1216" s="46" t="str" cm="1">
        <f t="array" aca="1" ref="I1216" ca="1">IF(F1216&lt;&gt;"",IF(OR(G1216="Bill Accounts",G1216="Investments", G1216="Cash Accounts"),INDIRECT("'"&amp;F1216&amp;"'!$C$10"),INDIRECT("'"&amp;F1216&amp;"'!$C$8")),"")</f>
        <v/>
      </c>
      <c r="K1216" s="48">
        <f t="shared" si="57"/>
        <v>1222</v>
      </c>
      <c r="L1216" s="114" t="str" cm="1">
        <f t="array" aca="1" ref="L1216" ca="1">IF(F1216&lt;&gt;"",INDIRECT("'"&amp;F1216&amp;"'!$F$17"),"")</f>
        <v/>
      </c>
      <c r="M1216" s="116" t="str">
        <f t="shared" ca="1" si="55"/>
        <v/>
      </c>
      <c r="O1216" s="49" t="str">
        <f t="shared" ca="1" si="56"/>
        <v/>
      </c>
      <c r="P1216" s="38" t="str">
        <f>IF(E1216&lt;&gt;"",RANK(E1216,$E$3:$E$2298)+COUNTIF($E$3:E1216,E1216)-1,"")</f>
        <v/>
      </c>
    </row>
    <row r="1217" spans="4:16" x14ac:dyDescent="0.25">
      <c r="D1217" s="36" t="str" cm="1">
        <f t="array" aca="1" ref="D1217" ca="1">IFERROR(IF(INDIRECT("'"&amp;F1217&amp;"'!$C$5")&gt;0,DATE(YEAR(Dashboard!$AL$2),Dashboard!$AU$4,INDIRECT("'"&amp;F1217&amp;"'!$C$5")),""),"")</f>
        <v/>
      </c>
      <c r="G1217" s="38" t="str" cm="1">
        <f t="array" aca="1" ref="G1217" ca="1">IF(F1217="",
    "",
    IFERROR(
        IF(INDIRECT("'"&amp;F1217&amp;"'!$B$2")="Credit Limit",
            "Credit Accounts",
            IF(INDIRECT("'"&amp;F1217&amp;"'!$E$2")="Location",
                "Cash Accounts",
                IF(INDIRECT("'"&amp;F1217&amp;"'!$B$2")="Amount",
                    "Investments",
                    "Bill Accounts"
                )
            )
        ),
    "")
)</f>
        <v/>
      </c>
      <c r="I1217" s="46" t="str" cm="1">
        <f t="array" aca="1" ref="I1217" ca="1">IF(F1217&lt;&gt;"",IF(OR(G1217="Bill Accounts",G1217="Investments", G1217="Cash Accounts"),INDIRECT("'"&amp;F1217&amp;"'!$C$10"),INDIRECT("'"&amp;F1217&amp;"'!$C$8")),"")</f>
        <v/>
      </c>
      <c r="K1217" s="48">
        <f t="shared" si="57"/>
        <v>1223</v>
      </c>
      <c r="L1217" s="114" t="str" cm="1">
        <f t="array" aca="1" ref="L1217" ca="1">IF(F1217&lt;&gt;"",INDIRECT("'"&amp;F1217&amp;"'!$F$17"),"")</f>
        <v/>
      </c>
      <c r="M1217" s="116" t="str">
        <f t="shared" ca="1" si="55"/>
        <v/>
      </c>
      <c r="O1217" s="49" t="str">
        <f t="shared" ca="1" si="56"/>
        <v/>
      </c>
      <c r="P1217" s="38" t="str">
        <f>IF(E1217&lt;&gt;"",RANK(E1217,$E$3:$E$2298)+COUNTIF($E$3:E1217,E1217)-1,"")</f>
        <v/>
      </c>
    </row>
    <row r="1218" spans="4:16" x14ac:dyDescent="0.25">
      <c r="D1218" s="36" t="str" cm="1">
        <f t="array" aca="1" ref="D1218" ca="1">IFERROR(IF(INDIRECT("'"&amp;F1218&amp;"'!$C$5")&gt;0,DATE(YEAR(Dashboard!$AL$2),Dashboard!$AU$4,INDIRECT("'"&amp;F1218&amp;"'!$C$5")),""),"")</f>
        <v/>
      </c>
      <c r="G1218" s="38" t="str" cm="1">
        <f t="array" aca="1" ref="G1218" ca="1">IF(F1218="",
    "",
    IFERROR(
        IF(INDIRECT("'"&amp;F1218&amp;"'!$B$2")="Credit Limit",
            "Credit Accounts",
            IF(INDIRECT("'"&amp;F1218&amp;"'!$E$2")="Location",
                "Cash Accounts",
                IF(INDIRECT("'"&amp;F1218&amp;"'!$B$2")="Amount",
                    "Investments",
                    "Bill Accounts"
                )
            )
        ),
    "")
)</f>
        <v/>
      </c>
      <c r="I1218" s="46" t="str" cm="1">
        <f t="array" aca="1" ref="I1218" ca="1">IF(F1218&lt;&gt;"",IF(OR(G1218="Bill Accounts",G1218="Investments", G1218="Cash Accounts"),INDIRECT("'"&amp;F1218&amp;"'!$C$10"),INDIRECT("'"&amp;F1218&amp;"'!$C$8")),"")</f>
        <v/>
      </c>
      <c r="K1218" s="48">
        <f t="shared" si="57"/>
        <v>1224</v>
      </c>
      <c r="L1218" s="114" t="str" cm="1">
        <f t="array" aca="1" ref="L1218" ca="1">IF(F1218&lt;&gt;"",INDIRECT("'"&amp;F1218&amp;"'!$F$17"),"")</f>
        <v/>
      </c>
      <c r="M1218" s="116" t="str">
        <f t="shared" ca="1" si="55"/>
        <v/>
      </c>
      <c r="O1218" s="49" t="str">
        <f t="shared" ca="1" si="56"/>
        <v/>
      </c>
      <c r="P1218" s="38" t="str">
        <f>IF(E1218&lt;&gt;"",RANK(E1218,$E$3:$E$2298)+COUNTIF($E$3:E1218,E1218)-1,"")</f>
        <v/>
      </c>
    </row>
    <row r="1219" spans="4:16" x14ac:dyDescent="0.25">
      <c r="D1219" s="36" t="str" cm="1">
        <f t="array" aca="1" ref="D1219" ca="1">IFERROR(IF(INDIRECT("'"&amp;F1219&amp;"'!$C$5")&gt;0,DATE(YEAR(Dashboard!$AL$2),Dashboard!$AU$4,INDIRECT("'"&amp;F1219&amp;"'!$C$5")),""),"")</f>
        <v/>
      </c>
      <c r="G1219" s="38" t="str" cm="1">
        <f t="array" aca="1" ref="G1219" ca="1">IF(F1219="",
    "",
    IFERROR(
        IF(INDIRECT("'"&amp;F1219&amp;"'!$B$2")="Credit Limit",
            "Credit Accounts",
            IF(INDIRECT("'"&amp;F1219&amp;"'!$E$2")="Location",
                "Cash Accounts",
                IF(INDIRECT("'"&amp;F1219&amp;"'!$B$2")="Amount",
                    "Investments",
                    "Bill Accounts"
                )
            )
        ),
    "")
)</f>
        <v/>
      </c>
      <c r="I1219" s="46" t="str" cm="1">
        <f t="array" aca="1" ref="I1219" ca="1">IF(F1219&lt;&gt;"",IF(OR(G1219="Bill Accounts",G1219="Investments", G1219="Cash Accounts"),INDIRECT("'"&amp;F1219&amp;"'!$C$10"),INDIRECT("'"&amp;F1219&amp;"'!$C$8")),"")</f>
        <v/>
      </c>
      <c r="K1219" s="48">
        <f t="shared" si="57"/>
        <v>1225</v>
      </c>
      <c r="L1219" s="114" t="str" cm="1">
        <f t="array" aca="1" ref="L1219" ca="1">IF(F1219&lt;&gt;"",INDIRECT("'"&amp;F1219&amp;"'!$F$17"),"")</f>
        <v/>
      </c>
      <c r="M1219" s="116" t="str">
        <f t="shared" ca="1" si="55"/>
        <v/>
      </c>
      <c r="O1219" s="49" t="str">
        <f t="shared" ca="1" si="56"/>
        <v/>
      </c>
      <c r="P1219" s="38" t="str">
        <f>IF(E1219&lt;&gt;"",RANK(E1219,$E$3:$E$2298)+COUNTIF($E$3:E1219,E1219)-1,"")</f>
        <v/>
      </c>
    </row>
    <row r="1220" spans="4:16" x14ac:dyDescent="0.25">
      <c r="D1220" s="36" t="str" cm="1">
        <f t="array" aca="1" ref="D1220" ca="1">IFERROR(IF(INDIRECT("'"&amp;F1220&amp;"'!$C$5")&gt;0,DATE(YEAR(Dashboard!$AL$2),Dashboard!$AU$4,INDIRECT("'"&amp;F1220&amp;"'!$C$5")),""),"")</f>
        <v/>
      </c>
      <c r="G1220" s="38" t="str" cm="1">
        <f t="array" aca="1" ref="G1220" ca="1">IF(F1220="",
    "",
    IFERROR(
        IF(INDIRECT("'"&amp;F1220&amp;"'!$B$2")="Credit Limit",
            "Credit Accounts",
            IF(INDIRECT("'"&amp;F1220&amp;"'!$E$2")="Location",
                "Cash Accounts",
                IF(INDIRECT("'"&amp;F1220&amp;"'!$B$2")="Amount",
                    "Investments",
                    "Bill Accounts"
                )
            )
        ),
    "")
)</f>
        <v/>
      </c>
      <c r="I1220" s="46" t="str" cm="1">
        <f t="array" aca="1" ref="I1220" ca="1">IF(F1220&lt;&gt;"",IF(OR(G1220="Bill Accounts",G1220="Investments", G1220="Cash Accounts"),INDIRECT("'"&amp;F1220&amp;"'!$C$10"),INDIRECT("'"&amp;F1220&amp;"'!$C$8")),"")</f>
        <v/>
      </c>
      <c r="K1220" s="48">
        <f t="shared" si="57"/>
        <v>1226</v>
      </c>
      <c r="L1220" s="114" t="str" cm="1">
        <f t="array" aca="1" ref="L1220" ca="1">IF(F1220&lt;&gt;"",INDIRECT("'"&amp;F1220&amp;"'!$F$17"),"")</f>
        <v/>
      </c>
      <c r="M1220" s="116" t="str">
        <f t="shared" ref="M1220:M1283" ca="1" si="58">IF(G1220="Credit Accounts",EDATE(TODAY(),INDIRECT("'"&amp;F1220&amp;"'!$C$14")),"")</f>
        <v/>
      </c>
      <c r="O1220" s="49" t="str">
        <f t="shared" ref="O1220:O1283" ca="1" si="59">IF(D1220&lt;&gt;"",DAY(D1220),"")</f>
        <v/>
      </c>
      <c r="P1220" s="38" t="str">
        <f>IF(E1220&lt;&gt;"",RANK(E1220,$E$3:$E$2298)+COUNTIF($E$3:E1220,E1220)-1,"")</f>
        <v/>
      </c>
    </row>
    <row r="1221" spans="4:16" x14ac:dyDescent="0.25">
      <c r="D1221" s="36" t="str" cm="1">
        <f t="array" aca="1" ref="D1221" ca="1">IFERROR(IF(INDIRECT("'"&amp;F1221&amp;"'!$C$5")&gt;0,DATE(YEAR(Dashboard!$AL$2),Dashboard!$AU$4,INDIRECT("'"&amp;F1221&amp;"'!$C$5")),""),"")</f>
        <v/>
      </c>
      <c r="G1221" s="38" t="str" cm="1">
        <f t="array" aca="1" ref="G1221" ca="1">IF(F1221="",
    "",
    IFERROR(
        IF(INDIRECT("'"&amp;F1221&amp;"'!$B$2")="Credit Limit",
            "Credit Accounts",
            IF(INDIRECT("'"&amp;F1221&amp;"'!$E$2")="Location",
                "Cash Accounts",
                IF(INDIRECT("'"&amp;F1221&amp;"'!$B$2")="Amount",
                    "Investments",
                    "Bill Accounts"
                )
            )
        ),
    "")
)</f>
        <v/>
      </c>
      <c r="I1221" s="46" t="str" cm="1">
        <f t="array" aca="1" ref="I1221" ca="1">IF(F1221&lt;&gt;"",IF(OR(G1221="Bill Accounts",G1221="Investments", G1221="Cash Accounts"),INDIRECT("'"&amp;F1221&amp;"'!$C$10"),INDIRECT("'"&amp;F1221&amp;"'!$C$8")),"")</f>
        <v/>
      </c>
      <c r="K1221" s="48">
        <f t="shared" si="57"/>
        <v>1227</v>
      </c>
      <c r="L1221" s="114" t="str" cm="1">
        <f t="array" aca="1" ref="L1221" ca="1">IF(F1221&lt;&gt;"",INDIRECT("'"&amp;F1221&amp;"'!$F$17"),"")</f>
        <v/>
      </c>
      <c r="M1221" s="116" t="str">
        <f t="shared" ca="1" si="58"/>
        <v/>
      </c>
      <c r="O1221" s="49" t="str">
        <f t="shared" ca="1" si="59"/>
        <v/>
      </c>
      <c r="P1221" s="38" t="str">
        <f>IF(E1221&lt;&gt;"",RANK(E1221,$E$3:$E$2298)+COUNTIF($E$3:E1221,E1221)-1,"")</f>
        <v/>
      </c>
    </row>
    <row r="1222" spans="4:16" x14ac:dyDescent="0.25">
      <c r="D1222" s="36" t="str" cm="1">
        <f t="array" aca="1" ref="D1222" ca="1">IFERROR(IF(INDIRECT("'"&amp;F1222&amp;"'!$C$5")&gt;0,DATE(YEAR(Dashboard!$AL$2),Dashboard!$AU$4,INDIRECT("'"&amp;F1222&amp;"'!$C$5")),""),"")</f>
        <v/>
      </c>
      <c r="G1222" s="38" t="str" cm="1">
        <f t="array" aca="1" ref="G1222" ca="1">IF(F1222="",
    "",
    IFERROR(
        IF(INDIRECT("'"&amp;F1222&amp;"'!$B$2")="Credit Limit",
            "Credit Accounts",
            IF(INDIRECT("'"&amp;F1222&amp;"'!$E$2")="Location",
                "Cash Accounts",
                IF(INDIRECT("'"&amp;F1222&amp;"'!$B$2")="Amount",
                    "Investments",
                    "Bill Accounts"
                )
            )
        ),
    "")
)</f>
        <v/>
      </c>
      <c r="I1222" s="46" t="str" cm="1">
        <f t="array" aca="1" ref="I1222" ca="1">IF(F1222&lt;&gt;"",IF(OR(G1222="Bill Accounts",G1222="Investments", G1222="Cash Accounts"),INDIRECT("'"&amp;F1222&amp;"'!$C$10"),INDIRECT("'"&amp;F1222&amp;"'!$C$8")),"")</f>
        <v/>
      </c>
      <c r="K1222" s="48">
        <f t="shared" si="57"/>
        <v>1228</v>
      </c>
      <c r="L1222" s="114" t="str" cm="1">
        <f t="array" aca="1" ref="L1222" ca="1">IF(F1222&lt;&gt;"",INDIRECT("'"&amp;F1222&amp;"'!$F$17"),"")</f>
        <v/>
      </c>
      <c r="M1222" s="116" t="str">
        <f t="shared" ca="1" si="58"/>
        <v/>
      </c>
      <c r="O1222" s="49" t="str">
        <f t="shared" ca="1" si="59"/>
        <v/>
      </c>
      <c r="P1222" s="38" t="str">
        <f>IF(E1222&lt;&gt;"",RANK(E1222,$E$3:$E$2298)+COUNTIF($E$3:E1222,E1222)-1,"")</f>
        <v/>
      </c>
    </row>
    <row r="1223" spans="4:16" x14ac:dyDescent="0.25">
      <c r="D1223" s="36" t="str" cm="1">
        <f t="array" aca="1" ref="D1223" ca="1">IFERROR(IF(INDIRECT("'"&amp;F1223&amp;"'!$C$5")&gt;0,DATE(YEAR(Dashboard!$AL$2),Dashboard!$AU$4,INDIRECT("'"&amp;F1223&amp;"'!$C$5")),""),"")</f>
        <v/>
      </c>
      <c r="G1223" s="38" t="str" cm="1">
        <f t="array" aca="1" ref="G1223" ca="1">IF(F1223="",
    "",
    IFERROR(
        IF(INDIRECT("'"&amp;F1223&amp;"'!$B$2")="Credit Limit",
            "Credit Accounts",
            IF(INDIRECT("'"&amp;F1223&amp;"'!$E$2")="Location",
                "Cash Accounts",
                IF(INDIRECT("'"&amp;F1223&amp;"'!$B$2")="Amount",
                    "Investments",
                    "Bill Accounts"
                )
            )
        ),
    "")
)</f>
        <v/>
      </c>
      <c r="I1223" s="46" t="str" cm="1">
        <f t="array" aca="1" ref="I1223" ca="1">IF(F1223&lt;&gt;"",IF(OR(G1223="Bill Accounts",G1223="Investments", G1223="Cash Accounts"),INDIRECT("'"&amp;F1223&amp;"'!$C$10"),INDIRECT("'"&amp;F1223&amp;"'!$C$8")),"")</f>
        <v/>
      </c>
      <c r="K1223" s="48">
        <f t="shared" si="57"/>
        <v>1229</v>
      </c>
      <c r="L1223" s="114" t="str" cm="1">
        <f t="array" aca="1" ref="L1223" ca="1">IF(F1223&lt;&gt;"",INDIRECT("'"&amp;F1223&amp;"'!$F$17"),"")</f>
        <v/>
      </c>
      <c r="M1223" s="116" t="str">
        <f t="shared" ca="1" si="58"/>
        <v/>
      </c>
      <c r="O1223" s="49" t="str">
        <f t="shared" ca="1" si="59"/>
        <v/>
      </c>
      <c r="P1223" s="38" t="str">
        <f>IF(E1223&lt;&gt;"",RANK(E1223,$E$3:$E$2298)+COUNTIF($E$3:E1223,E1223)-1,"")</f>
        <v/>
      </c>
    </row>
    <row r="1224" spans="4:16" x14ac:dyDescent="0.25">
      <c r="D1224" s="36" t="str" cm="1">
        <f t="array" aca="1" ref="D1224" ca="1">IFERROR(IF(INDIRECT("'"&amp;F1224&amp;"'!$C$5")&gt;0,DATE(YEAR(Dashboard!$AL$2),Dashboard!$AU$4,INDIRECT("'"&amp;F1224&amp;"'!$C$5")),""),"")</f>
        <v/>
      </c>
      <c r="G1224" s="38" t="str" cm="1">
        <f t="array" aca="1" ref="G1224" ca="1">IF(F1224="",
    "",
    IFERROR(
        IF(INDIRECT("'"&amp;F1224&amp;"'!$B$2")="Credit Limit",
            "Credit Accounts",
            IF(INDIRECT("'"&amp;F1224&amp;"'!$E$2")="Location",
                "Cash Accounts",
                IF(INDIRECT("'"&amp;F1224&amp;"'!$B$2")="Amount",
                    "Investments",
                    "Bill Accounts"
                )
            )
        ),
    "")
)</f>
        <v/>
      </c>
      <c r="I1224" s="46" t="str" cm="1">
        <f t="array" aca="1" ref="I1224" ca="1">IF(F1224&lt;&gt;"",IF(OR(G1224="Bill Accounts",G1224="Investments", G1224="Cash Accounts"),INDIRECT("'"&amp;F1224&amp;"'!$C$10"),INDIRECT("'"&amp;F1224&amp;"'!$C$8")),"")</f>
        <v/>
      </c>
      <c r="K1224" s="48">
        <f t="shared" ref="K1224:K1287" si="60">SUM(K1223+1)</f>
        <v>1230</v>
      </c>
      <c r="L1224" s="114" t="str" cm="1">
        <f t="array" aca="1" ref="L1224" ca="1">IF(F1224&lt;&gt;"",INDIRECT("'"&amp;F1224&amp;"'!$F$17"),"")</f>
        <v/>
      </c>
      <c r="M1224" s="116" t="str">
        <f t="shared" ca="1" si="58"/>
        <v/>
      </c>
      <c r="O1224" s="49" t="str">
        <f t="shared" ca="1" si="59"/>
        <v/>
      </c>
      <c r="P1224" s="38" t="str">
        <f>IF(E1224&lt;&gt;"",RANK(E1224,$E$3:$E$2298)+COUNTIF($E$3:E1224,E1224)-1,"")</f>
        <v/>
      </c>
    </row>
    <row r="1225" spans="4:16" x14ac:dyDescent="0.25">
      <c r="D1225" s="36" t="str" cm="1">
        <f t="array" aca="1" ref="D1225" ca="1">IFERROR(IF(INDIRECT("'"&amp;F1225&amp;"'!$C$5")&gt;0,DATE(YEAR(Dashboard!$AL$2),Dashboard!$AU$4,INDIRECT("'"&amp;F1225&amp;"'!$C$5")),""),"")</f>
        <v/>
      </c>
      <c r="G1225" s="38" t="str" cm="1">
        <f t="array" aca="1" ref="G1225" ca="1">IF(F1225="",
    "",
    IFERROR(
        IF(INDIRECT("'"&amp;F1225&amp;"'!$B$2")="Credit Limit",
            "Credit Accounts",
            IF(INDIRECT("'"&amp;F1225&amp;"'!$E$2")="Location",
                "Cash Accounts",
                IF(INDIRECT("'"&amp;F1225&amp;"'!$B$2")="Amount",
                    "Investments",
                    "Bill Accounts"
                )
            )
        ),
    "")
)</f>
        <v/>
      </c>
      <c r="I1225" s="46" t="str" cm="1">
        <f t="array" aca="1" ref="I1225" ca="1">IF(F1225&lt;&gt;"",IF(OR(G1225="Bill Accounts",G1225="Investments", G1225="Cash Accounts"),INDIRECT("'"&amp;F1225&amp;"'!$C$10"),INDIRECT("'"&amp;F1225&amp;"'!$C$8")),"")</f>
        <v/>
      </c>
      <c r="K1225" s="48">
        <f t="shared" si="60"/>
        <v>1231</v>
      </c>
      <c r="L1225" s="114" t="str" cm="1">
        <f t="array" aca="1" ref="L1225" ca="1">IF(F1225&lt;&gt;"",INDIRECT("'"&amp;F1225&amp;"'!$F$17"),"")</f>
        <v/>
      </c>
      <c r="M1225" s="116" t="str">
        <f t="shared" ca="1" si="58"/>
        <v/>
      </c>
      <c r="O1225" s="49" t="str">
        <f t="shared" ca="1" si="59"/>
        <v/>
      </c>
      <c r="P1225" s="38" t="str">
        <f>IF(E1225&lt;&gt;"",RANK(E1225,$E$3:$E$2298)+COUNTIF($E$3:E1225,E1225)-1,"")</f>
        <v/>
      </c>
    </row>
    <row r="1226" spans="4:16" x14ac:dyDescent="0.25">
      <c r="D1226" s="36" t="str" cm="1">
        <f t="array" aca="1" ref="D1226" ca="1">IFERROR(IF(INDIRECT("'"&amp;F1226&amp;"'!$C$5")&gt;0,DATE(YEAR(Dashboard!$AL$2),Dashboard!$AU$4,INDIRECT("'"&amp;F1226&amp;"'!$C$5")),""),"")</f>
        <v/>
      </c>
      <c r="G1226" s="38" t="str" cm="1">
        <f t="array" aca="1" ref="G1226" ca="1">IF(F1226="",
    "",
    IFERROR(
        IF(INDIRECT("'"&amp;F1226&amp;"'!$B$2")="Credit Limit",
            "Credit Accounts",
            IF(INDIRECT("'"&amp;F1226&amp;"'!$E$2")="Location",
                "Cash Accounts",
                IF(INDIRECT("'"&amp;F1226&amp;"'!$B$2")="Amount",
                    "Investments",
                    "Bill Accounts"
                )
            )
        ),
    "")
)</f>
        <v/>
      </c>
      <c r="I1226" s="46" t="str" cm="1">
        <f t="array" aca="1" ref="I1226" ca="1">IF(F1226&lt;&gt;"",IF(OR(G1226="Bill Accounts",G1226="Investments", G1226="Cash Accounts"),INDIRECT("'"&amp;F1226&amp;"'!$C$10"),INDIRECT("'"&amp;F1226&amp;"'!$C$8")),"")</f>
        <v/>
      </c>
      <c r="K1226" s="48">
        <f t="shared" si="60"/>
        <v>1232</v>
      </c>
      <c r="L1226" s="114" t="str" cm="1">
        <f t="array" aca="1" ref="L1226" ca="1">IF(F1226&lt;&gt;"",INDIRECT("'"&amp;F1226&amp;"'!$F$17"),"")</f>
        <v/>
      </c>
      <c r="M1226" s="116" t="str">
        <f t="shared" ca="1" si="58"/>
        <v/>
      </c>
      <c r="O1226" s="49" t="str">
        <f t="shared" ca="1" si="59"/>
        <v/>
      </c>
      <c r="P1226" s="38" t="str">
        <f>IF(E1226&lt;&gt;"",RANK(E1226,$E$3:$E$2298)+COUNTIF($E$3:E1226,E1226)-1,"")</f>
        <v/>
      </c>
    </row>
    <row r="1227" spans="4:16" x14ac:dyDescent="0.25">
      <c r="D1227" s="36" t="str" cm="1">
        <f t="array" aca="1" ref="D1227" ca="1">IFERROR(IF(INDIRECT("'"&amp;F1227&amp;"'!$C$5")&gt;0,DATE(YEAR(Dashboard!$AL$2),Dashboard!$AU$4,INDIRECT("'"&amp;F1227&amp;"'!$C$5")),""),"")</f>
        <v/>
      </c>
      <c r="G1227" s="38" t="str" cm="1">
        <f t="array" aca="1" ref="G1227" ca="1">IF(F1227="",
    "",
    IFERROR(
        IF(INDIRECT("'"&amp;F1227&amp;"'!$B$2")="Credit Limit",
            "Credit Accounts",
            IF(INDIRECT("'"&amp;F1227&amp;"'!$E$2")="Location",
                "Cash Accounts",
                IF(INDIRECT("'"&amp;F1227&amp;"'!$B$2")="Amount",
                    "Investments",
                    "Bill Accounts"
                )
            )
        ),
    "")
)</f>
        <v/>
      </c>
      <c r="I1227" s="46" t="str" cm="1">
        <f t="array" aca="1" ref="I1227" ca="1">IF(F1227&lt;&gt;"",IF(OR(G1227="Bill Accounts",G1227="Investments", G1227="Cash Accounts"),INDIRECT("'"&amp;F1227&amp;"'!$C$10"),INDIRECT("'"&amp;F1227&amp;"'!$C$8")),"")</f>
        <v/>
      </c>
      <c r="K1227" s="48">
        <f t="shared" si="60"/>
        <v>1233</v>
      </c>
      <c r="L1227" s="114" t="str" cm="1">
        <f t="array" aca="1" ref="L1227" ca="1">IF(F1227&lt;&gt;"",INDIRECT("'"&amp;F1227&amp;"'!$F$17"),"")</f>
        <v/>
      </c>
      <c r="M1227" s="116" t="str">
        <f t="shared" ca="1" si="58"/>
        <v/>
      </c>
      <c r="O1227" s="49" t="str">
        <f t="shared" ca="1" si="59"/>
        <v/>
      </c>
      <c r="P1227" s="38" t="str">
        <f>IF(E1227&lt;&gt;"",RANK(E1227,$E$3:$E$2298)+COUNTIF($E$3:E1227,E1227)-1,"")</f>
        <v/>
      </c>
    </row>
    <row r="1228" spans="4:16" x14ac:dyDescent="0.25">
      <c r="D1228" s="36" t="str" cm="1">
        <f t="array" aca="1" ref="D1228" ca="1">IFERROR(IF(INDIRECT("'"&amp;F1228&amp;"'!$C$5")&gt;0,DATE(YEAR(Dashboard!$AL$2),Dashboard!$AU$4,INDIRECT("'"&amp;F1228&amp;"'!$C$5")),""),"")</f>
        <v/>
      </c>
      <c r="G1228" s="38" t="str" cm="1">
        <f t="array" aca="1" ref="G1228" ca="1">IF(F1228="",
    "",
    IFERROR(
        IF(INDIRECT("'"&amp;F1228&amp;"'!$B$2")="Credit Limit",
            "Credit Accounts",
            IF(INDIRECT("'"&amp;F1228&amp;"'!$E$2")="Location",
                "Cash Accounts",
                IF(INDIRECT("'"&amp;F1228&amp;"'!$B$2")="Amount",
                    "Investments",
                    "Bill Accounts"
                )
            )
        ),
    "")
)</f>
        <v/>
      </c>
      <c r="I1228" s="46" t="str" cm="1">
        <f t="array" aca="1" ref="I1228" ca="1">IF(F1228&lt;&gt;"",IF(OR(G1228="Bill Accounts",G1228="Investments", G1228="Cash Accounts"),INDIRECT("'"&amp;F1228&amp;"'!$C$10"),INDIRECT("'"&amp;F1228&amp;"'!$C$8")),"")</f>
        <v/>
      </c>
      <c r="K1228" s="48">
        <f t="shared" si="60"/>
        <v>1234</v>
      </c>
      <c r="L1228" s="114" t="str" cm="1">
        <f t="array" aca="1" ref="L1228" ca="1">IF(F1228&lt;&gt;"",INDIRECT("'"&amp;F1228&amp;"'!$F$17"),"")</f>
        <v/>
      </c>
      <c r="M1228" s="116" t="str">
        <f t="shared" ca="1" si="58"/>
        <v/>
      </c>
      <c r="O1228" s="49" t="str">
        <f t="shared" ca="1" si="59"/>
        <v/>
      </c>
      <c r="P1228" s="38" t="str">
        <f>IF(E1228&lt;&gt;"",RANK(E1228,$E$3:$E$2298)+COUNTIF($E$3:E1228,E1228)-1,"")</f>
        <v/>
      </c>
    </row>
    <row r="1229" spans="4:16" x14ac:dyDescent="0.25">
      <c r="D1229" s="36" t="str" cm="1">
        <f t="array" aca="1" ref="D1229" ca="1">IFERROR(IF(INDIRECT("'"&amp;F1229&amp;"'!$C$5")&gt;0,DATE(YEAR(Dashboard!$AL$2),Dashboard!$AU$4,INDIRECT("'"&amp;F1229&amp;"'!$C$5")),""),"")</f>
        <v/>
      </c>
      <c r="G1229" s="38" t="str" cm="1">
        <f t="array" aca="1" ref="G1229" ca="1">IF(F1229="",
    "",
    IFERROR(
        IF(INDIRECT("'"&amp;F1229&amp;"'!$B$2")="Credit Limit",
            "Credit Accounts",
            IF(INDIRECT("'"&amp;F1229&amp;"'!$E$2")="Location",
                "Cash Accounts",
                IF(INDIRECT("'"&amp;F1229&amp;"'!$B$2")="Amount",
                    "Investments",
                    "Bill Accounts"
                )
            )
        ),
    "")
)</f>
        <v/>
      </c>
      <c r="I1229" s="46" t="str" cm="1">
        <f t="array" aca="1" ref="I1229" ca="1">IF(F1229&lt;&gt;"",IF(OR(G1229="Bill Accounts",G1229="Investments", G1229="Cash Accounts"),INDIRECT("'"&amp;F1229&amp;"'!$C$10"),INDIRECT("'"&amp;F1229&amp;"'!$C$8")),"")</f>
        <v/>
      </c>
      <c r="K1229" s="48">
        <f t="shared" si="60"/>
        <v>1235</v>
      </c>
      <c r="L1229" s="114" t="str" cm="1">
        <f t="array" aca="1" ref="L1229" ca="1">IF(F1229&lt;&gt;"",INDIRECT("'"&amp;F1229&amp;"'!$F$17"),"")</f>
        <v/>
      </c>
      <c r="M1229" s="116" t="str">
        <f t="shared" ca="1" si="58"/>
        <v/>
      </c>
      <c r="O1229" s="49" t="str">
        <f t="shared" ca="1" si="59"/>
        <v/>
      </c>
      <c r="P1229" s="38" t="str">
        <f>IF(E1229&lt;&gt;"",RANK(E1229,$E$3:$E$2298)+COUNTIF($E$3:E1229,E1229)-1,"")</f>
        <v/>
      </c>
    </row>
    <row r="1230" spans="4:16" x14ac:dyDescent="0.25">
      <c r="D1230" s="36" t="str" cm="1">
        <f t="array" aca="1" ref="D1230" ca="1">IFERROR(IF(INDIRECT("'"&amp;F1230&amp;"'!$C$5")&gt;0,DATE(YEAR(Dashboard!$AL$2),Dashboard!$AU$4,INDIRECT("'"&amp;F1230&amp;"'!$C$5")),""),"")</f>
        <v/>
      </c>
      <c r="G1230" s="38" t="str" cm="1">
        <f t="array" aca="1" ref="G1230" ca="1">IF(F1230="",
    "",
    IFERROR(
        IF(INDIRECT("'"&amp;F1230&amp;"'!$B$2")="Credit Limit",
            "Credit Accounts",
            IF(INDIRECT("'"&amp;F1230&amp;"'!$E$2")="Location",
                "Cash Accounts",
                IF(INDIRECT("'"&amp;F1230&amp;"'!$B$2")="Amount",
                    "Investments",
                    "Bill Accounts"
                )
            )
        ),
    "")
)</f>
        <v/>
      </c>
      <c r="I1230" s="46" t="str" cm="1">
        <f t="array" aca="1" ref="I1230" ca="1">IF(F1230&lt;&gt;"",IF(OR(G1230="Bill Accounts",G1230="Investments", G1230="Cash Accounts"),INDIRECT("'"&amp;F1230&amp;"'!$C$10"),INDIRECT("'"&amp;F1230&amp;"'!$C$8")),"")</f>
        <v/>
      </c>
      <c r="K1230" s="48">
        <f t="shared" si="60"/>
        <v>1236</v>
      </c>
      <c r="L1230" s="114" t="str" cm="1">
        <f t="array" aca="1" ref="L1230" ca="1">IF(F1230&lt;&gt;"",INDIRECT("'"&amp;F1230&amp;"'!$F$17"),"")</f>
        <v/>
      </c>
      <c r="M1230" s="116" t="str">
        <f t="shared" ca="1" si="58"/>
        <v/>
      </c>
      <c r="O1230" s="49" t="str">
        <f t="shared" ca="1" si="59"/>
        <v/>
      </c>
      <c r="P1230" s="38" t="str">
        <f>IF(E1230&lt;&gt;"",RANK(E1230,$E$3:$E$2298)+COUNTIF($E$3:E1230,E1230)-1,"")</f>
        <v/>
      </c>
    </row>
    <row r="1231" spans="4:16" x14ac:dyDescent="0.25">
      <c r="D1231" s="36" t="str" cm="1">
        <f t="array" aca="1" ref="D1231" ca="1">IFERROR(IF(INDIRECT("'"&amp;F1231&amp;"'!$C$5")&gt;0,DATE(YEAR(Dashboard!$AL$2),Dashboard!$AU$4,INDIRECT("'"&amp;F1231&amp;"'!$C$5")),""),"")</f>
        <v/>
      </c>
      <c r="G1231" s="38" t="str" cm="1">
        <f t="array" aca="1" ref="G1231" ca="1">IF(F1231="",
    "",
    IFERROR(
        IF(INDIRECT("'"&amp;F1231&amp;"'!$B$2")="Credit Limit",
            "Credit Accounts",
            IF(INDIRECT("'"&amp;F1231&amp;"'!$E$2")="Location",
                "Cash Accounts",
                IF(INDIRECT("'"&amp;F1231&amp;"'!$B$2")="Amount",
                    "Investments",
                    "Bill Accounts"
                )
            )
        ),
    "")
)</f>
        <v/>
      </c>
      <c r="I1231" s="46" t="str" cm="1">
        <f t="array" aca="1" ref="I1231" ca="1">IF(F1231&lt;&gt;"",IF(OR(G1231="Bill Accounts",G1231="Investments", G1231="Cash Accounts"),INDIRECT("'"&amp;F1231&amp;"'!$C$10"),INDIRECT("'"&amp;F1231&amp;"'!$C$8")),"")</f>
        <v/>
      </c>
      <c r="K1231" s="48">
        <f t="shared" si="60"/>
        <v>1237</v>
      </c>
      <c r="L1231" s="114" t="str" cm="1">
        <f t="array" aca="1" ref="L1231" ca="1">IF(F1231&lt;&gt;"",INDIRECT("'"&amp;F1231&amp;"'!$F$17"),"")</f>
        <v/>
      </c>
      <c r="M1231" s="116" t="str">
        <f t="shared" ca="1" si="58"/>
        <v/>
      </c>
      <c r="O1231" s="49" t="str">
        <f t="shared" ca="1" si="59"/>
        <v/>
      </c>
      <c r="P1231" s="38" t="str">
        <f>IF(E1231&lt;&gt;"",RANK(E1231,$E$3:$E$2298)+COUNTIF($E$3:E1231,E1231)-1,"")</f>
        <v/>
      </c>
    </row>
    <row r="1232" spans="4:16" x14ac:dyDescent="0.25">
      <c r="D1232" s="36" t="str" cm="1">
        <f t="array" aca="1" ref="D1232" ca="1">IFERROR(IF(INDIRECT("'"&amp;F1232&amp;"'!$C$5")&gt;0,DATE(YEAR(Dashboard!$AL$2),Dashboard!$AU$4,INDIRECT("'"&amp;F1232&amp;"'!$C$5")),""),"")</f>
        <v/>
      </c>
      <c r="G1232" s="38" t="str" cm="1">
        <f t="array" aca="1" ref="G1232" ca="1">IF(F1232="",
    "",
    IFERROR(
        IF(INDIRECT("'"&amp;F1232&amp;"'!$B$2")="Credit Limit",
            "Credit Accounts",
            IF(INDIRECT("'"&amp;F1232&amp;"'!$E$2")="Location",
                "Cash Accounts",
                IF(INDIRECT("'"&amp;F1232&amp;"'!$B$2")="Amount",
                    "Investments",
                    "Bill Accounts"
                )
            )
        ),
    "")
)</f>
        <v/>
      </c>
      <c r="I1232" s="46" t="str" cm="1">
        <f t="array" aca="1" ref="I1232" ca="1">IF(F1232&lt;&gt;"",IF(OR(G1232="Bill Accounts",G1232="Investments", G1232="Cash Accounts"),INDIRECT("'"&amp;F1232&amp;"'!$C$10"),INDIRECT("'"&amp;F1232&amp;"'!$C$8")),"")</f>
        <v/>
      </c>
      <c r="K1232" s="48">
        <f t="shared" si="60"/>
        <v>1238</v>
      </c>
      <c r="L1232" s="114" t="str" cm="1">
        <f t="array" aca="1" ref="L1232" ca="1">IF(F1232&lt;&gt;"",INDIRECT("'"&amp;F1232&amp;"'!$F$17"),"")</f>
        <v/>
      </c>
      <c r="M1232" s="116" t="str">
        <f t="shared" ca="1" si="58"/>
        <v/>
      </c>
      <c r="O1232" s="49" t="str">
        <f t="shared" ca="1" si="59"/>
        <v/>
      </c>
      <c r="P1232" s="38" t="str">
        <f>IF(E1232&lt;&gt;"",RANK(E1232,$E$3:$E$2298)+COUNTIF($E$3:E1232,E1232)-1,"")</f>
        <v/>
      </c>
    </row>
    <row r="1233" spans="4:16" x14ac:dyDescent="0.25">
      <c r="D1233" s="36" t="str" cm="1">
        <f t="array" aca="1" ref="D1233" ca="1">IFERROR(IF(INDIRECT("'"&amp;F1233&amp;"'!$C$5")&gt;0,DATE(YEAR(Dashboard!$AL$2),Dashboard!$AU$4,INDIRECT("'"&amp;F1233&amp;"'!$C$5")),""),"")</f>
        <v/>
      </c>
      <c r="G1233" s="38" t="str" cm="1">
        <f t="array" aca="1" ref="G1233" ca="1">IF(F1233="",
    "",
    IFERROR(
        IF(INDIRECT("'"&amp;F1233&amp;"'!$B$2")="Credit Limit",
            "Credit Accounts",
            IF(INDIRECT("'"&amp;F1233&amp;"'!$E$2")="Location",
                "Cash Accounts",
                IF(INDIRECT("'"&amp;F1233&amp;"'!$B$2")="Amount",
                    "Investments",
                    "Bill Accounts"
                )
            )
        ),
    "")
)</f>
        <v/>
      </c>
      <c r="I1233" s="46" t="str" cm="1">
        <f t="array" aca="1" ref="I1233" ca="1">IF(F1233&lt;&gt;"",IF(OR(G1233="Bill Accounts",G1233="Investments", G1233="Cash Accounts"),INDIRECT("'"&amp;F1233&amp;"'!$C$10"),INDIRECT("'"&amp;F1233&amp;"'!$C$8")),"")</f>
        <v/>
      </c>
      <c r="K1233" s="48">
        <f t="shared" si="60"/>
        <v>1239</v>
      </c>
      <c r="L1233" s="114" t="str" cm="1">
        <f t="array" aca="1" ref="L1233" ca="1">IF(F1233&lt;&gt;"",INDIRECT("'"&amp;F1233&amp;"'!$F$17"),"")</f>
        <v/>
      </c>
      <c r="M1233" s="116" t="str">
        <f t="shared" ca="1" si="58"/>
        <v/>
      </c>
      <c r="O1233" s="49" t="str">
        <f t="shared" ca="1" si="59"/>
        <v/>
      </c>
      <c r="P1233" s="38" t="str">
        <f>IF(E1233&lt;&gt;"",RANK(E1233,$E$3:$E$2298)+COUNTIF($E$3:E1233,E1233)-1,"")</f>
        <v/>
      </c>
    </row>
    <row r="1234" spans="4:16" x14ac:dyDescent="0.25">
      <c r="D1234" s="36" t="str" cm="1">
        <f t="array" aca="1" ref="D1234" ca="1">IFERROR(IF(INDIRECT("'"&amp;F1234&amp;"'!$C$5")&gt;0,DATE(YEAR(Dashboard!$AL$2),Dashboard!$AU$4,INDIRECT("'"&amp;F1234&amp;"'!$C$5")),""),"")</f>
        <v/>
      </c>
      <c r="G1234" s="38" t="str" cm="1">
        <f t="array" aca="1" ref="G1234" ca="1">IF(F1234="",
    "",
    IFERROR(
        IF(INDIRECT("'"&amp;F1234&amp;"'!$B$2")="Credit Limit",
            "Credit Accounts",
            IF(INDIRECT("'"&amp;F1234&amp;"'!$E$2")="Location",
                "Cash Accounts",
                IF(INDIRECT("'"&amp;F1234&amp;"'!$B$2")="Amount",
                    "Investments",
                    "Bill Accounts"
                )
            )
        ),
    "")
)</f>
        <v/>
      </c>
      <c r="I1234" s="46" t="str" cm="1">
        <f t="array" aca="1" ref="I1234" ca="1">IF(F1234&lt;&gt;"",IF(OR(G1234="Bill Accounts",G1234="Investments", G1234="Cash Accounts"),INDIRECT("'"&amp;F1234&amp;"'!$C$10"),INDIRECT("'"&amp;F1234&amp;"'!$C$8")),"")</f>
        <v/>
      </c>
      <c r="K1234" s="48">
        <f t="shared" si="60"/>
        <v>1240</v>
      </c>
      <c r="L1234" s="114" t="str" cm="1">
        <f t="array" aca="1" ref="L1234" ca="1">IF(F1234&lt;&gt;"",INDIRECT("'"&amp;F1234&amp;"'!$F$17"),"")</f>
        <v/>
      </c>
      <c r="M1234" s="116" t="str">
        <f t="shared" ca="1" si="58"/>
        <v/>
      </c>
      <c r="O1234" s="49" t="str">
        <f t="shared" ca="1" si="59"/>
        <v/>
      </c>
      <c r="P1234" s="38" t="str">
        <f>IF(E1234&lt;&gt;"",RANK(E1234,$E$3:$E$2298)+COUNTIF($E$3:E1234,E1234)-1,"")</f>
        <v/>
      </c>
    </row>
    <row r="1235" spans="4:16" x14ac:dyDescent="0.25">
      <c r="D1235" s="36" t="str" cm="1">
        <f t="array" aca="1" ref="D1235" ca="1">IFERROR(IF(INDIRECT("'"&amp;F1235&amp;"'!$C$5")&gt;0,DATE(YEAR(Dashboard!$AL$2),Dashboard!$AU$4,INDIRECT("'"&amp;F1235&amp;"'!$C$5")),""),"")</f>
        <v/>
      </c>
      <c r="G1235" s="38" t="str" cm="1">
        <f t="array" aca="1" ref="G1235" ca="1">IF(F1235="",
    "",
    IFERROR(
        IF(INDIRECT("'"&amp;F1235&amp;"'!$B$2")="Credit Limit",
            "Credit Accounts",
            IF(INDIRECT("'"&amp;F1235&amp;"'!$E$2")="Location",
                "Cash Accounts",
                IF(INDIRECT("'"&amp;F1235&amp;"'!$B$2")="Amount",
                    "Investments",
                    "Bill Accounts"
                )
            )
        ),
    "")
)</f>
        <v/>
      </c>
      <c r="I1235" s="46" t="str" cm="1">
        <f t="array" aca="1" ref="I1235" ca="1">IF(F1235&lt;&gt;"",IF(OR(G1235="Bill Accounts",G1235="Investments", G1235="Cash Accounts"),INDIRECT("'"&amp;F1235&amp;"'!$C$10"),INDIRECT("'"&amp;F1235&amp;"'!$C$8")),"")</f>
        <v/>
      </c>
      <c r="K1235" s="48">
        <f t="shared" si="60"/>
        <v>1241</v>
      </c>
      <c r="L1235" s="114" t="str" cm="1">
        <f t="array" aca="1" ref="L1235" ca="1">IF(F1235&lt;&gt;"",INDIRECT("'"&amp;F1235&amp;"'!$F$17"),"")</f>
        <v/>
      </c>
      <c r="M1235" s="116" t="str">
        <f t="shared" ca="1" si="58"/>
        <v/>
      </c>
      <c r="O1235" s="49" t="str">
        <f t="shared" ca="1" si="59"/>
        <v/>
      </c>
      <c r="P1235" s="38" t="str">
        <f>IF(E1235&lt;&gt;"",RANK(E1235,$E$3:$E$2298)+COUNTIF($E$3:E1235,E1235)-1,"")</f>
        <v/>
      </c>
    </row>
    <row r="1236" spans="4:16" x14ac:dyDescent="0.25">
      <c r="D1236" s="36" t="str" cm="1">
        <f t="array" aca="1" ref="D1236" ca="1">IFERROR(IF(INDIRECT("'"&amp;F1236&amp;"'!$C$5")&gt;0,DATE(YEAR(Dashboard!$AL$2),Dashboard!$AU$4,INDIRECT("'"&amp;F1236&amp;"'!$C$5")),""),"")</f>
        <v/>
      </c>
      <c r="G1236" s="38" t="str" cm="1">
        <f t="array" aca="1" ref="G1236" ca="1">IF(F1236="",
    "",
    IFERROR(
        IF(INDIRECT("'"&amp;F1236&amp;"'!$B$2")="Credit Limit",
            "Credit Accounts",
            IF(INDIRECT("'"&amp;F1236&amp;"'!$E$2")="Location",
                "Cash Accounts",
                IF(INDIRECT("'"&amp;F1236&amp;"'!$B$2")="Amount",
                    "Investments",
                    "Bill Accounts"
                )
            )
        ),
    "")
)</f>
        <v/>
      </c>
      <c r="I1236" s="46" t="str" cm="1">
        <f t="array" aca="1" ref="I1236" ca="1">IF(F1236&lt;&gt;"",IF(OR(G1236="Bill Accounts",G1236="Investments", G1236="Cash Accounts"),INDIRECT("'"&amp;F1236&amp;"'!$C$10"),INDIRECT("'"&amp;F1236&amp;"'!$C$8")),"")</f>
        <v/>
      </c>
      <c r="K1236" s="48">
        <f t="shared" si="60"/>
        <v>1242</v>
      </c>
      <c r="L1236" s="114" t="str" cm="1">
        <f t="array" aca="1" ref="L1236" ca="1">IF(F1236&lt;&gt;"",INDIRECT("'"&amp;F1236&amp;"'!$F$17"),"")</f>
        <v/>
      </c>
      <c r="M1236" s="116" t="str">
        <f t="shared" ca="1" si="58"/>
        <v/>
      </c>
      <c r="O1236" s="49" t="str">
        <f t="shared" ca="1" si="59"/>
        <v/>
      </c>
      <c r="P1236" s="38" t="str">
        <f>IF(E1236&lt;&gt;"",RANK(E1236,$E$3:$E$2298)+COUNTIF($E$3:E1236,E1236)-1,"")</f>
        <v/>
      </c>
    </row>
    <row r="1237" spans="4:16" x14ac:dyDescent="0.25">
      <c r="D1237" s="36" t="str" cm="1">
        <f t="array" aca="1" ref="D1237" ca="1">IFERROR(IF(INDIRECT("'"&amp;F1237&amp;"'!$C$5")&gt;0,DATE(YEAR(Dashboard!$AL$2),Dashboard!$AU$4,INDIRECT("'"&amp;F1237&amp;"'!$C$5")),""),"")</f>
        <v/>
      </c>
      <c r="G1237" s="38" t="str" cm="1">
        <f t="array" aca="1" ref="G1237" ca="1">IF(F1237="",
    "",
    IFERROR(
        IF(INDIRECT("'"&amp;F1237&amp;"'!$B$2")="Credit Limit",
            "Credit Accounts",
            IF(INDIRECT("'"&amp;F1237&amp;"'!$E$2")="Location",
                "Cash Accounts",
                IF(INDIRECT("'"&amp;F1237&amp;"'!$B$2")="Amount",
                    "Investments",
                    "Bill Accounts"
                )
            )
        ),
    "")
)</f>
        <v/>
      </c>
      <c r="I1237" s="46" t="str" cm="1">
        <f t="array" aca="1" ref="I1237" ca="1">IF(F1237&lt;&gt;"",IF(OR(G1237="Bill Accounts",G1237="Investments", G1237="Cash Accounts"),INDIRECT("'"&amp;F1237&amp;"'!$C$10"),INDIRECT("'"&amp;F1237&amp;"'!$C$8")),"")</f>
        <v/>
      </c>
      <c r="K1237" s="48">
        <f t="shared" si="60"/>
        <v>1243</v>
      </c>
      <c r="L1237" s="114" t="str" cm="1">
        <f t="array" aca="1" ref="L1237" ca="1">IF(F1237&lt;&gt;"",INDIRECT("'"&amp;F1237&amp;"'!$F$17"),"")</f>
        <v/>
      </c>
      <c r="M1237" s="116" t="str">
        <f t="shared" ca="1" si="58"/>
        <v/>
      </c>
      <c r="O1237" s="49" t="str">
        <f t="shared" ca="1" si="59"/>
        <v/>
      </c>
      <c r="P1237" s="38" t="str">
        <f>IF(E1237&lt;&gt;"",RANK(E1237,$E$3:$E$2298)+COUNTIF($E$3:E1237,E1237)-1,"")</f>
        <v/>
      </c>
    </row>
    <row r="1238" spans="4:16" x14ac:dyDescent="0.25">
      <c r="D1238" s="36" t="str" cm="1">
        <f t="array" aca="1" ref="D1238" ca="1">IFERROR(IF(INDIRECT("'"&amp;F1238&amp;"'!$C$5")&gt;0,DATE(YEAR(Dashboard!$AL$2),Dashboard!$AU$4,INDIRECT("'"&amp;F1238&amp;"'!$C$5")),""),"")</f>
        <v/>
      </c>
      <c r="G1238" s="38" t="str" cm="1">
        <f t="array" aca="1" ref="G1238" ca="1">IF(F1238="",
    "",
    IFERROR(
        IF(INDIRECT("'"&amp;F1238&amp;"'!$B$2")="Credit Limit",
            "Credit Accounts",
            IF(INDIRECT("'"&amp;F1238&amp;"'!$E$2")="Location",
                "Cash Accounts",
                IF(INDIRECT("'"&amp;F1238&amp;"'!$B$2")="Amount",
                    "Investments",
                    "Bill Accounts"
                )
            )
        ),
    "")
)</f>
        <v/>
      </c>
      <c r="I1238" s="46" t="str" cm="1">
        <f t="array" aca="1" ref="I1238" ca="1">IF(F1238&lt;&gt;"",IF(OR(G1238="Bill Accounts",G1238="Investments", G1238="Cash Accounts"),INDIRECT("'"&amp;F1238&amp;"'!$C$10"),INDIRECT("'"&amp;F1238&amp;"'!$C$8")),"")</f>
        <v/>
      </c>
      <c r="K1238" s="48">
        <f t="shared" si="60"/>
        <v>1244</v>
      </c>
      <c r="L1238" s="114" t="str" cm="1">
        <f t="array" aca="1" ref="L1238" ca="1">IF(F1238&lt;&gt;"",INDIRECT("'"&amp;F1238&amp;"'!$F$17"),"")</f>
        <v/>
      </c>
      <c r="M1238" s="116" t="str">
        <f t="shared" ca="1" si="58"/>
        <v/>
      </c>
      <c r="O1238" s="49" t="str">
        <f t="shared" ca="1" si="59"/>
        <v/>
      </c>
      <c r="P1238" s="38" t="str">
        <f>IF(E1238&lt;&gt;"",RANK(E1238,$E$3:$E$2298)+COUNTIF($E$3:E1238,E1238)-1,"")</f>
        <v/>
      </c>
    </row>
    <row r="1239" spans="4:16" x14ac:dyDescent="0.25">
      <c r="D1239" s="36" t="str" cm="1">
        <f t="array" aca="1" ref="D1239" ca="1">IFERROR(IF(INDIRECT("'"&amp;F1239&amp;"'!$C$5")&gt;0,DATE(YEAR(Dashboard!$AL$2),Dashboard!$AU$4,INDIRECT("'"&amp;F1239&amp;"'!$C$5")),""),"")</f>
        <v/>
      </c>
      <c r="G1239" s="38" t="str" cm="1">
        <f t="array" aca="1" ref="G1239" ca="1">IF(F1239="",
    "",
    IFERROR(
        IF(INDIRECT("'"&amp;F1239&amp;"'!$B$2")="Credit Limit",
            "Credit Accounts",
            IF(INDIRECT("'"&amp;F1239&amp;"'!$E$2")="Location",
                "Cash Accounts",
                IF(INDIRECT("'"&amp;F1239&amp;"'!$B$2")="Amount",
                    "Investments",
                    "Bill Accounts"
                )
            )
        ),
    "")
)</f>
        <v/>
      </c>
      <c r="I1239" s="46" t="str" cm="1">
        <f t="array" aca="1" ref="I1239" ca="1">IF(F1239&lt;&gt;"",IF(OR(G1239="Bill Accounts",G1239="Investments", G1239="Cash Accounts"),INDIRECT("'"&amp;F1239&amp;"'!$C$10"),INDIRECT("'"&amp;F1239&amp;"'!$C$8")),"")</f>
        <v/>
      </c>
      <c r="K1239" s="48">
        <f t="shared" si="60"/>
        <v>1245</v>
      </c>
      <c r="L1239" s="114" t="str" cm="1">
        <f t="array" aca="1" ref="L1239" ca="1">IF(F1239&lt;&gt;"",INDIRECT("'"&amp;F1239&amp;"'!$F$17"),"")</f>
        <v/>
      </c>
      <c r="M1239" s="116" t="str">
        <f t="shared" ca="1" si="58"/>
        <v/>
      </c>
      <c r="O1239" s="49" t="str">
        <f t="shared" ca="1" si="59"/>
        <v/>
      </c>
      <c r="P1239" s="38" t="str">
        <f>IF(E1239&lt;&gt;"",RANK(E1239,$E$3:$E$2298)+COUNTIF($E$3:E1239,E1239)-1,"")</f>
        <v/>
      </c>
    </row>
    <row r="1240" spans="4:16" x14ac:dyDescent="0.25">
      <c r="D1240" s="36" t="str" cm="1">
        <f t="array" aca="1" ref="D1240" ca="1">IFERROR(IF(INDIRECT("'"&amp;F1240&amp;"'!$C$5")&gt;0,DATE(YEAR(Dashboard!$AL$2),Dashboard!$AU$4,INDIRECT("'"&amp;F1240&amp;"'!$C$5")),""),"")</f>
        <v/>
      </c>
      <c r="G1240" s="38" t="str" cm="1">
        <f t="array" aca="1" ref="G1240" ca="1">IF(F1240="",
    "",
    IFERROR(
        IF(INDIRECT("'"&amp;F1240&amp;"'!$B$2")="Credit Limit",
            "Credit Accounts",
            IF(INDIRECT("'"&amp;F1240&amp;"'!$E$2")="Location",
                "Cash Accounts",
                IF(INDIRECT("'"&amp;F1240&amp;"'!$B$2")="Amount",
                    "Investments",
                    "Bill Accounts"
                )
            )
        ),
    "")
)</f>
        <v/>
      </c>
      <c r="I1240" s="46" t="str" cm="1">
        <f t="array" aca="1" ref="I1240" ca="1">IF(F1240&lt;&gt;"",IF(OR(G1240="Bill Accounts",G1240="Investments", G1240="Cash Accounts"),INDIRECT("'"&amp;F1240&amp;"'!$C$10"),INDIRECT("'"&amp;F1240&amp;"'!$C$8")),"")</f>
        <v/>
      </c>
      <c r="K1240" s="48">
        <f t="shared" si="60"/>
        <v>1246</v>
      </c>
      <c r="L1240" s="114" t="str" cm="1">
        <f t="array" aca="1" ref="L1240" ca="1">IF(F1240&lt;&gt;"",INDIRECT("'"&amp;F1240&amp;"'!$F$17"),"")</f>
        <v/>
      </c>
      <c r="M1240" s="116" t="str">
        <f t="shared" ca="1" si="58"/>
        <v/>
      </c>
      <c r="O1240" s="49" t="str">
        <f t="shared" ca="1" si="59"/>
        <v/>
      </c>
      <c r="P1240" s="38" t="str">
        <f>IF(E1240&lt;&gt;"",RANK(E1240,$E$3:$E$2298)+COUNTIF($E$3:E1240,E1240)-1,"")</f>
        <v/>
      </c>
    </row>
    <row r="1241" spans="4:16" x14ac:dyDescent="0.25">
      <c r="D1241" s="36" t="str" cm="1">
        <f t="array" aca="1" ref="D1241" ca="1">IFERROR(IF(INDIRECT("'"&amp;F1241&amp;"'!$C$5")&gt;0,DATE(YEAR(Dashboard!$AL$2),Dashboard!$AU$4,INDIRECT("'"&amp;F1241&amp;"'!$C$5")),""),"")</f>
        <v/>
      </c>
      <c r="G1241" s="38" t="str" cm="1">
        <f t="array" aca="1" ref="G1241" ca="1">IF(F1241="",
    "",
    IFERROR(
        IF(INDIRECT("'"&amp;F1241&amp;"'!$B$2")="Credit Limit",
            "Credit Accounts",
            IF(INDIRECT("'"&amp;F1241&amp;"'!$E$2")="Location",
                "Cash Accounts",
                IF(INDIRECT("'"&amp;F1241&amp;"'!$B$2")="Amount",
                    "Investments",
                    "Bill Accounts"
                )
            )
        ),
    "")
)</f>
        <v/>
      </c>
      <c r="I1241" s="46" t="str" cm="1">
        <f t="array" aca="1" ref="I1241" ca="1">IF(F1241&lt;&gt;"",IF(OR(G1241="Bill Accounts",G1241="Investments", G1241="Cash Accounts"),INDIRECT("'"&amp;F1241&amp;"'!$C$10"),INDIRECT("'"&amp;F1241&amp;"'!$C$8")),"")</f>
        <v/>
      </c>
      <c r="K1241" s="48">
        <f t="shared" si="60"/>
        <v>1247</v>
      </c>
      <c r="L1241" s="114" t="str" cm="1">
        <f t="array" aca="1" ref="L1241" ca="1">IF(F1241&lt;&gt;"",INDIRECT("'"&amp;F1241&amp;"'!$F$17"),"")</f>
        <v/>
      </c>
      <c r="M1241" s="116" t="str">
        <f t="shared" ca="1" si="58"/>
        <v/>
      </c>
      <c r="O1241" s="49" t="str">
        <f t="shared" ca="1" si="59"/>
        <v/>
      </c>
      <c r="P1241" s="38" t="str">
        <f>IF(E1241&lt;&gt;"",RANK(E1241,$E$3:$E$2298)+COUNTIF($E$3:E1241,E1241)-1,"")</f>
        <v/>
      </c>
    </row>
    <row r="1242" spans="4:16" x14ac:dyDescent="0.25">
      <c r="D1242" s="36" t="str" cm="1">
        <f t="array" aca="1" ref="D1242" ca="1">IFERROR(IF(INDIRECT("'"&amp;F1242&amp;"'!$C$5")&gt;0,DATE(YEAR(Dashboard!$AL$2),Dashboard!$AU$4,INDIRECT("'"&amp;F1242&amp;"'!$C$5")),""),"")</f>
        <v/>
      </c>
      <c r="G1242" s="38" t="str" cm="1">
        <f t="array" aca="1" ref="G1242" ca="1">IF(F1242="",
    "",
    IFERROR(
        IF(INDIRECT("'"&amp;F1242&amp;"'!$B$2")="Credit Limit",
            "Credit Accounts",
            IF(INDIRECT("'"&amp;F1242&amp;"'!$E$2")="Location",
                "Cash Accounts",
                IF(INDIRECT("'"&amp;F1242&amp;"'!$B$2")="Amount",
                    "Investments",
                    "Bill Accounts"
                )
            )
        ),
    "")
)</f>
        <v/>
      </c>
      <c r="I1242" s="46" t="str" cm="1">
        <f t="array" aca="1" ref="I1242" ca="1">IF(F1242&lt;&gt;"",IF(OR(G1242="Bill Accounts",G1242="Investments", G1242="Cash Accounts"),INDIRECT("'"&amp;F1242&amp;"'!$C$10"),INDIRECT("'"&amp;F1242&amp;"'!$C$8")),"")</f>
        <v/>
      </c>
      <c r="K1242" s="48">
        <f t="shared" si="60"/>
        <v>1248</v>
      </c>
      <c r="L1242" s="114" t="str" cm="1">
        <f t="array" aca="1" ref="L1242" ca="1">IF(F1242&lt;&gt;"",INDIRECT("'"&amp;F1242&amp;"'!$F$17"),"")</f>
        <v/>
      </c>
      <c r="M1242" s="116" t="str">
        <f t="shared" ca="1" si="58"/>
        <v/>
      </c>
      <c r="O1242" s="49" t="str">
        <f t="shared" ca="1" si="59"/>
        <v/>
      </c>
      <c r="P1242" s="38" t="str">
        <f>IF(E1242&lt;&gt;"",RANK(E1242,$E$3:$E$2298)+COUNTIF($E$3:E1242,E1242)-1,"")</f>
        <v/>
      </c>
    </row>
    <row r="1243" spans="4:16" x14ac:dyDescent="0.25">
      <c r="D1243" s="36" t="str" cm="1">
        <f t="array" aca="1" ref="D1243" ca="1">IFERROR(IF(INDIRECT("'"&amp;F1243&amp;"'!$C$5")&gt;0,DATE(YEAR(Dashboard!$AL$2),Dashboard!$AU$4,INDIRECT("'"&amp;F1243&amp;"'!$C$5")),""),"")</f>
        <v/>
      </c>
      <c r="G1243" s="38" t="str" cm="1">
        <f t="array" aca="1" ref="G1243" ca="1">IF(F1243="",
    "",
    IFERROR(
        IF(INDIRECT("'"&amp;F1243&amp;"'!$B$2")="Credit Limit",
            "Credit Accounts",
            IF(INDIRECT("'"&amp;F1243&amp;"'!$E$2")="Location",
                "Cash Accounts",
                IF(INDIRECT("'"&amp;F1243&amp;"'!$B$2")="Amount",
                    "Investments",
                    "Bill Accounts"
                )
            )
        ),
    "")
)</f>
        <v/>
      </c>
      <c r="I1243" s="46" t="str" cm="1">
        <f t="array" aca="1" ref="I1243" ca="1">IF(F1243&lt;&gt;"",IF(OR(G1243="Bill Accounts",G1243="Investments", G1243="Cash Accounts"),INDIRECT("'"&amp;F1243&amp;"'!$C$10"),INDIRECT("'"&amp;F1243&amp;"'!$C$8")),"")</f>
        <v/>
      </c>
      <c r="K1243" s="48">
        <f t="shared" si="60"/>
        <v>1249</v>
      </c>
      <c r="L1243" s="114" t="str" cm="1">
        <f t="array" aca="1" ref="L1243" ca="1">IF(F1243&lt;&gt;"",INDIRECT("'"&amp;F1243&amp;"'!$F$17"),"")</f>
        <v/>
      </c>
      <c r="M1243" s="116" t="str">
        <f t="shared" ca="1" si="58"/>
        <v/>
      </c>
      <c r="O1243" s="49" t="str">
        <f t="shared" ca="1" si="59"/>
        <v/>
      </c>
      <c r="P1243" s="38" t="str">
        <f>IF(E1243&lt;&gt;"",RANK(E1243,$E$3:$E$2298)+COUNTIF($E$3:E1243,E1243)-1,"")</f>
        <v/>
      </c>
    </row>
    <row r="1244" spans="4:16" x14ac:dyDescent="0.25">
      <c r="D1244" s="36" t="str" cm="1">
        <f t="array" aca="1" ref="D1244" ca="1">IFERROR(IF(INDIRECT("'"&amp;F1244&amp;"'!$C$5")&gt;0,DATE(YEAR(Dashboard!$AL$2),Dashboard!$AU$4,INDIRECT("'"&amp;F1244&amp;"'!$C$5")),""),"")</f>
        <v/>
      </c>
      <c r="G1244" s="38" t="str" cm="1">
        <f t="array" aca="1" ref="G1244" ca="1">IF(F1244="",
    "",
    IFERROR(
        IF(INDIRECT("'"&amp;F1244&amp;"'!$B$2")="Credit Limit",
            "Credit Accounts",
            IF(INDIRECT("'"&amp;F1244&amp;"'!$E$2")="Location",
                "Cash Accounts",
                IF(INDIRECT("'"&amp;F1244&amp;"'!$B$2")="Amount",
                    "Investments",
                    "Bill Accounts"
                )
            )
        ),
    "")
)</f>
        <v/>
      </c>
      <c r="I1244" s="46" t="str" cm="1">
        <f t="array" aca="1" ref="I1244" ca="1">IF(F1244&lt;&gt;"",IF(OR(G1244="Bill Accounts",G1244="Investments", G1244="Cash Accounts"),INDIRECT("'"&amp;F1244&amp;"'!$C$10"),INDIRECT("'"&amp;F1244&amp;"'!$C$8")),"")</f>
        <v/>
      </c>
      <c r="K1244" s="48">
        <f t="shared" si="60"/>
        <v>1250</v>
      </c>
      <c r="L1244" s="114" t="str" cm="1">
        <f t="array" aca="1" ref="L1244" ca="1">IF(F1244&lt;&gt;"",INDIRECT("'"&amp;F1244&amp;"'!$F$17"),"")</f>
        <v/>
      </c>
      <c r="M1244" s="116" t="str">
        <f t="shared" ca="1" si="58"/>
        <v/>
      </c>
      <c r="O1244" s="49" t="str">
        <f t="shared" ca="1" si="59"/>
        <v/>
      </c>
      <c r="P1244" s="38" t="str">
        <f>IF(E1244&lt;&gt;"",RANK(E1244,$E$3:$E$2298)+COUNTIF($E$3:E1244,E1244)-1,"")</f>
        <v/>
      </c>
    </row>
    <row r="1245" spans="4:16" x14ac:dyDescent="0.25">
      <c r="D1245" s="36" t="str" cm="1">
        <f t="array" aca="1" ref="D1245" ca="1">IFERROR(IF(INDIRECT("'"&amp;F1245&amp;"'!$C$5")&gt;0,DATE(YEAR(Dashboard!$AL$2),Dashboard!$AU$4,INDIRECT("'"&amp;F1245&amp;"'!$C$5")),""),"")</f>
        <v/>
      </c>
      <c r="G1245" s="38" t="str" cm="1">
        <f t="array" aca="1" ref="G1245" ca="1">IF(F1245="",
    "",
    IFERROR(
        IF(INDIRECT("'"&amp;F1245&amp;"'!$B$2")="Credit Limit",
            "Credit Accounts",
            IF(INDIRECT("'"&amp;F1245&amp;"'!$E$2")="Location",
                "Cash Accounts",
                IF(INDIRECT("'"&amp;F1245&amp;"'!$B$2")="Amount",
                    "Investments",
                    "Bill Accounts"
                )
            )
        ),
    "")
)</f>
        <v/>
      </c>
      <c r="I1245" s="46" t="str" cm="1">
        <f t="array" aca="1" ref="I1245" ca="1">IF(F1245&lt;&gt;"",IF(OR(G1245="Bill Accounts",G1245="Investments", G1245="Cash Accounts"),INDIRECT("'"&amp;F1245&amp;"'!$C$10"),INDIRECT("'"&amp;F1245&amp;"'!$C$8")),"")</f>
        <v/>
      </c>
      <c r="K1245" s="48">
        <f t="shared" si="60"/>
        <v>1251</v>
      </c>
      <c r="L1245" s="114" t="str" cm="1">
        <f t="array" aca="1" ref="L1245" ca="1">IF(F1245&lt;&gt;"",INDIRECT("'"&amp;F1245&amp;"'!$F$17"),"")</f>
        <v/>
      </c>
      <c r="M1245" s="116" t="str">
        <f t="shared" ca="1" si="58"/>
        <v/>
      </c>
      <c r="O1245" s="49" t="str">
        <f t="shared" ca="1" si="59"/>
        <v/>
      </c>
      <c r="P1245" s="38" t="str">
        <f>IF(E1245&lt;&gt;"",RANK(E1245,$E$3:$E$2298)+COUNTIF($E$3:E1245,E1245)-1,"")</f>
        <v/>
      </c>
    </row>
    <row r="1246" spans="4:16" x14ac:dyDescent="0.25">
      <c r="D1246" s="36" t="str" cm="1">
        <f t="array" aca="1" ref="D1246" ca="1">IFERROR(IF(INDIRECT("'"&amp;F1246&amp;"'!$C$5")&gt;0,DATE(YEAR(Dashboard!$AL$2),Dashboard!$AU$4,INDIRECT("'"&amp;F1246&amp;"'!$C$5")),""),"")</f>
        <v/>
      </c>
      <c r="G1246" s="38" t="str" cm="1">
        <f t="array" aca="1" ref="G1246" ca="1">IF(F1246="",
    "",
    IFERROR(
        IF(INDIRECT("'"&amp;F1246&amp;"'!$B$2")="Credit Limit",
            "Credit Accounts",
            IF(INDIRECT("'"&amp;F1246&amp;"'!$E$2")="Location",
                "Cash Accounts",
                IF(INDIRECT("'"&amp;F1246&amp;"'!$B$2")="Amount",
                    "Investments",
                    "Bill Accounts"
                )
            )
        ),
    "")
)</f>
        <v/>
      </c>
      <c r="I1246" s="46" t="str" cm="1">
        <f t="array" aca="1" ref="I1246" ca="1">IF(F1246&lt;&gt;"",IF(OR(G1246="Bill Accounts",G1246="Investments", G1246="Cash Accounts"),INDIRECT("'"&amp;F1246&amp;"'!$C$10"),INDIRECT("'"&amp;F1246&amp;"'!$C$8")),"")</f>
        <v/>
      </c>
      <c r="K1246" s="48">
        <f t="shared" si="60"/>
        <v>1252</v>
      </c>
      <c r="L1246" s="114" t="str" cm="1">
        <f t="array" aca="1" ref="L1246" ca="1">IF(F1246&lt;&gt;"",INDIRECT("'"&amp;F1246&amp;"'!$F$17"),"")</f>
        <v/>
      </c>
      <c r="M1246" s="116" t="str">
        <f t="shared" ca="1" si="58"/>
        <v/>
      </c>
      <c r="O1246" s="49" t="str">
        <f t="shared" ca="1" si="59"/>
        <v/>
      </c>
      <c r="P1246" s="38" t="str">
        <f>IF(E1246&lt;&gt;"",RANK(E1246,$E$3:$E$2298)+COUNTIF($E$3:E1246,E1246)-1,"")</f>
        <v/>
      </c>
    </row>
    <row r="1247" spans="4:16" x14ac:dyDescent="0.25">
      <c r="D1247" s="36" t="str" cm="1">
        <f t="array" aca="1" ref="D1247" ca="1">IFERROR(IF(INDIRECT("'"&amp;F1247&amp;"'!$C$5")&gt;0,DATE(YEAR(Dashboard!$AL$2),Dashboard!$AU$4,INDIRECT("'"&amp;F1247&amp;"'!$C$5")),""),"")</f>
        <v/>
      </c>
      <c r="G1247" s="38" t="str" cm="1">
        <f t="array" aca="1" ref="G1247" ca="1">IF(F1247="",
    "",
    IFERROR(
        IF(INDIRECT("'"&amp;F1247&amp;"'!$B$2")="Credit Limit",
            "Credit Accounts",
            IF(INDIRECT("'"&amp;F1247&amp;"'!$E$2")="Location",
                "Cash Accounts",
                IF(INDIRECT("'"&amp;F1247&amp;"'!$B$2")="Amount",
                    "Investments",
                    "Bill Accounts"
                )
            )
        ),
    "")
)</f>
        <v/>
      </c>
      <c r="I1247" s="46" t="str" cm="1">
        <f t="array" aca="1" ref="I1247" ca="1">IF(F1247&lt;&gt;"",IF(OR(G1247="Bill Accounts",G1247="Investments", G1247="Cash Accounts"),INDIRECT("'"&amp;F1247&amp;"'!$C$10"),INDIRECT("'"&amp;F1247&amp;"'!$C$8")),"")</f>
        <v/>
      </c>
      <c r="K1247" s="48">
        <f t="shared" si="60"/>
        <v>1253</v>
      </c>
      <c r="L1247" s="114" t="str" cm="1">
        <f t="array" aca="1" ref="L1247" ca="1">IF(F1247&lt;&gt;"",INDIRECT("'"&amp;F1247&amp;"'!$F$17"),"")</f>
        <v/>
      </c>
      <c r="M1247" s="116" t="str">
        <f t="shared" ca="1" si="58"/>
        <v/>
      </c>
      <c r="O1247" s="49" t="str">
        <f t="shared" ca="1" si="59"/>
        <v/>
      </c>
      <c r="P1247" s="38" t="str">
        <f>IF(E1247&lt;&gt;"",RANK(E1247,$E$3:$E$2298)+COUNTIF($E$3:E1247,E1247)-1,"")</f>
        <v/>
      </c>
    </row>
    <row r="1248" spans="4:16" x14ac:dyDescent="0.25">
      <c r="D1248" s="36" t="str" cm="1">
        <f t="array" aca="1" ref="D1248" ca="1">IFERROR(IF(INDIRECT("'"&amp;F1248&amp;"'!$C$5")&gt;0,DATE(YEAR(Dashboard!$AL$2),Dashboard!$AU$4,INDIRECT("'"&amp;F1248&amp;"'!$C$5")),""),"")</f>
        <v/>
      </c>
      <c r="G1248" s="38" t="str" cm="1">
        <f t="array" aca="1" ref="G1248" ca="1">IF(F1248="",
    "",
    IFERROR(
        IF(INDIRECT("'"&amp;F1248&amp;"'!$B$2")="Credit Limit",
            "Credit Accounts",
            IF(INDIRECT("'"&amp;F1248&amp;"'!$E$2")="Location",
                "Cash Accounts",
                IF(INDIRECT("'"&amp;F1248&amp;"'!$B$2")="Amount",
                    "Investments",
                    "Bill Accounts"
                )
            )
        ),
    "")
)</f>
        <v/>
      </c>
      <c r="I1248" s="46" t="str" cm="1">
        <f t="array" aca="1" ref="I1248" ca="1">IF(F1248&lt;&gt;"",IF(OR(G1248="Bill Accounts",G1248="Investments", G1248="Cash Accounts"),INDIRECT("'"&amp;F1248&amp;"'!$C$10"),INDIRECT("'"&amp;F1248&amp;"'!$C$8")),"")</f>
        <v/>
      </c>
      <c r="K1248" s="48">
        <f t="shared" si="60"/>
        <v>1254</v>
      </c>
      <c r="L1248" s="114" t="str" cm="1">
        <f t="array" aca="1" ref="L1248" ca="1">IF(F1248&lt;&gt;"",INDIRECT("'"&amp;F1248&amp;"'!$F$17"),"")</f>
        <v/>
      </c>
      <c r="M1248" s="116" t="str">
        <f t="shared" ca="1" si="58"/>
        <v/>
      </c>
      <c r="O1248" s="49" t="str">
        <f t="shared" ca="1" si="59"/>
        <v/>
      </c>
      <c r="P1248" s="38" t="str">
        <f>IF(E1248&lt;&gt;"",RANK(E1248,$E$3:$E$2298)+COUNTIF($E$3:E1248,E1248)-1,"")</f>
        <v/>
      </c>
    </row>
    <row r="1249" spans="4:16" x14ac:dyDescent="0.25">
      <c r="D1249" s="36" t="str" cm="1">
        <f t="array" aca="1" ref="D1249" ca="1">IFERROR(IF(INDIRECT("'"&amp;F1249&amp;"'!$C$5")&gt;0,DATE(YEAR(Dashboard!$AL$2),Dashboard!$AU$4,INDIRECT("'"&amp;F1249&amp;"'!$C$5")),""),"")</f>
        <v/>
      </c>
      <c r="G1249" s="38" t="str" cm="1">
        <f t="array" aca="1" ref="G1249" ca="1">IF(F1249="",
    "",
    IFERROR(
        IF(INDIRECT("'"&amp;F1249&amp;"'!$B$2")="Credit Limit",
            "Credit Accounts",
            IF(INDIRECT("'"&amp;F1249&amp;"'!$E$2")="Location",
                "Cash Accounts",
                IF(INDIRECT("'"&amp;F1249&amp;"'!$B$2")="Amount",
                    "Investments",
                    "Bill Accounts"
                )
            )
        ),
    "")
)</f>
        <v/>
      </c>
      <c r="I1249" s="46" t="str" cm="1">
        <f t="array" aca="1" ref="I1249" ca="1">IF(F1249&lt;&gt;"",IF(OR(G1249="Bill Accounts",G1249="Investments", G1249="Cash Accounts"),INDIRECT("'"&amp;F1249&amp;"'!$C$10"),INDIRECT("'"&amp;F1249&amp;"'!$C$8")),"")</f>
        <v/>
      </c>
      <c r="K1249" s="48">
        <f t="shared" si="60"/>
        <v>1255</v>
      </c>
      <c r="L1249" s="114" t="str" cm="1">
        <f t="array" aca="1" ref="L1249" ca="1">IF(F1249&lt;&gt;"",INDIRECT("'"&amp;F1249&amp;"'!$F$17"),"")</f>
        <v/>
      </c>
      <c r="M1249" s="116" t="str">
        <f t="shared" ca="1" si="58"/>
        <v/>
      </c>
      <c r="O1249" s="49" t="str">
        <f t="shared" ca="1" si="59"/>
        <v/>
      </c>
      <c r="P1249" s="38" t="str">
        <f>IF(E1249&lt;&gt;"",RANK(E1249,$E$3:$E$2298)+COUNTIF($E$3:E1249,E1249)-1,"")</f>
        <v/>
      </c>
    </row>
    <row r="1250" spans="4:16" x14ac:dyDescent="0.25">
      <c r="D1250" s="36" t="str" cm="1">
        <f t="array" aca="1" ref="D1250" ca="1">IFERROR(IF(INDIRECT("'"&amp;F1250&amp;"'!$C$5")&gt;0,DATE(YEAR(Dashboard!$AL$2),Dashboard!$AU$4,INDIRECT("'"&amp;F1250&amp;"'!$C$5")),""),"")</f>
        <v/>
      </c>
      <c r="G1250" s="38" t="str" cm="1">
        <f t="array" aca="1" ref="G1250" ca="1">IF(F1250="",
    "",
    IFERROR(
        IF(INDIRECT("'"&amp;F1250&amp;"'!$B$2")="Credit Limit",
            "Credit Accounts",
            IF(INDIRECT("'"&amp;F1250&amp;"'!$E$2")="Location",
                "Cash Accounts",
                IF(INDIRECT("'"&amp;F1250&amp;"'!$B$2")="Amount",
                    "Investments",
                    "Bill Accounts"
                )
            )
        ),
    "")
)</f>
        <v/>
      </c>
      <c r="I1250" s="46" t="str" cm="1">
        <f t="array" aca="1" ref="I1250" ca="1">IF(F1250&lt;&gt;"",IF(OR(G1250="Bill Accounts",G1250="Investments", G1250="Cash Accounts"),INDIRECT("'"&amp;F1250&amp;"'!$C$10"),INDIRECT("'"&amp;F1250&amp;"'!$C$8")),"")</f>
        <v/>
      </c>
      <c r="K1250" s="48">
        <f t="shared" si="60"/>
        <v>1256</v>
      </c>
      <c r="L1250" s="114" t="str" cm="1">
        <f t="array" aca="1" ref="L1250" ca="1">IF(F1250&lt;&gt;"",INDIRECT("'"&amp;F1250&amp;"'!$F$17"),"")</f>
        <v/>
      </c>
      <c r="M1250" s="116" t="str">
        <f t="shared" ca="1" si="58"/>
        <v/>
      </c>
      <c r="O1250" s="49" t="str">
        <f t="shared" ca="1" si="59"/>
        <v/>
      </c>
      <c r="P1250" s="38" t="str">
        <f>IF(E1250&lt;&gt;"",RANK(E1250,$E$3:$E$2298)+COUNTIF($E$3:E1250,E1250)-1,"")</f>
        <v/>
      </c>
    </row>
    <row r="1251" spans="4:16" x14ac:dyDescent="0.25">
      <c r="D1251" s="36" t="str" cm="1">
        <f t="array" aca="1" ref="D1251" ca="1">IFERROR(IF(INDIRECT("'"&amp;F1251&amp;"'!$C$5")&gt;0,DATE(YEAR(Dashboard!$AL$2),Dashboard!$AU$4,INDIRECT("'"&amp;F1251&amp;"'!$C$5")),""),"")</f>
        <v/>
      </c>
      <c r="G1251" s="38" t="str" cm="1">
        <f t="array" aca="1" ref="G1251" ca="1">IF(F1251="",
    "",
    IFERROR(
        IF(INDIRECT("'"&amp;F1251&amp;"'!$B$2")="Credit Limit",
            "Credit Accounts",
            IF(INDIRECT("'"&amp;F1251&amp;"'!$E$2")="Location",
                "Cash Accounts",
                IF(INDIRECT("'"&amp;F1251&amp;"'!$B$2")="Amount",
                    "Investments",
                    "Bill Accounts"
                )
            )
        ),
    "")
)</f>
        <v/>
      </c>
      <c r="I1251" s="46" t="str" cm="1">
        <f t="array" aca="1" ref="I1251" ca="1">IF(F1251&lt;&gt;"",IF(OR(G1251="Bill Accounts",G1251="Investments", G1251="Cash Accounts"),INDIRECT("'"&amp;F1251&amp;"'!$C$10"),INDIRECT("'"&amp;F1251&amp;"'!$C$8")),"")</f>
        <v/>
      </c>
      <c r="K1251" s="48">
        <f t="shared" si="60"/>
        <v>1257</v>
      </c>
      <c r="L1251" s="114" t="str" cm="1">
        <f t="array" aca="1" ref="L1251" ca="1">IF(F1251&lt;&gt;"",INDIRECT("'"&amp;F1251&amp;"'!$F$17"),"")</f>
        <v/>
      </c>
      <c r="M1251" s="116" t="str">
        <f t="shared" ca="1" si="58"/>
        <v/>
      </c>
      <c r="O1251" s="49" t="str">
        <f t="shared" ca="1" si="59"/>
        <v/>
      </c>
      <c r="P1251" s="38" t="str">
        <f>IF(E1251&lt;&gt;"",RANK(E1251,$E$3:$E$2298)+COUNTIF($E$3:E1251,E1251)-1,"")</f>
        <v/>
      </c>
    </row>
    <row r="1252" spans="4:16" x14ac:dyDescent="0.25">
      <c r="D1252" s="36" t="str" cm="1">
        <f t="array" aca="1" ref="D1252" ca="1">IFERROR(IF(INDIRECT("'"&amp;F1252&amp;"'!$C$5")&gt;0,DATE(YEAR(Dashboard!$AL$2),Dashboard!$AU$4,INDIRECT("'"&amp;F1252&amp;"'!$C$5")),""),"")</f>
        <v/>
      </c>
      <c r="G1252" s="38" t="str" cm="1">
        <f t="array" aca="1" ref="G1252" ca="1">IF(F1252="",
    "",
    IFERROR(
        IF(INDIRECT("'"&amp;F1252&amp;"'!$B$2")="Credit Limit",
            "Credit Accounts",
            IF(INDIRECT("'"&amp;F1252&amp;"'!$E$2")="Location",
                "Cash Accounts",
                IF(INDIRECT("'"&amp;F1252&amp;"'!$B$2")="Amount",
                    "Investments",
                    "Bill Accounts"
                )
            )
        ),
    "")
)</f>
        <v/>
      </c>
      <c r="I1252" s="46" t="str" cm="1">
        <f t="array" aca="1" ref="I1252" ca="1">IF(F1252&lt;&gt;"",IF(OR(G1252="Bill Accounts",G1252="Investments", G1252="Cash Accounts"),INDIRECT("'"&amp;F1252&amp;"'!$C$10"),INDIRECT("'"&amp;F1252&amp;"'!$C$8")),"")</f>
        <v/>
      </c>
      <c r="K1252" s="48">
        <f t="shared" si="60"/>
        <v>1258</v>
      </c>
      <c r="L1252" s="114" t="str" cm="1">
        <f t="array" aca="1" ref="L1252" ca="1">IF(F1252&lt;&gt;"",INDIRECT("'"&amp;F1252&amp;"'!$F$17"),"")</f>
        <v/>
      </c>
      <c r="M1252" s="116" t="str">
        <f t="shared" ca="1" si="58"/>
        <v/>
      </c>
      <c r="O1252" s="49" t="str">
        <f t="shared" ca="1" si="59"/>
        <v/>
      </c>
      <c r="P1252" s="38" t="str">
        <f>IF(E1252&lt;&gt;"",RANK(E1252,$E$3:$E$2298)+COUNTIF($E$3:E1252,E1252)-1,"")</f>
        <v/>
      </c>
    </row>
    <row r="1253" spans="4:16" x14ac:dyDescent="0.25">
      <c r="D1253" s="36" t="str" cm="1">
        <f t="array" aca="1" ref="D1253" ca="1">IFERROR(IF(INDIRECT("'"&amp;F1253&amp;"'!$C$5")&gt;0,DATE(YEAR(Dashboard!$AL$2),Dashboard!$AU$4,INDIRECT("'"&amp;F1253&amp;"'!$C$5")),""),"")</f>
        <v/>
      </c>
      <c r="G1253" s="38" t="str" cm="1">
        <f t="array" aca="1" ref="G1253" ca="1">IF(F1253="",
    "",
    IFERROR(
        IF(INDIRECT("'"&amp;F1253&amp;"'!$B$2")="Credit Limit",
            "Credit Accounts",
            IF(INDIRECT("'"&amp;F1253&amp;"'!$E$2")="Location",
                "Cash Accounts",
                IF(INDIRECT("'"&amp;F1253&amp;"'!$B$2")="Amount",
                    "Investments",
                    "Bill Accounts"
                )
            )
        ),
    "")
)</f>
        <v/>
      </c>
      <c r="I1253" s="46" t="str" cm="1">
        <f t="array" aca="1" ref="I1253" ca="1">IF(F1253&lt;&gt;"",IF(OR(G1253="Bill Accounts",G1253="Investments", G1253="Cash Accounts"),INDIRECT("'"&amp;F1253&amp;"'!$C$10"),INDIRECT("'"&amp;F1253&amp;"'!$C$8")),"")</f>
        <v/>
      </c>
      <c r="K1253" s="48">
        <f t="shared" si="60"/>
        <v>1259</v>
      </c>
      <c r="L1253" s="114" t="str" cm="1">
        <f t="array" aca="1" ref="L1253" ca="1">IF(F1253&lt;&gt;"",INDIRECT("'"&amp;F1253&amp;"'!$F$17"),"")</f>
        <v/>
      </c>
      <c r="M1253" s="116" t="str">
        <f t="shared" ca="1" si="58"/>
        <v/>
      </c>
      <c r="O1253" s="49" t="str">
        <f t="shared" ca="1" si="59"/>
        <v/>
      </c>
      <c r="P1253" s="38" t="str">
        <f>IF(E1253&lt;&gt;"",RANK(E1253,$E$3:$E$2298)+COUNTIF($E$3:E1253,E1253)-1,"")</f>
        <v/>
      </c>
    </row>
    <row r="1254" spans="4:16" x14ac:dyDescent="0.25">
      <c r="D1254" s="36" t="str" cm="1">
        <f t="array" aca="1" ref="D1254" ca="1">IFERROR(IF(INDIRECT("'"&amp;F1254&amp;"'!$C$5")&gt;0,DATE(YEAR(Dashboard!$AL$2),Dashboard!$AU$4,INDIRECT("'"&amp;F1254&amp;"'!$C$5")),""),"")</f>
        <v/>
      </c>
      <c r="G1254" s="38" t="str" cm="1">
        <f t="array" aca="1" ref="G1254" ca="1">IF(F1254="",
    "",
    IFERROR(
        IF(INDIRECT("'"&amp;F1254&amp;"'!$B$2")="Credit Limit",
            "Credit Accounts",
            IF(INDIRECT("'"&amp;F1254&amp;"'!$E$2")="Location",
                "Cash Accounts",
                IF(INDIRECT("'"&amp;F1254&amp;"'!$B$2")="Amount",
                    "Investments",
                    "Bill Accounts"
                )
            )
        ),
    "")
)</f>
        <v/>
      </c>
      <c r="I1254" s="46" t="str" cm="1">
        <f t="array" aca="1" ref="I1254" ca="1">IF(F1254&lt;&gt;"",IF(OR(G1254="Bill Accounts",G1254="Investments", G1254="Cash Accounts"),INDIRECT("'"&amp;F1254&amp;"'!$C$10"),INDIRECT("'"&amp;F1254&amp;"'!$C$8")),"")</f>
        <v/>
      </c>
      <c r="K1254" s="48">
        <f t="shared" si="60"/>
        <v>1260</v>
      </c>
      <c r="L1254" s="114" t="str" cm="1">
        <f t="array" aca="1" ref="L1254" ca="1">IF(F1254&lt;&gt;"",INDIRECT("'"&amp;F1254&amp;"'!$F$17"),"")</f>
        <v/>
      </c>
      <c r="M1254" s="116" t="str">
        <f t="shared" ca="1" si="58"/>
        <v/>
      </c>
      <c r="O1254" s="49" t="str">
        <f t="shared" ca="1" si="59"/>
        <v/>
      </c>
      <c r="P1254" s="38" t="str">
        <f>IF(E1254&lt;&gt;"",RANK(E1254,$E$3:$E$2298)+COUNTIF($E$3:E1254,E1254)-1,"")</f>
        <v/>
      </c>
    </row>
    <row r="1255" spans="4:16" x14ac:dyDescent="0.25">
      <c r="D1255" s="36" t="str" cm="1">
        <f t="array" aca="1" ref="D1255" ca="1">IFERROR(IF(INDIRECT("'"&amp;F1255&amp;"'!$C$5")&gt;0,DATE(YEAR(Dashboard!$AL$2),Dashboard!$AU$4,INDIRECT("'"&amp;F1255&amp;"'!$C$5")),""),"")</f>
        <v/>
      </c>
      <c r="G1255" s="38" t="str" cm="1">
        <f t="array" aca="1" ref="G1255" ca="1">IF(F1255="",
    "",
    IFERROR(
        IF(INDIRECT("'"&amp;F1255&amp;"'!$B$2")="Credit Limit",
            "Credit Accounts",
            IF(INDIRECT("'"&amp;F1255&amp;"'!$E$2")="Location",
                "Cash Accounts",
                IF(INDIRECT("'"&amp;F1255&amp;"'!$B$2")="Amount",
                    "Investments",
                    "Bill Accounts"
                )
            )
        ),
    "")
)</f>
        <v/>
      </c>
      <c r="I1255" s="46" t="str" cm="1">
        <f t="array" aca="1" ref="I1255" ca="1">IF(F1255&lt;&gt;"",IF(OR(G1255="Bill Accounts",G1255="Investments", G1255="Cash Accounts"),INDIRECT("'"&amp;F1255&amp;"'!$C$10"),INDIRECT("'"&amp;F1255&amp;"'!$C$8")),"")</f>
        <v/>
      </c>
      <c r="K1255" s="48">
        <f t="shared" si="60"/>
        <v>1261</v>
      </c>
      <c r="L1255" s="114" t="str" cm="1">
        <f t="array" aca="1" ref="L1255" ca="1">IF(F1255&lt;&gt;"",INDIRECT("'"&amp;F1255&amp;"'!$F$17"),"")</f>
        <v/>
      </c>
      <c r="M1255" s="116" t="str">
        <f t="shared" ca="1" si="58"/>
        <v/>
      </c>
      <c r="O1255" s="49" t="str">
        <f t="shared" ca="1" si="59"/>
        <v/>
      </c>
      <c r="P1255" s="38" t="str">
        <f>IF(E1255&lt;&gt;"",RANK(E1255,$E$3:$E$2298)+COUNTIF($E$3:E1255,E1255)-1,"")</f>
        <v/>
      </c>
    </row>
    <row r="1256" spans="4:16" x14ac:dyDescent="0.25">
      <c r="D1256" s="36" t="str" cm="1">
        <f t="array" aca="1" ref="D1256" ca="1">IFERROR(IF(INDIRECT("'"&amp;F1256&amp;"'!$C$5")&gt;0,DATE(YEAR(Dashboard!$AL$2),Dashboard!$AU$4,INDIRECT("'"&amp;F1256&amp;"'!$C$5")),""),"")</f>
        <v/>
      </c>
      <c r="G1256" s="38" t="str" cm="1">
        <f t="array" aca="1" ref="G1256" ca="1">IF(F1256="",
    "",
    IFERROR(
        IF(INDIRECT("'"&amp;F1256&amp;"'!$B$2")="Credit Limit",
            "Credit Accounts",
            IF(INDIRECT("'"&amp;F1256&amp;"'!$E$2")="Location",
                "Cash Accounts",
                IF(INDIRECT("'"&amp;F1256&amp;"'!$B$2")="Amount",
                    "Investments",
                    "Bill Accounts"
                )
            )
        ),
    "")
)</f>
        <v/>
      </c>
      <c r="I1256" s="46" t="str" cm="1">
        <f t="array" aca="1" ref="I1256" ca="1">IF(F1256&lt;&gt;"",IF(OR(G1256="Bill Accounts",G1256="Investments", G1256="Cash Accounts"),INDIRECT("'"&amp;F1256&amp;"'!$C$10"),INDIRECT("'"&amp;F1256&amp;"'!$C$8")),"")</f>
        <v/>
      </c>
      <c r="K1256" s="48">
        <f t="shared" si="60"/>
        <v>1262</v>
      </c>
      <c r="L1256" s="114" t="str" cm="1">
        <f t="array" aca="1" ref="L1256" ca="1">IF(F1256&lt;&gt;"",INDIRECT("'"&amp;F1256&amp;"'!$F$17"),"")</f>
        <v/>
      </c>
      <c r="M1256" s="116" t="str">
        <f t="shared" ca="1" si="58"/>
        <v/>
      </c>
      <c r="O1256" s="49" t="str">
        <f t="shared" ca="1" si="59"/>
        <v/>
      </c>
      <c r="P1256" s="38" t="str">
        <f>IF(E1256&lt;&gt;"",RANK(E1256,$E$3:$E$2298)+COUNTIF($E$3:E1256,E1256)-1,"")</f>
        <v/>
      </c>
    </row>
    <row r="1257" spans="4:16" x14ac:dyDescent="0.25">
      <c r="D1257" s="36" t="str" cm="1">
        <f t="array" aca="1" ref="D1257" ca="1">IFERROR(IF(INDIRECT("'"&amp;F1257&amp;"'!$C$5")&gt;0,DATE(YEAR(Dashboard!$AL$2),Dashboard!$AU$4,INDIRECT("'"&amp;F1257&amp;"'!$C$5")),""),"")</f>
        <v/>
      </c>
      <c r="G1257" s="38" t="str" cm="1">
        <f t="array" aca="1" ref="G1257" ca="1">IF(F1257="",
    "",
    IFERROR(
        IF(INDIRECT("'"&amp;F1257&amp;"'!$B$2")="Credit Limit",
            "Credit Accounts",
            IF(INDIRECT("'"&amp;F1257&amp;"'!$E$2")="Location",
                "Cash Accounts",
                IF(INDIRECT("'"&amp;F1257&amp;"'!$B$2")="Amount",
                    "Investments",
                    "Bill Accounts"
                )
            )
        ),
    "")
)</f>
        <v/>
      </c>
      <c r="I1257" s="46" t="str" cm="1">
        <f t="array" aca="1" ref="I1257" ca="1">IF(F1257&lt;&gt;"",IF(OR(G1257="Bill Accounts",G1257="Investments", G1257="Cash Accounts"),INDIRECT("'"&amp;F1257&amp;"'!$C$10"),INDIRECT("'"&amp;F1257&amp;"'!$C$8")),"")</f>
        <v/>
      </c>
      <c r="K1257" s="48">
        <f t="shared" si="60"/>
        <v>1263</v>
      </c>
      <c r="L1257" s="114" t="str" cm="1">
        <f t="array" aca="1" ref="L1257" ca="1">IF(F1257&lt;&gt;"",INDIRECT("'"&amp;F1257&amp;"'!$F$17"),"")</f>
        <v/>
      </c>
      <c r="M1257" s="116" t="str">
        <f t="shared" ca="1" si="58"/>
        <v/>
      </c>
      <c r="O1257" s="49" t="str">
        <f t="shared" ca="1" si="59"/>
        <v/>
      </c>
      <c r="P1257" s="38" t="str">
        <f>IF(E1257&lt;&gt;"",RANK(E1257,$E$3:$E$2298)+COUNTIF($E$3:E1257,E1257)-1,"")</f>
        <v/>
      </c>
    </row>
    <row r="1258" spans="4:16" x14ac:dyDescent="0.25">
      <c r="D1258" s="36" t="str" cm="1">
        <f t="array" aca="1" ref="D1258" ca="1">IFERROR(IF(INDIRECT("'"&amp;F1258&amp;"'!$C$5")&gt;0,DATE(YEAR(Dashboard!$AL$2),Dashboard!$AU$4,INDIRECT("'"&amp;F1258&amp;"'!$C$5")),""),"")</f>
        <v/>
      </c>
      <c r="G1258" s="38" t="str" cm="1">
        <f t="array" aca="1" ref="G1258" ca="1">IF(F1258="",
    "",
    IFERROR(
        IF(INDIRECT("'"&amp;F1258&amp;"'!$B$2")="Credit Limit",
            "Credit Accounts",
            IF(INDIRECT("'"&amp;F1258&amp;"'!$E$2")="Location",
                "Cash Accounts",
                IF(INDIRECT("'"&amp;F1258&amp;"'!$B$2")="Amount",
                    "Investments",
                    "Bill Accounts"
                )
            )
        ),
    "")
)</f>
        <v/>
      </c>
      <c r="I1258" s="46" t="str" cm="1">
        <f t="array" aca="1" ref="I1258" ca="1">IF(F1258&lt;&gt;"",IF(OR(G1258="Bill Accounts",G1258="Investments", G1258="Cash Accounts"),INDIRECT("'"&amp;F1258&amp;"'!$C$10"),INDIRECT("'"&amp;F1258&amp;"'!$C$8")),"")</f>
        <v/>
      </c>
      <c r="K1258" s="48">
        <f t="shared" si="60"/>
        <v>1264</v>
      </c>
      <c r="L1258" s="114" t="str" cm="1">
        <f t="array" aca="1" ref="L1258" ca="1">IF(F1258&lt;&gt;"",INDIRECT("'"&amp;F1258&amp;"'!$F$17"),"")</f>
        <v/>
      </c>
      <c r="M1258" s="116" t="str">
        <f t="shared" ca="1" si="58"/>
        <v/>
      </c>
      <c r="O1258" s="49" t="str">
        <f t="shared" ca="1" si="59"/>
        <v/>
      </c>
      <c r="P1258" s="38" t="str">
        <f>IF(E1258&lt;&gt;"",RANK(E1258,$E$3:$E$2298)+COUNTIF($E$3:E1258,E1258)-1,"")</f>
        <v/>
      </c>
    </row>
    <row r="1259" spans="4:16" x14ac:dyDescent="0.25">
      <c r="D1259" s="36" t="str" cm="1">
        <f t="array" aca="1" ref="D1259" ca="1">IFERROR(IF(INDIRECT("'"&amp;F1259&amp;"'!$C$5")&gt;0,DATE(YEAR(Dashboard!$AL$2),Dashboard!$AU$4,INDIRECT("'"&amp;F1259&amp;"'!$C$5")),""),"")</f>
        <v/>
      </c>
      <c r="G1259" s="38" t="str" cm="1">
        <f t="array" aca="1" ref="G1259" ca="1">IF(F1259="",
    "",
    IFERROR(
        IF(INDIRECT("'"&amp;F1259&amp;"'!$B$2")="Credit Limit",
            "Credit Accounts",
            IF(INDIRECT("'"&amp;F1259&amp;"'!$E$2")="Location",
                "Cash Accounts",
                IF(INDIRECT("'"&amp;F1259&amp;"'!$B$2")="Amount",
                    "Investments",
                    "Bill Accounts"
                )
            )
        ),
    "")
)</f>
        <v/>
      </c>
      <c r="I1259" s="46" t="str" cm="1">
        <f t="array" aca="1" ref="I1259" ca="1">IF(F1259&lt;&gt;"",IF(OR(G1259="Bill Accounts",G1259="Investments", G1259="Cash Accounts"),INDIRECT("'"&amp;F1259&amp;"'!$C$10"),INDIRECT("'"&amp;F1259&amp;"'!$C$8")),"")</f>
        <v/>
      </c>
      <c r="K1259" s="48">
        <f t="shared" si="60"/>
        <v>1265</v>
      </c>
      <c r="L1259" s="114" t="str" cm="1">
        <f t="array" aca="1" ref="L1259" ca="1">IF(F1259&lt;&gt;"",INDIRECT("'"&amp;F1259&amp;"'!$F$17"),"")</f>
        <v/>
      </c>
      <c r="M1259" s="116" t="str">
        <f t="shared" ca="1" si="58"/>
        <v/>
      </c>
      <c r="O1259" s="49" t="str">
        <f t="shared" ca="1" si="59"/>
        <v/>
      </c>
      <c r="P1259" s="38" t="str">
        <f>IF(E1259&lt;&gt;"",RANK(E1259,$E$3:$E$2298)+COUNTIF($E$3:E1259,E1259)-1,"")</f>
        <v/>
      </c>
    </row>
    <row r="1260" spans="4:16" x14ac:dyDescent="0.25">
      <c r="D1260" s="36" t="str" cm="1">
        <f t="array" aca="1" ref="D1260" ca="1">IFERROR(IF(INDIRECT("'"&amp;F1260&amp;"'!$C$5")&gt;0,DATE(YEAR(Dashboard!$AL$2),Dashboard!$AU$4,INDIRECT("'"&amp;F1260&amp;"'!$C$5")),""),"")</f>
        <v/>
      </c>
      <c r="G1260" s="38" t="str" cm="1">
        <f t="array" aca="1" ref="G1260" ca="1">IF(F1260="",
    "",
    IFERROR(
        IF(INDIRECT("'"&amp;F1260&amp;"'!$B$2")="Credit Limit",
            "Credit Accounts",
            IF(INDIRECT("'"&amp;F1260&amp;"'!$E$2")="Location",
                "Cash Accounts",
                IF(INDIRECT("'"&amp;F1260&amp;"'!$B$2")="Amount",
                    "Investments",
                    "Bill Accounts"
                )
            )
        ),
    "")
)</f>
        <v/>
      </c>
      <c r="I1260" s="46" t="str" cm="1">
        <f t="array" aca="1" ref="I1260" ca="1">IF(F1260&lt;&gt;"",IF(OR(G1260="Bill Accounts",G1260="Investments", G1260="Cash Accounts"),INDIRECT("'"&amp;F1260&amp;"'!$C$10"),INDIRECT("'"&amp;F1260&amp;"'!$C$8")),"")</f>
        <v/>
      </c>
      <c r="K1260" s="48">
        <f t="shared" si="60"/>
        <v>1266</v>
      </c>
      <c r="L1260" s="114" t="str" cm="1">
        <f t="array" aca="1" ref="L1260" ca="1">IF(F1260&lt;&gt;"",INDIRECT("'"&amp;F1260&amp;"'!$F$17"),"")</f>
        <v/>
      </c>
      <c r="M1260" s="116" t="str">
        <f t="shared" ca="1" si="58"/>
        <v/>
      </c>
      <c r="O1260" s="49" t="str">
        <f t="shared" ca="1" si="59"/>
        <v/>
      </c>
      <c r="P1260" s="38" t="str">
        <f>IF(E1260&lt;&gt;"",RANK(E1260,$E$3:$E$2298)+COUNTIF($E$3:E1260,E1260)-1,"")</f>
        <v/>
      </c>
    </row>
    <row r="1261" spans="4:16" x14ac:dyDescent="0.25">
      <c r="D1261" s="36" t="str" cm="1">
        <f t="array" aca="1" ref="D1261" ca="1">IFERROR(IF(INDIRECT("'"&amp;F1261&amp;"'!$C$5")&gt;0,DATE(YEAR(Dashboard!$AL$2),Dashboard!$AU$4,INDIRECT("'"&amp;F1261&amp;"'!$C$5")),""),"")</f>
        <v/>
      </c>
      <c r="G1261" s="38" t="str" cm="1">
        <f t="array" aca="1" ref="G1261" ca="1">IF(F1261="",
    "",
    IFERROR(
        IF(INDIRECT("'"&amp;F1261&amp;"'!$B$2")="Credit Limit",
            "Credit Accounts",
            IF(INDIRECT("'"&amp;F1261&amp;"'!$E$2")="Location",
                "Cash Accounts",
                IF(INDIRECT("'"&amp;F1261&amp;"'!$B$2")="Amount",
                    "Investments",
                    "Bill Accounts"
                )
            )
        ),
    "")
)</f>
        <v/>
      </c>
      <c r="I1261" s="46" t="str" cm="1">
        <f t="array" aca="1" ref="I1261" ca="1">IF(F1261&lt;&gt;"",IF(OR(G1261="Bill Accounts",G1261="Investments", G1261="Cash Accounts"),INDIRECT("'"&amp;F1261&amp;"'!$C$10"),INDIRECT("'"&amp;F1261&amp;"'!$C$8")),"")</f>
        <v/>
      </c>
      <c r="K1261" s="48">
        <f t="shared" si="60"/>
        <v>1267</v>
      </c>
      <c r="L1261" s="114" t="str" cm="1">
        <f t="array" aca="1" ref="L1261" ca="1">IF(F1261&lt;&gt;"",INDIRECT("'"&amp;F1261&amp;"'!$F$17"),"")</f>
        <v/>
      </c>
      <c r="M1261" s="116" t="str">
        <f t="shared" ca="1" si="58"/>
        <v/>
      </c>
      <c r="O1261" s="49" t="str">
        <f t="shared" ca="1" si="59"/>
        <v/>
      </c>
      <c r="P1261" s="38" t="str">
        <f>IF(E1261&lt;&gt;"",RANK(E1261,$E$3:$E$2298)+COUNTIF($E$3:E1261,E1261)-1,"")</f>
        <v/>
      </c>
    </row>
    <row r="1262" spans="4:16" x14ac:dyDescent="0.25">
      <c r="D1262" s="36" t="str" cm="1">
        <f t="array" aca="1" ref="D1262" ca="1">IFERROR(IF(INDIRECT("'"&amp;F1262&amp;"'!$C$5")&gt;0,DATE(YEAR(Dashboard!$AL$2),Dashboard!$AU$4,INDIRECT("'"&amp;F1262&amp;"'!$C$5")),""),"")</f>
        <v/>
      </c>
      <c r="G1262" s="38" t="str" cm="1">
        <f t="array" aca="1" ref="G1262" ca="1">IF(F1262="",
    "",
    IFERROR(
        IF(INDIRECT("'"&amp;F1262&amp;"'!$B$2")="Credit Limit",
            "Credit Accounts",
            IF(INDIRECT("'"&amp;F1262&amp;"'!$E$2")="Location",
                "Cash Accounts",
                IF(INDIRECT("'"&amp;F1262&amp;"'!$B$2")="Amount",
                    "Investments",
                    "Bill Accounts"
                )
            )
        ),
    "")
)</f>
        <v/>
      </c>
      <c r="I1262" s="46" t="str" cm="1">
        <f t="array" aca="1" ref="I1262" ca="1">IF(F1262&lt;&gt;"",IF(OR(G1262="Bill Accounts",G1262="Investments", G1262="Cash Accounts"),INDIRECT("'"&amp;F1262&amp;"'!$C$10"),INDIRECT("'"&amp;F1262&amp;"'!$C$8")),"")</f>
        <v/>
      </c>
      <c r="K1262" s="48">
        <f t="shared" si="60"/>
        <v>1268</v>
      </c>
      <c r="L1262" s="114" t="str" cm="1">
        <f t="array" aca="1" ref="L1262" ca="1">IF(F1262&lt;&gt;"",INDIRECT("'"&amp;F1262&amp;"'!$F$17"),"")</f>
        <v/>
      </c>
      <c r="M1262" s="116" t="str">
        <f t="shared" ca="1" si="58"/>
        <v/>
      </c>
      <c r="O1262" s="49" t="str">
        <f t="shared" ca="1" si="59"/>
        <v/>
      </c>
      <c r="P1262" s="38" t="str">
        <f>IF(E1262&lt;&gt;"",RANK(E1262,$E$3:$E$2298)+COUNTIF($E$3:E1262,E1262)-1,"")</f>
        <v/>
      </c>
    </row>
    <row r="1263" spans="4:16" x14ac:dyDescent="0.25">
      <c r="D1263" s="36" t="str" cm="1">
        <f t="array" aca="1" ref="D1263" ca="1">IFERROR(IF(INDIRECT("'"&amp;F1263&amp;"'!$C$5")&gt;0,DATE(YEAR(Dashboard!$AL$2),Dashboard!$AU$4,INDIRECT("'"&amp;F1263&amp;"'!$C$5")),""),"")</f>
        <v/>
      </c>
      <c r="G1263" s="38" t="str" cm="1">
        <f t="array" aca="1" ref="G1263" ca="1">IF(F1263="",
    "",
    IFERROR(
        IF(INDIRECT("'"&amp;F1263&amp;"'!$B$2")="Credit Limit",
            "Credit Accounts",
            IF(INDIRECT("'"&amp;F1263&amp;"'!$E$2")="Location",
                "Cash Accounts",
                IF(INDIRECT("'"&amp;F1263&amp;"'!$B$2")="Amount",
                    "Investments",
                    "Bill Accounts"
                )
            )
        ),
    "")
)</f>
        <v/>
      </c>
      <c r="I1263" s="46" t="str" cm="1">
        <f t="array" aca="1" ref="I1263" ca="1">IF(F1263&lt;&gt;"",IF(OR(G1263="Bill Accounts",G1263="Investments", G1263="Cash Accounts"),INDIRECT("'"&amp;F1263&amp;"'!$C$10"),INDIRECT("'"&amp;F1263&amp;"'!$C$8")),"")</f>
        <v/>
      </c>
      <c r="K1263" s="48">
        <f t="shared" si="60"/>
        <v>1269</v>
      </c>
      <c r="L1263" s="114" t="str" cm="1">
        <f t="array" aca="1" ref="L1263" ca="1">IF(F1263&lt;&gt;"",INDIRECT("'"&amp;F1263&amp;"'!$F$17"),"")</f>
        <v/>
      </c>
      <c r="M1263" s="116" t="str">
        <f t="shared" ca="1" si="58"/>
        <v/>
      </c>
      <c r="O1263" s="49" t="str">
        <f t="shared" ca="1" si="59"/>
        <v/>
      </c>
      <c r="P1263" s="38" t="str">
        <f>IF(E1263&lt;&gt;"",RANK(E1263,$E$3:$E$2298)+COUNTIF($E$3:E1263,E1263)-1,"")</f>
        <v/>
      </c>
    </row>
    <row r="1264" spans="4:16" x14ac:dyDescent="0.25">
      <c r="D1264" s="36" t="str" cm="1">
        <f t="array" aca="1" ref="D1264" ca="1">IFERROR(IF(INDIRECT("'"&amp;F1264&amp;"'!$C$5")&gt;0,DATE(YEAR(Dashboard!$AL$2),Dashboard!$AU$4,INDIRECT("'"&amp;F1264&amp;"'!$C$5")),""),"")</f>
        <v/>
      </c>
      <c r="G1264" s="38" t="str" cm="1">
        <f t="array" aca="1" ref="G1264" ca="1">IF(F1264="",
    "",
    IFERROR(
        IF(INDIRECT("'"&amp;F1264&amp;"'!$B$2")="Credit Limit",
            "Credit Accounts",
            IF(INDIRECT("'"&amp;F1264&amp;"'!$E$2")="Location",
                "Cash Accounts",
                IF(INDIRECT("'"&amp;F1264&amp;"'!$B$2")="Amount",
                    "Investments",
                    "Bill Accounts"
                )
            )
        ),
    "")
)</f>
        <v/>
      </c>
      <c r="I1264" s="46" t="str" cm="1">
        <f t="array" aca="1" ref="I1264" ca="1">IF(F1264&lt;&gt;"",IF(OR(G1264="Bill Accounts",G1264="Investments", G1264="Cash Accounts"),INDIRECT("'"&amp;F1264&amp;"'!$C$10"),INDIRECT("'"&amp;F1264&amp;"'!$C$8")),"")</f>
        <v/>
      </c>
      <c r="K1264" s="48">
        <f t="shared" si="60"/>
        <v>1270</v>
      </c>
      <c r="L1264" s="114" t="str" cm="1">
        <f t="array" aca="1" ref="L1264" ca="1">IF(F1264&lt;&gt;"",INDIRECT("'"&amp;F1264&amp;"'!$F$17"),"")</f>
        <v/>
      </c>
      <c r="M1264" s="116" t="str">
        <f t="shared" ca="1" si="58"/>
        <v/>
      </c>
      <c r="O1264" s="49" t="str">
        <f t="shared" ca="1" si="59"/>
        <v/>
      </c>
      <c r="P1264" s="38" t="str">
        <f>IF(E1264&lt;&gt;"",RANK(E1264,$E$3:$E$2298)+COUNTIF($E$3:E1264,E1264)-1,"")</f>
        <v/>
      </c>
    </row>
    <row r="1265" spans="4:16" x14ac:dyDescent="0.25">
      <c r="D1265" s="36" t="str" cm="1">
        <f t="array" aca="1" ref="D1265" ca="1">IFERROR(IF(INDIRECT("'"&amp;F1265&amp;"'!$C$5")&gt;0,DATE(YEAR(Dashboard!$AL$2),Dashboard!$AU$4,INDIRECT("'"&amp;F1265&amp;"'!$C$5")),""),"")</f>
        <v/>
      </c>
      <c r="G1265" s="38" t="str" cm="1">
        <f t="array" aca="1" ref="G1265" ca="1">IF(F1265="",
    "",
    IFERROR(
        IF(INDIRECT("'"&amp;F1265&amp;"'!$B$2")="Credit Limit",
            "Credit Accounts",
            IF(INDIRECT("'"&amp;F1265&amp;"'!$E$2")="Location",
                "Cash Accounts",
                IF(INDIRECT("'"&amp;F1265&amp;"'!$B$2")="Amount",
                    "Investments",
                    "Bill Accounts"
                )
            )
        ),
    "")
)</f>
        <v/>
      </c>
      <c r="I1265" s="46" t="str" cm="1">
        <f t="array" aca="1" ref="I1265" ca="1">IF(F1265&lt;&gt;"",IF(OR(G1265="Bill Accounts",G1265="Investments", G1265="Cash Accounts"),INDIRECT("'"&amp;F1265&amp;"'!$C$10"),INDIRECT("'"&amp;F1265&amp;"'!$C$8")),"")</f>
        <v/>
      </c>
      <c r="K1265" s="48">
        <f t="shared" si="60"/>
        <v>1271</v>
      </c>
      <c r="L1265" s="114" t="str" cm="1">
        <f t="array" aca="1" ref="L1265" ca="1">IF(F1265&lt;&gt;"",INDIRECT("'"&amp;F1265&amp;"'!$F$17"),"")</f>
        <v/>
      </c>
      <c r="M1265" s="116" t="str">
        <f t="shared" ca="1" si="58"/>
        <v/>
      </c>
      <c r="O1265" s="49" t="str">
        <f t="shared" ca="1" si="59"/>
        <v/>
      </c>
      <c r="P1265" s="38" t="str">
        <f>IF(E1265&lt;&gt;"",RANK(E1265,$E$3:$E$2298)+COUNTIF($E$3:E1265,E1265)-1,"")</f>
        <v/>
      </c>
    </row>
    <row r="1266" spans="4:16" x14ac:dyDescent="0.25">
      <c r="D1266" s="36" t="str" cm="1">
        <f t="array" aca="1" ref="D1266" ca="1">IFERROR(IF(INDIRECT("'"&amp;F1266&amp;"'!$C$5")&gt;0,DATE(YEAR(Dashboard!$AL$2),Dashboard!$AU$4,INDIRECT("'"&amp;F1266&amp;"'!$C$5")),""),"")</f>
        <v/>
      </c>
      <c r="G1266" s="38" t="str" cm="1">
        <f t="array" aca="1" ref="G1266" ca="1">IF(F1266="",
    "",
    IFERROR(
        IF(INDIRECT("'"&amp;F1266&amp;"'!$B$2")="Credit Limit",
            "Credit Accounts",
            IF(INDIRECT("'"&amp;F1266&amp;"'!$E$2")="Location",
                "Cash Accounts",
                IF(INDIRECT("'"&amp;F1266&amp;"'!$B$2")="Amount",
                    "Investments",
                    "Bill Accounts"
                )
            )
        ),
    "")
)</f>
        <v/>
      </c>
      <c r="I1266" s="46" t="str" cm="1">
        <f t="array" aca="1" ref="I1266" ca="1">IF(F1266&lt;&gt;"",IF(OR(G1266="Bill Accounts",G1266="Investments", G1266="Cash Accounts"),INDIRECT("'"&amp;F1266&amp;"'!$C$10"),INDIRECT("'"&amp;F1266&amp;"'!$C$8")),"")</f>
        <v/>
      </c>
      <c r="K1266" s="48">
        <f t="shared" si="60"/>
        <v>1272</v>
      </c>
      <c r="L1266" s="114" t="str" cm="1">
        <f t="array" aca="1" ref="L1266" ca="1">IF(F1266&lt;&gt;"",INDIRECT("'"&amp;F1266&amp;"'!$F$17"),"")</f>
        <v/>
      </c>
      <c r="M1266" s="116" t="str">
        <f t="shared" ca="1" si="58"/>
        <v/>
      </c>
      <c r="O1266" s="49" t="str">
        <f t="shared" ca="1" si="59"/>
        <v/>
      </c>
      <c r="P1266" s="38" t="str">
        <f>IF(E1266&lt;&gt;"",RANK(E1266,$E$3:$E$2298)+COUNTIF($E$3:E1266,E1266)-1,"")</f>
        <v/>
      </c>
    </row>
    <row r="1267" spans="4:16" x14ac:dyDescent="0.25">
      <c r="D1267" s="36" t="str" cm="1">
        <f t="array" aca="1" ref="D1267" ca="1">IFERROR(IF(INDIRECT("'"&amp;F1267&amp;"'!$C$5")&gt;0,DATE(YEAR(Dashboard!$AL$2),Dashboard!$AU$4,INDIRECT("'"&amp;F1267&amp;"'!$C$5")),""),"")</f>
        <v/>
      </c>
      <c r="G1267" s="38" t="str" cm="1">
        <f t="array" aca="1" ref="G1267" ca="1">IF(F1267="",
    "",
    IFERROR(
        IF(INDIRECT("'"&amp;F1267&amp;"'!$B$2")="Credit Limit",
            "Credit Accounts",
            IF(INDIRECT("'"&amp;F1267&amp;"'!$E$2")="Location",
                "Cash Accounts",
                IF(INDIRECT("'"&amp;F1267&amp;"'!$B$2")="Amount",
                    "Investments",
                    "Bill Accounts"
                )
            )
        ),
    "")
)</f>
        <v/>
      </c>
      <c r="I1267" s="46" t="str" cm="1">
        <f t="array" aca="1" ref="I1267" ca="1">IF(F1267&lt;&gt;"",IF(OR(G1267="Bill Accounts",G1267="Investments", G1267="Cash Accounts"),INDIRECT("'"&amp;F1267&amp;"'!$C$10"),INDIRECT("'"&amp;F1267&amp;"'!$C$8")),"")</f>
        <v/>
      </c>
      <c r="K1267" s="48">
        <f t="shared" si="60"/>
        <v>1273</v>
      </c>
      <c r="L1267" s="114" t="str" cm="1">
        <f t="array" aca="1" ref="L1267" ca="1">IF(F1267&lt;&gt;"",INDIRECT("'"&amp;F1267&amp;"'!$F$17"),"")</f>
        <v/>
      </c>
      <c r="M1267" s="116" t="str">
        <f t="shared" ca="1" si="58"/>
        <v/>
      </c>
      <c r="O1267" s="49" t="str">
        <f t="shared" ca="1" si="59"/>
        <v/>
      </c>
      <c r="P1267" s="38" t="str">
        <f>IF(E1267&lt;&gt;"",RANK(E1267,$E$3:$E$2298)+COUNTIF($E$3:E1267,E1267)-1,"")</f>
        <v/>
      </c>
    </row>
    <row r="1268" spans="4:16" x14ac:dyDescent="0.25">
      <c r="D1268" s="36" t="str" cm="1">
        <f t="array" aca="1" ref="D1268" ca="1">IFERROR(IF(INDIRECT("'"&amp;F1268&amp;"'!$C$5")&gt;0,DATE(YEAR(Dashboard!$AL$2),Dashboard!$AU$4,INDIRECT("'"&amp;F1268&amp;"'!$C$5")),""),"")</f>
        <v/>
      </c>
      <c r="G1268" s="38" t="str" cm="1">
        <f t="array" aca="1" ref="G1268" ca="1">IF(F1268="",
    "",
    IFERROR(
        IF(INDIRECT("'"&amp;F1268&amp;"'!$B$2")="Credit Limit",
            "Credit Accounts",
            IF(INDIRECT("'"&amp;F1268&amp;"'!$E$2")="Location",
                "Cash Accounts",
                IF(INDIRECT("'"&amp;F1268&amp;"'!$B$2")="Amount",
                    "Investments",
                    "Bill Accounts"
                )
            )
        ),
    "")
)</f>
        <v/>
      </c>
      <c r="I1268" s="46" t="str" cm="1">
        <f t="array" aca="1" ref="I1268" ca="1">IF(F1268&lt;&gt;"",IF(OR(G1268="Bill Accounts",G1268="Investments", G1268="Cash Accounts"),INDIRECT("'"&amp;F1268&amp;"'!$C$10"),INDIRECT("'"&amp;F1268&amp;"'!$C$8")),"")</f>
        <v/>
      </c>
      <c r="K1268" s="48">
        <f t="shared" si="60"/>
        <v>1274</v>
      </c>
      <c r="L1268" s="114" t="str" cm="1">
        <f t="array" aca="1" ref="L1268" ca="1">IF(F1268&lt;&gt;"",INDIRECT("'"&amp;F1268&amp;"'!$F$17"),"")</f>
        <v/>
      </c>
      <c r="M1268" s="116" t="str">
        <f t="shared" ca="1" si="58"/>
        <v/>
      </c>
      <c r="O1268" s="49" t="str">
        <f t="shared" ca="1" si="59"/>
        <v/>
      </c>
      <c r="P1268" s="38" t="str">
        <f>IF(E1268&lt;&gt;"",RANK(E1268,$E$3:$E$2298)+COUNTIF($E$3:E1268,E1268)-1,"")</f>
        <v/>
      </c>
    </row>
    <row r="1269" spans="4:16" x14ac:dyDescent="0.25">
      <c r="D1269" s="36" t="str" cm="1">
        <f t="array" aca="1" ref="D1269" ca="1">IFERROR(IF(INDIRECT("'"&amp;F1269&amp;"'!$C$5")&gt;0,DATE(YEAR(Dashboard!$AL$2),Dashboard!$AU$4,INDIRECT("'"&amp;F1269&amp;"'!$C$5")),""),"")</f>
        <v/>
      </c>
      <c r="G1269" s="38" t="str" cm="1">
        <f t="array" aca="1" ref="G1269" ca="1">IF(F1269="",
    "",
    IFERROR(
        IF(INDIRECT("'"&amp;F1269&amp;"'!$B$2")="Credit Limit",
            "Credit Accounts",
            IF(INDIRECT("'"&amp;F1269&amp;"'!$E$2")="Location",
                "Cash Accounts",
                IF(INDIRECT("'"&amp;F1269&amp;"'!$B$2")="Amount",
                    "Investments",
                    "Bill Accounts"
                )
            )
        ),
    "")
)</f>
        <v/>
      </c>
      <c r="I1269" s="46" t="str" cm="1">
        <f t="array" aca="1" ref="I1269" ca="1">IF(F1269&lt;&gt;"",IF(OR(G1269="Bill Accounts",G1269="Investments", G1269="Cash Accounts"),INDIRECT("'"&amp;F1269&amp;"'!$C$10"),INDIRECT("'"&amp;F1269&amp;"'!$C$8")),"")</f>
        <v/>
      </c>
      <c r="K1269" s="48">
        <f t="shared" si="60"/>
        <v>1275</v>
      </c>
      <c r="L1269" s="114" t="str" cm="1">
        <f t="array" aca="1" ref="L1269" ca="1">IF(F1269&lt;&gt;"",INDIRECT("'"&amp;F1269&amp;"'!$F$17"),"")</f>
        <v/>
      </c>
      <c r="M1269" s="116" t="str">
        <f t="shared" ca="1" si="58"/>
        <v/>
      </c>
      <c r="O1269" s="49" t="str">
        <f t="shared" ca="1" si="59"/>
        <v/>
      </c>
      <c r="P1269" s="38" t="str">
        <f>IF(E1269&lt;&gt;"",RANK(E1269,$E$3:$E$2298)+COUNTIF($E$3:E1269,E1269)-1,"")</f>
        <v/>
      </c>
    </row>
    <row r="1270" spans="4:16" x14ac:dyDescent="0.25">
      <c r="D1270" s="36" t="str" cm="1">
        <f t="array" aca="1" ref="D1270" ca="1">IFERROR(IF(INDIRECT("'"&amp;F1270&amp;"'!$C$5")&gt;0,DATE(YEAR(Dashboard!$AL$2),Dashboard!$AU$4,INDIRECT("'"&amp;F1270&amp;"'!$C$5")),""),"")</f>
        <v/>
      </c>
      <c r="G1270" s="38" t="str" cm="1">
        <f t="array" aca="1" ref="G1270" ca="1">IF(F1270="",
    "",
    IFERROR(
        IF(INDIRECT("'"&amp;F1270&amp;"'!$B$2")="Credit Limit",
            "Credit Accounts",
            IF(INDIRECT("'"&amp;F1270&amp;"'!$E$2")="Location",
                "Cash Accounts",
                IF(INDIRECT("'"&amp;F1270&amp;"'!$B$2")="Amount",
                    "Investments",
                    "Bill Accounts"
                )
            )
        ),
    "")
)</f>
        <v/>
      </c>
      <c r="I1270" s="46" t="str" cm="1">
        <f t="array" aca="1" ref="I1270" ca="1">IF(F1270&lt;&gt;"",IF(OR(G1270="Bill Accounts",G1270="Investments", G1270="Cash Accounts"),INDIRECT("'"&amp;F1270&amp;"'!$C$10"),INDIRECT("'"&amp;F1270&amp;"'!$C$8")),"")</f>
        <v/>
      </c>
      <c r="K1270" s="48">
        <f t="shared" si="60"/>
        <v>1276</v>
      </c>
      <c r="L1270" s="114" t="str" cm="1">
        <f t="array" aca="1" ref="L1270" ca="1">IF(F1270&lt;&gt;"",INDIRECT("'"&amp;F1270&amp;"'!$F$17"),"")</f>
        <v/>
      </c>
      <c r="M1270" s="116" t="str">
        <f t="shared" ca="1" si="58"/>
        <v/>
      </c>
      <c r="O1270" s="49" t="str">
        <f t="shared" ca="1" si="59"/>
        <v/>
      </c>
      <c r="P1270" s="38" t="str">
        <f>IF(E1270&lt;&gt;"",RANK(E1270,$E$3:$E$2298)+COUNTIF($E$3:E1270,E1270)-1,"")</f>
        <v/>
      </c>
    </row>
    <row r="1271" spans="4:16" x14ac:dyDescent="0.25">
      <c r="D1271" s="36" t="str" cm="1">
        <f t="array" aca="1" ref="D1271" ca="1">IFERROR(IF(INDIRECT("'"&amp;F1271&amp;"'!$C$5")&gt;0,DATE(YEAR(Dashboard!$AL$2),Dashboard!$AU$4,INDIRECT("'"&amp;F1271&amp;"'!$C$5")),""),"")</f>
        <v/>
      </c>
      <c r="G1271" s="38" t="str" cm="1">
        <f t="array" aca="1" ref="G1271" ca="1">IF(F1271="",
    "",
    IFERROR(
        IF(INDIRECT("'"&amp;F1271&amp;"'!$B$2")="Credit Limit",
            "Credit Accounts",
            IF(INDIRECT("'"&amp;F1271&amp;"'!$E$2")="Location",
                "Cash Accounts",
                IF(INDIRECT("'"&amp;F1271&amp;"'!$B$2")="Amount",
                    "Investments",
                    "Bill Accounts"
                )
            )
        ),
    "")
)</f>
        <v/>
      </c>
      <c r="I1271" s="46" t="str" cm="1">
        <f t="array" aca="1" ref="I1271" ca="1">IF(F1271&lt;&gt;"",IF(OR(G1271="Bill Accounts",G1271="Investments", G1271="Cash Accounts"),INDIRECT("'"&amp;F1271&amp;"'!$C$10"),INDIRECT("'"&amp;F1271&amp;"'!$C$8")),"")</f>
        <v/>
      </c>
      <c r="K1271" s="48">
        <f t="shared" si="60"/>
        <v>1277</v>
      </c>
      <c r="L1271" s="114" t="str" cm="1">
        <f t="array" aca="1" ref="L1271" ca="1">IF(F1271&lt;&gt;"",INDIRECT("'"&amp;F1271&amp;"'!$F$17"),"")</f>
        <v/>
      </c>
      <c r="M1271" s="116" t="str">
        <f t="shared" ca="1" si="58"/>
        <v/>
      </c>
      <c r="O1271" s="49" t="str">
        <f t="shared" ca="1" si="59"/>
        <v/>
      </c>
      <c r="P1271" s="38" t="str">
        <f>IF(E1271&lt;&gt;"",RANK(E1271,$E$3:$E$2298)+COUNTIF($E$3:E1271,E1271)-1,"")</f>
        <v/>
      </c>
    </row>
    <row r="1272" spans="4:16" x14ac:dyDescent="0.25">
      <c r="D1272" s="36" t="str" cm="1">
        <f t="array" aca="1" ref="D1272" ca="1">IFERROR(IF(INDIRECT("'"&amp;F1272&amp;"'!$C$5")&gt;0,DATE(YEAR(Dashboard!$AL$2),Dashboard!$AU$4,INDIRECT("'"&amp;F1272&amp;"'!$C$5")),""),"")</f>
        <v/>
      </c>
      <c r="G1272" s="38" t="str" cm="1">
        <f t="array" aca="1" ref="G1272" ca="1">IF(F1272="",
    "",
    IFERROR(
        IF(INDIRECT("'"&amp;F1272&amp;"'!$B$2")="Credit Limit",
            "Credit Accounts",
            IF(INDIRECT("'"&amp;F1272&amp;"'!$E$2")="Location",
                "Cash Accounts",
                IF(INDIRECT("'"&amp;F1272&amp;"'!$B$2")="Amount",
                    "Investments",
                    "Bill Accounts"
                )
            )
        ),
    "")
)</f>
        <v/>
      </c>
      <c r="I1272" s="46" t="str" cm="1">
        <f t="array" aca="1" ref="I1272" ca="1">IF(F1272&lt;&gt;"",IF(OR(G1272="Bill Accounts",G1272="Investments", G1272="Cash Accounts"),INDIRECT("'"&amp;F1272&amp;"'!$C$10"),INDIRECT("'"&amp;F1272&amp;"'!$C$8")),"")</f>
        <v/>
      </c>
      <c r="K1272" s="48">
        <f t="shared" si="60"/>
        <v>1278</v>
      </c>
      <c r="L1272" s="114" t="str" cm="1">
        <f t="array" aca="1" ref="L1272" ca="1">IF(F1272&lt;&gt;"",INDIRECT("'"&amp;F1272&amp;"'!$F$17"),"")</f>
        <v/>
      </c>
      <c r="M1272" s="116" t="str">
        <f t="shared" ca="1" si="58"/>
        <v/>
      </c>
      <c r="O1272" s="49" t="str">
        <f t="shared" ca="1" si="59"/>
        <v/>
      </c>
      <c r="P1272" s="38" t="str">
        <f>IF(E1272&lt;&gt;"",RANK(E1272,$E$3:$E$2298)+COUNTIF($E$3:E1272,E1272)-1,"")</f>
        <v/>
      </c>
    </row>
    <row r="1273" spans="4:16" x14ac:dyDescent="0.25">
      <c r="D1273" s="36" t="str" cm="1">
        <f t="array" aca="1" ref="D1273" ca="1">IFERROR(IF(INDIRECT("'"&amp;F1273&amp;"'!$C$5")&gt;0,DATE(YEAR(Dashboard!$AL$2),Dashboard!$AU$4,INDIRECT("'"&amp;F1273&amp;"'!$C$5")),""),"")</f>
        <v/>
      </c>
      <c r="G1273" s="38" t="str" cm="1">
        <f t="array" aca="1" ref="G1273" ca="1">IF(F1273="",
    "",
    IFERROR(
        IF(INDIRECT("'"&amp;F1273&amp;"'!$B$2")="Credit Limit",
            "Credit Accounts",
            IF(INDIRECT("'"&amp;F1273&amp;"'!$E$2")="Location",
                "Cash Accounts",
                IF(INDIRECT("'"&amp;F1273&amp;"'!$B$2")="Amount",
                    "Investments",
                    "Bill Accounts"
                )
            )
        ),
    "")
)</f>
        <v/>
      </c>
      <c r="I1273" s="46" t="str" cm="1">
        <f t="array" aca="1" ref="I1273" ca="1">IF(F1273&lt;&gt;"",IF(OR(G1273="Bill Accounts",G1273="Investments", G1273="Cash Accounts"),INDIRECT("'"&amp;F1273&amp;"'!$C$10"),INDIRECT("'"&amp;F1273&amp;"'!$C$8")),"")</f>
        <v/>
      </c>
      <c r="K1273" s="48">
        <f t="shared" si="60"/>
        <v>1279</v>
      </c>
      <c r="L1273" s="114" t="str" cm="1">
        <f t="array" aca="1" ref="L1273" ca="1">IF(F1273&lt;&gt;"",INDIRECT("'"&amp;F1273&amp;"'!$F$17"),"")</f>
        <v/>
      </c>
      <c r="M1273" s="116" t="str">
        <f t="shared" ca="1" si="58"/>
        <v/>
      </c>
      <c r="O1273" s="49" t="str">
        <f t="shared" ca="1" si="59"/>
        <v/>
      </c>
      <c r="P1273" s="38" t="str">
        <f>IF(E1273&lt;&gt;"",RANK(E1273,$E$3:$E$2298)+COUNTIF($E$3:E1273,E1273)-1,"")</f>
        <v/>
      </c>
    </row>
    <row r="1274" spans="4:16" x14ac:dyDescent="0.25">
      <c r="D1274" s="36" t="str" cm="1">
        <f t="array" aca="1" ref="D1274" ca="1">IFERROR(IF(INDIRECT("'"&amp;F1274&amp;"'!$C$5")&gt;0,DATE(YEAR(Dashboard!$AL$2),Dashboard!$AU$4,INDIRECT("'"&amp;F1274&amp;"'!$C$5")),""),"")</f>
        <v/>
      </c>
      <c r="G1274" s="38" t="str" cm="1">
        <f t="array" aca="1" ref="G1274" ca="1">IF(F1274="",
    "",
    IFERROR(
        IF(INDIRECT("'"&amp;F1274&amp;"'!$B$2")="Credit Limit",
            "Credit Accounts",
            IF(INDIRECT("'"&amp;F1274&amp;"'!$E$2")="Location",
                "Cash Accounts",
                IF(INDIRECT("'"&amp;F1274&amp;"'!$B$2")="Amount",
                    "Investments",
                    "Bill Accounts"
                )
            )
        ),
    "")
)</f>
        <v/>
      </c>
      <c r="I1274" s="46" t="str" cm="1">
        <f t="array" aca="1" ref="I1274" ca="1">IF(F1274&lt;&gt;"",IF(OR(G1274="Bill Accounts",G1274="Investments", G1274="Cash Accounts"),INDIRECT("'"&amp;F1274&amp;"'!$C$10"),INDIRECT("'"&amp;F1274&amp;"'!$C$8")),"")</f>
        <v/>
      </c>
      <c r="K1274" s="48">
        <f t="shared" si="60"/>
        <v>1280</v>
      </c>
      <c r="L1274" s="114" t="str" cm="1">
        <f t="array" aca="1" ref="L1274" ca="1">IF(F1274&lt;&gt;"",INDIRECT("'"&amp;F1274&amp;"'!$F$17"),"")</f>
        <v/>
      </c>
      <c r="M1274" s="116" t="str">
        <f t="shared" ca="1" si="58"/>
        <v/>
      </c>
      <c r="O1274" s="49" t="str">
        <f t="shared" ca="1" si="59"/>
        <v/>
      </c>
      <c r="P1274" s="38" t="str">
        <f>IF(E1274&lt;&gt;"",RANK(E1274,$E$3:$E$2298)+COUNTIF($E$3:E1274,E1274)-1,"")</f>
        <v/>
      </c>
    </row>
    <row r="1275" spans="4:16" x14ac:dyDescent="0.25">
      <c r="D1275" s="36" t="str" cm="1">
        <f t="array" aca="1" ref="D1275" ca="1">IFERROR(IF(INDIRECT("'"&amp;F1275&amp;"'!$C$5")&gt;0,DATE(YEAR(Dashboard!$AL$2),Dashboard!$AU$4,INDIRECT("'"&amp;F1275&amp;"'!$C$5")),""),"")</f>
        <v/>
      </c>
      <c r="G1275" s="38" t="str" cm="1">
        <f t="array" aca="1" ref="G1275" ca="1">IF(F1275="",
    "",
    IFERROR(
        IF(INDIRECT("'"&amp;F1275&amp;"'!$B$2")="Credit Limit",
            "Credit Accounts",
            IF(INDIRECT("'"&amp;F1275&amp;"'!$E$2")="Location",
                "Cash Accounts",
                IF(INDIRECT("'"&amp;F1275&amp;"'!$B$2")="Amount",
                    "Investments",
                    "Bill Accounts"
                )
            )
        ),
    "")
)</f>
        <v/>
      </c>
      <c r="I1275" s="46" t="str" cm="1">
        <f t="array" aca="1" ref="I1275" ca="1">IF(F1275&lt;&gt;"",IF(OR(G1275="Bill Accounts",G1275="Investments", G1275="Cash Accounts"),INDIRECT("'"&amp;F1275&amp;"'!$C$10"),INDIRECT("'"&amp;F1275&amp;"'!$C$8")),"")</f>
        <v/>
      </c>
      <c r="K1275" s="48">
        <f t="shared" si="60"/>
        <v>1281</v>
      </c>
      <c r="L1275" s="114" t="str" cm="1">
        <f t="array" aca="1" ref="L1275" ca="1">IF(F1275&lt;&gt;"",INDIRECT("'"&amp;F1275&amp;"'!$F$17"),"")</f>
        <v/>
      </c>
      <c r="M1275" s="116" t="str">
        <f t="shared" ca="1" si="58"/>
        <v/>
      </c>
      <c r="O1275" s="49" t="str">
        <f t="shared" ca="1" si="59"/>
        <v/>
      </c>
      <c r="P1275" s="38" t="str">
        <f>IF(E1275&lt;&gt;"",RANK(E1275,$E$3:$E$2298)+COUNTIF($E$3:E1275,E1275)-1,"")</f>
        <v/>
      </c>
    </row>
    <row r="1276" spans="4:16" x14ac:dyDescent="0.25">
      <c r="D1276" s="36" t="str" cm="1">
        <f t="array" aca="1" ref="D1276" ca="1">IFERROR(IF(INDIRECT("'"&amp;F1276&amp;"'!$C$5")&gt;0,DATE(YEAR(Dashboard!$AL$2),Dashboard!$AU$4,INDIRECT("'"&amp;F1276&amp;"'!$C$5")),""),"")</f>
        <v/>
      </c>
      <c r="G1276" s="38" t="str" cm="1">
        <f t="array" aca="1" ref="G1276" ca="1">IF(F1276="",
    "",
    IFERROR(
        IF(INDIRECT("'"&amp;F1276&amp;"'!$B$2")="Credit Limit",
            "Credit Accounts",
            IF(INDIRECT("'"&amp;F1276&amp;"'!$E$2")="Location",
                "Cash Accounts",
                IF(INDIRECT("'"&amp;F1276&amp;"'!$B$2")="Amount",
                    "Investments",
                    "Bill Accounts"
                )
            )
        ),
    "")
)</f>
        <v/>
      </c>
      <c r="I1276" s="46" t="str" cm="1">
        <f t="array" aca="1" ref="I1276" ca="1">IF(F1276&lt;&gt;"",IF(OR(G1276="Bill Accounts",G1276="Investments", G1276="Cash Accounts"),INDIRECT("'"&amp;F1276&amp;"'!$C$10"),INDIRECT("'"&amp;F1276&amp;"'!$C$8")),"")</f>
        <v/>
      </c>
      <c r="K1276" s="48">
        <f t="shared" si="60"/>
        <v>1282</v>
      </c>
      <c r="L1276" s="114" t="str" cm="1">
        <f t="array" aca="1" ref="L1276" ca="1">IF(F1276&lt;&gt;"",INDIRECT("'"&amp;F1276&amp;"'!$F$17"),"")</f>
        <v/>
      </c>
      <c r="M1276" s="116" t="str">
        <f t="shared" ca="1" si="58"/>
        <v/>
      </c>
      <c r="O1276" s="49" t="str">
        <f t="shared" ca="1" si="59"/>
        <v/>
      </c>
      <c r="P1276" s="38" t="str">
        <f>IF(E1276&lt;&gt;"",RANK(E1276,$E$3:$E$2298)+COUNTIF($E$3:E1276,E1276)-1,"")</f>
        <v/>
      </c>
    </row>
    <row r="1277" spans="4:16" x14ac:dyDescent="0.25">
      <c r="D1277" s="36" t="str" cm="1">
        <f t="array" aca="1" ref="D1277" ca="1">IFERROR(IF(INDIRECT("'"&amp;F1277&amp;"'!$C$5")&gt;0,DATE(YEAR(Dashboard!$AL$2),Dashboard!$AU$4,INDIRECT("'"&amp;F1277&amp;"'!$C$5")),""),"")</f>
        <v/>
      </c>
      <c r="G1277" s="38" t="str" cm="1">
        <f t="array" aca="1" ref="G1277" ca="1">IF(F1277="",
    "",
    IFERROR(
        IF(INDIRECT("'"&amp;F1277&amp;"'!$B$2")="Credit Limit",
            "Credit Accounts",
            IF(INDIRECT("'"&amp;F1277&amp;"'!$E$2")="Location",
                "Cash Accounts",
                IF(INDIRECT("'"&amp;F1277&amp;"'!$B$2")="Amount",
                    "Investments",
                    "Bill Accounts"
                )
            )
        ),
    "")
)</f>
        <v/>
      </c>
      <c r="I1277" s="46" t="str" cm="1">
        <f t="array" aca="1" ref="I1277" ca="1">IF(F1277&lt;&gt;"",IF(OR(G1277="Bill Accounts",G1277="Investments", G1277="Cash Accounts"),INDIRECT("'"&amp;F1277&amp;"'!$C$10"),INDIRECT("'"&amp;F1277&amp;"'!$C$8")),"")</f>
        <v/>
      </c>
      <c r="K1277" s="48">
        <f t="shared" si="60"/>
        <v>1283</v>
      </c>
      <c r="L1277" s="114" t="str" cm="1">
        <f t="array" aca="1" ref="L1277" ca="1">IF(F1277&lt;&gt;"",INDIRECT("'"&amp;F1277&amp;"'!$F$17"),"")</f>
        <v/>
      </c>
      <c r="M1277" s="116" t="str">
        <f t="shared" ca="1" si="58"/>
        <v/>
      </c>
      <c r="O1277" s="49" t="str">
        <f t="shared" ca="1" si="59"/>
        <v/>
      </c>
      <c r="P1277" s="38" t="str">
        <f>IF(E1277&lt;&gt;"",RANK(E1277,$E$3:$E$2298)+COUNTIF($E$3:E1277,E1277)-1,"")</f>
        <v/>
      </c>
    </row>
    <row r="1278" spans="4:16" x14ac:dyDescent="0.25">
      <c r="D1278" s="36" t="str" cm="1">
        <f t="array" aca="1" ref="D1278" ca="1">IFERROR(IF(INDIRECT("'"&amp;F1278&amp;"'!$C$5")&gt;0,DATE(YEAR(Dashboard!$AL$2),Dashboard!$AU$4,INDIRECT("'"&amp;F1278&amp;"'!$C$5")),""),"")</f>
        <v/>
      </c>
      <c r="G1278" s="38" t="str" cm="1">
        <f t="array" aca="1" ref="G1278" ca="1">IF(F1278="",
    "",
    IFERROR(
        IF(INDIRECT("'"&amp;F1278&amp;"'!$B$2")="Credit Limit",
            "Credit Accounts",
            IF(INDIRECT("'"&amp;F1278&amp;"'!$E$2")="Location",
                "Cash Accounts",
                IF(INDIRECT("'"&amp;F1278&amp;"'!$B$2")="Amount",
                    "Investments",
                    "Bill Accounts"
                )
            )
        ),
    "")
)</f>
        <v/>
      </c>
      <c r="I1278" s="46" t="str" cm="1">
        <f t="array" aca="1" ref="I1278" ca="1">IF(F1278&lt;&gt;"",IF(OR(G1278="Bill Accounts",G1278="Investments", G1278="Cash Accounts"),INDIRECT("'"&amp;F1278&amp;"'!$C$10"),INDIRECT("'"&amp;F1278&amp;"'!$C$8")),"")</f>
        <v/>
      </c>
      <c r="K1278" s="48">
        <f t="shared" si="60"/>
        <v>1284</v>
      </c>
      <c r="L1278" s="114" t="str" cm="1">
        <f t="array" aca="1" ref="L1278" ca="1">IF(F1278&lt;&gt;"",INDIRECT("'"&amp;F1278&amp;"'!$F$17"),"")</f>
        <v/>
      </c>
      <c r="M1278" s="116" t="str">
        <f t="shared" ca="1" si="58"/>
        <v/>
      </c>
      <c r="O1278" s="49" t="str">
        <f t="shared" ca="1" si="59"/>
        <v/>
      </c>
      <c r="P1278" s="38" t="str">
        <f>IF(E1278&lt;&gt;"",RANK(E1278,$E$3:$E$2298)+COUNTIF($E$3:E1278,E1278)-1,"")</f>
        <v/>
      </c>
    </row>
    <row r="1279" spans="4:16" x14ac:dyDescent="0.25">
      <c r="D1279" s="36" t="str" cm="1">
        <f t="array" aca="1" ref="D1279" ca="1">IFERROR(IF(INDIRECT("'"&amp;F1279&amp;"'!$C$5")&gt;0,DATE(YEAR(Dashboard!$AL$2),Dashboard!$AU$4,INDIRECT("'"&amp;F1279&amp;"'!$C$5")),""),"")</f>
        <v/>
      </c>
      <c r="G1279" s="38" t="str" cm="1">
        <f t="array" aca="1" ref="G1279" ca="1">IF(F1279="",
    "",
    IFERROR(
        IF(INDIRECT("'"&amp;F1279&amp;"'!$B$2")="Credit Limit",
            "Credit Accounts",
            IF(INDIRECT("'"&amp;F1279&amp;"'!$E$2")="Location",
                "Cash Accounts",
                IF(INDIRECT("'"&amp;F1279&amp;"'!$B$2")="Amount",
                    "Investments",
                    "Bill Accounts"
                )
            )
        ),
    "")
)</f>
        <v/>
      </c>
      <c r="I1279" s="46" t="str" cm="1">
        <f t="array" aca="1" ref="I1279" ca="1">IF(F1279&lt;&gt;"",IF(OR(G1279="Bill Accounts",G1279="Investments", G1279="Cash Accounts"),INDIRECT("'"&amp;F1279&amp;"'!$C$10"),INDIRECT("'"&amp;F1279&amp;"'!$C$8")),"")</f>
        <v/>
      </c>
      <c r="K1279" s="48">
        <f t="shared" si="60"/>
        <v>1285</v>
      </c>
      <c r="L1279" s="114" t="str" cm="1">
        <f t="array" aca="1" ref="L1279" ca="1">IF(F1279&lt;&gt;"",INDIRECT("'"&amp;F1279&amp;"'!$F$17"),"")</f>
        <v/>
      </c>
      <c r="M1279" s="116" t="str">
        <f t="shared" ca="1" si="58"/>
        <v/>
      </c>
      <c r="O1279" s="49" t="str">
        <f t="shared" ca="1" si="59"/>
        <v/>
      </c>
      <c r="P1279" s="38" t="str">
        <f>IF(E1279&lt;&gt;"",RANK(E1279,$E$3:$E$2298)+COUNTIF($E$3:E1279,E1279)-1,"")</f>
        <v/>
      </c>
    </row>
    <row r="1280" spans="4:16" x14ac:dyDescent="0.25">
      <c r="D1280" s="36" t="str" cm="1">
        <f t="array" aca="1" ref="D1280" ca="1">IFERROR(IF(INDIRECT("'"&amp;F1280&amp;"'!$C$5")&gt;0,DATE(YEAR(Dashboard!$AL$2),Dashboard!$AU$4,INDIRECT("'"&amp;F1280&amp;"'!$C$5")),""),"")</f>
        <v/>
      </c>
      <c r="G1280" s="38" t="str" cm="1">
        <f t="array" aca="1" ref="G1280" ca="1">IF(F1280="",
    "",
    IFERROR(
        IF(INDIRECT("'"&amp;F1280&amp;"'!$B$2")="Credit Limit",
            "Credit Accounts",
            IF(INDIRECT("'"&amp;F1280&amp;"'!$E$2")="Location",
                "Cash Accounts",
                IF(INDIRECT("'"&amp;F1280&amp;"'!$B$2")="Amount",
                    "Investments",
                    "Bill Accounts"
                )
            )
        ),
    "")
)</f>
        <v/>
      </c>
      <c r="I1280" s="46" t="str" cm="1">
        <f t="array" aca="1" ref="I1280" ca="1">IF(F1280&lt;&gt;"",IF(OR(G1280="Bill Accounts",G1280="Investments", G1280="Cash Accounts"),INDIRECT("'"&amp;F1280&amp;"'!$C$10"),INDIRECT("'"&amp;F1280&amp;"'!$C$8")),"")</f>
        <v/>
      </c>
      <c r="K1280" s="48">
        <f t="shared" si="60"/>
        <v>1286</v>
      </c>
      <c r="L1280" s="114" t="str" cm="1">
        <f t="array" aca="1" ref="L1280" ca="1">IF(F1280&lt;&gt;"",INDIRECT("'"&amp;F1280&amp;"'!$F$17"),"")</f>
        <v/>
      </c>
      <c r="M1280" s="116" t="str">
        <f t="shared" ca="1" si="58"/>
        <v/>
      </c>
      <c r="O1280" s="49" t="str">
        <f t="shared" ca="1" si="59"/>
        <v/>
      </c>
      <c r="P1280" s="38" t="str">
        <f>IF(E1280&lt;&gt;"",RANK(E1280,$E$3:$E$2298)+COUNTIF($E$3:E1280,E1280)-1,"")</f>
        <v/>
      </c>
    </row>
    <row r="1281" spans="4:16" x14ac:dyDescent="0.25">
      <c r="D1281" s="36" t="str" cm="1">
        <f t="array" aca="1" ref="D1281" ca="1">IFERROR(IF(INDIRECT("'"&amp;F1281&amp;"'!$C$5")&gt;0,DATE(YEAR(Dashboard!$AL$2),Dashboard!$AU$4,INDIRECT("'"&amp;F1281&amp;"'!$C$5")),""),"")</f>
        <v/>
      </c>
      <c r="G1281" s="38" t="str" cm="1">
        <f t="array" aca="1" ref="G1281" ca="1">IF(F1281="",
    "",
    IFERROR(
        IF(INDIRECT("'"&amp;F1281&amp;"'!$B$2")="Credit Limit",
            "Credit Accounts",
            IF(INDIRECT("'"&amp;F1281&amp;"'!$E$2")="Location",
                "Cash Accounts",
                IF(INDIRECT("'"&amp;F1281&amp;"'!$B$2")="Amount",
                    "Investments",
                    "Bill Accounts"
                )
            )
        ),
    "")
)</f>
        <v/>
      </c>
      <c r="I1281" s="46" t="str" cm="1">
        <f t="array" aca="1" ref="I1281" ca="1">IF(F1281&lt;&gt;"",IF(OR(G1281="Bill Accounts",G1281="Investments", G1281="Cash Accounts"),INDIRECT("'"&amp;F1281&amp;"'!$C$10"),INDIRECT("'"&amp;F1281&amp;"'!$C$8")),"")</f>
        <v/>
      </c>
      <c r="K1281" s="48">
        <f t="shared" si="60"/>
        <v>1287</v>
      </c>
      <c r="L1281" s="114" t="str" cm="1">
        <f t="array" aca="1" ref="L1281" ca="1">IF(F1281&lt;&gt;"",INDIRECT("'"&amp;F1281&amp;"'!$F$17"),"")</f>
        <v/>
      </c>
      <c r="M1281" s="116" t="str">
        <f t="shared" ca="1" si="58"/>
        <v/>
      </c>
      <c r="O1281" s="49" t="str">
        <f t="shared" ca="1" si="59"/>
        <v/>
      </c>
      <c r="P1281" s="38" t="str">
        <f>IF(E1281&lt;&gt;"",RANK(E1281,$E$3:$E$2298)+COUNTIF($E$3:E1281,E1281)-1,"")</f>
        <v/>
      </c>
    </row>
    <row r="1282" spans="4:16" x14ac:dyDescent="0.25">
      <c r="D1282" s="36" t="str" cm="1">
        <f t="array" aca="1" ref="D1282" ca="1">IFERROR(IF(INDIRECT("'"&amp;F1282&amp;"'!$C$5")&gt;0,DATE(YEAR(Dashboard!$AL$2),Dashboard!$AU$4,INDIRECT("'"&amp;F1282&amp;"'!$C$5")),""),"")</f>
        <v/>
      </c>
      <c r="G1282" s="38" t="str" cm="1">
        <f t="array" aca="1" ref="G1282" ca="1">IF(F1282="",
    "",
    IFERROR(
        IF(INDIRECT("'"&amp;F1282&amp;"'!$B$2")="Credit Limit",
            "Credit Accounts",
            IF(INDIRECT("'"&amp;F1282&amp;"'!$E$2")="Location",
                "Cash Accounts",
                IF(INDIRECT("'"&amp;F1282&amp;"'!$B$2")="Amount",
                    "Investments",
                    "Bill Accounts"
                )
            )
        ),
    "")
)</f>
        <v/>
      </c>
      <c r="I1282" s="46" t="str" cm="1">
        <f t="array" aca="1" ref="I1282" ca="1">IF(F1282&lt;&gt;"",IF(OR(G1282="Bill Accounts",G1282="Investments", G1282="Cash Accounts"),INDIRECT("'"&amp;F1282&amp;"'!$C$10"),INDIRECT("'"&amp;F1282&amp;"'!$C$8")),"")</f>
        <v/>
      </c>
      <c r="K1282" s="48">
        <f t="shared" si="60"/>
        <v>1288</v>
      </c>
      <c r="L1282" s="114" t="str" cm="1">
        <f t="array" aca="1" ref="L1282" ca="1">IF(F1282&lt;&gt;"",INDIRECT("'"&amp;F1282&amp;"'!$F$17"),"")</f>
        <v/>
      </c>
      <c r="M1282" s="116" t="str">
        <f t="shared" ca="1" si="58"/>
        <v/>
      </c>
      <c r="O1282" s="49" t="str">
        <f t="shared" ca="1" si="59"/>
        <v/>
      </c>
      <c r="P1282" s="38" t="str">
        <f>IF(E1282&lt;&gt;"",RANK(E1282,$E$3:$E$2298)+COUNTIF($E$3:E1282,E1282)-1,"")</f>
        <v/>
      </c>
    </row>
    <row r="1283" spans="4:16" x14ac:dyDescent="0.25">
      <c r="D1283" s="36" t="str" cm="1">
        <f t="array" aca="1" ref="D1283" ca="1">IFERROR(IF(INDIRECT("'"&amp;F1283&amp;"'!$C$5")&gt;0,DATE(YEAR(Dashboard!$AL$2),Dashboard!$AU$4,INDIRECT("'"&amp;F1283&amp;"'!$C$5")),""),"")</f>
        <v/>
      </c>
      <c r="G1283" s="38" t="str" cm="1">
        <f t="array" aca="1" ref="G1283" ca="1">IF(F1283="",
    "",
    IFERROR(
        IF(INDIRECT("'"&amp;F1283&amp;"'!$B$2")="Credit Limit",
            "Credit Accounts",
            IF(INDIRECT("'"&amp;F1283&amp;"'!$E$2")="Location",
                "Cash Accounts",
                IF(INDIRECT("'"&amp;F1283&amp;"'!$B$2")="Amount",
                    "Investments",
                    "Bill Accounts"
                )
            )
        ),
    "")
)</f>
        <v/>
      </c>
      <c r="I1283" s="46" t="str" cm="1">
        <f t="array" aca="1" ref="I1283" ca="1">IF(F1283&lt;&gt;"",IF(OR(G1283="Bill Accounts",G1283="Investments", G1283="Cash Accounts"),INDIRECT("'"&amp;F1283&amp;"'!$C$10"),INDIRECT("'"&amp;F1283&amp;"'!$C$8")),"")</f>
        <v/>
      </c>
      <c r="K1283" s="48">
        <f t="shared" si="60"/>
        <v>1289</v>
      </c>
      <c r="L1283" s="114" t="str" cm="1">
        <f t="array" aca="1" ref="L1283" ca="1">IF(F1283&lt;&gt;"",INDIRECT("'"&amp;F1283&amp;"'!$F$17"),"")</f>
        <v/>
      </c>
      <c r="M1283" s="116" t="str">
        <f t="shared" ca="1" si="58"/>
        <v/>
      </c>
      <c r="O1283" s="49" t="str">
        <f t="shared" ca="1" si="59"/>
        <v/>
      </c>
      <c r="P1283" s="38" t="str">
        <f>IF(E1283&lt;&gt;"",RANK(E1283,$E$3:$E$2298)+COUNTIF($E$3:E1283,E1283)-1,"")</f>
        <v/>
      </c>
    </row>
    <row r="1284" spans="4:16" x14ac:dyDescent="0.25">
      <c r="D1284" s="36" t="str" cm="1">
        <f t="array" aca="1" ref="D1284" ca="1">IFERROR(IF(INDIRECT("'"&amp;F1284&amp;"'!$C$5")&gt;0,DATE(YEAR(Dashboard!$AL$2),Dashboard!$AU$4,INDIRECT("'"&amp;F1284&amp;"'!$C$5")),""),"")</f>
        <v/>
      </c>
      <c r="G1284" s="38" t="str" cm="1">
        <f t="array" aca="1" ref="G1284" ca="1">IF(F1284="",
    "",
    IFERROR(
        IF(INDIRECT("'"&amp;F1284&amp;"'!$B$2")="Credit Limit",
            "Credit Accounts",
            IF(INDIRECT("'"&amp;F1284&amp;"'!$E$2")="Location",
                "Cash Accounts",
                IF(INDIRECT("'"&amp;F1284&amp;"'!$B$2")="Amount",
                    "Investments",
                    "Bill Accounts"
                )
            )
        ),
    "")
)</f>
        <v/>
      </c>
      <c r="I1284" s="46" t="str" cm="1">
        <f t="array" aca="1" ref="I1284" ca="1">IF(F1284&lt;&gt;"",IF(OR(G1284="Bill Accounts",G1284="Investments", G1284="Cash Accounts"),INDIRECT("'"&amp;F1284&amp;"'!$C$10"),INDIRECT("'"&amp;F1284&amp;"'!$C$8")),"")</f>
        <v/>
      </c>
      <c r="K1284" s="48">
        <f t="shared" si="60"/>
        <v>1290</v>
      </c>
      <c r="L1284" s="114" t="str" cm="1">
        <f t="array" aca="1" ref="L1284" ca="1">IF(F1284&lt;&gt;"",INDIRECT("'"&amp;F1284&amp;"'!$F$17"),"")</f>
        <v/>
      </c>
      <c r="M1284" s="116" t="str">
        <f t="shared" ref="M1284:M1347" ca="1" si="61">IF(G1284="Credit Accounts",EDATE(TODAY(),INDIRECT("'"&amp;F1284&amp;"'!$C$14")),"")</f>
        <v/>
      </c>
      <c r="O1284" s="49" t="str">
        <f t="shared" ref="O1284:O1347" ca="1" si="62">IF(D1284&lt;&gt;"",DAY(D1284),"")</f>
        <v/>
      </c>
      <c r="P1284" s="38" t="str">
        <f>IF(E1284&lt;&gt;"",RANK(E1284,$E$3:$E$2298)+COUNTIF($E$3:E1284,E1284)-1,"")</f>
        <v/>
      </c>
    </row>
    <row r="1285" spans="4:16" x14ac:dyDescent="0.25">
      <c r="D1285" s="36" t="str" cm="1">
        <f t="array" aca="1" ref="D1285" ca="1">IFERROR(IF(INDIRECT("'"&amp;F1285&amp;"'!$C$5")&gt;0,DATE(YEAR(Dashboard!$AL$2),Dashboard!$AU$4,INDIRECT("'"&amp;F1285&amp;"'!$C$5")),""),"")</f>
        <v/>
      </c>
      <c r="G1285" s="38" t="str" cm="1">
        <f t="array" aca="1" ref="G1285" ca="1">IF(F1285="",
    "",
    IFERROR(
        IF(INDIRECT("'"&amp;F1285&amp;"'!$B$2")="Credit Limit",
            "Credit Accounts",
            IF(INDIRECT("'"&amp;F1285&amp;"'!$E$2")="Location",
                "Cash Accounts",
                IF(INDIRECT("'"&amp;F1285&amp;"'!$B$2")="Amount",
                    "Investments",
                    "Bill Accounts"
                )
            )
        ),
    "")
)</f>
        <v/>
      </c>
      <c r="I1285" s="46" t="str" cm="1">
        <f t="array" aca="1" ref="I1285" ca="1">IF(F1285&lt;&gt;"",IF(OR(G1285="Bill Accounts",G1285="Investments", G1285="Cash Accounts"),INDIRECT("'"&amp;F1285&amp;"'!$C$10"),INDIRECT("'"&amp;F1285&amp;"'!$C$8")),"")</f>
        <v/>
      </c>
      <c r="K1285" s="48">
        <f t="shared" si="60"/>
        <v>1291</v>
      </c>
      <c r="L1285" s="114" t="str" cm="1">
        <f t="array" aca="1" ref="L1285" ca="1">IF(F1285&lt;&gt;"",INDIRECT("'"&amp;F1285&amp;"'!$F$17"),"")</f>
        <v/>
      </c>
      <c r="M1285" s="116" t="str">
        <f t="shared" ca="1" si="61"/>
        <v/>
      </c>
      <c r="O1285" s="49" t="str">
        <f t="shared" ca="1" si="62"/>
        <v/>
      </c>
      <c r="P1285" s="38" t="str">
        <f>IF(E1285&lt;&gt;"",RANK(E1285,$E$3:$E$2298)+COUNTIF($E$3:E1285,E1285)-1,"")</f>
        <v/>
      </c>
    </row>
    <row r="1286" spans="4:16" x14ac:dyDescent="0.25">
      <c r="D1286" s="36" t="str" cm="1">
        <f t="array" aca="1" ref="D1286" ca="1">IFERROR(IF(INDIRECT("'"&amp;F1286&amp;"'!$C$5")&gt;0,DATE(YEAR(Dashboard!$AL$2),Dashboard!$AU$4,INDIRECT("'"&amp;F1286&amp;"'!$C$5")),""),"")</f>
        <v/>
      </c>
      <c r="G1286" s="38" t="str" cm="1">
        <f t="array" aca="1" ref="G1286" ca="1">IF(F1286="",
    "",
    IFERROR(
        IF(INDIRECT("'"&amp;F1286&amp;"'!$B$2")="Credit Limit",
            "Credit Accounts",
            IF(INDIRECT("'"&amp;F1286&amp;"'!$E$2")="Location",
                "Cash Accounts",
                IF(INDIRECT("'"&amp;F1286&amp;"'!$B$2")="Amount",
                    "Investments",
                    "Bill Accounts"
                )
            )
        ),
    "")
)</f>
        <v/>
      </c>
      <c r="I1286" s="46" t="str" cm="1">
        <f t="array" aca="1" ref="I1286" ca="1">IF(F1286&lt;&gt;"",IF(OR(G1286="Bill Accounts",G1286="Investments", G1286="Cash Accounts"),INDIRECT("'"&amp;F1286&amp;"'!$C$10"),INDIRECT("'"&amp;F1286&amp;"'!$C$8")),"")</f>
        <v/>
      </c>
      <c r="K1286" s="48">
        <f t="shared" si="60"/>
        <v>1292</v>
      </c>
      <c r="L1286" s="114" t="str" cm="1">
        <f t="array" aca="1" ref="L1286" ca="1">IF(F1286&lt;&gt;"",INDIRECT("'"&amp;F1286&amp;"'!$F$17"),"")</f>
        <v/>
      </c>
      <c r="M1286" s="116" t="str">
        <f t="shared" ca="1" si="61"/>
        <v/>
      </c>
      <c r="O1286" s="49" t="str">
        <f t="shared" ca="1" si="62"/>
        <v/>
      </c>
      <c r="P1286" s="38" t="str">
        <f>IF(E1286&lt;&gt;"",RANK(E1286,$E$3:$E$2298)+COUNTIF($E$3:E1286,E1286)-1,"")</f>
        <v/>
      </c>
    </row>
    <row r="1287" spans="4:16" x14ac:dyDescent="0.25">
      <c r="D1287" s="36" t="str" cm="1">
        <f t="array" aca="1" ref="D1287" ca="1">IFERROR(IF(INDIRECT("'"&amp;F1287&amp;"'!$C$5")&gt;0,DATE(YEAR(Dashboard!$AL$2),Dashboard!$AU$4,INDIRECT("'"&amp;F1287&amp;"'!$C$5")),""),"")</f>
        <v/>
      </c>
      <c r="G1287" s="38" t="str" cm="1">
        <f t="array" aca="1" ref="G1287" ca="1">IF(F1287="",
    "",
    IFERROR(
        IF(INDIRECT("'"&amp;F1287&amp;"'!$B$2")="Credit Limit",
            "Credit Accounts",
            IF(INDIRECT("'"&amp;F1287&amp;"'!$E$2")="Location",
                "Cash Accounts",
                IF(INDIRECT("'"&amp;F1287&amp;"'!$B$2")="Amount",
                    "Investments",
                    "Bill Accounts"
                )
            )
        ),
    "")
)</f>
        <v/>
      </c>
      <c r="I1287" s="46" t="str" cm="1">
        <f t="array" aca="1" ref="I1287" ca="1">IF(F1287&lt;&gt;"",IF(OR(G1287="Bill Accounts",G1287="Investments", G1287="Cash Accounts"),INDIRECT("'"&amp;F1287&amp;"'!$C$10"),INDIRECT("'"&amp;F1287&amp;"'!$C$8")),"")</f>
        <v/>
      </c>
      <c r="K1287" s="48">
        <f t="shared" si="60"/>
        <v>1293</v>
      </c>
      <c r="L1287" s="114" t="str" cm="1">
        <f t="array" aca="1" ref="L1287" ca="1">IF(F1287&lt;&gt;"",INDIRECT("'"&amp;F1287&amp;"'!$F$17"),"")</f>
        <v/>
      </c>
      <c r="M1287" s="116" t="str">
        <f t="shared" ca="1" si="61"/>
        <v/>
      </c>
      <c r="O1287" s="49" t="str">
        <f t="shared" ca="1" si="62"/>
        <v/>
      </c>
      <c r="P1287" s="38" t="str">
        <f>IF(E1287&lt;&gt;"",RANK(E1287,$E$3:$E$2298)+COUNTIF($E$3:E1287,E1287)-1,"")</f>
        <v/>
      </c>
    </row>
    <row r="1288" spans="4:16" x14ac:dyDescent="0.25">
      <c r="D1288" s="36" t="str" cm="1">
        <f t="array" aca="1" ref="D1288" ca="1">IFERROR(IF(INDIRECT("'"&amp;F1288&amp;"'!$C$5")&gt;0,DATE(YEAR(Dashboard!$AL$2),Dashboard!$AU$4,INDIRECT("'"&amp;F1288&amp;"'!$C$5")),""),"")</f>
        <v/>
      </c>
      <c r="G1288" s="38" t="str" cm="1">
        <f t="array" aca="1" ref="G1288" ca="1">IF(F1288="",
    "",
    IFERROR(
        IF(INDIRECT("'"&amp;F1288&amp;"'!$B$2")="Credit Limit",
            "Credit Accounts",
            IF(INDIRECT("'"&amp;F1288&amp;"'!$E$2")="Location",
                "Cash Accounts",
                IF(INDIRECT("'"&amp;F1288&amp;"'!$B$2")="Amount",
                    "Investments",
                    "Bill Accounts"
                )
            )
        ),
    "")
)</f>
        <v/>
      </c>
      <c r="I1288" s="46" t="str" cm="1">
        <f t="array" aca="1" ref="I1288" ca="1">IF(F1288&lt;&gt;"",IF(OR(G1288="Bill Accounts",G1288="Investments", G1288="Cash Accounts"),INDIRECT("'"&amp;F1288&amp;"'!$C$10"),INDIRECT("'"&amp;F1288&amp;"'!$C$8")),"")</f>
        <v/>
      </c>
      <c r="K1288" s="48">
        <f t="shared" ref="K1288:K1351" si="63">SUM(K1287+1)</f>
        <v>1294</v>
      </c>
      <c r="L1288" s="114" t="str" cm="1">
        <f t="array" aca="1" ref="L1288" ca="1">IF(F1288&lt;&gt;"",INDIRECT("'"&amp;F1288&amp;"'!$F$17"),"")</f>
        <v/>
      </c>
      <c r="M1288" s="116" t="str">
        <f t="shared" ca="1" si="61"/>
        <v/>
      </c>
      <c r="O1288" s="49" t="str">
        <f t="shared" ca="1" si="62"/>
        <v/>
      </c>
      <c r="P1288" s="38" t="str">
        <f>IF(E1288&lt;&gt;"",RANK(E1288,$E$3:$E$2298)+COUNTIF($E$3:E1288,E1288)-1,"")</f>
        <v/>
      </c>
    </row>
    <row r="1289" spans="4:16" x14ac:dyDescent="0.25">
      <c r="D1289" s="36" t="str" cm="1">
        <f t="array" aca="1" ref="D1289" ca="1">IFERROR(IF(INDIRECT("'"&amp;F1289&amp;"'!$C$5")&gt;0,DATE(YEAR(Dashboard!$AL$2),Dashboard!$AU$4,INDIRECT("'"&amp;F1289&amp;"'!$C$5")),""),"")</f>
        <v/>
      </c>
      <c r="G1289" s="38" t="str" cm="1">
        <f t="array" aca="1" ref="G1289" ca="1">IF(F1289="",
    "",
    IFERROR(
        IF(INDIRECT("'"&amp;F1289&amp;"'!$B$2")="Credit Limit",
            "Credit Accounts",
            IF(INDIRECT("'"&amp;F1289&amp;"'!$E$2")="Location",
                "Cash Accounts",
                IF(INDIRECT("'"&amp;F1289&amp;"'!$B$2")="Amount",
                    "Investments",
                    "Bill Accounts"
                )
            )
        ),
    "")
)</f>
        <v/>
      </c>
      <c r="I1289" s="46" t="str" cm="1">
        <f t="array" aca="1" ref="I1289" ca="1">IF(F1289&lt;&gt;"",IF(OR(G1289="Bill Accounts",G1289="Investments", G1289="Cash Accounts"),INDIRECT("'"&amp;F1289&amp;"'!$C$10"),INDIRECT("'"&amp;F1289&amp;"'!$C$8")),"")</f>
        <v/>
      </c>
      <c r="K1289" s="48">
        <f t="shared" si="63"/>
        <v>1295</v>
      </c>
      <c r="L1289" s="114" t="str" cm="1">
        <f t="array" aca="1" ref="L1289" ca="1">IF(F1289&lt;&gt;"",INDIRECT("'"&amp;F1289&amp;"'!$F$17"),"")</f>
        <v/>
      </c>
      <c r="M1289" s="116" t="str">
        <f t="shared" ca="1" si="61"/>
        <v/>
      </c>
      <c r="O1289" s="49" t="str">
        <f t="shared" ca="1" si="62"/>
        <v/>
      </c>
      <c r="P1289" s="38" t="str">
        <f>IF(E1289&lt;&gt;"",RANK(E1289,$E$3:$E$2298)+COUNTIF($E$3:E1289,E1289)-1,"")</f>
        <v/>
      </c>
    </row>
    <row r="1290" spans="4:16" x14ac:dyDescent="0.25">
      <c r="D1290" s="36" t="str" cm="1">
        <f t="array" aca="1" ref="D1290" ca="1">IFERROR(IF(INDIRECT("'"&amp;F1290&amp;"'!$C$5")&gt;0,DATE(YEAR(Dashboard!$AL$2),Dashboard!$AU$4,INDIRECT("'"&amp;F1290&amp;"'!$C$5")),""),"")</f>
        <v/>
      </c>
      <c r="G1290" s="38" t="str" cm="1">
        <f t="array" aca="1" ref="G1290" ca="1">IF(F1290="",
    "",
    IFERROR(
        IF(INDIRECT("'"&amp;F1290&amp;"'!$B$2")="Credit Limit",
            "Credit Accounts",
            IF(INDIRECT("'"&amp;F1290&amp;"'!$E$2")="Location",
                "Cash Accounts",
                IF(INDIRECT("'"&amp;F1290&amp;"'!$B$2")="Amount",
                    "Investments",
                    "Bill Accounts"
                )
            )
        ),
    "")
)</f>
        <v/>
      </c>
      <c r="I1290" s="46" t="str" cm="1">
        <f t="array" aca="1" ref="I1290" ca="1">IF(F1290&lt;&gt;"",IF(OR(G1290="Bill Accounts",G1290="Investments", G1290="Cash Accounts"),INDIRECT("'"&amp;F1290&amp;"'!$C$10"),INDIRECT("'"&amp;F1290&amp;"'!$C$8")),"")</f>
        <v/>
      </c>
      <c r="K1290" s="48">
        <f t="shared" si="63"/>
        <v>1296</v>
      </c>
      <c r="L1290" s="114" t="str" cm="1">
        <f t="array" aca="1" ref="L1290" ca="1">IF(F1290&lt;&gt;"",INDIRECT("'"&amp;F1290&amp;"'!$F$17"),"")</f>
        <v/>
      </c>
      <c r="M1290" s="116" t="str">
        <f t="shared" ca="1" si="61"/>
        <v/>
      </c>
      <c r="O1290" s="49" t="str">
        <f t="shared" ca="1" si="62"/>
        <v/>
      </c>
      <c r="P1290" s="38" t="str">
        <f>IF(E1290&lt;&gt;"",RANK(E1290,$E$3:$E$2298)+COUNTIF($E$3:E1290,E1290)-1,"")</f>
        <v/>
      </c>
    </row>
    <row r="1291" spans="4:16" x14ac:dyDescent="0.25">
      <c r="D1291" s="36" t="str" cm="1">
        <f t="array" aca="1" ref="D1291" ca="1">IFERROR(IF(INDIRECT("'"&amp;F1291&amp;"'!$C$5")&gt;0,DATE(YEAR(Dashboard!$AL$2),Dashboard!$AU$4,INDIRECT("'"&amp;F1291&amp;"'!$C$5")),""),"")</f>
        <v/>
      </c>
      <c r="G1291" s="38" t="str" cm="1">
        <f t="array" aca="1" ref="G1291" ca="1">IF(F1291="",
    "",
    IFERROR(
        IF(INDIRECT("'"&amp;F1291&amp;"'!$B$2")="Credit Limit",
            "Credit Accounts",
            IF(INDIRECT("'"&amp;F1291&amp;"'!$E$2")="Location",
                "Cash Accounts",
                IF(INDIRECT("'"&amp;F1291&amp;"'!$B$2")="Amount",
                    "Investments",
                    "Bill Accounts"
                )
            )
        ),
    "")
)</f>
        <v/>
      </c>
      <c r="I1291" s="46" t="str" cm="1">
        <f t="array" aca="1" ref="I1291" ca="1">IF(F1291&lt;&gt;"",IF(OR(G1291="Bill Accounts",G1291="Investments", G1291="Cash Accounts"),INDIRECT("'"&amp;F1291&amp;"'!$C$10"),INDIRECT("'"&amp;F1291&amp;"'!$C$8")),"")</f>
        <v/>
      </c>
      <c r="K1291" s="48">
        <f t="shared" si="63"/>
        <v>1297</v>
      </c>
      <c r="L1291" s="114" t="str" cm="1">
        <f t="array" aca="1" ref="L1291" ca="1">IF(F1291&lt;&gt;"",INDIRECT("'"&amp;F1291&amp;"'!$F$17"),"")</f>
        <v/>
      </c>
      <c r="M1291" s="116" t="str">
        <f t="shared" ca="1" si="61"/>
        <v/>
      </c>
      <c r="O1291" s="49" t="str">
        <f t="shared" ca="1" si="62"/>
        <v/>
      </c>
      <c r="P1291" s="38" t="str">
        <f>IF(E1291&lt;&gt;"",RANK(E1291,$E$3:$E$2298)+COUNTIF($E$3:E1291,E1291)-1,"")</f>
        <v/>
      </c>
    </row>
    <row r="1292" spans="4:16" x14ac:dyDescent="0.25">
      <c r="D1292" s="36" t="str" cm="1">
        <f t="array" aca="1" ref="D1292" ca="1">IFERROR(IF(INDIRECT("'"&amp;F1292&amp;"'!$C$5")&gt;0,DATE(YEAR(Dashboard!$AL$2),Dashboard!$AU$4,INDIRECT("'"&amp;F1292&amp;"'!$C$5")),""),"")</f>
        <v/>
      </c>
      <c r="G1292" s="38" t="str" cm="1">
        <f t="array" aca="1" ref="G1292" ca="1">IF(F1292="",
    "",
    IFERROR(
        IF(INDIRECT("'"&amp;F1292&amp;"'!$B$2")="Credit Limit",
            "Credit Accounts",
            IF(INDIRECT("'"&amp;F1292&amp;"'!$E$2")="Location",
                "Cash Accounts",
                IF(INDIRECT("'"&amp;F1292&amp;"'!$B$2")="Amount",
                    "Investments",
                    "Bill Accounts"
                )
            )
        ),
    "")
)</f>
        <v/>
      </c>
      <c r="I1292" s="46" t="str" cm="1">
        <f t="array" aca="1" ref="I1292" ca="1">IF(F1292&lt;&gt;"",IF(OR(G1292="Bill Accounts",G1292="Investments", G1292="Cash Accounts"),INDIRECT("'"&amp;F1292&amp;"'!$C$10"),INDIRECT("'"&amp;F1292&amp;"'!$C$8")),"")</f>
        <v/>
      </c>
      <c r="K1292" s="48">
        <f t="shared" si="63"/>
        <v>1298</v>
      </c>
      <c r="L1292" s="114" t="str" cm="1">
        <f t="array" aca="1" ref="L1292" ca="1">IF(F1292&lt;&gt;"",INDIRECT("'"&amp;F1292&amp;"'!$F$17"),"")</f>
        <v/>
      </c>
      <c r="M1292" s="116" t="str">
        <f t="shared" ca="1" si="61"/>
        <v/>
      </c>
      <c r="O1292" s="49" t="str">
        <f t="shared" ca="1" si="62"/>
        <v/>
      </c>
      <c r="P1292" s="38" t="str">
        <f>IF(E1292&lt;&gt;"",RANK(E1292,$E$3:$E$2298)+COUNTIF($E$3:E1292,E1292)-1,"")</f>
        <v/>
      </c>
    </row>
    <row r="1293" spans="4:16" x14ac:dyDescent="0.25">
      <c r="D1293" s="36" t="str" cm="1">
        <f t="array" aca="1" ref="D1293" ca="1">IFERROR(IF(INDIRECT("'"&amp;F1293&amp;"'!$C$5")&gt;0,DATE(YEAR(Dashboard!$AL$2),Dashboard!$AU$4,INDIRECT("'"&amp;F1293&amp;"'!$C$5")),""),"")</f>
        <v/>
      </c>
      <c r="G1293" s="38" t="str" cm="1">
        <f t="array" aca="1" ref="G1293" ca="1">IF(F1293="",
    "",
    IFERROR(
        IF(INDIRECT("'"&amp;F1293&amp;"'!$B$2")="Credit Limit",
            "Credit Accounts",
            IF(INDIRECT("'"&amp;F1293&amp;"'!$E$2")="Location",
                "Cash Accounts",
                IF(INDIRECT("'"&amp;F1293&amp;"'!$B$2")="Amount",
                    "Investments",
                    "Bill Accounts"
                )
            )
        ),
    "")
)</f>
        <v/>
      </c>
      <c r="I1293" s="46" t="str" cm="1">
        <f t="array" aca="1" ref="I1293" ca="1">IF(F1293&lt;&gt;"",IF(OR(G1293="Bill Accounts",G1293="Investments", G1293="Cash Accounts"),INDIRECT("'"&amp;F1293&amp;"'!$C$10"),INDIRECT("'"&amp;F1293&amp;"'!$C$8")),"")</f>
        <v/>
      </c>
      <c r="K1293" s="48">
        <f t="shared" si="63"/>
        <v>1299</v>
      </c>
      <c r="L1293" s="114" t="str" cm="1">
        <f t="array" aca="1" ref="L1293" ca="1">IF(F1293&lt;&gt;"",INDIRECT("'"&amp;F1293&amp;"'!$F$17"),"")</f>
        <v/>
      </c>
      <c r="M1293" s="116" t="str">
        <f t="shared" ca="1" si="61"/>
        <v/>
      </c>
      <c r="O1293" s="49" t="str">
        <f t="shared" ca="1" si="62"/>
        <v/>
      </c>
      <c r="P1293" s="38" t="str">
        <f>IF(E1293&lt;&gt;"",RANK(E1293,$E$3:$E$2298)+COUNTIF($E$3:E1293,E1293)-1,"")</f>
        <v/>
      </c>
    </row>
    <row r="1294" spans="4:16" x14ac:dyDescent="0.25">
      <c r="D1294" s="36" t="str" cm="1">
        <f t="array" aca="1" ref="D1294" ca="1">IFERROR(IF(INDIRECT("'"&amp;F1294&amp;"'!$C$5")&gt;0,DATE(YEAR(Dashboard!$AL$2),Dashboard!$AU$4,INDIRECT("'"&amp;F1294&amp;"'!$C$5")),""),"")</f>
        <v/>
      </c>
      <c r="G1294" s="38" t="str" cm="1">
        <f t="array" aca="1" ref="G1294" ca="1">IF(F1294="",
    "",
    IFERROR(
        IF(INDIRECT("'"&amp;F1294&amp;"'!$B$2")="Credit Limit",
            "Credit Accounts",
            IF(INDIRECT("'"&amp;F1294&amp;"'!$E$2")="Location",
                "Cash Accounts",
                IF(INDIRECT("'"&amp;F1294&amp;"'!$B$2")="Amount",
                    "Investments",
                    "Bill Accounts"
                )
            )
        ),
    "")
)</f>
        <v/>
      </c>
      <c r="I1294" s="46" t="str" cm="1">
        <f t="array" aca="1" ref="I1294" ca="1">IF(F1294&lt;&gt;"",IF(OR(G1294="Bill Accounts",G1294="Investments", G1294="Cash Accounts"),INDIRECT("'"&amp;F1294&amp;"'!$C$10"),INDIRECT("'"&amp;F1294&amp;"'!$C$8")),"")</f>
        <v/>
      </c>
      <c r="K1294" s="48">
        <f t="shared" si="63"/>
        <v>1300</v>
      </c>
      <c r="L1294" s="114" t="str" cm="1">
        <f t="array" aca="1" ref="L1294" ca="1">IF(F1294&lt;&gt;"",INDIRECT("'"&amp;F1294&amp;"'!$F$17"),"")</f>
        <v/>
      </c>
      <c r="M1294" s="116" t="str">
        <f t="shared" ca="1" si="61"/>
        <v/>
      </c>
      <c r="O1294" s="49" t="str">
        <f t="shared" ca="1" si="62"/>
        <v/>
      </c>
      <c r="P1294" s="38" t="str">
        <f>IF(E1294&lt;&gt;"",RANK(E1294,$E$3:$E$2298)+COUNTIF($E$3:E1294,E1294)-1,"")</f>
        <v/>
      </c>
    </row>
    <row r="1295" spans="4:16" x14ac:dyDescent="0.25">
      <c r="D1295" s="36" t="str" cm="1">
        <f t="array" aca="1" ref="D1295" ca="1">IFERROR(IF(INDIRECT("'"&amp;F1295&amp;"'!$C$5")&gt;0,DATE(YEAR(Dashboard!$AL$2),Dashboard!$AU$4,INDIRECT("'"&amp;F1295&amp;"'!$C$5")),""),"")</f>
        <v/>
      </c>
      <c r="G1295" s="38" t="str" cm="1">
        <f t="array" aca="1" ref="G1295" ca="1">IF(F1295="",
    "",
    IFERROR(
        IF(INDIRECT("'"&amp;F1295&amp;"'!$B$2")="Credit Limit",
            "Credit Accounts",
            IF(INDIRECT("'"&amp;F1295&amp;"'!$E$2")="Location",
                "Cash Accounts",
                IF(INDIRECT("'"&amp;F1295&amp;"'!$B$2")="Amount",
                    "Investments",
                    "Bill Accounts"
                )
            )
        ),
    "")
)</f>
        <v/>
      </c>
      <c r="I1295" s="46" t="str" cm="1">
        <f t="array" aca="1" ref="I1295" ca="1">IF(F1295&lt;&gt;"",IF(OR(G1295="Bill Accounts",G1295="Investments", G1295="Cash Accounts"),INDIRECT("'"&amp;F1295&amp;"'!$C$10"),INDIRECT("'"&amp;F1295&amp;"'!$C$8")),"")</f>
        <v/>
      </c>
      <c r="K1295" s="48">
        <f t="shared" si="63"/>
        <v>1301</v>
      </c>
      <c r="L1295" s="114" t="str" cm="1">
        <f t="array" aca="1" ref="L1295" ca="1">IF(F1295&lt;&gt;"",INDIRECT("'"&amp;F1295&amp;"'!$F$17"),"")</f>
        <v/>
      </c>
      <c r="M1295" s="116" t="str">
        <f t="shared" ca="1" si="61"/>
        <v/>
      </c>
      <c r="O1295" s="49" t="str">
        <f t="shared" ca="1" si="62"/>
        <v/>
      </c>
      <c r="P1295" s="38" t="str">
        <f>IF(E1295&lt;&gt;"",RANK(E1295,$E$3:$E$2298)+COUNTIF($E$3:E1295,E1295)-1,"")</f>
        <v/>
      </c>
    </row>
    <row r="1296" spans="4:16" x14ac:dyDescent="0.25">
      <c r="D1296" s="36" t="str" cm="1">
        <f t="array" aca="1" ref="D1296" ca="1">IFERROR(IF(INDIRECT("'"&amp;F1296&amp;"'!$C$5")&gt;0,DATE(YEAR(Dashboard!$AL$2),Dashboard!$AU$4,INDIRECT("'"&amp;F1296&amp;"'!$C$5")),""),"")</f>
        <v/>
      </c>
      <c r="G1296" s="38" t="str" cm="1">
        <f t="array" aca="1" ref="G1296" ca="1">IF(F1296="",
    "",
    IFERROR(
        IF(INDIRECT("'"&amp;F1296&amp;"'!$B$2")="Credit Limit",
            "Credit Accounts",
            IF(INDIRECT("'"&amp;F1296&amp;"'!$E$2")="Location",
                "Cash Accounts",
                IF(INDIRECT("'"&amp;F1296&amp;"'!$B$2")="Amount",
                    "Investments",
                    "Bill Accounts"
                )
            )
        ),
    "")
)</f>
        <v/>
      </c>
      <c r="I1296" s="46" t="str" cm="1">
        <f t="array" aca="1" ref="I1296" ca="1">IF(F1296&lt;&gt;"",IF(OR(G1296="Bill Accounts",G1296="Investments", G1296="Cash Accounts"),INDIRECT("'"&amp;F1296&amp;"'!$C$10"),INDIRECT("'"&amp;F1296&amp;"'!$C$8")),"")</f>
        <v/>
      </c>
      <c r="K1296" s="48">
        <f t="shared" si="63"/>
        <v>1302</v>
      </c>
      <c r="L1296" s="114" t="str" cm="1">
        <f t="array" aca="1" ref="L1296" ca="1">IF(F1296&lt;&gt;"",INDIRECT("'"&amp;F1296&amp;"'!$F$17"),"")</f>
        <v/>
      </c>
      <c r="M1296" s="116" t="str">
        <f t="shared" ca="1" si="61"/>
        <v/>
      </c>
      <c r="O1296" s="49" t="str">
        <f t="shared" ca="1" si="62"/>
        <v/>
      </c>
      <c r="P1296" s="38" t="str">
        <f>IF(E1296&lt;&gt;"",RANK(E1296,$E$3:$E$2298)+COUNTIF($E$3:E1296,E1296)-1,"")</f>
        <v/>
      </c>
    </row>
    <row r="1297" spans="4:16" x14ac:dyDescent="0.25">
      <c r="D1297" s="36" t="str" cm="1">
        <f t="array" aca="1" ref="D1297" ca="1">IFERROR(IF(INDIRECT("'"&amp;F1297&amp;"'!$C$5")&gt;0,DATE(YEAR(Dashboard!$AL$2),Dashboard!$AU$4,INDIRECT("'"&amp;F1297&amp;"'!$C$5")),""),"")</f>
        <v/>
      </c>
      <c r="G1297" s="38" t="str" cm="1">
        <f t="array" aca="1" ref="G1297" ca="1">IF(F1297="",
    "",
    IFERROR(
        IF(INDIRECT("'"&amp;F1297&amp;"'!$B$2")="Credit Limit",
            "Credit Accounts",
            IF(INDIRECT("'"&amp;F1297&amp;"'!$E$2")="Location",
                "Cash Accounts",
                IF(INDIRECT("'"&amp;F1297&amp;"'!$B$2")="Amount",
                    "Investments",
                    "Bill Accounts"
                )
            )
        ),
    "")
)</f>
        <v/>
      </c>
      <c r="I1297" s="46" t="str" cm="1">
        <f t="array" aca="1" ref="I1297" ca="1">IF(F1297&lt;&gt;"",IF(OR(G1297="Bill Accounts",G1297="Investments", G1297="Cash Accounts"),INDIRECT("'"&amp;F1297&amp;"'!$C$10"),INDIRECT("'"&amp;F1297&amp;"'!$C$8")),"")</f>
        <v/>
      </c>
      <c r="K1297" s="48">
        <f t="shared" si="63"/>
        <v>1303</v>
      </c>
      <c r="L1297" s="114" t="str" cm="1">
        <f t="array" aca="1" ref="L1297" ca="1">IF(F1297&lt;&gt;"",INDIRECT("'"&amp;F1297&amp;"'!$F$17"),"")</f>
        <v/>
      </c>
      <c r="M1297" s="116" t="str">
        <f t="shared" ca="1" si="61"/>
        <v/>
      </c>
      <c r="O1297" s="49" t="str">
        <f t="shared" ca="1" si="62"/>
        <v/>
      </c>
      <c r="P1297" s="38" t="str">
        <f>IF(E1297&lt;&gt;"",RANK(E1297,$E$3:$E$2298)+COUNTIF($E$3:E1297,E1297)-1,"")</f>
        <v/>
      </c>
    </row>
    <row r="1298" spans="4:16" x14ac:dyDescent="0.25">
      <c r="D1298" s="36" t="str" cm="1">
        <f t="array" aca="1" ref="D1298" ca="1">IFERROR(IF(INDIRECT("'"&amp;F1298&amp;"'!$C$5")&gt;0,DATE(YEAR(Dashboard!$AL$2),Dashboard!$AU$4,INDIRECT("'"&amp;F1298&amp;"'!$C$5")),""),"")</f>
        <v/>
      </c>
      <c r="G1298" s="38" t="str" cm="1">
        <f t="array" aca="1" ref="G1298" ca="1">IF(F1298="",
    "",
    IFERROR(
        IF(INDIRECT("'"&amp;F1298&amp;"'!$B$2")="Credit Limit",
            "Credit Accounts",
            IF(INDIRECT("'"&amp;F1298&amp;"'!$E$2")="Location",
                "Cash Accounts",
                IF(INDIRECT("'"&amp;F1298&amp;"'!$B$2")="Amount",
                    "Investments",
                    "Bill Accounts"
                )
            )
        ),
    "")
)</f>
        <v/>
      </c>
      <c r="I1298" s="46" t="str" cm="1">
        <f t="array" aca="1" ref="I1298" ca="1">IF(F1298&lt;&gt;"",IF(OR(G1298="Bill Accounts",G1298="Investments", G1298="Cash Accounts"),INDIRECT("'"&amp;F1298&amp;"'!$C$10"),INDIRECT("'"&amp;F1298&amp;"'!$C$8")),"")</f>
        <v/>
      </c>
      <c r="K1298" s="48">
        <f t="shared" si="63"/>
        <v>1304</v>
      </c>
      <c r="L1298" s="114" t="str" cm="1">
        <f t="array" aca="1" ref="L1298" ca="1">IF(F1298&lt;&gt;"",INDIRECT("'"&amp;F1298&amp;"'!$F$17"),"")</f>
        <v/>
      </c>
      <c r="M1298" s="116" t="str">
        <f t="shared" ca="1" si="61"/>
        <v/>
      </c>
      <c r="O1298" s="49" t="str">
        <f t="shared" ca="1" si="62"/>
        <v/>
      </c>
      <c r="P1298" s="38" t="str">
        <f>IF(E1298&lt;&gt;"",RANK(E1298,$E$3:$E$2298)+COUNTIF($E$3:E1298,E1298)-1,"")</f>
        <v/>
      </c>
    </row>
    <row r="1299" spans="4:16" x14ac:dyDescent="0.25">
      <c r="D1299" s="36" t="str" cm="1">
        <f t="array" aca="1" ref="D1299" ca="1">IFERROR(IF(INDIRECT("'"&amp;F1299&amp;"'!$C$5")&gt;0,DATE(YEAR(Dashboard!$AL$2),Dashboard!$AU$4,INDIRECT("'"&amp;F1299&amp;"'!$C$5")),""),"")</f>
        <v/>
      </c>
      <c r="G1299" s="38" t="str" cm="1">
        <f t="array" aca="1" ref="G1299" ca="1">IF(F1299="",
    "",
    IFERROR(
        IF(INDIRECT("'"&amp;F1299&amp;"'!$B$2")="Credit Limit",
            "Credit Accounts",
            IF(INDIRECT("'"&amp;F1299&amp;"'!$E$2")="Location",
                "Cash Accounts",
                IF(INDIRECT("'"&amp;F1299&amp;"'!$B$2")="Amount",
                    "Investments",
                    "Bill Accounts"
                )
            )
        ),
    "")
)</f>
        <v/>
      </c>
      <c r="I1299" s="46" t="str" cm="1">
        <f t="array" aca="1" ref="I1299" ca="1">IF(F1299&lt;&gt;"",IF(OR(G1299="Bill Accounts",G1299="Investments", G1299="Cash Accounts"),INDIRECT("'"&amp;F1299&amp;"'!$C$10"),INDIRECT("'"&amp;F1299&amp;"'!$C$8")),"")</f>
        <v/>
      </c>
      <c r="K1299" s="48">
        <f t="shared" si="63"/>
        <v>1305</v>
      </c>
      <c r="L1299" s="114" t="str" cm="1">
        <f t="array" aca="1" ref="L1299" ca="1">IF(F1299&lt;&gt;"",INDIRECT("'"&amp;F1299&amp;"'!$F$17"),"")</f>
        <v/>
      </c>
      <c r="M1299" s="116" t="str">
        <f t="shared" ca="1" si="61"/>
        <v/>
      </c>
      <c r="O1299" s="49" t="str">
        <f t="shared" ca="1" si="62"/>
        <v/>
      </c>
      <c r="P1299" s="38" t="str">
        <f>IF(E1299&lt;&gt;"",RANK(E1299,$E$3:$E$2298)+COUNTIF($E$3:E1299,E1299)-1,"")</f>
        <v/>
      </c>
    </row>
    <row r="1300" spans="4:16" x14ac:dyDescent="0.25">
      <c r="D1300" s="36" t="str" cm="1">
        <f t="array" aca="1" ref="D1300" ca="1">IFERROR(IF(INDIRECT("'"&amp;F1300&amp;"'!$C$5")&gt;0,DATE(YEAR(Dashboard!$AL$2),Dashboard!$AU$4,INDIRECT("'"&amp;F1300&amp;"'!$C$5")),""),"")</f>
        <v/>
      </c>
      <c r="G1300" s="38" t="str" cm="1">
        <f t="array" aca="1" ref="G1300" ca="1">IF(F1300="",
    "",
    IFERROR(
        IF(INDIRECT("'"&amp;F1300&amp;"'!$B$2")="Credit Limit",
            "Credit Accounts",
            IF(INDIRECT("'"&amp;F1300&amp;"'!$E$2")="Location",
                "Cash Accounts",
                IF(INDIRECT("'"&amp;F1300&amp;"'!$B$2")="Amount",
                    "Investments",
                    "Bill Accounts"
                )
            )
        ),
    "")
)</f>
        <v/>
      </c>
      <c r="I1300" s="46" t="str" cm="1">
        <f t="array" aca="1" ref="I1300" ca="1">IF(F1300&lt;&gt;"",IF(OR(G1300="Bill Accounts",G1300="Investments", G1300="Cash Accounts"),INDIRECT("'"&amp;F1300&amp;"'!$C$10"),INDIRECT("'"&amp;F1300&amp;"'!$C$8")),"")</f>
        <v/>
      </c>
      <c r="K1300" s="48">
        <f t="shared" si="63"/>
        <v>1306</v>
      </c>
      <c r="L1300" s="114" t="str" cm="1">
        <f t="array" aca="1" ref="L1300" ca="1">IF(F1300&lt;&gt;"",INDIRECT("'"&amp;F1300&amp;"'!$F$17"),"")</f>
        <v/>
      </c>
      <c r="M1300" s="116" t="str">
        <f t="shared" ca="1" si="61"/>
        <v/>
      </c>
      <c r="O1300" s="49" t="str">
        <f t="shared" ca="1" si="62"/>
        <v/>
      </c>
      <c r="P1300" s="38" t="str">
        <f>IF(E1300&lt;&gt;"",RANK(E1300,$E$3:$E$2298)+COUNTIF($E$3:E1300,E1300)-1,"")</f>
        <v/>
      </c>
    </row>
    <row r="1301" spans="4:16" x14ac:dyDescent="0.25">
      <c r="D1301" s="36" t="str" cm="1">
        <f t="array" aca="1" ref="D1301" ca="1">IFERROR(IF(INDIRECT("'"&amp;F1301&amp;"'!$C$5")&gt;0,DATE(YEAR(Dashboard!$AL$2),Dashboard!$AU$4,INDIRECT("'"&amp;F1301&amp;"'!$C$5")),""),"")</f>
        <v/>
      </c>
      <c r="G1301" s="38" t="str" cm="1">
        <f t="array" aca="1" ref="G1301" ca="1">IF(F1301="",
    "",
    IFERROR(
        IF(INDIRECT("'"&amp;F1301&amp;"'!$B$2")="Credit Limit",
            "Credit Accounts",
            IF(INDIRECT("'"&amp;F1301&amp;"'!$E$2")="Location",
                "Cash Accounts",
                IF(INDIRECT("'"&amp;F1301&amp;"'!$B$2")="Amount",
                    "Investments",
                    "Bill Accounts"
                )
            )
        ),
    "")
)</f>
        <v/>
      </c>
      <c r="I1301" s="46" t="str" cm="1">
        <f t="array" aca="1" ref="I1301" ca="1">IF(F1301&lt;&gt;"",IF(OR(G1301="Bill Accounts",G1301="Investments", G1301="Cash Accounts"),INDIRECT("'"&amp;F1301&amp;"'!$C$10"),INDIRECT("'"&amp;F1301&amp;"'!$C$8")),"")</f>
        <v/>
      </c>
      <c r="K1301" s="48">
        <f t="shared" si="63"/>
        <v>1307</v>
      </c>
      <c r="L1301" s="114" t="str" cm="1">
        <f t="array" aca="1" ref="L1301" ca="1">IF(F1301&lt;&gt;"",INDIRECT("'"&amp;F1301&amp;"'!$F$17"),"")</f>
        <v/>
      </c>
      <c r="M1301" s="116" t="str">
        <f t="shared" ca="1" si="61"/>
        <v/>
      </c>
      <c r="O1301" s="49" t="str">
        <f t="shared" ca="1" si="62"/>
        <v/>
      </c>
      <c r="P1301" s="38" t="str">
        <f>IF(E1301&lt;&gt;"",RANK(E1301,$E$3:$E$2298)+COUNTIF($E$3:E1301,E1301)-1,"")</f>
        <v/>
      </c>
    </row>
    <row r="1302" spans="4:16" x14ac:dyDescent="0.25">
      <c r="D1302" s="36" t="str" cm="1">
        <f t="array" aca="1" ref="D1302" ca="1">IFERROR(IF(INDIRECT("'"&amp;F1302&amp;"'!$C$5")&gt;0,DATE(YEAR(Dashboard!$AL$2),Dashboard!$AU$4,INDIRECT("'"&amp;F1302&amp;"'!$C$5")),""),"")</f>
        <v/>
      </c>
      <c r="G1302" s="38" t="str" cm="1">
        <f t="array" aca="1" ref="G1302" ca="1">IF(F1302="",
    "",
    IFERROR(
        IF(INDIRECT("'"&amp;F1302&amp;"'!$B$2")="Credit Limit",
            "Credit Accounts",
            IF(INDIRECT("'"&amp;F1302&amp;"'!$E$2")="Location",
                "Cash Accounts",
                IF(INDIRECT("'"&amp;F1302&amp;"'!$B$2")="Amount",
                    "Investments",
                    "Bill Accounts"
                )
            )
        ),
    "")
)</f>
        <v/>
      </c>
      <c r="I1302" s="46" t="str" cm="1">
        <f t="array" aca="1" ref="I1302" ca="1">IF(F1302&lt;&gt;"",IF(OR(G1302="Bill Accounts",G1302="Investments", G1302="Cash Accounts"),INDIRECT("'"&amp;F1302&amp;"'!$C$10"),INDIRECT("'"&amp;F1302&amp;"'!$C$8")),"")</f>
        <v/>
      </c>
      <c r="K1302" s="48">
        <f t="shared" si="63"/>
        <v>1308</v>
      </c>
      <c r="L1302" s="114" t="str" cm="1">
        <f t="array" aca="1" ref="L1302" ca="1">IF(F1302&lt;&gt;"",INDIRECT("'"&amp;F1302&amp;"'!$F$17"),"")</f>
        <v/>
      </c>
      <c r="M1302" s="116" t="str">
        <f t="shared" ca="1" si="61"/>
        <v/>
      </c>
      <c r="O1302" s="49" t="str">
        <f t="shared" ca="1" si="62"/>
        <v/>
      </c>
      <c r="P1302" s="38" t="str">
        <f>IF(E1302&lt;&gt;"",RANK(E1302,$E$3:$E$2298)+COUNTIF($E$3:E1302,E1302)-1,"")</f>
        <v/>
      </c>
    </row>
    <row r="1303" spans="4:16" x14ac:dyDescent="0.25">
      <c r="D1303" s="36" t="str" cm="1">
        <f t="array" aca="1" ref="D1303" ca="1">IFERROR(IF(INDIRECT("'"&amp;F1303&amp;"'!$C$5")&gt;0,DATE(YEAR(Dashboard!$AL$2),Dashboard!$AU$4,INDIRECT("'"&amp;F1303&amp;"'!$C$5")),""),"")</f>
        <v/>
      </c>
      <c r="G1303" s="38" t="str" cm="1">
        <f t="array" aca="1" ref="G1303" ca="1">IF(F1303="",
    "",
    IFERROR(
        IF(INDIRECT("'"&amp;F1303&amp;"'!$B$2")="Credit Limit",
            "Credit Accounts",
            IF(INDIRECT("'"&amp;F1303&amp;"'!$E$2")="Location",
                "Cash Accounts",
                IF(INDIRECT("'"&amp;F1303&amp;"'!$B$2")="Amount",
                    "Investments",
                    "Bill Accounts"
                )
            )
        ),
    "")
)</f>
        <v/>
      </c>
      <c r="I1303" s="46" t="str" cm="1">
        <f t="array" aca="1" ref="I1303" ca="1">IF(F1303&lt;&gt;"",IF(OR(G1303="Bill Accounts",G1303="Investments", G1303="Cash Accounts"),INDIRECT("'"&amp;F1303&amp;"'!$C$10"),INDIRECT("'"&amp;F1303&amp;"'!$C$8")),"")</f>
        <v/>
      </c>
      <c r="K1303" s="48">
        <f t="shared" si="63"/>
        <v>1309</v>
      </c>
      <c r="L1303" s="114" t="str" cm="1">
        <f t="array" aca="1" ref="L1303" ca="1">IF(F1303&lt;&gt;"",INDIRECT("'"&amp;F1303&amp;"'!$F$17"),"")</f>
        <v/>
      </c>
      <c r="M1303" s="116" t="str">
        <f t="shared" ca="1" si="61"/>
        <v/>
      </c>
      <c r="O1303" s="49" t="str">
        <f t="shared" ca="1" si="62"/>
        <v/>
      </c>
      <c r="P1303" s="38" t="str">
        <f>IF(E1303&lt;&gt;"",RANK(E1303,$E$3:$E$2298)+COUNTIF($E$3:E1303,E1303)-1,"")</f>
        <v/>
      </c>
    </row>
    <row r="1304" spans="4:16" x14ac:dyDescent="0.25">
      <c r="D1304" s="36" t="str" cm="1">
        <f t="array" aca="1" ref="D1304" ca="1">IFERROR(IF(INDIRECT("'"&amp;F1304&amp;"'!$C$5")&gt;0,DATE(YEAR(Dashboard!$AL$2),Dashboard!$AU$4,INDIRECT("'"&amp;F1304&amp;"'!$C$5")),""),"")</f>
        <v/>
      </c>
      <c r="G1304" s="38" t="str" cm="1">
        <f t="array" aca="1" ref="G1304" ca="1">IF(F1304="",
    "",
    IFERROR(
        IF(INDIRECT("'"&amp;F1304&amp;"'!$B$2")="Credit Limit",
            "Credit Accounts",
            IF(INDIRECT("'"&amp;F1304&amp;"'!$E$2")="Location",
                "Cash Accounts",
                IF(INDIRECT("'"&amp;F1304&amp;"'!$B$2")="Amount",
                    "Investments",
                    "Bill Accounts"
                )
            )
        ),
    "")
)</f>
        <v/>
      </c>
      <c r="I1304" s="46" t="str" cm="1">
        <f t="array" aca="1" ref="I1304" ca="1">IF(F1304&lt;&gt;"",IF(OR(G1304="Bill Accounts",G1304="Investments", G1304="Cash Accounts"),INDIRECT("'"&amp;F1304&amp;"'!$C$10"),INDIRECT("'"&amp;F1304&amp;"'!$C$8")),"")</f>
        <v/>
      </c>
      <c r="K1304" s="48">
        <f t="shared" si="63"/>
        <v>1310</v>
      </c>
      <c r="L1304" s="114" t="str" cm="1">
        <f t="array" aca="1" ref="L1304" ca="1">IF(F1304&lt;&gt;"",INDIRECT("'"&amp;F1304&amp;"'!$F$17"),"")</f>
        <v/>
      </c>
      <c r="M1304" s="116" t="str">
        <f t="shared" ca="1" si="61"/>
        <v/>
      </c>
      <c r="O1304" s="49" t="str">
        <f t="shared" ca="1" si="62"/>
        <v/>
      </c>
      <c r="P1304" s="38" t="str">
        <f>IF(E1304&lt;&gt;"",RANK(E1304,$E$3:$E$2298)+COUNTIF($E$3:E1304,E1304)-1,"")</f>
        <v/>
      </c>
    </row>
    <row r="1305" spans="4:16" x14ac:dyDescent="0.25">
      <c r="D1305" s="36" t="str" cm="1">
        <f t="array" aca="1" ref="D1305" ca="1">IFERROR(IF(INDIRECT("'"&amp;F1305&amp;"'!$C$5")&gt;0,DATE(YEAR(Dashboard!$AL$2),Dashboard!$AU$4,INDIRECT("'"&amp;F1305&amp;"'!$C$5")),""),"")</f>
        <v/>
      </c>
      <c r="G1305" s="38" t="str" cm="1">
        <f t="array" aca="1" ref="G1305" ca="1">IF(F1305="",
    "",
    IFERROR(
        IF(INDIRECT("'"&amp;F1305&amp;"'!$B$2")="Credit Limit",
            "Credit Accounts",
            IF(INDIRECT("'"&amp;F1305&amp;"'!$E$2")="Location",
                "Cash Accounts",
                IF(INDIRECT("'"&amp;F1305&amp;"'!$B$2")="Amount",
                    "Investments",
                    "Bill Accounts"
                )
            )
        ),
    "")
)</f>
        <v/>
      </c>
      <c r="I1305" s="46" t="str" cm="1">
        <f t="array" aca="1" ref="I1305" ca="1">IF(F1305&lt;&gt;"",IF(OR(G1305="Bill Accounts",G1305="Investments", G1305="Cash Accounts"),INDIRECT("'"&amp;F1305&amp;"'!$C$10"),INDIRECT("'"&amp;F1305&amp;"'!$C$8")),"")</f>
        <v/>
      </c>
      <c r="K1305" s="48">
        <f t="shared" si="63"/>
        <v>1311</v>
      </c>
      <c r="L1305" s="114" t="str" cm="1">
        <f t="array" aca="1" ref="L1305" ca="1">IF(F1305&lt;&gt;"",INDIRECT("'"&amp;F1305&amp;"'!$F$17"),"")</f>
        <v/>
      </c>
      <c r="M1305" s="116" t="str">
        <f t="shared" ca="1" si="61"/>
        <v/>
      </c>
      <c r="O1305" s="49" t="str">
        <f t="shared" ca="1" si="62"/>
        <v/>
      </c>
      <c r="P1305" s="38" t="str">
        <f>IF(E1305&lt;&gt;"",RANK(E1305,$E$3:$E$2298)+COUNTIF($E$3:E1305,E1305)-1,"")</f>
        <v/>
      </c>
    </row>
    <row r="1306" spans="4:16" x14ac:dyDescent="0.25">
      <c r="D1306" s="36" t="str" cm="1">
        <f t="array" aca="1" ref="D1306" ca="1">IFERROR(IF(INDIRECT("'"&amp;F1306&amp;"'!$C$5")&gt;0,DATE(YEAR(Dashboard!$AL$2),Dashboard!$AU$4,INDIRECT("'"&amp;F1306&amp;"'!$C$5")),""),"")</f>
        <v/>
      </c>
      <c r="G1306" s="38" t="str" cm="1">
        <f t="array" aca="1" ref="G1306" ca="1">IF(F1306="",
    "",
    IFERROR(
        IF(INDIRECT("'"&amp;F1306&amp;"'!$B$2")="Credit Limit",
            "Credit Accounts",
            IF(INDIRECT("'"&amp;F1306&amp;"'!$E$2")="Location",
                "Cash Accounts",
                IF(INDIRECT("'"&amp;F1306&amp;"'!$B$2")="Amount",
                    "Investments",
                    "Bill Accounts"
                )
            )
        ),
    "")
)</f>
        <v/>
      </c>
      <c r="I1306" s="46" t="str" cm="1">
        <f t="array" aca="1" ref="I1306" ca="1">IF(F1306&lt;&gt;"",IF(OR(G1306="Bill Accounts",G1306="Investments", G1306="Cash Accounts"),INDIRECT("'"&amp;F1306&amp;"'!$C$10"),INDIRECT("'"&amp;F1306&amp;"'!$C$8")),"")</f>
        <v/>
      </c>
      <c r="K1306" s="48">
        <f t="shared" si="63"/>
        <v>1312</v>
      </c>
      <c r="L1306" s="114" t="str" cm="1">
        <f t="array" aca="1" ref="L1306" ca="1">IF(F1306&lt;&gt;"",INDIRECT("'"&amp;F1306&amp;"'!$F$17"),"")</f>
        <v/>
      </c>
      <c r="M1306" s="116" t="str">
        <f t="shared" ca="1" si="61"/>
        <v/>
      </c>
      <c r="O1306" s="49" t="str">
        <f t="shared" ca="1" si="62"/>
        <v/>
      </c>
      <c r="P1306" s="38" t="str">
        <f>IF(E1306&lt;&gt;"",RANK(E1306,$E$3:$E$2298)+COUNTIF($E$3:E1306,E1306)-1,"")</f>
        <v/>
      </c>
    </row>
    <row r="1307" spans="4:16" x14ac:dyDescent="0.25">
      <c r="D1307" s="36" t="str" cm="1">
        <f t="array" aca="1" ref="D1307" ca="1">IFERROR(IF(INDIRECT("'"&amp;F1307&amp;"'!$C$5")&gt;0,DATE(YEAR(Dashboard!$AL$2),Dashboard!$AU$4,INDIRECT("'"&amp;F1307&amp;"'!$C$5")),""),"")</f>
        <v/>
      </c>
      <c r="G1307" s="38" t="str" cm="1">
        <f t="array" aca="1" ref="G1307" ca="1">IF(F1307="",
    "",
    IFERROR(
        IF(INDIRECT("'"&amp;F1307&amp;"'!$B$2")="Credit Limit",
            "Credit Accounts",
            IF(INDIRECT("'"&amp;F1307&amp;"'!$E$2")="Location",
                "Cash Accounts",
                IF(INDIRECT("'"&amp;F1307&amp;"'!$B$2")="Amount",
                    "Investments",
                    "Bill Accounts"
                )
            )
        ),
    "")
)</f>
        <v/>
      </c>
      <c r="I1307" s="46" t="str" cm="1">
        <f t="array" aca="1" ref="I1307" ca="1">IF(F1307&lt;&gt;"",IF(OR(G1307="Bill Accounts",G1307="Investments", G1307="Cash Accounts"),INDIRECT("'"&amp;F1307&amp;"'!$C$10"),INDIRECT("'"&amp;F1307&amp;"'!$C$8")),"")</f>
        <v/>
      </c>
      <c r="K1307" s="48">
        <f t="shared" si="63"/>
        <v>1313</v>
      </c>
      <c r="L1307" s="114" t="str" cm="1">
        <f t="array" aca="1" ref="L1307" ca="1">IF(F1307&lt;&gt;"",INDIRECT("'"&amp;F1307&amp;"'!$F$17"),"")</f>
        <v/>
      </c>
      <c r="M1307" s="116" t="str">
        <f t="shared" ca="1" si="61"/>
        <v/>
      </c>
      <c r="O1307" s="49" t="str">
        <f t="shared" ca="1" si="62"/>
        <v/>
      </c>
      <c r="P1307" s="38" t="str">
        <f>IF(E1307&lt;&gt;"",RANK(E1307,$E$3:$E$2298)+COUNTIF($E$3:E1307,E1307)-1,"")</f>
        <v/>
      </c>
    </row>
    <row r="1308" spans="4:16" x14ac:dyDescent="0.25">
      <c r="D1308" s="36" t="str" cm="1">
        <f t="array" aca="1" ref="D1308" ca="1">IFERROR(IF(INDIRECT("'"&amp;F1308&amp;"'!$C$5")&gt;0,DATE(YEAR(Dashboard!$AL$2),Dashboard!$AU$4,INDIRECT("'"&amp;F1308&amp;"'!$C$5")),""),"")</f>
        <v/>
      </c>
      <c r="G1308" s="38" t="str" cm="1">
        <f t="array" aca="1" ref="G1308" ca="1">IF(F1308="",
    "",
    IFERROR(
        IF(INDIRECT("'"&amp;F1308&amp;"'!$B$2")="Credit Limit",
            "Credit Accounts",
            IF(INDIRECT("'"&amp;F1308&amp;"'!$E$2")="Location",
                "Cash Accounts",
                IF(INDIRECT("'"&amp;F1308&amp;"'!$B$2")="Amount",
                    "Investments",
                    "Bill Accounts"
                )
            )
        ),
    "")
)</f>
        <v/>
      </c>
      <c r="I1308" s="46" t="str" cm="1">
        <f t="array" aca="1" ref="I1308" ca="1">IF(F1308&lt;&gt;"",IF(OR(G1308="Bill Accounts",G1308="Investments", G1308="Cash Accounts"),INDIRECT("'"&amp;F1308&amp;"'!$C$10"),INDIRECT("'"&amp;F1308&amp;"'!$C$8")),"")</f>
        <v/>
      </c>
      <c r="K1308" s="48">
        <f t="shared" si="63"/>
        <v>1314</v>
      </c>
      <c r="L1308" s="114" t="str" cm="1">
        <f t="array" aca="1" ref="L1308" ca="1">IF(F1308&lt;&gt;"",INDIRECT("'"&amp;F1308&amp;"'!$F$17"),"")</f>
        <v/>
      </c>
      <c r="M1308" s="116" t="str">
        <f t="shared" ca="1" si="61"/>
        <v/>
      </c>
      <c r="O1308" s="49" t="str">
        <f t="shared" ca="1" si="62"/>
        <v/>
      </c>
      <c r="P1308" s="38" t="str">
        <f>IF(E1308&lt;&gt;"",RANK(E1308,$E$3:$E$2298)+COUNTIF($E$3:E1308,E1308)-1,"")</f>
        <v/>
      </c>
    </row>
    <row r="1309" spans="4:16" x14ac:dyDescent="0.25">
      <c r="D1309" s="36" t="str" cm="1">
        <f t="array" aca="1" ref="D1309" ca="1">IFERROR(IF(INDIRECT("'"&amp;F1309&amp;"'!$C$5")&gt;0,DATE(YEAR(Dashboard!$AL$2),Dashboard!$AU$4,INDIRECT("'"&amp;F1309&amp;"'!$C$5")),""),"")</f>
        <v/>
      </c>
      <c r="G1309" s="38" t="str" cm="1">
        <f t="array" aca="1" ref="G1309" ca="1">IF(F1309="",
    "",
    IFERROR(
        IF(INDIRECT("'"&amp;F1309&amp;"'!$B$2")="Credit Limit",
            "Credit Accounts",
            IF(INDIRECT("'"&amp;F1309&amp;"'!$E$2")="Location",
                "Cash Accounts",
                IF(INDIRECT("'"&amp;F1309&amp;"'!$B$2")="Amount",
                    "Investments",
                    "Bill Accounts"
                )
            )
        ),
    "")
)</f>
        <v/>
      </c>
      <c r="I1309" s="46" t="str" cm="1">
        <f t="array" aca="1" ref="I1309" ca="1">IF(F1309&lt;&gt;"",IF(OR(G1309="Bill Accounts",G1309="Investments", G1309="Cash Accounts"),INDIRECT("'"&amp;F1309&amp;"'!$C$10"),INDIRECT("'"&amp;F1309&amp;"'!$C$8")),"")</f>
        <v/>
      </c>
      <c r="K1309" s="48">
        <f t="shared" si="63"/>
        <v>1315</v>
      </c>
      <c r="L1309" s="114" t="str" cm="1">
        <f t="array" aca="1" ref="L1309" ca="1">IF(F1309&lt;&gt;"",INDIRECT("'"&amp;F1309&amp;"'!$F$17"),"")</f>
        <v/>
      </c>
      <c r="M1309" s="116" t="str">
        <f t="shared" ca="1" si="61"/>
        <v/>
      </c>
      <c r="O1309" s="49" t="str">
        <f t="shared" ca="1" si="62"/>
        <v/>
      </c>
      <c r="P1309" s="38" t="str">
        <f>IF(E1309&lt;&gt;"",RANK(E1309,$E$3:$E$2298)+COUNTIF($E$3:E1309,E1309)-1,"")</f>
        <v/>
      </c>
    </row>
    <row r="1310" spans="4:16" x14ac:dyDescent="0.25">
      <c r="D1310" s="36" t="str" cm="1">
        <f t="array" aca="1" ref="D1310" ca="1">IFERROR(IF(INDIRECT("'"&amp;F1310&amp;"'!$C$5")&gt;0,DATE(YEAR(Dashboard!$AL$2),Dashboard!$AU$4,INDIRECT("'"&amp;F1310&amp;"'!$C$5")),""),"")</f>
        <v/>
      </c>
      <c r="G1310" s="38" t="str" cm="1">
        <f t="array" aca="1" ref="G1310" ca="1">IF(F1310="",
    "",
    IFERROR(
        IF(INDIRECT("'"&amp;F1310&amp;"'!$B$2")="Credit Limit",
            "Credit Accounts",
            IF(INDIRECT("'"&amp;F1310&amp;"'!$E$2")="Location",
                "Cash Accounts",
                IF(INDIRECT("'"&amp;F1310&amp;"'!$B$2")="Amount",
                    "Investments",
                    "Bill Accounts"
                )
            )
        ),
    "")
)</f>
        <v/>
      </c>
      <c r="I1310" s="46" t="str" cm="1">
        <f t="array" aca="1" ref="I1310" ca="1">IF(F1310&lt;&gt;"",IF(OR(G1310="Bill Accounts",G1310="Investments", G1310="Cash Accounts"),INDIRECT("'"&amp;F1310&amp;"'!$C$10"),INDIRECT("'"&amp;F1310&amp;"'!$C$8")),"")</f>
        <v/>
      </c>
      <c r="K1310" s="48">
        <f t="shared" si="63"/>
        <v>1316</v>
      </c>
      <c r="L1310" s="114" t="str" cm="1">
        <f t="array" aca="1" ref="L1310" ca="1">IF(F1310&lt;&gt;"",INDIRECT("'"&amp;F1310&amp;"'!$F$17"),"")</f>
        <v/>
      </c>
      <c r="M1310" s="116" t="str">
        <f t="shared" ca="1" si="61"/>
        <v/>
      </c>
      <c r="O1310" s="49" t="str">
        <f t="shared" ca="1" si="62"/>
        <v/>
      </c>
      <c r="P1310" s="38" t="str">
        <f>IF(E1310&lt;&gt;"",RANK(E1310,$E$3:$E$2298)+COUNTIF($E$3:E1310,E1310)-1,"")</f>
        <v/>
      </c>
    </row>
    <row r="1311" spans="4:16" x14ac:dyDescent="0.25">
      <c r="D1311" s="36" t="str" cm="1">
        <f t="array" aca="1" ref="D1311" ca="1">IFERROR(IF(INDIRECT("'"&amp;F1311&amp;"'!$C$5")&gt;0,DATE(YEAR(Dashboard!$AL$2),Dashboard!$AU$4,INDIRECT("'"&amp;F1311&amp;"'!$C$5")),""),"")</f>
        <v/>
      </c>
      <c r="G1311" s="38" t="str" cm="1">
        <f t="array" aca="1" ref="G1311" ca="1">IF(F1311="",
    "",
    IFERROR(
        IF(INDIRECT("'"&amp;F1311&amp;"'!$B$2")="Credit Limit",
            "Credit Accounts",
            IF(INDIRECT("'"&amp;F1311&amp;"'!$E$2")="Location",
                "Cash Accounts",
                IF(INDIRECT("'"&amp;F1311&amp;"'!$B$2")="Amount",
                    "Investments",
                    "Bill Accounts"
                )
            )
        ),
    "")
)</f>
        <v/>
      </c>
      <c r="I1311" s="46" t="str" cm="1">
        <f t="array" aca="1" ref="I1311" ca="1">IF(F1311&lt;&gt;"",IF(OR(G1311="Bill Accounts",G1311="Investments", G1311="Cash Accounts"),INDIRECT("'"&amp;F1311&amp;"'!$C$10"),INDIRECT("'"&amp;F1311&amp;"'!$C$8")),"")</f>
        <v/>
      </c>
      <c r="K1311" s="48">
        <f t="shared" si="63"/>
        <v>1317</v>
      </c>
      <c r="L1311" s="114" t="str" cm="1">
        <f t="array" aca="1" ref="L1311" ca="1">IF(F1311&lt;&gt;"",INDIRECT("'"&amp;F1311&amp;"'!$F$17"),"")</f>
        <v/>
      </c>
      <c r="M1311" s="116" t="str">
        <f t="shared" ca="1" si="61"/>
        <v/>
      </c>
      <c r="O1311" s="49" t="str">
        <f t="shared" ca="1" si="62"/>
        <v/>
      </c>
      <c r="P1311" s="38" t="str">
        <f>IF(E1311&lt;&gt;"",RANK(E1311,$E$3:$E$2298)+COUNTIF($E$3:E1311,E1311)-1,"")</f>
        <v/>
      </c>
    </row>
    <row r="1312" spans="4:16" x14ac:dyDescent="0.25">
      <c r="D1312" s="36" t="str" cm="1">
        <f t="array" aca="1" ref="D1312" ca="1">IFERROR(IF(INDIRECT("'"&amp;F1312&amp;"'!$C$5")&gt;0,DATE(YEAR(Dashboard!$AL$2),Dashboard!$AU$4,INDIRECT("'"&amp;F1312&amp;"'!$C$5")),""),"")</f>
        <v/>
      </c>
      <c r="G1312" s="38" t="str" cm="1">
        <f t="array" aca="1" ref="G1312" ca="1">IF(F1312="",
    "",
    IFERROR(
        IF(INDIRECT("'"&amp;F1312&amp;"'!$B$2")="Credit Limit",
            "Credit Accounts",
            IF(INDIRECT("'"&amp;F1312&amp;"'!$E$2")="Location",
                "Cash Accounts",
                IF(INDIRECT("'"&amp;F1312&amp;"'!$B$2")="Amount",
                    "Investments",
                    "Bill Accounts"
                )
            )
        ),
    "")
)</f>
        <v/>
      </c>
      <c r="I1312" s="46" t="str" cm="1">
        <f t="array" aca="1" ref="I1312" ca="1">IF(F1312&lt;&gt;"",IF(OR(G1312="Bill Accounts",G1312="Investments", G1312="Cash Accounts"),INDIRECT("'"&amp;F1312&amp;"'!$C$10"),INDIRECT("'"&amp;F1312&amp;"'!$C$8")),"")</f>
        <v/>
      </c>
      <c r="K1312" s="48">
        <f t="shared" si="63"/>
        <v>1318</v>
      </c>
      <c r="L1312" s="114" t="str" cm="1">
        <f t="array" aca="1" ref="L1312" ca="1">IF(F1312&lt;&gt;"",INDIRECT("'"&amp;F1312&amp;"'!$F$17"),"")</f>
        <v/>
      </c>
      <c r="M1312" s="116" t="str">
        <f t="shared" ca="1" si="61"/>
        <v/>
      </c>
      <c r="O1312" s="49" t="str">
        <f t="shared" ca="1" si="62"/>
        <v/>
      </c>
      <c r="P1312" s="38" t="str">
        <f>IF(E1312&lt;&gt;"",RANK(E1312,$E$3:$E$2298)+COUNTIF($E$3:E1312,E1312)-1,"")</f>
        <v/>
      </c>
    </row>
    <row r="1313" spans="4:16" x14ac:dyDescent="0.25">
      <c r="D1313" s="36" t="str" cm="1">
        <f t="array" aca="1" ref="D1313" ca="1">IFERROR(IF(INDIRECT("'"&amp;F1313&amp;"'!$C$5")&gt;0,DATE(YEAR(Dashboard!$AL$2),Dashboard!$AU$4,INDIRECT("'"&amp;F1313&amp;"'!$C$5")),""),"")</f>
        <v/>
      </c>
      <c r="G1313" s="38" t="str" cm="1">
        <f t="array" aca="1" ref="G1313" ca="1">IF(F1313="",
    "",
    IFERROR(
        IF(INDIRECT("'"&amp;F1313&amp;"'!$B$2")="Credit Limit",
            "Credit Accounts",
            IF(INDIRECT("'"&amp;F1313&amp;"'!$E$2")="Location",
                "Cash Accounts",
                IF(INDIRECT("'"&amp;F1313&amp;"'!$B$2")="Amount",
                    "Investments",
                    "Bill Accounts"
                )
            )
        ),
    "")
)</f>
        <v/>
      </c>
      <c r="I1313" s="46" t="str" cm="1">
        <f t="array" aca="1" ref="I1313" ca="1">IF(F1313&lt;&gt;"",IF(OR(G1313="Bill Accounts",G1313="Investments", G1313="Cash Accounts"),INDIRECT("'"&amp;F1313&amp;"'!$C$10"),INDIRECT("'"&amp;F1313&amp;"'!$C$8")),"")</f>
        <v/>
      </c>
      <c r="K1313" s="48">
        <f t="shared" si="63"/>
        <v>1319</v>
      </c>
      <c r="L1313" s="114" t="str" cm="1">
        <f t="array" aca="1" ref="L1313" ca="1">IF(F1313&lt;&gt;"",INDIRECT("'"&amp;F1313&amp;"'!$F$17"),"")</f>
        <v/>
      </c>
      <c r="M1313" s="116" t="str">
        <f t="shared" ca="1" si="61"/>
        <v/>
      </c>
      <c r="O1313" s="49" t="str">
        <f t="shared" ca="1" si="62"/>
        <v/>
      </c>
      <c r="P1313" s="38" t="str">
        <f>IF(E1313&lt;&gt;"",RANK(E1313,$E$3:$E$2298)+COUNTIF($E$3:E1313,E1313)-1,"")</f>
        <v/>
      </c>
    </row>
    <row r="1314" spans="4:16" x14ac:dyDescent="0.25">
      <c r="D1314" s="36" t="str" cm="1">
        <f t="array" aca="1" ref="D1314" ca="1">IFERROR(IF(INDIRECT("'"&amp;F1314&amp;"'!$C$5")&gt;0,DATE(YEAR(Dashboard!$AL$2),Dashboard!$AU$4,INDIRECT("'"&amp;F1314&amp;"'!$C$5")),""),"")</f>
        <v/>
      </c>
      <c r="G1314" s="38" t="str" cm="1">
        <f t="array" aca="1" ref="G1314" ca="1">IF(F1314="",
    "",
    IFERROR(
        IF(INDIRECT("'"&amp;F1314&amp;"'!$B$2")="Credit Limit",
            "Credit Accounts",
            IF(INDIRECT("'"&amp;F1314&amp;"'!$E$2")="Location",
                "Cash Accounts",
                IF(INDIRECT("'"&amp;F1314&amp;"'!$B$2")="Amount",
                    "Investments",
                    "Bill Accounts"
                )
            )
        ),
    "")
)</f>
        <v/>
      </c>
      <c r="I1314" s="46" t="str" cm="1">
        <f t="array" aca="1" ref="I1314" ca="1">IF(F1314&lt;&gt;"",IF(OR(G1314="Bill Accounts",G1314="Investments", G1314="Cash Accounts"),INDIRECT("'"&amp;F1314&amp;"'!$C$10"),INDIRECT("'"&amp;F1314&amp;"'!$C$8")),"")</f>
        <v/>
      </c>
      <c r="K1314" s="48">
        <f t="shared" si="63"/>
        <v>1320</v>
      </c>
      <c r="L1314" s="114" t="str" cm="1">
        <f t="array" aca="1" ref="L1314" ca="1">IF(F1314&lt;&gt;"",INDIRECT("'"&amp;F1314&amp;"'!$F$17"),"")</f>
        <v/>
      </c>
      <c r="M1314" s="116" t="str">
        <f t="shared" ca="1" si="61"/>
        <v/>
      </c>
      <c r="O1314" s="49" t="str">
        <f t="shared" ca="1" si="62"/>
        <v/>
      </c>
      <c r="P1314" s="38" t="str">
        <f>IF(E1314&lt;&gt;"",RANK(E1314,$E$3:$E$2298)+COUNTIF($E$3:E1314,E1314)-1,"")</f>
        <v/>
      </c>
    </row>
    <row r="1315" spans="4:16" x14ac:dyDescent="0.25">
      <c r="D1315" s="36" t="str" cm="1">
        <f t="array" aca="1" ref="D1315" ca="1">IFERROR(IF(INDIRECT("'"&amp;F1315&amp;"'!$C$5")&gt;0,DATE(YEAR(Dashboard!$AL$2),Dashboard!$AU$4,INDIRECT("'"&amp;F1315&amp;"'!$C$5")),""),"")</f>
        <v/>
      </c>
      <c r="G1315" s="38" t="str" cm="1">
        <f t="array" aca="1" ref="G1315" ca="1">IF(F1315="",
    "",
    IFERROR(
        IF(INDIRECT("'"&amp;F1315&amp;"'!$B$2")="Credit Limit",
            "Credit Accounts",
            IF(INDIRECT("'"&amp;F1315&amp;"'!$E$2")="Location",
                "Cash Accounts",
                IF(INDIRECT("'"&amp;F1315&amp;"'!$B$2")="Amount",
                    "Investments",
                    "Bill Accounts"
                )
            )
        ),
    "")
)</f>
        <v/>
      </c>
      <c r="I1315" s="46" t="str" cm="1">
        <f t="array" aca="1" ref="I1315" ca="1">IF(F1315&lt;&gt;"",IF(OR(G1315="Bill Accounts",G1315="Investments", G1315="Cash Accounts"),INDIRECT("'"&amp;F1315&amp;"'!$C$10"),INDIRECT("'"&amp;F1315&amp;"'!$C$8")),"")</f>
        <v/>
      </c>
      <c r="K1315" s="48">
        <f t="shared" si="63"/>
        <v>1321</v>
      </c>
      <c r="L1315" s="114" t="str" cm="1">
        <f t="array" aca="1" ref="L1315" ca="1">IF(F1315&lt;&gt;"",INDIRECT("'"&amp;F1315&amp;"'!$F$17"),"")</f>
        <v/>
      </c>
      <c r="M1315" s="116" t="str">
        <f t="shared" ca="1" si="61"/>
        <v/>
      </c>
      <c r="O1315" s="49" t="str">
        <f t="shared" ca="1" si="62"/>
        <v/>
      </c>
      <c r="P1315" s="38" t="str">
        <f>IF(E1315&lt;&gt;"",RANK(E1315,$E$3:$E$2298)+COUNTIF($E$3:E1315,E1315)-1,"")</f>
        <v/>
      </c>
    </row>
    <row r="1316" spans="4:16" x14ac:dyDescent="0.25">
      <c r="D1316" s="36" t="str" cm="1">
        <f t="array" aca="1" ref="D1316" ca="1">IFERROR(IF(INDIRECT("'"&amp;F1316&amp;"'!$C$5")&gt;0,DATE(YEAR(Dashboard!$AL$2),Dashboard!$AU$4,INDIRECT("'"&amp;F1316&amp;"'!$C$5")),""),"")</f>
        <v/>
      </c>
      <c r="G1316" s="38" t="str" cm="1">
        <f t="array" aca="1" ref="G1316" ca="1">IF(F1316="",
    "",
    IFERROR(
        IF(INDIRECT("'"&amp;F1316&amp;"'!$B$2")="Credit Limit",
            "Credit Accounts",
            IF(INDIRECT("'"&amp;F1316&amp;"'!$E$2")="Location",
                "Cash Accounts",
                IF(INDIRECT("'"&amp;F1316&amp;"'!$B$2")="Amount",
                    "Investments",
                    "Bill Accounts"
                )
            )
        ),
    "")
)</f>
        <v/>
      </c>
      <c r="I1316" s="46" t="str" cm="1">
        <f t="array" aca="1" ref="I1316" ca="1">IF(F1316&lt;&gt;"",IF(OR(G1316="Bill Accounts",G1316="Investments", G1316="Cash Accounts"),INDIRECT("'"&amp;F1316&amp;"'!$C$10"),INDIRECT("'"&amp;F1316&amp;"'!$C$8")),"")</f>
        <v/>
      </c>
      <c r="K1316" s="48">
        <f t="shared" si="63"/>
        <v>1322</v>
      </c>
      <c r="L1316" s="114" t="str" cm="1">
        <f t="array" aca="1" ref="L1316" ca="1">IF(F1316&lt;&gt;"",INDIRECT("'"&amp;F1316&amp;"'!$F$17"),"")</f>
        <v/>
      </c>
      <c r="M1316" s="116" t="str">
        <f t="shared" ca="1" si="61"/>
        <v/>
      </c>
      <c r="O1316" s="49" t="str">
        <f t="shared" ca="1" si="62"/>
        <v/>
      </c>
      <c r="P1316" s="38" t="str">
        <f>IF(E1316&lt;&gt;"",RANK(E1316,$E$3:$E$2298)+COUNTIF($E$3:E1316,E1316)-1,"")</f>
        <v/>
      </c>
    </row>
    <row r="1317" spans="4:16" x14ac:dyDescent="0.25">
      <c r="D1317" s="36" t="str" cm="1">
        <f t="array" aca="1" ref="D1317" ca="1">IFERROR(IF(INDIRECT("'"&amp;F1317&amp;"'!$C$5")&gt;0,DATE(YEAR(Dashboard!$AL$2),Dashboard!$AU$4,INDIRECT("'"&amp;F1317&amp;"'!$C$5")),""),"")</f>
        <v/>
      </c>
      <c r="G1317" s="38" t="str" cm="1">
        <f t="array" aca="1" ref="G1317" ca="1">IF(F1317="",
    "",
    IFERROR(
        IF(INDIRECT("'"&amp;F1317&amp;"'!$B$2")="Credit Limit",
            "Credit Accounts",
            IF(INDIRECT("'"&amp;F1317&amp;"'!$E$2")="Location",
                "Cash Accounts",
                IF(INDIRECT("'"&amp;F1317&amp;"'!$B$2")="Amount",
                    "Investments",
                    "Bill Accounts"
                )
            )
        ),
    "")
)</f>
        <v/>
      </c>
      <c r="I1317" s="46" t="str" cm="1">
        <f t="array" aca="1" ref="I1317" ca="1">IF(F1317&lt;&gt;"",IF(OR(G1317="Bill Accounts",G1317="Investments", G1317="Cash Accounts"),INDIRECT("'"&amp;F1317&amp;"'!$C$10"),INDIRECT("'"&amp;F1317&amp;"'!$C$8")),"")</f>
        <v/>
      </c>
      <c r="K1317" s="48">
        <f t="shared" si="63"/>
        <v>1323</v>
      </c>
      <c r="L1317" s="114" t="str" cm="1">
        <f t="array" aca="1" ref="L1317" ca="1">IF(F1317&lt;&gt;"",INDIRECT("'"&amp;F1317&amp;"'!$F$17"),"")</f>
        <v/>
      </c>
      <c r="M1317" s="116" t="str">
        <f t="shared" ca="1" si="61"/>
        <v/>
      </c>
      <c r="O1317" s="49" t="str">
        <f t="shared" ca="1" si="62"/>
        <v/>
      </c>
      <c r="P1317" s="38" t="str">
        <f>IF(E1317&lt;&gt;"",RANK(E1317,$E$3:$E$2298)+COUNTIF($E$3:E1317,E1317)-1,"")</f>
        <v/>
      </c>
    </row>
    <row r="1318" spans="4:16" x14ac:dyDescent="0.25">
      <c r="D1318" s="36" t="str" cm="1">
        <f t="array" aca="1" ref="D1318" ca="1">IFERROR(IF(INDIRECT("'"&amp;F1318&amp;"'!$C$5")&gt;0,DATE(YEAR(Dashboard!$AL$2),Dashboard!$AU$4,INDIRECT("'"&amp;F1318&amp;"'!$C$5")),""),"")</f>
        <v/>
      </c>
      <c r="G1318" s="38" t="str" cm="1">
        <f t="array" aca="1" ref="G1318" ca="1">IF(F1318="",
    "",
    IFERROR(
        IF(INDIRECT("'"&amp;F1318&amp;"'!$B$2")="Credit Limit",
            "Credit Accounts",
            IF(INDIRECT("'"&amp;F1318&amp;"'!$E$2")="Location",
                "Cash Accounts",
                IF(INDIRECT("'"&amp;F1318&amp;"'!$B$2")="Amount",
                    "Investments",
                    "Bill Accounts"
                )
            )
        ),
    "")
)</f>
        <v/>
      </c>
      <c r="I1318" s="46" t="str" cm="1">
        <f t="array" aca="1" ref="I1318" ca="1">IF(F1318&lt;&gt;"",IF(OR(G1318="Bill Accounts",G1318="Investments", G1318="Cash Accounts"),INDIRECT("'"&amp;F1318&amp;"'!$C$10"),INDIRECT("'"&amp;F1318&amp;"'!$C$8")),"")</f>
        <v/>
      </c>
      <c r="K1318" s="48">
        <f t="shared" si="63"/>
        <v>1324</v>
      </c>
      <c r="L1318" s="114" t="str" cm="1">
        <f t="array" aca="1" ref="L1318" ca="1">IF(F1318&lt;&gt;"",INDIRECT("'"&amp;F1318&amp;"'!$F$17"),"")</f>
        <v/>
      </c>
      <c r="M1318" s="116" t="str">
        <f t="shared" ca="1" si="61"/>
        <v/>
      </c>
      <c r="O1318" s="49" t="str">
        <f t="shared" ca="1" si="62"/>
        <v/>
      </c>
      <c r="P1318" s="38" t="str">
        <f>IF(E1318&lt;&gt;"",RANK(E1318,$E$3:$E$2298)+COUNTIF($E$3:E1318,E1318)-1,"")</f>
        <v/>
      </c>
    </row>
    <row r="1319" spans="4:16" x14ac:dyDescent="0.25">
      <c r="D1319" s="36" t="str" cm="1">
        <f t="array" aca="1" ref="D1319" ca="1">IFERROR(IF(INDIRECT("'"&amp;F1319&amp;"'!$C$5")&gt;0,DATE(YEAR(Dashboard!$AL$2),Dashboard!$AU$4,INDIRECT("'"&amp;F1319&amp;"'!$C$5")),""),"")</f>
        <v/>
      </c>
      <c r="G1319" s="38" t="str" cm="1">
        <f t="array" aca="1" ref="G1319" ca="1">IF(F1319="",
    "",
    IFERROR(
        IF(INDIRECT("'"&amp;F1319&amp;"'!$B$2")="Credit Limit",
            "Credit Accounts",
            IF(INDIRECT("'"&amp;F1319&amp;"'!$E$2")="Location",
                "Cash Accounts",
                IF(INDIRECT("'"&amp;F1319&amp;"'!$B$2")="Amount",
                    "Investments",
                    "Bill Accounts"
                )
            )
        ),
    "")
)</f>
        <v/>
      </c>
      <c r="I1319" s="46" t="str" cm="1">
        <f t="array" aca="1" ref="I1319" ca="1">IF(F1319&lt;&gt;"",IF(OR(G1319="Bill Accounts",G1319="Investments", G1319="Cash Accounts"),INDIRECT("'"&amp;F1319&amp;"'!$C$10"),INDIRECT("'"&amp;F1319&amp;"'!$C$8")),"")</f>
        <v/>
      </c>
      <c r="K1319" s="48">
        <f t="shared" si="63"/>
        <v>1325</v>
      </c>
      <c r="L1319" s="114" t="str" cm="1">
        <f t="array" aca="1" ref="L1319" ca="1">IF(F1319&lt;&gt;"",INDIRECT("'"&amp;F1319&amp;"'!$F$17"),"")</f>
        <v/>
      </c>
      <c r="M1319" s="116" t="str">
        <f t="shared" ca="1" si="61"/>
        <v/>
      </c>
      <c r="O1319" s="49" t="str">
        <f t="shared" ca="1" si="62"/>
        <v/>
      </c>
      <c r="P1319" s="38" t="str">
        <f>IF(E1319&lt;&gt;"",RANK(E1319,$E$3:$E$2298)+COUNTIF($E$3:E1319,E1319)-1,"")</f>
        <v/>
      </c>
    </row>
    <row r="1320" spans="4:16" x14ac:dyDescent="0.25">
      <c r="D1320" s="36" t="str" cm="1">
        <f t="array" aca="1" ref="D1320" ca="1">IFERROR(IF(INDIRECT("'"&amp;F1320&amp;"'!$C$5")&gt;0,DATE(YEAR(Dashboard!$AL$2),Dashboard!$AU$4,INDIRECT("'"&amp;F1320&amp;"'!$C$5")),""),"")</f>
        <v/>
      </c>
      <c r="G1320" s="38" t="str" cm="1">
        <f t="array" aca="1" ref="G1320" ca="1">IF(F1320="",
    "",
    IFERROR(
        IF(INDIRECT("'"&amp;F1320&amp;"'!$B$2")="Credit Limit",
            "Credit Accounts",
            IF(INDIRECT("'"&amp;F1320&amp;"'!$E$2")="Location",
                "Cash Accounts",
                IF(INDIRECT("'"&amp;F1320&amp;"'!$B$2")="Amount",
                    "Investments",
                    "Bill Accounts"
                )
            )
        ),
    "")
)</f>
        <v/>
      </c>
      <c r="I1320" s="46" t="str" cm="1">
        <f t="array" aca="1" ref="I1320" ca="1">IF(F1320&lt;&gt;"",IF(OR(G1320="Bill Accounts",G1320="Investments", G1320="Cash Accounts"),INDIRECT("'"&amp;F1320&amp;"'!$C$10"),INDIRECT("'"&amp;F1320&amp;"'!$C$8")),"")</f>
        <v/>
      </c>
      <c r="K1320" s="48">
        <f t="shared" si="63"/>
        <v>1326</v>
      </c>
      <c r="L1320" s="114" t="str" cm="1">
        <f t="array" aca="1" ref="L1320" ca="1">IF(F1320&lt;&gt;"",INDIRECT("'"&amp;F1320&amp;"'!$F$17"),"")</f>
        <v/>
      </c>
      <c r="M1320" s="116" t="str">
        <f t="shared" ca="1" si="61"/>
        <v/>
      </c>
      <c r="O1320" s="49" t="str">
        <f t="shared" ca="1" si="62"/>
        <v/>
      </c>
      <c r="P1320" s="38" t="str">
        <f>IF(E1320&lt;&gt;"",RANK(E1320,$E$3:$E$2298)+COUNTIF($E$3:E1320,E1320)-1,"")</f>
        <v/>
      </c>
    </row>
    <row r="1321" spans="4:16" x14ac:dyDescent="0.25">
      <c r="D1321" s="36" t="str" cm="1">
        <f t="array" aca="1" ref="D1321" ca="1">IFERROR(IF(INDIRECT("'"&amp;F1321&amp;"'!$C$5")&gt;0,DATE(YEAR(Dashboard!$AL$2),Dashboard!$AU$4,INDIRECT("'"&amp;F1321&amp;"'!$C$5")),""),"")</f>
        <v/>
      </c>
      <c r="G1321" s="38" t="str" cm="1">
        <f t="array" aca="1" ref="G1321" ca="1">IF(F1321="",
    "",
    IFERROR(
        IF(INDIRECT("'"&amp;F1321&amp;"'!$B$2")="Credit Limit",
            "Credit Accounts",
            IF(INDIRECT("'"&amp;F1321&amp;"'!$E$2")="Location",
                "Cash Accounts",
                IF(INDIRECT("'"&amp;F1321&amp;"'!$B$2")="Amount",
                    "Investments",
                    "Bill Accounts"
                )
            )
        ),
    "")
)</f>
        <v/>
      </c>
      <c r="I1321" s="46" t="str" cm="1">
        <f t="array" aca="1" ref="I1321" ca="1">IF(F1321&lt;&gt;"",IF(OR(G1321="Bill Accounts",G1321="Investments", G1321="Cash Accounts"),INDIRECT("'"&amp;F1321&amp;"'!$C$10"),INDIRECT("'"&amp;F1321&amp;"'!$C$8")),"")</f>
        <v/>
      </c>
      <c r="K1321" s="48">
        <f t="shared" si="63"/>
        <v>1327</v>
      </c>
      <c r="L1321" s="114" t="str" cm="1">
        <f t="array" aca="1" ref="L1321" ca="1">IF(F1321&lt;&gt;"",INDIRECT("'"&amp;F1321&amp;"'!$F$17"),"")</f>
        <v/>
      </c>
      <c r="M1321" s="116" t="str">
        <f t="shared" ca="1" si="61"/>
        <v/>
      </c>
      <c r="O1321" s="49" t="str">
        <f t="shared" ca="1" si="62"/>
        <v/>
      </c>
      <c r="P1321" s="38" t="str">
        <f>IF(E1321&lt;&gt;"",RANK(E1321,$E$3:$E$2298)+COUNTIF($E$3:E1321,E1321)-1,"")</f>
        <v/>
      </c>
    </row>
    <row r="1322" spans="4:16" x14ac:dyDescent="0.25">
      <c r="D1322" s="36" t="str" cm="1">
        <f t="array" aca="1" ref="D1322" ca="1">IFERROR(IF(INDIRECT("'"&amp;F1322&amp;"'!$C$5")&gt;0,DATE(YEAR(Dashboard!$AL$2),Dashboard!$AU$4,INDIRECT("'"&amp;F1322&amp;"'!$C$5")),""),"")</f>
        <v/>
      </c>
      <c r="G1322" s="38" t="str" cm="1">
        <f t="array" aca="1" ref="G1322" ca="1">IF(F1322="",
    "",
    IFERROR(
        IF(INDIRECT("'"&amp;F1322&amp;"'!$B$2")="Credit Limit",
            "Credit Accounts",
            IF(INDIRECT("'"&amp;F1322&amp;"'!$E$2")="Location",
                "Cash Accounts",
                IF(INDIRECT("'"&amp;F1322&amp;"'!$B$2")="Amount",
                    "Investments",
                    "Bill Accounts"
                )
            )
        ),
    "")
)</f>
        <v/>
      </c>
      <c r="I1322" s="46" t="str" cm="1">
        <f t="array" aca="1" ref="I1322" ca="1">IF(F1322&lt;&gt;"",IF(OR(G1322="Bill Accounts",G1322="Investments", G1322="Cash Accounts"),INDIRECT("'"&amp;F1322&amp;"'!$C$10"),INDIRECT("'"&amp;F1322&amp;"'!$C$8")),"")</f>
        <v/>
      </c>
      <c r="K1322" s="48">
        <f t="shared" si="63"/>
        <v>1328</v>
      </c>
      <c r="L1322" s="114" t="str" cm="1">
        <f t="array" aca="1" ref="L1322" ca="1">IF(F1322&lt;&gt;"",INDIRECT("'"&amp;F1322&amp;"'!$F$17"),"")</f>
        <v/>
      </c>
      <c r="M1322" s="116" t="str">
        <f t="shared" ca="1" si="61"/>
        <v/>
      </c>
      <c r="O1322" s="49" t="str">
        <f t="shared" ca="1" si="62"/>
        <v/>
      </c>
      <c r="P1322" s="38" t="str">
        <f>IF(E1322&lt;&gt;"",RANK(E1322,$E$3:$E$2298)+COUNTIF($E$3:E1322,E1322)-1,"")</f>
        <v/>
      </c>
    </row>
    <row r="1323" spans="4:16" x14ac:dyDescent="0.25">
      <c r="D1323" s="36" t="str" cm="1">
        <f t="array" aca="1" ref="D1323" ca="1">IFERROR(IF(INDIRECT("'"&amp;F1323&amp;"'!$C$5")&gt;0,DATE(YEAR(Dashboard!$AL$2),Dashboard!$AU$4,INDIRECT("'"&amp;F1323&amp;"'!$C$5")),""),"")</f>
        <v/>
      </c>
      <c r="G1323" s="38" t="str" cm="1">
        <f t="array" aca="1" ref="G1323" ca="1">IF(F1323="",
    "",
    IFERROR(
        IF(INDIRECT("'"&amp;F1323&amp;"'!$B$2")="Credit Limit",
            "Credit Accounts",
            IF(INDIRECT("'"&amp;F1323&amp;"'!$E$2")="Location",
                "Cash Accounts",
                IF(INDIRECT("'"&amp;F1323&amp;"'!$B$2")="Amount",
                    "Investments",
                    "Bill Accounts"
                )
            )
        ),
    "")
)</f>
        <v/>
      </c>
      <c r="I1323" s="46" t="str" cm="1">
        <f t="array" aca="1" ref="I1323" ca="1">IF(F1323&lt;&gt;"",IF(OR(G1323="Bill Accounts",G1323="Investments", G1323="Cash Accounts"),INDIRECT("'"&amp;F1323&amp;"'!$C$10"),INDIRECT("'"&amp;F1323&amp;"'!$C$8")),"")</f>
        <v/>
      </c>
      <c r="K1323" s="48">
        <f t="shared" si="63"/>
        <v>1329</v>
      </c>
      <c r="L1323" s="114" t="str" cm="1">
        <f t="array" aca="1" ref="L1323" ca="1">IF(F1323&lt;&gt;"",INDIRECT("'"&amp;F1323&amp;"'!$F$17"),"")</f>
        <v/>
      </c>
      <c r="M1323" s="116" t="str">
        <f t="shared" ca="1" si="61"/>
        <v/>
      </c>
      <c r="O1323" s="49" t="str">
        <f t="shared" ca="1" si="62"/>
        <v/>
      </c>
      <c r="P1323" s="38" t="str">
        <f>IF(E1323&lt;&gt;"",RANK(E1323,$E$3:$E$2298)+COUNTIF($E$3:E1323,E1323)-1,"")</f>
        <v/>
      </c>
    </row>
    <row r="1324" spans="4:16" x14ac:dyDescent="0.25">
      <c r="D1324" s="36" t="str" cm="1">
        <f t="array" aca="1" ref="D1324" ca="1">IFERROR(IF(INDIRECT("'"&amp;F1324&amp;"'!$C$5")&gt;0,DATE(YEAR(Dashboard!$AL$2),Dashboard!$AU$4,INDIRECT("'"&amp;F1324&amp;"'!$C$5")),""),"")</f>
        <v/>
      </c>
      <c r="G1324" s="38" t="str" cm="1">
        <f t="array" aca="1" ref="G1324" ca="1">IF(F1324="",
    "",
    IFERROR(
        IF(INDIRECT("'"&amp;F1324&amp;"'!$B$2")="Credit Limit",
            "Credit Accounts",
            IF(INDIRECT("'"&amp;F1324&amp;"'!$E$2")="Location",
                "Cash Accounts",
                IF(INDIRECT("'"&amp;F1324&amp;"'!$B$2")="Amount",
                    "Investments",
                    "Bill Accounts"
                )
            )
        ),
    "")
)</f>
        <v/>
      </c>
      <c r="I1324" s="46" t="str" cm="1">
        <f t="array" aca="1" ref="I1324" ca="1">IF(F1324&lt;&gt;"",IF(OR(G1324="Bill Accounts",G1324="Investments", G1324="Cash Accounts"),INDIRECT("'"&amp;F1324&amp;"'!$C$10"),INDIRECT("'"&amp;F1324&amp;"'!$C$8")),"")</f>
        <v/>
      </c>
      <c r="K1324" s="48">
        <f t="shared" si="63"/>
        <v>1330</v>
      </c>
      <c r="L1324" s="114" t="str" cm="1">
        <f t="array" aca="1" ref="L1324" ca="1">IF(F1324&lt;&gt;"",INDIRECT("'"&amp;F1324&amp;"'!$F$17"),"")</f>
        <v/>
      </c>
      <c r="M1324" s="116" t="str">
        <f t="shared" ca="1" si="61"/>
        <v/>
      </c>
      <c r="O1324" s="49" t="str">
        <f t="shared" ca="1" si="62"/>
        <v/>
      </c>
      <c r="P1324" s="38" t="str">
        <f>IF(E1324&lt;&gt;"",RANK(E1324,$E$3:$E$2298)+COUNTIF($E$3:E1324,E1324)-1,"")</f>
        <v/>
      </c>
    </row>
    <row r="1325" spans="4:16" x14ac:dyDescent="0.25">
      <c r="D1325" s="36" t="str" cm="1">
        <f t="array" aca="1" ref="D1325" ca="1">IFERROR(IF(INDIRECT("'"&amp;F1325&amp;"'!$C$5")&gt;0,DATE(YEAR(Dashboard!$AL$2),Dashboard!$AU$4,INDIRECT("'"&amp;F1325&amp;"'!$C$5")),""),"")</f>
        <v/>
      </c>
      <c r="G1325" s="38" t="str" cm="1">
        <f t="array" aca="1" ref="G1325" ca="1">IF(F1325="",
    "",
    IFERROR(
        IF(INDIRECT("'"&amp;F1325&amp;"'!$B$2")="Credit Limit",
            "Credit Accounts",
            IF(INDIRECT("'"&amp;F1325&amp;"'!$E$2")="Location",
                "Cash Accounts",
                IF(INDIRECT("'"&amp;F1325&amp;"'!$B$2")="Amount",
                    "Investments",
                    "Bill Accounts"
                )
            )
        ),
    "")
)</f>
        <v/>
      </c>
      <c r="I1325" s="46" t="str" cm="1">
        <f t="array" aca="1" ref="I1325" ca="1">IF(F1325&lt;&gt;"",IF(OR(G1325="Bill Accounts",G1325="Investments", G1325="Cash Accounts"),INDIRECT("'"&amp;F1325&amp;"'!$C$10"),INDIRECT("'"&amp;F1325&amp;"'!$C$8")),"")</f>
        <v/>
      </c>
      <c r="K1325" s="48">
        <f t="shared" si="63"/>
        <v>1331</v>
      </c>
      <c r="L1325" s="114" t="str" cm="1">
        <f t="array" aca="1" ref="L1325" ca="1">IF(F1325&lt;&gt;"",INDIRECT("'"&amp;F1325&amp;"'!$F$17"),"")</f>
        <v/>
      </c>
      <c r="M1325" s="116" t="str">
        <f t="shared" ca="1" si="61"/>
        <v/>
      </c>
      <c r="O1325" s="49" t="str">
        <f t="shared" ca="1" si="62"/>
        <v/>
      </c>
      <c r="P1325" s="38" t="str">
        <f>IF(E1325&lt;&gt;"",RANK(E1325,$E$3:$E$2298)+COUNTIF($E$3:E1325,E1325)-1,"")</f>
        <v/>
      </c>
    </row>
    <row r="1326" spans="4:16" x14ac:dyDescent="0.25">
      <c r="D1326" s="36" t="str" cm="1">
        <f t="array" aca="1" ref="D1326" ca="1">IFERROR(IF(INDIRECT("'"&amp;F1326&amp;"'!$C$5")&gt;0,DATE(YEAR(Dashboard!$AL$2),Dashboard!$AU$4,INDIRECT("'"&amp;F1326&amp;"'!$C$5")),""),"")</f>
        <v/>
      </c>
      <c r="G1326" s="38" t="str" cm="1">
        <f t="array" aca="1" ref="G1326" ca="1">IF(F1326="",
    "",
    IFERROR(
        IF(INDIRECT("'"&amp;F1326&amp;"'!$B$2")="Credit Limit",
            "Credit Accounts",
            IF(INDIRECT("'"&amp;F1326&amp;"'!$E$2")="Location",
                "Cash Accounts",
                IF(INDIRECT("'"&amp;F1326&amp;"'!$B$2")="Amount",
                    "Investments",
                    "Bill Accounts"
                )
            )
        ),
    "")
)</f>
        <v/>
      </c>
      <c r="I1326" s="46" t="str" cm="1">
        <f t="array" aca="1" ref="I1326" ca="1">IF(F1326&lt;&gt;"",IF(OR(G1326="Bill Accounts",G1326="Investments", G1326="Cash Accounts"),INDIRECT("'"&amp;F1326&amp;"'!$C$10"),INDIRECT("'"&amp;F1326&amp;"'!$C$8")),"")</f>
        <v/>
      </c>
      <c r="K1326" s="48">
        <f t="shared" si="63"/>
        <v>1332</v>
      </c>
      <c r="L1326" s="114" t="str" cm="1">
        <f t="array" aca="1" ref="L1326" ca="1">IF(F1326&lt;&gt;"",INDIRECT("'"&amp;F1326&amp;"'!$F$17"),"")</f>
        <v/>
      </c>
      <c r="M1326" s="116" t="str">
        <f t="shared" ca="1" si="61"/>
        <v/>
      </c>
      <c r="O1326" s="49" t="str">
        <f t="shared" ca="1" si="62"/>
        <v/>
      </c>
      <c r="P1326" s="38" t="str">
        <f>IF(E1326&lt;&gt;"",RANK(E1326,$E$3:$E$2298)+COUNTIF($E$3:E1326,E1326)-1,"")</f>
        <v/>
      </c>
    </row>
    <row r="1327" spans="4:16" x14ac:dyDescent="0.25">
      <c r="D1327" s="36" t="str" cm="1">
        <f t="array" aca="1" ref="D1327" ca="1">IFERROR(IF(INDIRECT("'"&amp;F1327&amp;"'!$C$5")&gt;0,DATE(YEAR(Dashboard!$AL$2),Dashboard!$AU$4,INDIRECT("'"&amp;F1327&amp;"'!$C$5")),""),"")</f>
        <v/>
      </c>
      <c r="G1327" s="38" t="str" cm="1">
        <f t="array" aca="1" ref="G1327" ca="1">IF(F1327="",
    "",
    IFERROR(
        IF(INDIRECT("'"&amp;F1327&amp;"'!$B$2")="Credit Limit",
            "Credit Accounts",
            IF(INDIRECT("'"&amp;F1327&amp;"'!$E$2")="Location",
                "Cash Accounts",
                IF(INDIRECT("'"&amp;F1327&amp;"'!$B$2")="Amount",
                    "Investments",
                    "Bill Accounts"
                )
            )
        ),
    "")
)</f>
        <v/>
      </c>
      <c r="I1327" s="46" t="str" cm="1">
        <f t="array" aca="1" ref="I1327" ca="1">IF(F1327&lt;&gt;"",IF(OR(G1327="Bill Accounts",G1327="Investments", G1327="Cash Accounts"),INDIRECT("'"&amp;F1327&amp;"'!$C$10"),INDIRECT("'"&amp;F1327&amp;"'!$C$8")),"")</f>
        <v/>
      </c>
      <c r="K1327" s="48">
        <f t="shared" si="63"/>
        <v>1333</v>
      </c>
      <c r="L1327" s="114" t="str" cm="1">
        <f t="array" aca="1" ref="L1327" ca="1">IF(F1327&lt;&gt;"",INDIRECT("'"&amp;F1327&amp;"'!$F$17"),"")</f>
        <v/>
      </c>
      <c r="M1327" s="116" t="str">
        <f t="shared" ca="1" si="61"/>
        <v/>
      </c>
      <c r="O1327" s="49" t="str">
        <f t="shared" ca="1" si="62"/>
        <v/>
      </c>
      <c r="P1327" s="38" t="str">
        <f>IF(E1327&lt;&gt;"",RANK(E1327,$E$3:$E$2298)+COUNTIF($E$3:E1327,E1327)-1,"")</f>
        <v/>
      </c>
    </row>
    <row r="1328" spans="4:16" x14ac:dyDescent="0.25">
      <c r="D1328" s="36" t="str" cm="1">
        <f t="array" aca="1" ref="D1328" ca="1">IFERROR(IF(INDIRECT("'"&amp;F1328&amp;"'!$C$5")&gt;0,DATE(YEAR(Dashboard!$AL$2),Dashboard!$AU$4,INDIRECT("'"&amp;F1328&amp;"'!$C$5")),""),"")</f>
        <v/>
      </c>
      <c r="G1328" s="38" t="str" cm="1">
        <f t="array" aca="1" ref="G1328" ca="1">IF(F1328="",
    "",
    IFERROR(
        IF(INDIRECT("'"&amp;F1328&amp;"'!$B$2")="Credit Limit",
            "Credit Accounts",
            IF(INDIRECT("'"&amp;F1328&amp;"'!$E$2")="Location",
                "Cash Accounts",
                IF(INDIRECT("'"&amp;F1328&amp;"'!$B$2")="Amount",
                    "Investments",
                    "Bill Accounts"
                )
            )
        ),
    "")
)</f>
        <v/>
      </c>
      <c r="I1328" s="46" t="str" cm="1">
        <f t="array" aca="1" ref="I1328" ca="1">IF(F1328&lt;&gt;"",IF(OR(G1328="Bill Accounts",G1328="Investments", G1328="Cash Accounts"),INDIRECT("'"&amp;F1328&amp;"'!$C$10"),INDIRECT("'"&amp;F1328&amp;"'!$C$8")),"")</f>
        <v/>
      </c>
      <c r="K1328" s="48">
        <f t="shared" si="63"/>
        <v>1334</v>
      </c>
      <c r="L1328" s="114" t="str" cm="1">
        <f t="array" aca="1" ref="L1328" ca="1">IF(F1328&lt;&gt;"",INDIRECT("'"&amp;F1328&amp;"'!$F$17"),"")</f>
        <v/>
      </c>
      <c r="M1328" s="116" t="str">
        <f t="shared" ca="1" si="61"/>
        <v/>
      </c>
      <c r="O1328" s="49" t="str">
        <f t="shared" ca="1" si="62"/>
        <v/>
      </c>
      <c r="P1328" s="38" t="str">
        <f>IF(E1328&lt;&gt;"",RANK(E1328,$E$3:$E$2298)+COUNTIF($E$3:E1328,E1328)-1,"")</f>
        <v/>
      </c>
    </row>
    <row r="1329" spans="4:16" x14ac:dyDescent="0.25">
      <c r="D1329" s="36" t="str" cm="1">
        <f t="array" aca="1" ref="D1329" ca="1">IFERROR(IF(INDIRECT("'"&amp;F1329&amp;"'!$C$5")&gt;0,DATE(YEAR(Dashboard!$AL$2),Dashboard!$AU$4,INDIRECT("'"&amp;F1329&amp;"'!$C$5")),""),"")</f>
        <v/>
      </c>
      <c r="G1329" s="38" t="str" cm="1">
        <f t="array" aca="1" ref="G1329" ca="1">IF(F1329="",
    "",
    IFERROR(
        IF(INDIRECT("'"&amp;F1329&amp;"'!$B$2")="Credit Limit",
            "Credit Accounts",
            IF(INDIRECT("'"&amp;F1329&amp;"'!$E$2")="Location",
                "Cash Accounts",
                IF(INDIRECT("'"&amp;F1329&amp;"'!$B$2")="Amount",
                    "Investments",
                    "Bill Accounts"
                )
            )
        ),
    "")
)</f>
        <v/>
      </c>
      <c r="I1329" s="46" t="str" cm="1">
        <f t="array" aca="1" ref="I1329" ca="1">IF(F1329&lt;&gt;"",IF(OR(G1329="Bill Accounts",G1329="Investments", G1329="Cash Accounts"),INDIRECT("'"&amp;F1329&amp;"'!$C$10"),INDIRECT("'"&amp;F1329&amp;"'!$C$8")),"")</f>
        <v/>
      </c>
      <c r="K1329" s="48">
        <f t="shared" si="63"/>
        <v>1335</v>
      </c>
      <c r="L1329" s="114" t="str" cm="1">
        <f t="array" aca="1" ref="L1329" ca="1">IF(F1329&lt;&gt;"",INDIRECT("'"&amp;F1329&amp;"'!$F$17"),"")</f>
        <v/>
      </c>
      <c r="M1329" s="116" t="str">
        <f t="shared" ca="1" si="61"/>
        <v/>
      </c>
      <c r="O1329" s="49" t="str">
        <f t="shared" ca="1" si="62"/>
        <v/>
      </c>
      <c r="P1329" s="38" t="str">
        <f>IF(E1329&lt;&gt;"",RANK(E1329,$E$3:$E$2298)+COUNTIF($E$3:E1329,E1329)-1,"")</f>
        <v/>
      </c>
    </row>
    <row r="1330" spans="4:16" x14ac:dyDescent="0.25">
      <c r="D1330" s="36" t="str" cm="1">
        <f t="array" aca="1" ref="D1330" ca="1">IFERROR(IF(INDIRECT("'"&amp;F1330&amp;"'!$C$5")&gt;0,DATE(YEAR(Dashboard!$AL$2),Dashboard!$AU$4,INDIRECT("'"&amp;F1330&amp;"'!$C$5")),""),"")</f>
        <v/>
      </c>
      <c r="G1330" s="38" t="str" cm="1">
        <f t="array" aca="1" ref="G1330" ca="1">IF(F1330="",
    "",
    IFERROR(
        IF(INDIRECT("'"&amp;F1330&amp;"'!$B$2")="Credit Limit",
            "Credit Accounts",
            IF(INDIRECT("'"&amp;F1330&amp;"'!$E$2")="Location",
                "Cash Accounts",
                IF(INDIRECT("'"&amp;F1330&amp;"'!$B$2")="Amount",
                    "Investments",
                    "Bill Accounts"
                )
            )
        ),
    "")
)</f>
        <v/>
      </c>
      <c r="I1330" s="46" t="str" cm="1">
        <f t="array" aca="1" ref="I1330" ca="1">IF(F1330&lt;&gt;"",IF(OR(G1330="Bill Accounts",G1330="Investments", G1330="Cash Accounts"),INDIRECT("'"&amp;F1330&amp;"'!$C$10"),INDIRECT("'"&amp;F1330&amp;"'!$C$8")),"")</f>
        <v/>
      </c>
      <c r="K1330" s="48">
        <f t="shared" si="63"/>
        <v>1336</v>
      </c>
      <c r="L1330" s="114" t="str" cm="1">
        <f t="array" aca="1" ref="L1330" ca="1">IF(F1330&lt;&gt;"",INDIRECT("'"&amp;F1330&amp;"'!$F$17"),"")</f>
        <v/>
      </c>
      <c r="M1330" s="116" t="str">
        <f t="shared" ca="1" si="61"/>
        <v/>
      </c>
      <c r="O1330" s="49" t="str">
        <f t="shared" ca="1" si="62"/>
        <v/>
      </c>
      <c r="P1330" s="38" t="str">
        <f>IF(E1330&lt;&gt;"",RANK(E1330,$E$3:$E$2298)+COUNTIF($E$3:E1330,E1330)-1,"")</f>
        <v/>
      </c>
    </row>
    <row r="1331" spans="4:16" x14ac:dyDescent="0.25">
      <c r="D1331" s="36" t="str" cm="1">
        <f t="array" aca="1" ref="D1331" ca="1">IFERROR(IF(INDIRECT("'"&amp;F1331&amp;"'!$C$5")&gt;0,DATE(YEAR(Dashboard!$AL$2),Dashboard!$AU$4,INDIRECT("'"&amp;F1331&amp;"'!$C$5")),""),"")</f>
        <v/>
      </c>
      <c r="G1331" s="38" t="str" cm="1">
        <f t="array" aca="1" ref="G1331" ca="1">IF(F1331="",
    "",
    IFERROR(
        IF(INDIRECT("'"&amp;F1331&amp;"'!$B$2")="Credit Limit",
            "Credit Accounts",
            IF(INDIRECT("'"&amp;F1331&amp;"'!$E$2")="Location",
                "Cash Accounts",
                IF(INDIRECT("'"&amp;F1331&amp;"'!$B$2")="Amount",
                    "Investments",
                    "Bill Accounts"
                )
            )
        ),
    "")
)</f>
        <v/>
      </c>
      <c r="I1331" s="46" t="str" cm="1">
        <f t="array" aca="1" ref="I1331" ca="1">IF(F1331&lt;&gt;"",IF(OR(G1331="Bill Accounts",G1331="Investments", G1331="Cash Accounts"),INDIRECT("'"&amp;F1331&amp;"'!$C$10"),INDIRECT("'"&amp;F1331&amp;"'!$C$8")),"")</f>
        <v/>
      </c>
      <c r="K1331" s="48">
        <f t="shared" si="63"/>
        <v>1337</v>
      </c>
      <c r="L1331" s="114" t="str" cm="1">
        <f t="array" aca="1" ref="L1331" ca="1">IF(F1331&lt;&gt;"",INDIRECT("'"&amp;F1331&amp;"'!$F$17"),"")</f>
        <v/>
      </c>
      <c r="M1331" s="116" t="str">
        <f t="shared" ca="1" si="61"/>
        <v/>
      </c>
      <c r="O1331" s="49" t="str">
        <f t="shared" ca="1" si="62"/>
        <v/>
      </c>
      <c r="P1331" s="38" t="str">
        <f>IF(E1331&lt;&gt;"",RANK(E1331,$E$3:$E$2298)+COUNTIF($E$3:E1331,E1331)-1,"")</f>
        <v/>
      </c>
    </row>
    <row r="1332" spans="4:16" x14ac:dyDescent="0.25">
      <c r="D1332" s="36" t="str" cm="1">
        <f t="array" aca="1" ref="D1332" ca="1">IFERROR(IF(INDIRECT("'"&amp;F1332&amp;"'!$C$5")&gt;0,DATE(YEAR(Dashboard!$AL$2),Dashboard!$AU$4,INDIRECT("'"&amp;F1332&amp;"'!$C$5")),""),"")</f>
        <v/>
      </c>
      <c r="G1332" s="38" t="str" cm="1">
        <f t="array" aca="1" ref="G1332" ca="1">IF(F1332="",
    "",
    IFERROR(
        IF(INDIRECT("'"&amp;F1332&amp;"'!$B$2")="Credit Limit",
            "Credit Accounts",
            IF(INDIRECT("'"&amp;F1332&amp;"'!$E$2")="Location",
                "Cash Accounts",
                IF(INDIRECT("'"&amp;F1332&amp;"'!$B$2")="Amount",
                    "Investments",
                    "Bill Accounts"
                )
            )
        ),
    "")
)</f>
        <v/>
      </c>
      <c r="I1332" s="46" t="str" cm="1">
        <f t="array" aca="1" ref="I1332" ca="1">IF(F1332&lt;&gt;"",IF(OR(G1332="Bill Accounts",G1332="Investments", G1332="Cash Accounts"),INDIRECT("'"&amp;F1332&amp;"'!$C$10"),INDIRECT("'"&amp;F1332&amp;"'!$C$8")),"")</f>
        <v/>
      </c>
      <c r="K1332" s="48">
        <f t="shared" si="63"/>
        <v>1338</v>
      </c>
      <c r="L1332" s="114" t="str" cm="1">
        <f t="array" aca="1" ref="L1332" ca="1">IF(F1332&lt;&gt;"",INDIRECT("'"&amp;F1332&amp;"'!$F$17"),"")</f>
        <v/>
      </c>
      <c r="M1332" s="116" t="str">
        <f t="shared" ca="1" si="61"/>
        <v/>
      </c>
      <c r="O1332" s="49" t="str">
        <f t="shared" ca="1" si="62"/>
        <v/>
      </c>
      <c r="P1332" s="38" t="str">
        <f>IF(E1332&lt;&gt;"",RANK(E1332,$E$3:$E$2298)+COUNTIF($E$3:E1332,E1332)-1,"")</f>
        <v/>
      </c>
    </row>
    <row r="1333" spans="4:16" x14ac:dyDescent="0.25">
      <c r="D1333" s="36" t="str" cm="1">
        <f t="array" aca="1" ref="D1333" ca="1">IFERROR(IF(INDIRECT("'"&amp;F1333&amp;"'!$C$5")&gt;0,DATE(YEAR(Dashboard!$AL$2),Dashboard!$AU$4,INDIRECT("'"&amp;F1333&amp;"'!$C$5")),""),"")</f>
        <v/>
      </c>
      <c r="G1333" s="38" t="str" cm="1">
        <f t="array" aca="1" ref="G1333" ca="1">IF(F1333="",
    "",
    IFERROR(
        IF(INDIRECT("'"&amp;F1333&amp;"'!$B$2")="Credit Limit",
            "Credit Accounts",
            IF(INDIRECT("'"&amp;F1333&amp;"'!$E$2")="Location",
                "Cash Accounts",
                IF(INDIRECT("'"&amp;F1333&amp;"'!$B$2")="Amount",
                    "Investments",
                    "Bill Accounts"
                )
            )
        ),
    "")
)</f>
        <v/>
      </c>
      <c r="I1333" s="46" t="str" cm="1">
        <f t="array" aca="1" ref="I1333" ca="1">IF(F1333&lt;&gt;"",IF(OR(G1333="Bill Accounts",G1333="Investments", G1333="Cash Accounts"),INDIRECT("'"&amp;F1333&amp;"'!$C$10"),INDIRECT("'"&amp;F1333&amp;"'!$C$8")),"")</f>
        <v/>
      </c>
      <c r="K1333" s="48">
        <f t="shared" si="63"/>
        <v>1339</v>
      </c>
      <c r="L1333" s="114" t="str" cm="1">
        <f t="array" aca="1" ref="L1333" ca="1">IF(F1333&lt;&gt;"",INDIRECT("'"&amp;F1333&amp;"'!$F$17"),"")</f>
        <v/>
      </c>
      <c r="M1333" s="116" t="str">
        <f t="shared" ca="1" si="61"/>
        <v/>
      </c>
      <c r="O1333" s="49" t="str">
        <f t="shared" ca="1" si="62"/>
        <v/>
      </c>
      <c r="P1333" s="38" t="str">
        <f>IF(E1333&lt;&gt;"",RANK(E1333,$E$3:$E$2298)+COUNTIF($E$3:E1333,E1333)-1,"")</f>
        <v/>
      </c>
    </row>
    <row r="1334" spans="4:16" x14ac:dyDescent="0.25">
      <c r="D1334" s="36" t="str" cm="1">
        <f t="array" aca="1" ref="D1334" ca="1">IFERROR(IF(INDIRECT("'"&amp;F1334&amp;"'!$C$5")&gt;0,DATE(YEAR(Dashboard!$AL$2),Dashboard!$AU$4,INDIRECT("'"&amp;F1334&amp;"'!$C$5")),""),"")</f>
        <v/>
      </c>
      <c r="G1334" s="38" t="str" cm="1">
        <f t="array" aca="1" ref="G1334" ca="1">IF(F1334="",
    "",
    IFERROR(
        IF(INDIRECT("'"&amp;F1334&amp;"'!$B$2")="Credit Limit",
            "Credit Accounts",
            IF(INDIRECT("'"&amp;F1334&amp;"'!$E$2")="Location",
                "Cash Accounts",
                IF(INDIRECT("'"&amp;F1334&amp;"'!$B$2")="Amount",
                    "Investments",
                    "Bill Accounts"
                )
            )
        ),
    "")
)</f>
        <v/>
      </c>
      <c r="I1334" s="46" t="str" cm="1">
        <f t="array" aca="1" ref="I1334" ca="1">IF(F1334&lt;&gt;"",IF(OR(G1334="Bill Accounts",G1334="Investments", G1334="Cash Accounts"),INDIRECT("'"&amp;F1334&amp;"'!$C$10"),INDIRECT("'"&amp;F1334&amp;"'!$C$8")),"")</f>
        <v/>
      </c>
      <c r="K1334" s="48">
        <f t="shared" si="63"/>
        <v>1340</v>
      </c>
      <c r="L1334" s="114" t="str" cm="1">
        <f t="array" aca="1" ref="L1334" ca="1">IF(F1334&lt;&gt;"",INDIRECT("'"&amp;F1334&amp;"'!$F$17"),"")</f>
        <v/>
      </c>
      <c r="M1334" s="116" t="str">
        <f t="shared" ca="1" si="61"/>
        <v/>
      </c>
      <c r="O1334" s="49" t="str">
        <f t="shared" ca="1" si="62"/>
        <v/>
      </c>
      <c r="P1334" s="38" t="str">
        <f>IF(E1334&lt;&gt;"",RANK(E1334,$E$3:$E$2298)+COUNTIF($E$3:E1334,E1334)-1,"")</f>
        <v/>
      </c>
    </row>
    <row r="1335" spans="4:16" x14ac:dyDescent="0.25">
      <c r="D1335" s="36" t="str" cm="1">
        <f t="array" aca="1" ref="D1335" ca="1">IFERROR(IF(INDIRECT("'"&amp;F1335&amp;"'!$C$5")&gt;0,DATE(YEAR(Dashboard!$AL$2),Dashboard!$AU$4,INDIRECT("'"&amp;F1335&amp;"'!$C$5")),""),"")</f>
        <v/>
      </c>
      <c r="G1335" s="38" t="str" cm="1">
        <f t="array" aca="1" ref="G1335" ca="1">IF(F1335="",
    "",
    IFERROR(
        IF(INDIRECT("'"&amp;F1335&amp;"'!$B$2")="Credit Limit",
            "Credit Accounts",
            IF(INDIRECT("'"&amp;F1335&amp;"'!$E$2")="Location",
                "Cash Accounts",
                IF(INDIRECT("'"&amp;F1335&amp;"'!$B$2")="Amount",
                    "Investments",
                    "Bill Accounts"
                )
            )
        ),
    "")
)</f>
        <v/>
      </c>
      <c r="I1335" s="46" t="str" cm="1">
        <f t="array" aca="1" ref="I1335" ca="1">IF(F1335&lt;&gt;"",IF(OR(G1335="Bill Accounts",G1335="Investments", G1335="Cash Accounts"),INDIRECT("'"&amp;F1335&amp;"'!$C$10"),INDIRECT("'"&amp;F1335&amp;"'!$C$8")),"")</f>
        <v/>
      </c>
      <c r="K1335" s="48">
        <f t="shared" si="63"/>
        <v>1341</v>
      </c>
      <c r="L1335" s="114" t="str" cm="1">
        <f t="array" aca="1" ref="L1335" ca="1">IF(F1335&lt;&gt;"",INDIRECT("'"&amp;F1335&amp;"'!$F$17"),"")</f>
        <v/>
      </c>
      <c r="M1335" s="116" t="str">
        <f t="shared" ca="1" si="61"/>
        <v/>
      </c>
      <c r="O1335" s="49" t="str">
        <f t="shared" ca="1" si="62"/>
        <v/>
      </c>
      <c r="P1335" s="38" t="str">
        <f>IF(E1335&lt;&gt;"",RANK(E1335,$E$3:$E$2298)+COUNTIF($E$3:E1335,E1335)-1,"")</f>
        <v/>
      </c>
    </row>
    <row r="1336" spans="4:16" x14ac:dyDescent="0.25">
      <c r="D1336" s="36" t="str" cm="1">
        <f t="array" aca="1" ref="D1336" ca="1">IFERROR(IF(INDIRECT("'"&amp;F1336&amp;"'!$C$5")&gt;0,DATE(YEAR(Dashboard!$AL$2),Dashboard!$AU$4,INDIRECT("'"&amp;F1336&amp;"'!$C$5")),""),"")</f>
        <v/>
      </c>
      <c r="G1336" s="38" t="str" cm="1">
        <f t="array" aca="1" ref="G1336" ca="1">IF(F1336="",
    "",
    IFERROR(
        IF(INDIRECT("'"&amp;F1336&amp;"'!$B$2")="Credit Limit",
            "Credit Accounts",
            IF(INDIRECT("'"&amp;F1336&amp;"'!$E$2")="Location",
                "Cash Accounts",
                IF(INDIRECT("'"&amp;F1336&amp;"'!$B$2")="Amount",
                    "Investments",
                    "Bill Accounts"
                )
            )
        ),
    "")
)</f>
        <v/>
      </c>
      <c r="I1336" s="46" t="str" cm="1">
        <f t="array" aca="1" ref="I1336" ca="1">IF(F1336&lt;&gt;"",IF(OR(G1336="Bill Accounts",G1336="Investments", G1336="Cash Accounts"),INDIRECT("'"&amp;F1336&amp;"'!$C$10"),INDIRECT("'"&amp;F1336&amp;"'!$C$8")),"")</f>
        <v/>
      </c>
      <c r="K1336" s="48">
        <f t="shared" si="63"/>
        <v>1342</v>
      </c>
      <c r="L1336" s="114" t="str" cm="1">
        <f t="array" aca="1" ref="L1336" ca="1">IF(F1336&lt;&gt;"",INDIRECT("'"&amp;F1336&amp;"'!$F$17"),"")</f>
        <v/>
      </c>
      <c r="M1336" s="116" t="str">
        <f t="shared" ca="1" si="61"/>
        <v/>
      </c>
      <c r="O1336" s="49" t="str">
        <f t="shared" ca="1" si="62"/>
        <v/>
      </c>
      <c r="P1336" s="38" t="str">
        <f>IF(E1336&lt;&gt;"",RANK(E1336,$E$3:$E$2298)+COUNTIF($E$3:E1336,E1336)-1,"")</f>
        <v/>
      </c>
    </row>
    <row r="1337" spans="4:16" x14ac:dyDescent="0.25">
      <c r="D1337" s="36" t="str" cm="1">
        <f t="array" aca="1" ref="D1337" ca="1">IFERROR(IF(INDIRECT("'"&amp;F1337&amp;"'!$C$5")&gt;0,DATE(YEAR(Dashboard!$AL$2),Dashboard!$AU$4,INDIRECT("'"&amp;F1337&amp;"'!$C$5")),""),"")</f>
        <v/>
      </c>
      <c r="G1337" s="38" t="str" cm="1">
        <f t="array" aca="1" ref="G1337" ca="1">IF(F1337="",
    "",
    IFERROR(
        IF(INDIRECT("'"&amp;F1337&amp;"'!$B$2")="Credit Limit",
            "Credit Accounts",
            IF(INDIRECT("'"&amp;F1337&amp;"'!$E$2")="Location",
                "Cash Accounts",
                IF(INDIRECT("'"&amp;F1337&amp;"'!$B$2")="Amount",
                    "Investments",
                    "Bill Accounts"
                )
            )
        ),
    "")
)</f>
        <v/>
      </c>
      <c r="I1337" s="46" t="str" cm="1">
        <f t="array" aca="1" ref="I1337" ca="1">IF(F1337&lt;&gt;"",IF(OR(G1337="Bill Accounts",G1337="Investments", G1337="Cash Accounts"),INDIRECT("'"&amp;F1337&amp;"'!$C$10"),INDIRECT("'"&amp;F1337&amp;"'!$C$8")),"")</f>
        <v/>
      </c>
      <c r="K1337" s="48">
        <f t="shared" si="63"/>
        <v>1343</v>
      </c>
      <c r="L1337" s="114" t="str" cm="1">
        <f t="array" aca="1" ref="L1337" ca="1">IF(F1337&lt;&gt;"",INDIRECT("'"&amp;F1337&amp;"'!$F$17"),"")</f>
        <v/>
      </c>
      <c r="M1337" s="116" t="str">
        <f t="shared" ca="1" si="61"/>
        <v/>
      </c>
      <c r="O1337" s="49" t="str">
        <f t="shared" ca="1" si="62"/>
        <v/>
      </c>
      <c r="P1337" s="38" t="str">
        <f>IF(E1337&lt;&gt;"",RANK(E1337,$E$3:$E$2298)+COUNTIF($E$3:E1337,E1337)-1,"")</f>
        <v/>
      </c>
    </row>
    <row r="1338" spans="4:16" x14ac:dyDescent="0.25">
      <c r="D1338" s="36" t="str" cm="1">
        <f t="array" aca="1" ref="D1338" ca="1">IFERROR(IF(INDIRECT("'"&amp;F1338&amp;"'!$C$5")&gt;0,DATE(YEAR(Dashboard!$AL$2),Dashboard!$AU$4,INDIRECT("'"&amp;F1338&amp;"'!$C$5")),""),"")</f>
        <v/>
      </c>
      <c r="G1338" s="38" t="str" cm="1">
        <f t="array" aca="1" ref="G1338" ca="1">IF(F1338="",
    "",
    IFERROR(
        IF(INDIRECT("'"&amp;F1338&amp;"'!$B$2")="Credit Limit",
            "Credit Accounts",
            IF(INDIRECT("'"&amp;F1338&amp;"'!$E$2")="Location",
                "Cash Accounts",
                IF(INDIRECT("'"&amp;F1338&amp;"'!$B$2")="Amount",
                    "Investments",
                    "Bill Accounts"
                )
            )
        ),
    "")
)</f>
        <v/>
      </c>
      <c r="I1338" s="46" t="str" cm="1">
        <f t="array" aca="1" ref="I1338" ca="1">IF(F1338&lt;&gt;"",IF(OR(G1338="Bill Accounts",G1338="Investments", G1338="Cash Accounts"),INDIRECT("'"&amp;F1338&amp;"'!$C$10"),INDIRECT("'"&amp;F1338&amp;"'!$C$8")),"")</f>
        <v/>
      </c>
      <c r="K1338" s="48">
        <f t="shared" si="63"/>
        <v>1344</v>
      </c>
      <c r="L1338" s="114" t="str" cm="1">
        <f t="array" aca="1" ref="L1338" ca="1">IF(F1338&lt;&gt;"",INDIRECT("'"&amp;F1338&amp;"'!$F$17"),"")</f>
        <v/>
      </c>
      <c r="M1338" s="116" t="str">
        <f t="shared" ca="1" si="61"/>
        <v/>
      </c>
      <c r="O1338" s="49" t="str">
        <f t="shared" ca="1" si="62"/>
        <v/>
      </c>
      <c r="P1338" s="38" t="str">
        <f>IF(E1338&lt;&gt;"",RANK(E1338,$E$3:$E$2298)+COUNTIF($E$3:E1338,E1338)-1,"")</f>
        <v/>
      </c>
    </row>
    <row r="1339" spans="4:16" x14ac:dyDescent="0.25">
      <c r="D1339" s="36" t="str" cm="1">
        <f t="array" aca="1" ref="D1339" ca="1">IFERROR(IF(INDIRECT("'"&amp;F1339&amp;"'!$C$5")&gt;0,DATE(YEAR(Dashboard!$AL$2),Dashboard!$AU$4,INDIRECT("'"&amp;F1339&amp;"'!$C$5")),""),"")</f>
        <v/>
      </c>
      <c r="G1339" s="38" t="str" cm="1">
        <f t="array" aca="1" ref="G1339" ca="1">IF(F1339="",
    "",
    IFERROR(
        IF(INDIRECT("'"&amp;F1339&amp;"'!$B$2")="Credit Limit",
            "Credit Accounts",
            IF(INDIRECT("'"&amp;F1339&amp;"'!$E$2")="Location",
                "Cash Accounts",
                IF(INDIRECT("'"&amp;F1339&amp;"'!$B$2")="Amount",
                    "Investments",
                    "Bill Accounts"
                )
            )
        ),
    "")
)</f>
        <v/>
      </c>
      <c r="I1339" s="46" t="str" cm="1">
        <f t="array" aca="1" ref="I1339" ca="1">IF(F1339&lt;&gt;"",IF(OR(G1339="Bill Accounts",G1339="Investments", G1339="Cash Accounts"),INDIRECT("'"&amp;F1339&amp;"'!$C$10"),INDIRECT("'"&amp;F1339&amp;"'!$C$8")),"")</f>
        <v/>
      </c>
      <c r="K1339" s="48">
        <f t="shared" si="63"/>
        <v>1345</v>
      </c>
      <c r="L1339" s="114" t="str" cm="1">
        <f t="array" aca="1" ref="L1339" ca="1">IF(F1339&lt;&gt;"",INDIRECT("'"&amp;F1339&amp;"'!$F$17"),"")</f>
        <v/>
      </c>
      <c r="M1339" s="116" t="str">
        <f t="shared" ca="1" si="61"/>
        <v/>
      </c>
      <c r="O1339" s="49" t="str">
        <f t="shared" ca="1" si="62"/>
        <v/>
      </c>
      <c r="P1339" s="38" t="str">
        <f>IF(E1339&lt;&gt;"",RANK(E1339,$E$3:$E$2298)+COUNTIF($E$3:E1339,E1339)-1,"")</f>
        <v/>
      </c>
    </row>
    <row r="1340" spans="4:16" x14ac:dyDescent="0.25">
      <c r="D1340" s="36" t="str" cm="1">
        <f t="array" aca="1" ref="D1340" ca="1">IFERROR(IF(INDIRECT("'"&amp;F1340&amp;"'!$C$5")&gt;0,DATE(YEAR(Dashboard!$AL$2),Dashboard!$AU$4,INDIRECT("'"&amp;F1340&amp;"'!$C$5")),""),"")</f>
        <v/>
      </c>
      <c r="G1340" s="38" t="str" cm="1">
        <f t="array" aca="1" ref="G1340" ca="1">IF(F1340="",
    "",
    IFERROR(
        IF(INDIRECT("'"&amp;F1340&amp;"'!$B$2")="Credit Limit",
            "Credit Accounts",
            IF(INDIRECT("'"&amp;F1340&amp;"'!$E$2")="Location",
                "Cash Accounts",
                IF(INDIRECT("'"&amp;F1340&amp;"'!$B$2")="Amount",
                    "Investments",
                    "Bill Accounts"
                )
            )
        ),
    "")
)</f>
        <v/>
      </c>
      <c r="I1340" s="46" t="str" cm="1">
        <f t="array" aca="1" ref="I1340" ca="1">IF(F1340&lt;&gt;"",IF(OR(G1340="Bill Accounts",G1340="Investments", G1340="Cash Accounts"),INDIRECT("'"&amp;F1340&amp;"'!$C$10"),INDIRECT("'"&amp;F1340&amp;"'!$C$8")),"")</f>
        <v/>
      </c>
      <c r="K1340" s="48">
        <f t="shared" si="63"/>
        <v>1346</v>
      </c>
      <c r="L1340" s="114" t="str" cm="1">
        <f t="array" aca="1" ref="L1340" ca="1">IF(F1340&lt;&gt;"",INDIRECT("'"&amp;F1340&amp;"'!$F$17"),"")</f>
        <v/>
      </c>
      <c r="M1340" s="116" t="str">
        <f t="shared" ca="1" si="61"/>
        <v/>
      </c>
      <c r="O1340" s="49" t="str">
        <f t="shared" ca="1" si="62"/>
        <v/>
      </c>
      <c r="P1340" s="38" t="str">
        <f>IF(E1340&lt;&gt;"",RANK(E1340,$E$3:$E$2298)+COUNTIF($E$3:E1340,E1340)-1,"")</f>
        <v/>
      </c>
    </row>
    <row r="1341" spans="4:16" x14ac:dyDescent="0.25">
      <c r="D1341" s="36" t="str" cm="1">
        <f t="array" aca="1" ref="D1341" ca="1">IFERROR(IF(INDIRECT("'"&amp;F1341&amp;"'!$C$5")&gt;0,DATE(YEAR(Dashboard!$AL$2),Dashboard!$AU$4,INDIRECT("'"&amp;F1341&amp;"'!$C$5")),""),"")</f>
        <v/>
      </c>
      <c r="G1341" s="38" t="str" cm="1">
        <f t="array" aca="1" ref="G1341" ca="1">IF(F1341="",
    "",
    IFERROR(
        IF(INDIRECT("'"&amp;F1341&amp;"'!$B$2")="Credit Limit",
            "Credit Accounts",
            IF(INDIRECT("'"&amp;F1341&amp;"'!$E$2")="Location",
                "Cash Accounts",
                IF(INDIRECT("'"&amp;F1341&amp;"'!$B$2")="Amount",
                    "Investments",
                    "Bill Accounts"
                )
            )
        ),
    "")
)</f>
        <v/>
      </c>
      <c r="I1341" s="46" t="str" cm="1">
        <f t="array" aca="1" ref="I1341" ca="1">IF(F1341&lt;&gt;"",IF(OR(G1341="Bill Accounts",G1341="Investments", G1341="Cash Accounts"),INDIRECT("'"&amp;F1341&amp;"'!$C$10"),INDIRECT("'"&amp;F1341&amp;"'!$C$8")),"")</f>
        <v/>
      </c>
      <c r="K1341" s="48">
        <f t="shared" si="63"/>
        <v>1347</v>
      </c>
      <c r="L1341" s="114" t="str" cm="1">
        <f t="array" aca="1" ref="L1341" ca="1">IF(F1341&lt;&gt;"",INDIRECT("'"&amp;F1341&amp;"'!$F$17"),"")</f>
        <v/>
      </c>
      <c r="M1341" s="116" t="str">
        <f t="shared" ca="1" si="61"/>
        <v/>
      </c>
      <c r="O1341" s="49" t="str">
        <f t="shared" ca="1" si="62"/>
        <v/>
      </c>
      <c r="P1341" s="38" t="str">
        <f>IF(E1341&lt;&gt;"",RANK(E1341,$E$3:$E$2298)+COUNTIF($E$3:E1341,E1341)-1,"")</f>
        <v/>
      </c>
    </row>
    <row r="1342" spans="4:16" x14ac:dyDescent="0.25">
      <c r="D1342" s="36" t="str" cm="1">
        <f t="array" aca="1" ref="D1342" ca="1">IFERROR(IF(INDIRECT("'"&amp;F1342&amp;"'!$C$5")&gt;0,DATE(YEAR(Dashboard!$AL$2),Dashboard!$AU$4,INDIRECT("'"&amp;F1342&amp;"'!$C$5")),""),"")</f>
        <v/>
      </c>
      <c r="G1342" s="38" t="str" cm="1">
        <f t="array" aca="1" ref="G1342" ca="1">IF(F1342="",
    "",
    IFERROR(
        IF(INDIRECT("'"&amp;F1342&amp;"'!$B$2")="Credit Limit",
            "Credit Accounts",
            IF(INDIRECT("'"&amp;F1342&amp;"'!$E$2")="Location",
                "Cash Accounts",
                IF(INDIRECT("'"&amp;F1342&amp;"'!$B$2")="Amount",
                    "Investments",
                    "Bill Accounts"
                )
            )
        ),
    "")
)</f>
        <v/>
      </c>
      <c r="I1342" s="46" t="str" cm="1">
        <f t="array" aca="1" ref="I1342" ca="1">IF(F1342&lt;&gt;"",IF(OR(G1342="Bill Accounts",G1342="Investments", G1342="Cash Accounts"),INDIRECT("'"&amp;F1342&amp;"'!$C$10"),INDIRECT("'"&amp;F1342&amp;"'!$C$8")),"")</f>
        <v/>
      </c>
      <c r="K1342" s="48">
        <f t="shared" si="63"/>
        <v>1348</v>
      </c>
      <c r="L1342" s="114" t="str" cm="1">
        <f t="array" aca="1" ref="L1342" ca="1">IF(F1342&lt;&gt;"",INDIRECT("'"&amp;F1342&amp;"'!$F$17"),"")</f>
        <v/>
      </c>
      <c r="M1342" s="116" t="str">
        <f t="shared" ca="1" si="61"/>
        <v/>
      </c>
      <c r="O1342" s="49" t="str">
        <f t="shared" ca="1" si="62"/>
        <v/>
      </c>
      <c r="P1342" s="38" t="str">
        <f>IF(E1342&lt;&gt;"",RANK(E1342,$E$3:$E$2298)+COUNTIF($E$3:E1342,E1342)-1,"")</f>
        <v/>
      </c>
    </row>
    <row r="1343" spans="4:16" x14ac:dyDescent="0.25">
      <c r="D1343" s="36" t="str" cm="1">
        <f t="array" aca="1" ref="D1343" ca="1">IFERROR(IF(INDIRECT("'"&amp;F1343&amp;"'!$C$5")&gt;0,DATE(YEAR(Dashboard!$AL$2),Dashboard!$AU$4,INDIRECT("'"&amp;F1343&amp;"'!$C$5")),""),"")</f>
        <v/>
      </c>
      <c r="G1343" s="38" t="str" cm="1">
        <f t="array" aca="1" ref="G1343" ca="1">IF(F1343="",
    "",
    IFERROR(
        IF(INDIRECT("'"&amp;F1343&amp;"'!$B$2")="Credit Limit",
            "Credit Accounts",
            IF(INDIRECT("'"&amp;F1343&amp;"'!$E$2")="Location",
                "Cash Accounts",
                IF(INDIRECT("'"&amp;F1343&amp;"'!$B$2")="Amount",
                    "Investments",
                    "Bill Accounts"
                )
            )
        ),
    "")
)</f>
        <v/>
      </c>
      <c r="I1343" s="46" t="str" cm="1">
        <f t="array" aca="1" ref="I1343" ca="1">IF(F1343&lt;&gt;"",IF(OR(G1343="Bill Accounts",G1343="Investments", G1343="Cash Accounts"),INDIRECT("'"&amp;F1343&amp;"'!$C$10"),INDIRECT("'"&amp;F1343&amp;"'!$C$8")),"")</f>
        <v/>
      </c>
      <c r="K1343" s="48">
        <f t="shared" si="63"/>
        <v>1349</v>
      </c>
      <c r="L1343" s="114" t="str" cm="1">
        <f t="array" aca="1" ref="L1343" ca="1">IF(F1343&lt;&gt;"",INDIRECT("'"&amp;F1343&amp;"'!$F$17"),"")</f>
        <v/>
      </c>
      <c r="M1343" s="116" t="str">
        <f t="shared" ca="1" si="61"/>
        <v/>
      </c>
      <c r="O1343" s="49" t="str">
        <f t="shared" ca="1" si="62"/>
        <v/>
      </c>
      <c r="P1343" s="38" t="str">
        <f>IF(E1343&lt;&gt;"",RANK(E1343,$E$3:$E$2298)+COUNTIF($E$3:E1343,E1343)-1,"")</f>
        <v/>
      </c>
    </row>
    <row r="1344" spans="4:16" x14ac:dyDescent="0.25">
      <c r="D1344" s="36" t="str" cm="1">
        <f t="array" aca="1" ref="D1344" ca="1">IFERROR(IF(INDIRECT("'"&amp;F1344&amp;"'!$C$5")&gt;0,DATE(YEAR(Dashboard!$AL$2),Dashboard!$AU$4,INDIRECT("'"&amp;F1344&amp;"'!$C$5")),""),"")</f>
        <v/>
      </c>
      <c r="G1344" s="38" t="str" cm="1">
        <f t="array" aca="1" ref="G1344" ca="1">IF(F1344="",
    "",
    IFERROR(
        IF(INDIRECT("'"&amp;F1344&amp;"'!$B$2")="Credit Limit",
            "Credit Accounts",
            IF(INDIRECT("'"&amp;F1344&amp;"'!$E$2")="Location",
                "Cash Accounts",
                IF(INDIRECT("'"&amp;F1344&amp;"'!$B$2")="Amount",
                    "Investments",
                    "Bill Accounts"
                )
            )
        ),
    "")
)</f>
        <v/>
      </c>
      <c r="I1344" s="46" t="str" cm="1">
        <f t="array" aca="1" ref="I1344" ca="1">IF(F1344&lt;&gt;"",IF(OR(G1344="Bill Accounts",G1344="Investments", G1344="Cash Accounts"),INDIRECT("'"&amp;F1344&amp;"'!$C$10"),INDIRECT("'"&amp;F1344&amp;"'!$C$8")),"")</f>
        <v/>
      </c>
      <c r="K1344" s="48">
        <f t="shared" si="63"/>
        <v>1350</v>
      </c>
      <c r="L1344" s="114" t="str" cm="1">
        <f t="array" aca="1" ref="L1344" ca="1">IF(F1344&lt;&gt;"",INDIRECT("'"&amp;F1344&amp;"'!$F$17"),"")</f>
        <v/>
      </c>
      <c r="M1344" s="116" t="str">
        <f t="shared" ca="1" si="61"/>
        <v/>
      </c>
      <c r="O1344" s="49" t="str">
        <f t="shared" ca="1" si="62"/>
        <v/>
      </c>
      <c r="P1344" s="38" t="str">
        <f>IF(E1344&lt;&gt;"",RANK(E1344,$E$3:$E$2298)+COUNTIF($E$3:E1344,E1344)-1,"")</f>
        <v/>
      </c>
    </row>
    <row r="1345" spans="4:16" x14ac:dyDescent="0.25">
      <c r="D1345" s="36" t="str" cm="1">
        <f t="array" aca="1" ref="D1345" ca="1">IFERROR(IF(INDIRECT("'"&amp;F1345&amp;"'!$C$5")&gt;0,DATE(YEAR(Dashboard!$AL$2),Dashboard!$AU$4,INDIRECT("'"&amp;F1345&amp;"'!$C$5")),""),"")</f>
        <v/>
      </c>
      <c r="G1345" s="38" t="str" cm="1">
        <f t="array" aca="1" ref="G1345" ca="1">IF(F1345="",
    "",
    IFERROR(
        IF(INDIRECT("'"&amp;F1345&amp;"'!$B$2")="Credit Limit",
            "Credit Accounts",
            IF(INDIRECT("'"&amp;F1345&amp;"'!$E$2")="Location",
                "Cash Accounts",
                IF(INDIRECT("'"&amp;F1345&amp;"'!$B$2")="Amount",
                    "Investments",
                    "Bill Accounts"
                )
            )
        ),
    "")
)</f>
        <v/>
      </c>
      <c r="I1345" s="46" t="str" cm="1">
        <f t="array" aca="1" ref="I1345" ca="1">IF(F1345&lt;&gt;"",IF(OR(G1345="Bill Accounts",G1345="Investments", G1345="Cash Accounts"),INDIRECT("'"&amp;F1345&amp;"'!$C$10"),INDIRECT("'"&amp;F1345&amp;"'!$C$8")),"")</f>
        <v/>
      </c>
      <c r="K1345" s="48">
        <f t="shared" si="63"/>
        <v>1351</v>
      </c>
      <c r="L1345" s="114" t="str" cm="1">
        <f t="array" aca="1" ref="L1345" ca="1">IF(F1345&lt;&gt;"",INDIRECT("'"&amp;F1345&amp;"'!$F$17"),"")</f>
        <v/>
      </c>
      <c r="M1345" s="116" t="str">
        <f t="shared" ca="1" si="61"/>
        <v/>
      </c>
      <c r="O1345" s="49" t="str">
        <f t="shared" ca="1" si="62"/>
        <v/>
      </c>
      <c r="P1345" s="38" t="str">
        <f>IF(E1345&lt;&gt;"",RANK(E1345,$E$3:$E$2298)+COUNTIF($E$3:E1345,E1345)-1,"")</f>
        <v/>
      </c>
    </row>
    <row r="1346" spans="4:16" x14ac:dyDescent="0.25">
      <c r="D1346" s="36" t="str" cm="1">
        <f t="array" aca="1" ref="D1346" ca="1">IFERROR(IF(INDIRECT("'"&amp;F1346&amp;"'!$C$5")&gt;0,DATE(YEAR(Dashboard!$AL$2),Dashboard!$AU$4,INDIRECT("'"&amp;F1346&amp;"'!$C$5")),""),"")</f>
        <v/>
      </c>
      <c r="G1346" s="38" t="str" cm="1">
        <f t="array" aca="1" ref="G1346" ca="1">IF(F1346="",
    "",
    IFERROR(
        IF(INDIRECT("'"&amp;F1346&amp;"'!$B$2")="Credit Limit",
            "Credit Accounts",
            IF(INDIRECT("'"&amp;F1346&amp;"'!$E$2")="Location",
                "Cash Accounts",
                IF(INDIRECT("'"&amp;F1346&amp;"'!$B$2")="Amount",
                    "Investments",
                    "Bill Accounts"
                )
            )
        ),
    "")
)</f>
        <v/>
      </c>
      <c r="I1346" s="46" t="str" cm="1">
        <f t="array" aca="1" ref="I1346" ca="1">IF(F1346&lt;&gt;"",IF(OR(G1346="Bill Accounts",G1346="Investments", G1346="Cash Accounts"),INDIRECT("'"&amp;F1346&amp;"'!$C$10"),INDIRECT("'"&amp;F1346&amp;"'!$C$8")),"")</f>
        <v/>
      </c>
      <c r="K1346" s="48">
        <f t="shared" si="63"/>
        <v>1352</v>
      </c>
      <c r="L1346" s="114" t="str" cm="1">
        <f t="array" aca="1" ref="L1346" ca="1">IF(F1346&lt;&gt;"",INDIRECT("'"&amp;F1346&amp;"'!$F$17"),"")</f>
        <v/>
      </c>
      <c r="M1346" s="116" t="str">
        <f t="shared" ca="1" si="61"/>
        <v/>
      </c>
      <c r="O1346" s="49" t="str">
        <f t="shared" ca="1" si="62"/>
        <v/>
      </c>
      <c r="P1346" s="38" t="str">
        <f>IF(E1346&lt;&gt;"",RANK(E1346,$E$3:$E$2298)+COUNTIF($E$3:E1346,E1346)-1,"")</f>
        <v/>
      </c>
    </row>
    <row r="1347" spans="4:16" x14ac:dyDescent="0.25">
      <c r="D1347" s="36" t="str" cm="1">
        <f t="array" aca="1" ref="D1347" ca="1">IFERROR(IF(INDIRECT("'"&amp;F1347&amp;"'!$C$5")&gt;0,DATE(YEAR(Dashboard!$AL$2),Dashboard!$AU$4,INDIRECT("'"&amp;F1347&amp;"'!$C$5")),""),"")</f>
        <v/>
      </c>
      <c r="G1347" s="38" t="str" cm="1">
        <f t="array" aca="1" ref="G1347" ca="1">IF(F1347="",
    "",
    IFERROR(
        IF(INDIRECT("'"&amp;F1347&amp;"'!$B$2")="Credit Limit",
            "Credit Accounts",
            IF(INDIRECT("'"&amp;F1347&amp;"'!$E$2")="Location",
                "Cash Accounts",
                IF(INDIRECT("'"&amp;F1347&amp;"'!$B$2")="Amount",
                    "Investments",
                    "Bill Accounts"
                )
            )
        ),
    "")
)</f>
        <v/>
      </c>
      <c r="I1347" s="46" t="str" cm="1">
        <f t="array" aca="1" ref="I1347" ca="1">IF(F1347&lt;&gt;"",IF(OR(G1347="Bill Accounts",G1347="Investments", G1347="Cash Accounts"),INDIRECT("'"&amp;F1347&amp;"'!$C$10"),INDIRECT("'"&amp;F1347&amp;"'!$C$8")),"")</f>
        <v/>
      </c>
      <c r="K1347" s="48">
        <f t="shared" si="63"/>
        <v>1353</v>
      </c>
      <c r="L1347" s="114" t="str" cm="1">
        <f t="array" aca="1" ref="L1347" ca="1">IF(F1347&lt;&gt;"",INDIRECT("'"&amp;F1347&amp;"'!$F$17"),"")</f>
        <v/>
      </c>
      <c r="M1347" s="116" t="str">
        <f t="shared" ca="1" si="61"/>
        <v/>
      </c>
      <c r="O1347" s="49" t="str">
        <f t="shared" ca="1" si="62"/>
        <v/>
      </c>
      <c r="P1347" s="38" t="str">
        <f>IF(E1347&lt;&gt;"",RANK(E1347,$E$3:$E$2298)+COUNTIF($E$3:E1347,E1347)-1,"")</f>
        <v/>
      </c>
    </row>
    <row r="1348" spans="4:16" x14ac:dyDescent="0.25">
      <c r="D1348" s="36" t="str" cm="1">
        <f t="array" aca="1" ref="D1348" ca="1">IFERROR(IF(INDIRECT("'"&amp;F1348&amp;"'!$C$5")&gt;0,DATE(YEAR(Dashboard!$AL$2),Dashboard!$AU$4,INDIRECT("'"&amp;F1348&amp;"'!$C$5")),""),"")</f>
        <v/>
      </c>
      <c r="G1348" s="38" t="str" cm="1">
        <f t="array" aca="1" ref="G1348" ca="1">IF(F1348="",
    "",
    IFERROR(
        IF(INDIRECT("'"&amp;F1348&amp;"'!$B$2")="Credit Limit",
            "Credit Accounts",
            IF(INDIRECT("'"&amp;F1348&amp;"'!$E$2")="Location",
                "Cash Accounts",
                IF(INDIRECT("'"&amp;F1348&amp;"'!$B$2")="Amount",
                    "Investments",
                    "Bill Accounts"
                )
            )
        ),
    "")
)</f>
        <v/>
      </c>
      <c r="I1348" s="46" t="str" cm="1">
        <f t="array" aca="1" ref="I1348" ca="1">IF(F1348&lt;&gt;"",IF(OR(G1348="Bill Accounts",G1348="Investments", G1348="Cash Accounts"),INDIRECT("'"&amp;F1348&amp;"'!$C$10"),INDIRECT("'"&amp;F1348&amp;"'!$C$8")),"")</f>
        <v/>
      </c>
      <c r="K1348" s="48">
        <f t="shared" si="63"/>
        <v>1354</v>
      </c>
      <c r="L1348" s="114" t="str" cm="1">
        <f t="array" aca="1" ref="L1348" ca="1">IF(F1348&lt;&gt;"",INDIRECT("'"&amp;F1348&amp;"'!$F$17"),"")</f>
        <v/>
      </c>
      <c r="M1348" s="116" t="str">
        <f t="shared" ref="M1348:M1411" ca="1" si="64">IF(G1348="Credit Accounts",EDATE(TODAY(),INDIRECT("'"&amp;F1348&amp;"'!$C$14")),"")</f>
        <v/>
      </c>
      <c r="O1348" s="49" t="str">
        <f t="shared" ref="O1348:O1411" ca="1" si="65">IF(D1348&lt;&gt;"",DAY(D1348),"")</f>
        <v/>
      </c>
      <c r="P1348" s="38" t="str">
        <f>IF(E1348&lt;&gt;"",RANK(E1348,$E$3:$E$2298)+COUNTIF($E$3:E1348,E1348)-1,"")</f>
        <v/>
      </c>
    </row>
    <row r="1349" spans="4:16" x14ac:dyDescent="0.25">
      <c r="D1349" s="36" t="str" cm="1">
        <f t="array" aca="1" ref="D1349" ca="1">IFERROR(IF(INDIRECT("'"&amp;F1349&amp;"'!$C$5")&gt;0,DATE(YEAR(Dashboard!$AL$2),Dashboard!$AU$4,INDIRECT("'"&amp;F1349&amp;"'!$C$5")),""),"")</f>
        <v/>
      </c>
      <c r="G1349" s="38" t="str" cm="1">
        <f t="array" aca="1" ref="G1349" ca="1">IF(F1349="",
    "",
    IFERROR(
        IF(INDIRECT("'"&amp;F1349&amp;"'!$B$2")="Credit Limit",
            "Credit Accounts",
            IF(INDIRECT("'"&amp;F1349&amp;"'!$E$2")="Location",
                "Cash Accounts",
                IF(INDIRECT("'"&amp;F1349&amp;"'!$B$2")="Amount",
                    "Investments",
                    "Bill Accounts"
                )
            )
        ),
    "")
)</f>
        <v/>
      </c>
      <c r="I1349" s="46" t="str" cm="1">
        <f t="array" aca="1" ref="I1349" ca="1">IF(F1349&lt;&gt;"",IF(OR(G1349="Bill Accounts",G1349="Investments", G1349="Cash Accounts"),INDIRECT("'"&amp;F1349&amp;"'!$C$10"),INDIRECT("'"&amp;F1349&amp;"'!$C$8")),"")</f>
        <v/>
      </c>
      <c r="K1349" s="48">
        <f t="shared" si="63"/>
        <v>1355</v>
      </c>
      <c r="L1349" s="114" t="str" cm="1">
        <f t="array" aca="1" ref="L1349" ca="1">IF(F1349&lt;&gt;"",INDIRECT("'"&amp;F1349&amp;"'!$F$17"),"")</f>
        <v/>
      </c>
      <c r="M1349" s="116" t="str">
        <f t="shared" ca="1" si="64"/>
        <v/>
      </c>
      <c r="O1349" s="49" t="str">
        <f t="shared" ca="1" si="65"/>
        <v/>
      </c>
      <c r="P1349" s="38" t="str">
        <f>IF(E1349&lt;&gt;"",RANK(E1349,$E$3:$E$2298)+COUNTIF($E$3:E1349,E1349)-1,"")</f>
        <v/>
      </c>
    </row>
    <row r="1350" spans="4:16" x14ac:dyDescent="0.25">
      <c r="D1350" s="36" t="str" cm="1">
        <f t="array" aca="1" ref="D1350" ca="1">IFERROR(IF(INDIRECT("'"&amp;F1350&amp;"'!$C$5")&gt;0,DATE(YEAR(Dashboard!$AL$2),Dashboard!$AU$4,INDIRECT("'"&amp;F1350&amp;"'!$C$5")),""),"")</f>
        <v/>
      </c>
      <c r="G1350" s="38" t="str" cm="1">
        <f t="array" aca="1" ref="G1350" ca="1">IF(F1350="",
    "",
    IFERROR(
        IF(INDIRECT("'"&amp;F1350&amp;"'!$B$2")="Credit Limit",
            "Credit Accounts",
            IF(INDIRECT("'"&amp;F1350&amp;"'!$E$2")="Location",
                "Cash Accounts",
                IF(INDIRECT("'"&amp;F1350&amp;"'!$B$2")="Amount",
                    "Investments",
                    "Bill Accounts"
                )
            )
        ),
    "")
)</f>
        <v/>
      </c>
      <c r="I1350" s="46" t="str" cm="1">
        <f t="array" aca="1" ref="I1350" ca="1">IF(F1350&lt;&gt;"",IF(OR(G1350="Bill Accounts",G1350="Investments", G1350="Cash Accounts"),INDIRECT("'"&amp;F1350&amp;"'!$C$10"),INDIRECT("'"&amp;F1350&amp;"'!$C$8")),"")</f>
        <v/>
      </c>
      <c r="K1350" s="48">
        <f t="shared" si="63"/>
        <v>1356</v>
      </c>
      <c r="L1350" s="114" t="str" cm="1">
        <f t="array" aca="1" ref="L1350" ca="1">IF(F1350&lt;&gt;"",INDIRECT("'"&amp;F1350&amp;"'!$F$17"),"")</f>
        <v/>
      </c>
      <c r="M1350" s="116" t="str">
        <f t="shared" ca="1" si="64"/>
        <v/>
      </c>
      <c r="O1350" s="49" t="str">
        <f t="shared" ca="1" si="65"/>
        <v/>
      </c>
      <c r="P1350" s="38" t="str">
        <f>IF(E1350&lt;&gt;"",RANK(E1350,$E$3:$E$2298)+COUNTIF($E$3:E1350,E1350)-1,"")</f>
        <v/>
      </c>
    </row>
    <row r="1351" spans="4:16" x14ac:dyDescent="0.25">
      <c r="D1351" s="36" t="str" cm="1">
        <f t="array" aca="1" ref="D1351" ca="1">IFERROR(IF(INDIRECT("'"&amp;F1351&amp;"'!$C$5")&gt;0,DATE(YEAR(Dashboard!$AL$2),Dashboard!$AU$4,INDIRECT("'"&amp;F1351&amp;"'!$C$5")),""),"")</f>
        <v/>
      </c>
      <c r="G1351" s="38" t="str" cm="1">
        <f t="array" aca="1" ref="G1351" ca="1">IF(F1351="",
    "",
    IFERROR(
        IF(INDIRECT("'"&amp;F1351&amp;"'!$B$2")="Credit Limit",
            "Credit Accounts",
            IF(INDIRECT("'"&amp;F1351&amp;"'!$E$2")="Location",
                "Cash Accounts",
                IF(INDIRECT("'"&amp;F1351&amp;"'!$B$2")="Amount",
                    "Investments",
                    "Bill Accounts"
                )
            )
        ),
    "")
)</f>
        <v/>
      </c>
      <c r="I1351" s="46" t="str" cm="1">
        <f t="array" aca="1" ref="I1351" ca="1">IF(F1351&lt;&gt;"",IF(OR(G1351="Bill Accounts",G1351="Investments", G1351="Cash Accounts"),INDIRECT("'"&amp;F1351&amp;"'!$C$10"),INDIRECT("'"&amp;F1351&amp;"'!$C$8")),"")</f>
        <v/>
      </c>
      <c r="K1351" s="48">
        <f t="shared" si="63"/>
        <v>1357</v>
      </c>
      <c r="L1351" s="114" t="str" cm="1">
        <f t="array" aca="1" ref="L1351" ca="1">IF(F1351&lt;&gt;"",INDIRECT("'"&amp;F1351&amp;"'!$F$17"),"")</f>
        <v/>
      </c>
      <c r="M1351" s="116" t="str">
        <f t="shared" ca="1" si="64"/>
        <v/>
      </c>
      <c r="O1351" s="49" t="str">
        <f t="shared" ca="1" si="65"/>
        <v/>
      </c>
      <c r="P1351" s="38" t="str">
        <f>IF(E1351&lt;&gt;"",RANK(E1351,$E$3:$E$2298)+COUNTIF($E$3:E1351,E1351)-1,"")</f>
        <v/>
      </c>
    </row>
    <row r="1352" spans="4:16" x14ac:dyDescent="0.25">
      <c r="D1352" s="36" t="str" cm="1">
        <f t="array" aca="1" ref="D1352" ca="1">IFERROR(IF(INDIRECT("'"&amp;F1352&amp;"'!$C$5")&gt;0,DATE(YEAR(Dashboard!$AL$2),Dashboard!$AU$4,INDIRECT("'"&amp;F1352&amp;"'!$C$5")),""),"")</f>
        <v/>
      </c>
      <c r="G1352" s="38" t="str" cm="1">
        <f t="array" aca="1" ref="G1352" ca="1">IF(F1352="",
    "",
    IFERROR(
        IF(INDIRECT("'"&amp;F1352&amp;"'!$B$2")="Credit Limit",
            "Credit Accounts",
            IF(INDIRECT("'"&amp;F1352&amp;"'!$E$2")="Location",
                "Cash Accounts",
                IF(INDIRECT("'"&amp;F1352&amp;"'!$B$2")="Amount",
                    "Investments",
                    "Bill Accounts"
                )
            )
        ),
    "")
)</f>
        <v/>
      </c>
      <c r="I1352" s="46" t="str" cm="1">
        <f t="array" aca="1" ref="I1352" ca="1">IF(F1352&lt;&gt;"",IF(OR(G1352="Bill Accounts",G1352="Investments", G1352="Cash Accounts"),INDIRECT("'"&amp;F1352&amp;"'!$C$10"),INDIRECT("'"&amp;F1352&amp;"'!$C$8")),"")</f>
        <v/>
      </c>
      <c r="K1352" s="48">
        <f t="shared" ref="K1352:K1415" si="66">SUM(K1351+1)</f>
        <v>1358</v>
      </c>
      <c r="L1352" s="114" t="str" cm="1">
        <f t="array" aca="1" ref="L1352" ca="1">IF(F1352&lt;&gt;"",INDIRECT("'"&amp;F1352&amp;"'!$F$17"),"")</f>
        <v/>
      </c>
      <c r="M1352" s="116" t="str">
        <f t="shared" ca="1" si="64"/>
        <v/>
      </c>
      <c r="O1352" s="49" t="str">
        <f t="shared" ca="1" si="65"/>
        <v/>
      </c>
      <c r="P1352" s="38" t="str">
        <f>IF(E1352&lt;&gt;"",RANK(E1352,$E$3:$E$2298)+COUNTIF($E$3:E1352,E1352)-1,"")</f>
        <v/>
      </c>
    </row>
    <row r="1353" spans="4:16" x14ac:dyDescent="0.25">
      <c r="D1353" s="36" t="str" cm="1">
        <f t="array" aca="1" ref="D1353" ca="1">IFERROR(IF(INDIRECT("'"&amp;F1353&amp;"'!$C$5")&gt;0,DATE(YEAR(Dashboard!$AL$2),Dashboard!$AU$4,INDIRECT("'"&amp;F1353&amp;"'!$C$5")),""),"")</f>
        <v/>
      </c>
      <c r="G1353" s="38" t="str" cm="1">
        <f t="array" aca="1" ref="G1353" ca="1">IF(F1353="",
    "",
    IFERROR(
        IF(INDIRECT("'"&amp;F1353&amp;"'!$B$2")="Credit Limit",
            "Credit Accounts",
            IF(INDIRECT("'"&amp;F1353&amp;"'!$E$2")="Location",
                "Cash Accounts",
                IF(INDIRECT("'"&amp;F1353&amp;"'!$B$2")="Amount",
                    "Investments",
                    "Bill Accounts"
                )
            )
        ),
    "")
)</f>
        <v/>
      </c>
      <c r="I1353" s="46" t="str" cm="1">
        <f t="array" aca="1" ref="I1353" ca="1">IF(F1353&lt;&gt;"",IF(OR(G1353="Bill Accounts",G1353="Investments", G1353="Cash Accounts"),INDIRECT("'"&amp;F1353&amp;"'!$C$10"),INDIRECT("'"&amp;F1353&amp;"'!$C$8")),"")</f>
        <v/>
      </c>
      <c r="K1353" s="48">
        <f t="shared" si="66"/>
        <v>1359</v>
      </c>
      <c r="L1353" s="114" t="str" cm="1">
        <f t="array" aca="1" ref="L1353" ca="1">IF(F1353&lt;&gt;"",INDIRECT("'"&amp;F1353&amp;"'!$F$17"),"")</f>
        <v/>
      </c>
      <c r="M1353" s="116" t="str">
        <f t="shared" ca="1" si="64"/>
        <v/>
      </c>
      <c r="O1353" s="49" t="str">
        <f t="shared" ca="1" si="65"/>
        <v/>
      </c>
      <c r="P1353" s="38" t="str">
        <f>IF(E1353&lt;&gt;"",RANK(E1353,$E$3:$E$2298)+COUNTIF($E$3:E1353,E1353)-1,"")</f>
        <v/>
      </c>
    </row>
    <row r="1354" spans="4:16" x14ac:dyDescent="0.25">
      <c r="D1354" s="36" t="str" cm="1">
        <f t="array" aca="1" ref="D1354" ca="1">IFERROR(IF(INDIRECT("'"&amp;F1354&amp;"'!$C$5")&gt;0,DATE(YEAR(Dashboard!$AL$2),Dashboard!$AU$4,INDIRECT("'"&amp;F1354&amp;"'!$C$5")),""),"")</f>
        <v/>
      </c>
      <c r="G1354" s="38" t="str" cm="1">
        <f t="array" aca="1" ref="G1354" ca="1">IF(F1354="",
    "",
    IFERROR(
        IF(INDIRECT("'"&amp;F1354&amp;"'!$B$2")="Credit Limit",
            "Credit Accounts",
            IF(INDIRECT("'"&amp;F1354&amp;"'!$E$2")="Location",
                "Cash Accounts",
                IF(INDIRECT("'"&amp;F1354&amp;"'!$B$2")="Amount",
                    "Investments",
                    "Bill Accounts"
                )
            )
        ),
    "")
)</f>
        <v/>
      </c>
      <c r="I1354" s="46" t="str" cm="1">
        <f t="array" aca="1" ref="I1354" ca="1">IF(F1354&lt;&gt;"",IF(OR(G1354="Bill Accounts",G1354="Investments", G1354="Cash Accounts"),INDIRECT("'"&amp;F1354&amp;"'!$C$10"),INDIRECT("'"&amp;F1354&amp;"'!$C$8")),"")</f>
        <v/>
      </c>
      <c r="K1354" s="48">
        <f t="shared" si="66"/>
        <v>1360</v>
      </c>
      <c r="L1354" s="114" t="str" cm="1">
        <f t="array" aca="1" ref="L1354" ca="1">IF(F1354&lt;&gt;"",INDIRECT("'"&amp;F1354&amp;"'!$F$17"),"")</f>
        <v/>
      </c>
      <c r="M1354" s="116" t="str">
        <f t="shared" ca="1" si="64"/>
        <v/>
      </c>
      <c r="O1354" s="49" t="str">
        <f t="shared" ca="1" si="65"/>
        <v/>
      </c>
      <c r="P1354" s="38" t="str">
        <f>IF(E1354&lt;&gt;"",RANK(E1354,$E$3:$E$2298)+COUNTIF($E$3:E1354,E1354)-1,"")</f>
        <v/>
      </c>
    </row>
    <row r="1355" spans="4:16" x14ac:dyDescent="0.25">
      <c r="D1355" s="36" t="str" cm="1">
        <f t="array" aca="1" ref="D1355" ca="1">IFERROR(IF(INDIRECT("'"&amp;F1355&amp;"'!$C$5")&gt;0,DATE(YEAR(Dashboard!$AL$2),Dashboard!$AU$4,INDIRECT("'"&amp;F1355&amp;"'!$C$5")),""),"")</f>
        <v/>
      </c>
      <c r="G1355" s="38" t="str" cm="1">
        <f t="array" aca="1" ref="G1355" ca="1">IF(F1355="",
    "",
    IFERROR(
        IF(INDIRECT("'"&amp;F1355&amp;"'!$B$2")="Credit Limit",
            "Credit Accounts",
            IF(INDIRECT("'"&amp;F1355&amp;"'!$E$2")="Location",
                "Cash Accounts",
                IF(INDIRECT("'"&amp;F1355&amp;"'!$B$2")="Amount",
                    "Investments",
                    "Bill Accounts"
                )
            )
        ),
    "")
)</f>
        <v/>
      </c>
      <c r="I1355" s="46" t="str" cm="1">
        <f t="array" aca="1" ref="I1355" ca="1">IF(F1355&lt;&gt;"",IF(OR(G1355="Bill Accounts",G1355="Investments", G1355="Cash Accounts"),INDIRECT("'"&amp;F1355&amp;"'!$C$10"),INDIRECT("'"&amp;F1355&amp;"'!$C$8")),"")</f>
        <v/>
      </c>
      <c r="K1355" s="48">
        <f t="shared" si="66"/>
        <v>1361</v>
      </c>
      <c r="L1355" s="114" t="str" cm="1">
        <f t="array" aca="1" ref="L1355" ca="1">IF(F1355&lt;&gt;"",INDIRECT("'"&amp;F1355&amp;"'!$F$17"),"")</f>
        <v/>
      </c>
      <c r="M1355" s="116" t="str">
        <f t="shared" ca="1" si="64"/>
        <v/>
      </c>
      <c r="O1355" s="49" t="str">
        <f t="shared" ca="1" si="65"/>
        <v/>
      </c>
      <c r="P1355" s="38" t="str">
        <f>IF(E1355&lt;&gt;"",RANK(E1355,$E$3:$E$2298)+COUNTIF($E$3:E1355,E1355)-1,"")</f>
        <v/>
      </c>
    </row>
    <row r="1356" spans="4:16" x14ac:dyDescent="0.25">
      <c r="D1356" s="36" t="str" cm="1">
        <f t="array" aca="1" ref="D1356" ca="1">IFERROR(IF(INDIRECT("'"&amp;F1356&amp;"'!$C$5")&gt;0,DATE(YEAR(Dashboard!$AL$2),Dashboard!$AU$4,INDIRECT("'"&amp;F1356&amp;"'!$C$5")),""),"")</f>
        <v/>
      </c>
      <c r="G1356" s="38" t="str" cm="1">
        <f t="array" aca="1" ref="G1356" ca="1">IF(F1356="",
    "",
    IFERROR(
        IF(INDIRECT("'"&amp;F1356&amp;"'!$B$2")="Credit Limit",
            "Credit Accounts",
            IF(INDIRECT("'"&amp;F1356&amp;"'!$E$2")="Location",
                "Cash Accounts",
                IF(INDIRECT("'"&amp;F1356&amp;"'!$B$2")="Amount",
                    "Investments",
                    "Bill Accounts"
                )
            )
        ),
    "")
)</f>
        <v/>
      </c>
      <c r="I1356" s="46" t="str" cm="1">
        <f t="array" aca="1" ref="I1356" ca="1">IF(F1356&lt;&gt;"",IF(OR(G1356="Bill Accounts",G1356="Investments", G1356="Cash Accounts"),INDIRECT("'"&amp;F1356&amp;"'!$C$10"),INDIRECT("'"&amp;F1356&amp;"'!$C$8")),"")</f>
        <v/>
      </c>
      <c r="K1356" s="48">
        <f t="shared" si="66"/>
        <v>1362</v>
      </c>
      <c r="L1356" s="114" t="str" cm="1">
        <f t="array" aca="1" ref="L1356" ca="1">IF(F1356&lt;&gt;"",INDIRECT("'"&amp;F1356&amp;"'!$F$17"),"")</f>
        <v/>
      </c>
      <c r="M1356" s="116" t="str">
        <f t="shared" ca="1" si="64"/>
        <v/>
      </c>
      <c r="O1356" s="49" t="str">
        <f t="shared" ca="1" si="65"/>
        <v/>
      </c>
      <c r="P1356" s="38" t="str">
        <f>IF(E1356&lt;&gt;"",RANK(E1356,$E$3:$E$2298)+COUNTIF($E$3:E1356,E1356)-1,"")</f>
        <v/>
      </c>
    </row>
    <row r="1357" spans="4:16" x14ac:dyDescent="0.25">
      <c r="D1357" s="36" t="str" cm="1">
        <f t="array" aca="1" ref="D1357" ca="1">IFERROR(IF(INDIRECT("'"&amp;F1357&amp;"'!$C$5")&gt;0,DATE(YEAR(Dashboard!$AL$2),Dashboard!$AU$4,INDIRECT("'"&amp;F1357&amp;"'!$C$5")),""),"")</f>
        <v/>
      </c>
      <c r="G1357" s="38" t="str" cm="1">
        <f t="array" aca="1" ref="G1357" ca="1">IF(F1357="",
    "",
    IFERROR(
        IF(INDIRECT("'"&amp;F1357&amp;"'!$B$2")="Credit Limit",
            "Credit Accounts",
            IF(INDIRECT("'"&amp;F1357&amp;"'!$E$2")="Location",
                "Cash Accounts",
                IF(INDIRECT("'"&amp;F1357&amp;"'!$B$2")="Amount",
                    "Investments",
                    "Bill Accounts"
                )
            )
        ),
    "")
)</f>
        <v/>
      </c>
      <c r="I1357" s="46" t="str" cm="1">
        <f t="array" aca="1" ref="I1357" ca="1">IF(F1357&lt;&gt;"",IF(OR(G1357="Bill Accounts",G1357="Investments", G1357="Cash Accounts"),INDIRECT("'"&amp;F1357&amp;"'!$C$10"),INDIRECT("'"&amp;F1357&amp;"'!$C$8")),"")</f>
        <v/>
      </c>
      <c r="K1357" s="48">
        <f t="shared" si="66"/>
        <v>1363</v>
      </c>
      <c r="L1357" s="114" t="str" cm="1">
        <f t="array" aca="1" ref="L1357" ca="1">IF(F1357&lt;&gt;"",INDIRECT("'"&amp;F1357&amp;"'!$F$17"),"")</f>
        <v/>
      </c>
      <c r="M1357" s="116" t="str">
        <f t="shared" ca="1" si="64"/>
        <v/>
      </c>
      <c r="O1357" s="49" t="str">
        <f t="shared" ca="1" si="65"/>
        <v/>
      </c>
      <c r="P1357" s="38" t="str">
        <f>IF(E1357&lt;&gt;"",RANK(E1357,$E$3:$E$2298)+COUNTIF($E$3:E1357,E1357)-1,"")</f>
        <v/>
      </c>
    </row>
    <row r="1358" spans="4:16" x14ac:dyDescent="0.25">
      <c r="D1358" s="36" t="str" cm="1">
        <f t="array" aca="1" ref="D1358" ca="1">IFERROR(IF(INDIRECT("'"&amp;F1358&amp;"'!$C$5")&gt;0,DATE(YEAR(Dashboard!$AL$2),Dashboard!$AU$4,INDIRECT("'"&amp;F1358&amp;"'!$C$5")),""),"")</f>
        <v/>
      </c>
      <c r="G1358" s="38" t="str" cm="1">
        <f t="array" aca="1" ref="G1358" ca="1">IF(F1358="",
    "",
    IFERROR(
        IF(INDIRECT("'"&amp;F1358&amp;"'!$B$2")="Credit Limit",
            "Credit Accounts",
            IF(INDIRECT("'"&amp;F1358&amp;"'!$E$2")="Location",
                "Cash Accounts",
                IF(INDIRECT("'"&amp;F1358&amp;"'!$B$2")="Amount",
                    "Investments",
                    "Bill Accounts"
                )
            )
        ),
    "")
)</f>
        <v/>
      </c>
      <c r="I1358" s="46" t="str" cm="1">
        <f t="array" aca="1" ref="I1358" ca="1">IF(F1358&lt;&gt;"",IF(OR(G1358="Bill Accounts",G1358="Investments", G1358="Cash Accounts"),INDIRECT("'"&amp;F1358&amp;"'!$C$10"),INDIRECT("'"&amp;F1358&amp;"'!$C$8")),"")</f>
        <v/>
      </c>
      <c r="K1358" s="48">
        <f t="shared" si="66"/>
        <v>1364</v>
      </c>
      <c r="L1358" s="114" t="str" cm="1">
        <f t="array" aca="1" ref="L1358" ca="1">IF(F1358&lt;&gt;"",INDIRECT("'"&amp;F1358&amp;"'!$F$17"),"")</f>
        <v/>
      </c>
      <c r="M1358" s="116" t="str">
        <f t="shared" ca="1" si="64"/>
        <v/>
      </c>
      <c r="O1358" s="49" t="str">
        <f t="shared" ca="1" si="65"/>
        <v/>
      </c>
      <c r="P1358" s="38" t="str">
        <f>IF(E1358&lt;&gt;"",RANK(E1358,$E$3:$E$2298)+COUNTIF($E$3:E1358,E1358)-1,"")</f>
        <v/>
      </c>
    </row>
    <row r="1359" spans="4:16" x14ac:dyDescent="0.25">
      <c r="D1359" s="36" t="str" cm="1">
        <f t="array" aca="1" ref="D1359" ca="1">IFERROR(IF(INDIRECT("'"&amp;F1359&amp;"'!$C$5")&gt;0,DATE(YEAR(Dashboard!$AL$2),Dashboard!$AU$4,INDIRECT("'"&amp;F1359&amp;"'!$C$5")),""),"")</f>
        <v/>
      </c>
      <c r="G1359" s="38" t="str" cm="1">
        <f t="array" aca="1" ref="G1359" ca="1">IF(F1359="",
    "",
    IFERROR(
        IF(INDIRECT("'"&amp;F1359&amp;"'!$B$2")="Credit Limit",
            "Credit Accounts",
            IF(INDIRECT("'"&amp;F1359&amp;"'!$E$2")="Location",
                "Cash Accounts",
                IF(INDIRECT("'"&amp;F1359&amp;"'!$B$2")="Amount",
                    "Investments",
                    "Bill Accounts"
                )
            )
        ),
    "")
)</f>
        <v/>
      </c>
      <c r="I1359" s="46" t="str" cm="1">
        <f t="array" aca="1" ref="I1359" ca="1">IF(F1359&lt;&gt;"",IF(OR(G1359="Bill Accounts",G1359="Investments", G1359="Cash Accounts"),INDIRECT("'"&amp;F1359&amp;"'!$C$10"),INDIRECT("'"&amp;F1359&amp;"'!$C$8")),"")</f>
        <v/>
      </c>
      <c r="K1359" s="48">
        <f t="shared" si="66"/>
        <v>1365</v>
      </c>
      <c r="L1359" s="114" t="str" cm="1">
        <f t="array" aca="1" ref="L1359" ca="1">IF(F1359&lt;&gt;"",INDIRECT("'"&amp;F1359&amp;"'!$F$17"),"")</f>
        <v/>
      </c>
      <c r="M1359" s="116" t="str">
        <f t="shared" ca="1" si="64"/>
        <v/>
      </c>
      <c r="O1359" s="49" t="str">
        <f t="shared" ca="1" si="65"/>
        <v/>
      </c>
      <c r="P1359" s="38" t="str">
        <f>IF(E1359&lt;&gt;"",RANK(E1359,$E$3:$E$2298)+COUNTIF($E$3:E1359,E1359)-1,"")</f>
        <v/>
      </c>
    </row>
    <row r="1360" spans="4:16" x14ac:dyDescent="0.25">
      <c r="D1360" s="36" t="str" cm="1">
        <f t="array" aca="1" ref="D1360" ca="1">IFERROR(IF(INDIRECT("'"&amp;F1360&amp;"'!$C$5")&gt;0,DATE(YEAR(Dashboard!$AL$2),Dashboard!$AU$4,INDIRECT("'"&amp;F1360&amp;"'!$C$5")),""),"")</f>
        <v/>
      </c>
      <c r="G1360" s="38" t="str" cm="1">
        <f t="array" aca="1" ref="G1360" ca="1">IF(F1360="",
    "",
    IFERROR(
        IF(INDIRECT("'"&amp;F1360&amp;"'!$B$2")="Credit Limit",
            "Credit Accounts",
            IF(INDIRECT("'"&amp;F1360&amp;"'!$E$2")="Location",
                "Cash Accounts",
                IF(INDIRECT("'"&amp;F1360&amp;"'!$B$2")="Amount",
                    "Investments",
                    "Bill Accounts"
                )
            )
        ),
    "")
)</f>
        <v/>
      </c>
      <c r="I1360" s="46" t="str" cm="1">
        <f t="array" aca="1" ref="I1360" ca="1">IF(F1360&lt;&gt;"",IF(OR(G1360="Bill Accounts",G1360="Investments", G1360="Cash Accounts"),INDIRECT("'"&amp;F1360&amp;"'!$C$10"),INDIRECT("'"&amp;F1360&amp;"'!$C$8")),"")</f>
        <v/>
      </c>
      <c r="K1360" s="48">
        <f t="shared" si="66"/>
        <v>1366</v>
      </c>
      <c r="L1360" s="114" t="str" cm="1">
        <f t="array" aca="1" ref="L1360" ca="1">IF(F1360&lt;&gt;"",INDIRECT("'"&amp;F1360&amp;"'!$F$17"),"")</f>
        <v/>
      </c>
      <c r="M1360" s="116" t="str">
        <f t="shared" ca="1" si="64"/>
        <v/>
      </c>
      <c r="O1360" s="49" t="str">
        <f t="shared" ca="1" si="65"/>
        <v/>
      </c>
      <c r="P1360" s="38" t="str">
        <f>IF(E1360&lt;&gt;"",RANK(E1360,$E$3:$E$2298)+COUNTIF($E$3:E1360,E1360)-1,"")</f>
        <v/>
      </c>
    </row>
    <row r="1361" spans="4:16" x14ac:dyDescent="0.25">
      <c r="D1361" s="36" t="str" cm="1">
        <f t="array" aca="1" ref="D1361" ca="1">IFERROR(IF(INDIRECT("'"&amp;F1361&amp;"'!$C$5")&gt;0,DATE(YEAR(Dashboard!$AL$2),Dashboard!$AU$4,INDIRECT("'"&amp;F1361&amp;"'!$C$5")),""),"")</f>
        <v/>
      </c>
      <c r="G1361" s="38" t="str" cm="1">
        <f t="array" aca="1" ref="G1361" ca="1">IF(F1361="",
    "",
    IFERROR(
        IF(INDIRECT("'"&amp;F1361&amp;"'!$B$2")="Credit Limit",
            "Credit Accounts",
            IF(INDIRECT("'"&amp;F1361&amp;"'!$E$2")="Location",
                "Cash Accounts",
                IF(INDIRECT("'"&amp;F1361&amp;"'!$B$2")="Amount",
                    "Investments",
                    "Bill Accounts"
                )
            )
        ),
    "")
)</f>
        <v/>
      </c>
      <c r="I1361" s="46" t="str" cm="1">
        <f t="array" aca="1" ref="I1361" ca="1">IF(F1361&lt;&gt;"",IF(OR(G1361="Bill Accounts",G1361="Investments", G1361="Cash Accounts"),INDIRECT("'"&amp;F1361&amp;"'!$C$10"),INDIRECT("'"&amp;F1361&amp;"'!$C$8")),"")</f>
        <v/>
      </c>
      <c r="K1361" s="48">
        <f t="shared" si="66"/>
        <v>1367</v>
      </c>
      <c r="L1361" s="114" t="str" cm="1">
        <f t="array" aca="1" ref="L1361" ca="1">IF(F1361&lt;&gt;"",INDIRECT("'"&amp;F1361&amp;"'!$F$17"),"")</f>
        <v/>
      </c>
      <c r="M1361" s="116" t="str">
        <f t="shared" ca="1" si="64"/>
        <v/>
      </c>
      <c r="O1361" s="49" t="str">
        <f t="shared" ca="1" si="65"/>
        <v/>
      </c>
      <c r="P1361" s="38" t="str">
        <f>IF(E1361&lt;&gt;"",RANK(E1361,$E$3:$E$2298)+COUNTIF($E$3:E1361,E1361)-1,"")</f>
        <v/>
      </c>
    </row>
    <row r="1362" spans="4:16" x14ac:dyDescent="0.25">
      <c r="D1362" s="36" t="str" cm="1">
        <f t="array" aca="1" ref="D1362" ca="1">IFERROR(IF(INDIRECT("'"&amp;F1362&amp;"'!$C$5")&gt;0,DATE(YEAR(Dashboard!$AL$2),Dashboard!$AU$4,INDIRECT("'"&amp;F1362&amp;"'!$C$5")),""),"")</f>
        <v/>
      </c>
      <c r="G1362" s="38" t="str" cm="1">
        <f t="array" aca="1" ref="G1362" ca="1">IF(F1362="",
    "",
    IFERROR(
        IF(INDIRECT("'"&amp;F1362&amp;"'!$B$2")="Credit Limit",
            "Credit Accounts",
            IF(INDIRECT("'"&amp;F1362&amp;"'!$E$2")="Location",
                "Cash Accounts",
                IF(INDIRECT("'"&amp;F1362&amp;"'!$B$2")="Amount",
                    "Investments",
                    "Bill Accounts"
                )
            )
        ),
    "")
)</f>
        <v/>
      </c>
      <c r="I1362" s="46" t="str" cm="1">
        <f t="array" aca="1" ref="I1362" ca="1">IF(F1362&lt;&gt;"",IF(OR(G1362="Bill Accounts",G1362="Investments", G1362="Cash Accounts"),INDIRECT("'"&amp;F1362&amp;"'!$C$10"),INDIRECT("'"&amp;F1362&amp;"'!$C$8")),"")</f>
        <v/>
      </c>
      <c r="K1362" s="48">
        <f t="shared" si="66"/>
        <v>1368</v>
      </c>
      <c r="L1362" s="114" t="str" cm="1">
        <f t="array" aca="1" ref="L1362" ca="1">IF(F1362&lt;&gt;"",INDIRECT("'"&amp;F1362&amp;"'!$F$17"),"")</f>
        <v/>
      </c>
      <c r="M1362" s="116" t="str">
        <f t="shared" ca="1" si="64"/>
        <v/>
      </c>
      <c r="O1362" s="49" t="str">
        <f t="shared" ca="1" si="65"/>
        <v/>
      </c>
      <c r="P1362" s="38" t="str">
        <f>IF(E1362&lt;&gt;"",RANK(E1362,$E$3:$E$2298)+COUNTIF($E$3:E1362,E1362)-1,"")</f>
        <v/>
      </c>
    </row>
    <row r="1363" spans="4:16" x14ac:dyDescent="0.25">
      <c r="D1363" s="36" t="str" cm="1">
        <f t="array" aca="1" ref="D1363" ca="1">IFERROR(IF(INDIRECT("'"&amp;F1363&amp;"'!$C$5")&gt;0,DATE(YEAR(Dashboard!$AL$2),Dashboard!$AU$4,INDIRECT("'"&amp;F1363&amp;"'!$C$5")),""),"")</f>
        <v/>
      </c>
      <c r="G1363" s="38" t="str" cm="1">
        <f t="array" aca="1" ref="G1363" ca="1">IF(F1363="",
    "",
    IFERROR(
        IF(INDIRECT("'"&amp;F1363&amp;"'!$B$2")="Credit Limit",
            "Credit Accounts",
            IF(INDIRECT("'"&amp;F1363&amp;"'!$E$2")="Location",
                "Cash Accounts",
                IF(INDIRECT("'"&amp;F1363&amp;"'!$B$2")="Amount",
                    "Investments",
                    "Bill Accounts"
                )
            )
        ),
    "")
)</f>
        <v/>
      </c>
      <c r="I1363" s="46" t="str" cm="1">
        <f t="array" aca="1" ref="I1363" ca="1">IF(F1363&lt;&gt;"",IF(OR(G1363="Bill Accounts",G1363="Investments", G1363="Cash Accounts"),INDIRECT("'"&amp;F1363&amp;"'!$C$10"),INDIRECT("'"&amp;F1363&amp;"'!$C$8")),"")</f>
        <v/>
      </c>
      <c r="K1363" s="48">
        <f t="shared" si="66"/>
        <v>1369</v>
      </c>
      <c r="L1363" s="114" t="str" cm="1">
        <f t="array" aca="1" ref="L1363" ca="1">IF(F1363&lt;&gt;"",INDIRECT("'"&amp;F1363&amp;"'!$F$17"),"")</f>
        <v/>
      </c>
      <c r="M1363" s="116" t="str">
        <f t="shared" ca="1" si="64"/>
        <v/>
      </c>
      <c r="O1363" s="49" t="str">
        <f t="shared" ca="1" si="65"/>
        <v/>
      </c>
      <c r="P1363" s="38" t="str">
        <f>IF(E1363&lt;&gt;"",RANK(E1363,$E$3:$E$2298)+COUNTIF($E$3:E1363,E1363)-1,"")</f>
        <v/>
      </c>
    </row>
    <row r="1364" spans="4:16" x14ac:dyDescent="0.25">
      <c r="D1364" s="36" t="str" cm="1">
        <f t="array" aca="1" ref="D1364" ca="1">IFERROR(IF(INDIRECT("'"&amp;F1364&amp;"'!$C$5")&gt;0,DATE(YEAR(Dashboard!$AL$2),Dashboard!$AU$4,INDIRECT("'"&amp;F1364&amp;"'!$C$5")),""),"")</f>
        <v/>
      </c>
      <c r="G1364" s="38" t="str" cm="1">
        <f t="array" aca="1" ref="G1364" ca="1">IF(F1364="",
    "",
    IFERROR(
        IF(INDIRECT("'"&amp;F1364&amp;"'!$B$2")="Credit Limit",
            "Credit Accounts",
            IF(INDIRECT("'"&amp;F1364&amp;"'!$E$2")="Location",
                "Cash Accounts",
                IF(INDIRECT("'"&amp;F1364&amp;"'!$B$2")="Amount",
                    "Investments",
                    "Bill Accounts"
                )
            )
        ),
    "")
)</f>
        <v/>
      </c>
      <c r="I1364" s="46" t="str" cm="1">
        <f t="array" aca="1" ref="I1364" ca="1">IF(F1364&lt;&gt;"",IF(OR(G1364="Bill Accounts",G1364="Investments", G1364="Cash Accounts"),INDIRECT("'"&amp;F1364&amp;"'!$C$10"),INDIRECT("'"&amp;F1364&amp;"'!$C$8")),"")</f>
        <v/>
      </c>
      <c r="K1364" s="48">
        <f t="shared" si="66"/>
        <v>1370</v>
      </c>
      <c r="L1364" s="114" t="str" cm="1">
        <f t="array" aca="1" ref="L1364" ca="1">IF(F1364&lt;&gt;"",INDIRECT("'"&amp;F1364&amp;"'!$F$17"),"")</f>
        <v/>
      </c>
      <c r="M1364" s="116" t="str">
        <f t="shared" ca="1" si="64"/>
        <v/>
      </c>
      <c r="O1364" s="49" t="str">
        <f t="shared" ca="1" si="65"/>
        <v/>
      </c>
      <c r="P1364" s="38" t="str">
        <f>IF(E1364&lt;&gt;"",RANK(E1364,$E$3:$E$2298)+COUNTIF($E$3:E1364,E1364)-1,"")</f>
        <v/>
      </c>
    </row>
    <row r="1365" spans="4:16" x14ac:dyDescent="0.25">
      <c r="D1365" s="36" t="str" cm="1">
        <f t="array" aca="1" ref="D1365" ca="1">IFERROR(IF(INDIRECT("'"&amp;F1365&amp;"'!$C$5")&gt;0,DATE(YEAR(Dashboard!$AL$2),Dashboard!$AU$4,INDIRECT("'"&amp;F1365&amp;"'!$C$5")),""),"")</f>
        <v/>
      </c>
      <c r="G1365" s="38" t="str" cm="1">
        <f t="array" aca="1" ref="G1365" ca="1">IF(F1365="",
    "",
    IFERROR(
        IF(INDIRECT("'"&amp;F1365&amp;"'!$B$2")="Credit Limit",
            "Credit Accounts",
            IF(INDIRECT("'"&amp;F1365&amp;"'!$E$2")="Location",
                "Cash Accounts",
                IF(INDIRECT("'"&amp;F1365&amp;"'!$B$2")="Amount",
                    "Investments",
                    "Bill Accounts"
                )
            )
        ),
    "")
)</f>
        <v/>
      </c>
      <c r="I1365" s="46" t="str" cm="1">
        <f t="array" aca="1" ref="I1365" ca="1">IF(F1365&lt;&gt;"",IF(OR(G1365="Bill Accounts",G1365="Investments", G1365="Cash Accounts"),INDIRECT("'"&amp;F1365&amp;"'!$C$10"),INDIRECT("'"&amp;F1365&amp;"'!$C$8")),"")</f>
        <v/>
      </c>
      <c r="K1365" s="48">
        <f t="shared" si="66"/>
        <v>1371</v>
      </c>
      <c r="L1365" s="114" t="str" cm="1">
        <f t="array" aca="1" ref="L1365" ca="1">IF(F1365&lt;&gt;"",INDIRECT("'"&amp;F1365&amp;"'!$F$17"),"")</f>
        <v/>
      </c>
      <c r="M1365" s="116" t="str">
        <f t="shared" ca="1" si="64"/>
        <v/>
      </c>
      <c r="O1365" s="49" t="str">
        <f t="shared" ca="1" si="65"/>
        <v/>
      </c>
      <c r="P1365" s="38" t="str">
        <f>IF(E1365&lt;&gt;"",RANK(E1365,$E$3:$E$2298)+COUNTIF($E$3:E1365,E1365)-1,"")</f>
        <v/>
      </c>
    </row>
    <row r="1366" spans="4:16" x14ac:dyDescent="0.25">
      <c r="D1366" s="36" t="str" cm="1">
        <f t="array" aca="1" ref="D1366" ca="1">IFERROR(IF(INDIRECT("'"&amp;F1366&amp;"'!$C$5")&gt;0,DATE(YEAR(Dashboard!$AL$2),Dashboard!$AU$4,INDIRECT("'"&amp;F1366&amp;"'!$C$5")),""),"")</f>
        <v/>
      </c>
      <c r="G1366" s="38" t="str" cm="1">
        <f t="array" aca="1" ref="G1366" ca="1">IF(F1366="",
    "",
    IFERROR(
        IF(INDIRECT("'"&amp;F1366&amp;"'!$B$2")="Credit Limit",
            "Credit Accounts",
            IF(INDIRECT("'"&amp;F1366&amp;"'!$E$2")="Location",
                "Cash Accounts",
                IF(INDIRECT("'"&amp;F1366&amp;"'!$B$2")="Amount",
                    "Investments",
                    "Bill Accounts"
                )
            )
        ),
    "")
)</f>
        <v/>
      </c>
      <c r="I1366" s="46" t="str" cm="1">
        <f t="array" aca="1" ref="I1366" ca="1">IF(F1366&lt;&gt;"",IF(OR(G1366="Bill Accounts",G1366="Investments", G1366="Cash Accounts"),INDIRECT("'"&amp;F1366&amp;"'!$C$10"),INDIRECT("'"&amp;F1366&amp;"'!$C$8")),"")</f>
        <v/>
      </c>
      <c r="K1366" s="48">
        <f t="shared" si="66"/>
        <v>1372</v>
      </c>
      <c r="L1366" s="114" t="str" cm="1">
        <f t="array" aca="1" ref="L1366" ca="1">IF(F1366&lt;&gt;"",INDIRECT("'"&amp;F1366&amp;"'!$F$17"),"")</f>
        <v/>
      </c>
      <c r="M1366" s="116" t="str">
        <f t="shared" ca="1" si="64"/>
        <v/>
      </c>
      <c r="O1366" s="49" t="str">
        <f t="shared" ca="1" si="65"/>
        <v/>
      </c>
      <c r="P1366" s="38" t="str">
        <f>IF(E1366&lt;&gt;"",RANK(E1366,$E$3:$E$2298)+COUNTIF($E$3:E1366,E1366)-1,"")</f>
        <v/>
      </c>
    </row>
    <row r="1367" spans="4:16" x14ac:dyDescent="0.25">
      <c r="D1367" s="36" t="str" cm="1">
        <f t="array" aca="1" ref="D1367" ca="1">IFERROR(IF(INDIRECT("'"&amp;F1367&amp;"'!$C$5")&gt;0,DATE(YEAR(Dashboard!$AL$2),Dashboard!$AU$4,INDIRECT("'"&amp;F1367&amp;"'!$C$5")),""),"")</f>
        <v/>
      </c>
      <c r="G1367" s="38" t="str" cm="1">
        <f t="array" aca="1" ref="G1367" ca="1">IF(F1367="",
    "",
    IFERROR(
        IF(INDIRECT("'"&amp;F1367&amp;"'!$B$2")="Credit Limit",
            "Credit Accounts",
            IF(INDIRECT("'"&amp;F1367&amp;"'!$E$2")="Location",
                "Cash Accounts",
                IF(INDIRECT("'"&amp;F1367&amp;"'!$B$2")="Amount",
                    "Investments",
                    "Bill Accounts"
                )
            )
        ),
    "")
)</f>
        <v/>
      </c>
      <c r="I1367" s="46" t="str" cm="1">
        <f t="array" aca="1" ref="I1367" ca="1">IF(F1367&lt;&gt;"",IF(OR(G1367="Bill Accounts",G1367="Investments", G1367="Cash Accounts"),INDIRECT("'"&amp;F1367&amp;"'!$C$10"),INDIRECT("'"&amp;F1367&amp;"'!$C$8")),"")</f>
        <v/>
      </c>
      <c r="K1367" s="48">
        <f t="shared" si="66"/>
        <v>1373</v>
      </c>
      <c r="L1367" s="114" t="str" cm="1">
        <f t="array" aca="1" ref="L1367" ca="1">IF(F1367&lt;&gt;"",INDIRECT("'"&amp;F1367&amp;"'!$F$17"),"")</f>
        <v/>
      </c>
      <c r="M1367" s="116" t="str">
        <f t="shared" ca="1" si="64"/>
        <v/>
      </c>
      <c r="O1367" s="49" t="str">
        <f t="shared" ca="1" si="65"/>
        <v/>
      </c>
      <c r="P1367" s="38" t="str">
        <f>IF(E1367&lt;&gt;"",RANK(E1367,$E$3:$E$2298)+COUNTIF($E$3:E1367,E1367)-1,"")</f>
        <v/>
      </c>
    </row>
    <row r="1368" spans="4:16" x14ac:dyDescent="0.25">
      <c r="D1368" s="36" t="str" cm="1">
        <f t="array" aca="1" ref="D1368" ca="1">IFERROR(IF(INDIRECT("'"&amp;F1368&amp;"'!$C$5")&gt;0,DATE(YEAR(Dashboard!$AL$2),Dashboard!$AU$4,INDIRECT("'"&amp;F1368&amp;"'!$C$5")),""),"")</f>
        <v/>
      </c>
      <c r="G1368" s="38" t="str" cm="1">
        <f t="array" aca="1" ref="G1368" ca="1">IF(F1368="",
    "",
    IFERROR(
        IF(INDIRECT("'"&amp;F1368&amp;"'!$B$2")="Credit Limit",
            "Credit Accounts",
            IF(INDIRECT("'"&amp;F1368&amp;"'!$E$2")="Location",
                "Cash Accounts",
                IF(INDIRECT("'"&amp;F1368&amp;"'!$B$2")="Amount",
                    "Investments",
                    "Bill Accounts"
                )
            )
        ),
    "")
)</f>
        <v/>
      </c>
      <c r="I1368" s="46" t="str" cm="1">
        <f t="array" aca="1" ref="I1368" ca="1">IF(F1368&lt;&gt;"",IF(OR(G1368="Bill Accounts",G1368="Investments", G1368="Cash Accounts"),INDIRECT("'"&amp;F1368&amp;"'!$C$10"),INDIRECT("'"&amp;F1368&amp;"'!$C$8")),"")</f>
        <v/>
      </c>
      <c r="K1368" s="48">
        <f t="shared" si="66"/>
        <v>1374</v>
      </c>
      <c r="L1368" s="114" t="str" cm="1">
        <f t="array" aca="1" ref="L1368" ca="1">IF(F1368&lt;&gt;"",INDIRECT("'"&amp;F1368&amp;"'!$F$17"),"")</f>
        <v/>
      </c>
      <c r="M1368" s="116" t="str">
        <f t="shared" ca="1" si="64"/>
        <v/>
      </c>
      <c r="O1368" s="49" t="str">
        <f t="shared" ca="1" si="65"/>
        <v/>
      </c>
      <c r="P1368" s="38" t="str">
        <f>IF(E1368&lt;&gt;"",RANK(E1368,$E$3:$E$2298)+COUNTIF($E$3:E1368,E1368)-1,"")</f>
        <v/>
      </c>
    </row>
    <row r="1369" spans="4:16" x14ac:dyDescent="0.25">
      <c r="D1369" s="36" t="str" cm="1">
        <f t="array" aca="1" ref="D1369" ca="1">IFERROR(IF(INDIRECT("'"&amp;F1369&amp;"'!$C$5")&gt;0,DATE(YEAR(Dashboard!$AL$2),Dashboard!$AU$4,INDIRECT("'"&amp;F1369&amp;"'!$C$5")),""),"")</f>
        <v/>
      </c>
      <c r="G1369" s="38" t="str" cm="1">
        <f t="array" aca="1" ref="G1369" ca="1">IF(F1369="",
    "",
    IFERROR(
        IF(INDIRECT("'"&amp;F1369&amp;"'!$B$2")="Credit Limit",
            "Credit Accounts",
            IF(INDIRECT("'"&amp;F1369&amp;"'!$E$2")="Location",
                "Cash Accounts",
                IF(INDIRECT("'"&amp;F1369&amp;"'!$B$2")="Amount",
                    "Investments",
                    "Bill Accounts"
                )
            )
        ),
    "")
)</f>
        <v/>
      </c>
      <c r="I1369" s="46" t="str" cm="1">
        <f t="array" aca="1" ref="I1369" ca="1">IF(F1369&lt;&gt;"",IF(OR(G1369="Bill Accounts",G1369="Investments", G1369="Cash Accounts"),INDIRECT("'"&amp;F1369&amp;"'!$C$10"),INDIRECT("'"&amp;F1369&amp;"'!$C$8")),"")</f>
        <v/>
      </c>
      <c r="K1369" s="48">
        <f t="shared" si="66"/>
        <v>1375</v>
      </c>
      <c r="L1369" s="114" t="str" cm="1">
        <f t="array" aca="1" ref="L1369" ca="1">IF(F1369&lt;&gt;"",INDIRECT("'"&amp;F1369&amp;"'!$F$17"),"")</f>
        <v/>
      </c>
      <c r="M1369" s="116" t="str">
        <f t="shared" ca="1" si="64"/>
        <v/>
      </c>
      <c r="O1369" s="49" t="str">
        <f t="shared" ca="1" si="65"/>
        <v/>
      </c>
      <c r="P1369" s="38" t="str">
        <f>IF(E1369&lt;&gt;"",RANK(E1369,$E$3:$E$2298)+COUNTIF($E$3:E1369,E1369)-1,"")</f>
        <v/>
      </c>
    </row>
    <row r="1370" spans="4:16" x14ac:dyDescent="0.25">
      <c r="D1370" s="36" t="str" cm="1">
        <f t="array" aca="1" ref="D1370" ca="1">IFERROR(IF(INDIRECT("'"&amp;F1370&amp;"'!$C$5")&gt;0,DATE(YEAR(Dashboard!$AL$2),Dashboard!$AU$4,INDIRECT("'"&amp;F1370&amp;"'!$C$5")),""),"")</f>
        <v/>
      </c>
      <c r="G1370" s="38" t="str" cm="1">
        <f t="array" aca="1" ref="G1370" ca="1">IF(F1370="",
    "",
    IFERROR(
        IF(INDIRECT("'"&amp;F1370&amp;"'!$B$2")="Credit Limit",
            "Credit Accounts",
            IF(INDIRECT("'"&amp;F1370&amp;"'!$E$2")="Location",
                "Cash Accounts",
                IF(INDIRECT("'"&amp;F1370&amp;"'!$B$2")="Amount",
                    "Investments",
                    "Bill Accounts"
                )
            )
        ),
    "")
)</f>
        <v/>
      </c>
      <c r="I1370" s="46" t="str" cm="1">
        <f t="array" aca="1" ref="I1370" ca="1">IF(F1370&lt;&gt;"",IF(OR(G1370="Bill Accounts",G1370="Investments", G1370="Cash Accounts"),INDIRECT("'"&amp;F1370&amp;"'!$C$10"),INDIRECT("'"&amp;F1370&amp;"'!$C$8")),"")</f>
        <v/>
      </c>
      <c r="K1370" s="48">
        <f t="shared" si="66"/>
        <v>1376</v>
      </c>
      <c r="L1370" s="114" t="str" cm="1">
        <f t="array" aca="1" ref="L1370" ca="1">IF(F1370&lt;&gt;"",INDIRECT("'"&amp;F1370&amp;"'!$F$17"),"")</f>
        <v/>
      </c>
      <c r="M1370" s="116" t="str">
        <f t="shared" ca="1" si="64"/>
        <v/>
      </c>
      <c r="O1370" s="49" t="str">
        <f t="shared" ca="1" si="65"/>
        <v/>
      </c>
      <c r="P1370" s="38" t="str">
        <f>IF(E1370&lt;&gt;"",RANK(E1370,$E$3:$E$2298)+COUNTIF($E$3:E1370,E1370)-1,"")</f>
        <v/>
      </c>
    </row>
    <row r="1371" spans="4:16" x14ac:dyDescent="0.25">
      <c r="D1371" s="36" t="str" cm="1">
        <f t="array" aca="1" ref="D1371" ca="1">IFERROR(IF(INDIRECT("'"&amp;F1371&amp;"'!$C$5")&gt;0,DATE(YEAR(Dashboard!$AL$2),Dashboard!$AU$4,INDIRECT("'"&amp;F1371&amp;"'!$C$5")),""),"")</f>
        <v/>
      </c>
      <c r="G1371" s="38" t="str" cm="1">
        <f t="array" aca="1" ref="G1371" ca="1">IF(F1371="",
    "",
    IFERROR(
        IF(INDIRECT("'"&amp;F1371&amp;"'!$B$2")="Credit Limit",
            "Credit Accounts",
            IF(INDIRECT("'"&amp;F1371&amp;"'!$E$2")="Location",
                "Cash Accounts",
                IF(INDIRECT("'"&amp;F1371&amp;"'!$B$2")="Amount",
                    "Investments",
                    "Bill Accounts"
                )
            )
        ),
    "")
)</f>
        <v/>
      </c>
      <c r="I1371" s="46" t="str" cm="1">
        <f t="array" aca="1" ref="I1371" ca="1">IF(F1371&lt;&gt;"",IF(OR(G1371="Bill Accounts",G1371="Investments", G1371="Cash Accounts"),INDIRECT("'"&amp;F1371&amp;"'!$C$10"),INDIRECT("'"&amp;F1371&amp;"'!$C$8")),"")</f>
        <v/>
      </c>
      <c r="K1371" s="48">
        <f t="shared" si="66"/>
        <v>1377</v>
      </c>
      <c r="L1371" s="114" t="str" cm="1">
        <f t="array" aca="1" ref="L1371" ca="1">IF(F1371&lt;&gt;"",INDIRECT("'"&amp;F1371&amp;"'!$F$17"),"")</f>
        <v/>
      </c>
      <c r="M1371" s="116" t="str">
        <f t="shared" ca="1" si="64"/>
        <v/>
      </c>
      <c r="O1371" s="49" t="str">
        <f t="shared" ca="1" si="65"/>
        <v/>
      </c>
      <c r="P1371" s="38" t="str">
        <f>IF(E1371&lt;&gt;"",RANK(E1371,$E$3:$E$2298)+COUNTIF($E$3:E1371,E1371)-1,"")</f>
        <v/>
      </c>
    </row>
    <row r="1372" spans="4:16" x14ac:dyDescent="0.25">
      <c r="D1372" s="36" t="str" cm="1">
        <f t="array" aca="1" ref="D1372" ca="1">IFERROR(IF(INDIRECT("'"&amp;F1372&amp;"'!$C$5")&gt;0,DATE(YEAR(Dashboard!$AL$2),Dashboard!$AU$4,INDIRECT("'"&amp;F1372&amp;"'!$C$5")),""),"")</f>
        <v/>
      </c>
      <c r="G1372" s="38" t="str" cm="1">
        <f t="array" aca="1" ref="G1372" ca="1">IF(F1372="",
    "",
    IFERROR(
        IF(INDIRECT("'"&amp;F1372&amp;"'!$B$2")="Credit Limit",
            "Credit Accounts",
            IF(INDIRECT("'"&amp;F1372&amp;"'!$E$2")="Location",
                "Cash Accounts",
                IF(INDIRECT("'"&amp;F1372&amp;"'!$B$2")="Amount",
                    "Investments",
                    "Bill Accounts"
                )
            )
        ),
    "")
)</f>
        <v/>
      </c>
      <c r="I1372" s="46" t="str" cm="1">
        <f t="array" aca="1" ref="I1372" ca="1">IF(F1372&lt;&gt;"",IF(OR(G1372="Bill Accounts",G1372="Investments", G1372="Cash Accounts"),INDIRECT("'"&amp;F1372&amp;"'!$C$10"),INDIRECT("'"&amp;F1372&amp;"'!$C$8")),"")</f>
        <v/>
      </c>
      <c r="K1372" s="48">
        <f t="shared" si="66"/>
        <v>1378</v>
      </c>
      <c r="L1372" s="114" t="str" cm="1">
        <f t="array" aca="1" ref="L1372" ca="1">IF(F1372&lt;&gt;"",INDIRECT("'"&amp;F1372&amp;"'!$F$17"),"")</f>
        <v/>
      </c>
      <c r="M1372" s="116" t="str">
        <f t="shared" ca="1" si="64"/>
        <v/>
      </c>
      <c r="O1372" s="49" t="str">
        <f t="shared" ca="1" si="65"/>
        <v/>
      </c>
      <c r="P1372" s="38" t="str">
        <f>IF(E1372&lt;&gt;"",RANK(E1372,$E$3:$E$2298)+COUNTIF($E$3:E1372,E1372)-1,"")</f>
        <v/>
      </c>
    </row>
    <row r="1373" spans="4:16" x14ac:dyDescent="0.25">
      <c r="D1373" s="36" t="str" cm="1">
        <f t="array" aca="1" ref="D1373" ca="1">IFERROR(IF(INDIRECT("'"&amp;F1373&amp;"'!$C$5")&gt;0,DATE(YEAR(Dashboard!$AL$2),Dashboard!$AU$4,INDIRECT("'"&amp;F1373&amp;"'!$C$5")),""),"")</f>
        <v/>
      </c>
      <c r="G1373" s="38" t="str" cm="1">
        <f t="array" aca="1" ref="G1373" ca="1">IF(F1373="",
    "",
    IFERROR(
        IF(INDIRECT("'"&amp;F1373&amp;"'!$B$2")="Credit Limit",
            "Credit Accounts",
            IF(INDIRECT("'"&amp;F1373&amp;"'!$E$2")="Location",
                "Cash Accounts",
                IF(INDIRECT("'"&amp;F1373&amp;"'!$B$2")="Amount",
                    "Investments",
                    "Bill Accounts"
                )
            )
        ),
    "")
)</f>
        <v/>
      </c>
      <c r="I1373" s="46" t="str" cm="1">
        <f t="array" aca="1" ref="I1373" ca="1">IF(F1373&lt;&gt;"",IF(OR(G1373="Bill Accounts",G1373="Investments", G1373="Cash Accounts"),INDIRECT("'"&amp;F1373&amp;"'!$C$10"),INDIRECT("'"&amp;F1373&amp;"'!$C$8")),"")</f>
        <v/>
      </c>
      <c r="K1373" s="48">
        <f t="shared" si="66"/>
        <v>1379</v>
      </c>
      <c r="L1373" s="114" t="str" cm="1">
        <f t="array" aca="1" ref="L1373" ca="1">IF(F1373&lt;&gt;"",INDIRECT("'"&amp;F1373&amp;"'!$F$17"),"")</f>
        <v/>
      </c>
      <c r="M1373" s="116" t="str">
        <f t="shared" ca="1" si="64"/>
        <v/>
      </c>
      <c r="O1373" s="49" t="str">
        <f t="shared" ca="1" si="65"/>
        <v/>
      </c>
      <c r="P1373" s="38" t="str">
        <f>IF(E1373&lt;&gt;"",RANK(E1373,$E$3:$E$2298)+COUNTIF($E$3:E1373,E1373)-1,"")</f>
        <v/>
      </c>
    </row>
    <row r="1374" spans="4:16" x14ac:dyDescent="0.25">
      <c r="D1374" s="36" t="str" cm="1">
        <f t="array" aca="1" ref="D1374" ca="1">IFERROR(IF(INDIRECT("'"&amp;F1374&amp;"'!$C$5")&gt;0,DATE(YEAR(Dashboard!$AL$2),Dashboard!$AU$4,INDIRECT("'"&amp;F1374&amp;"'!$C$5")),""),"")</f>
        <v/>
      </c>
      <c r="G1374" s="38" t="str" cm="1">
        <f t="array" aca="1" ref="G1374" ca="1">IF(F1374="",
    "",
    IFERROR(
        IF(INDIRECT("'"&amp;F1374&amp;"'!$B$2")="Credit Limit",
            "Credit Accounts",
            IF(INDIRECT("'"&amp;F1374&amp;"'!$E$2")="Location",
                "Cash Accounts",
                IF(INDIRECT("'"&amp;F1374&amp;"'!$B$2")="Amount",
                    "Investments",
                    "Bill Accounts"
                )
            )
        ),
    "")
)</f>
        <v/>
      </c>
      <c r="I1374" s="46" t="str" cm="1">
        <f t="array" aca="1" ref="I1374" ca="1">IF(F1374&lt;&gt;"",IF(OR(G1374="Bill Accounts",G1374="Investments", G1374="Cash Accounts"),INDIRECT("'"&amp;F1374&amp;"'!$C$10"),INDIRECT("'"&amp;F1374&amp;"'!$C$8")),"")</f>
        <v/>
      </c>
      <c r="K1374" s="48">
        <f t="shared" si="66"/>
        <v>1380</v>
      </c>
      <c r="L1374" s="114" t="str" cm="1">
        <f t="array" aca="1" ref="L1374" ca="1">IF(F1374&lt;&gt;"",INDIRECT("'"&amp;F1374&amp;"'!$F$17"),"")</f>
        <v/>
      </c>
      <c r="M1374" s="116" t="str">
        <f t="shared" ca="1" si="64"/>
        <v/>
      </c>
      <c r="O1374" s="49" t="str">
        <f t="shared" ca="1" si="65"/>
        <v/>
      </c>
      <c r="P1374" s="38" t="str">
        <f>IF(E1374&lt;&gt;"",RANK(E1374,$E$3:$E$2298)+COUNTIF($E$3:E1374,E1374)-1,"")</f>
        <v/>
      </c>
    </row>
    <row r="1375" spans="4:16" x14ac:dyDescent="0.25">
      <c r="D1375" s="36" t="str" cm="1">
        <f t="array" aca="1" ref="D1375" ca="1">IFERROR(IF(INDIRECT("'"&amp;F1375&amp;"'!$C$5")&gt;0,DATE(YEAR(Dashboard!$AL$2),Dashboard!$AU$4,INDIRECT("'"&amp;F1375&amp;"'!$C$5")),""),"")</f>
        <v/>
      </c>
      <c r="G1375" s="38" t="str" cm="1">
        <f t="array" aca="1" ref="G1375" ca="1">IF(F1375="",
    "",
    IFERROR(
        IF(INDIRECT("'"&amp;F1375&amp;"'!$B$2")="Credit Limit",
            "Credit Accounts",
            IF(INDIRECT("'"&amp;F1375&amp;"'!$E$2")="Location",
                "Cash Accounts",
                IF(INDIRECT("'"&amp;F1375&amp;"'!$B$2")="Amount",
                    "Investments",
                    "Bill Accounts"
                )
            )
        ),
    "")
)</f>
        <v/>
      </c>
      <c r="I1375" s="46" t="str" cm="1">
        <f t="array" aca="1" ref="I1375" ca="1">IF(F1375&lt;&gt;"",IF(OR(G1375="Bill Accounts",G1375="Investments", G1375="Cash Accounts"),INDIRECT("'"&amp;F1375&amp;"'!$C$10"),INDIRECT("'"&amp;F1375&amp;"'!$C$8")),"")</f>
        <v/>
      </c>
      <c r="K1375" s="48">
        <f t="shared" si="66"/>
        <v>1381</v>
      </c>
      <c r="L1375" s="114" t="str" cm="1">
        <f t="array" aca="1" ref="L1375" ca="1">IF(F1375&lt;&gt;"",INDIRECT("'"&amp;F1375&amp;"'!$F$17"),"")</f>
        <v/>
      </c>
      <c r="M1375" s="116" t="str">
        <f t="shared" ca="1" si="64"/>
        <v/>
      </c>
      <c r="O1375" s="49" t="str">
        <f t="shared" ca="1" si="65"/>
        <v/>
      </c>
      <c r="P1375" s="38" t="str">
        <f>IF(E1375&lt;&gt;"",RANK(E1375,$E$3:$E$2298)+COUNTIF($E$3:E1375,E1375)-1,"")</f>
        <v/>
      </c>
    </row>
    <row r="1376" spans="4:16" x14ac:dyDescent="0.25">
      <c r="D1376" s="36" t="str" cm="1">
        <f t="array" aca="1" ref="D1376" ca="1">IFERROR(IF(INDIRECT("'"&amp;F1376&amp;"'!$C$5")&gt;0,DATE(YEAR(Dashboard!$AL$2),Dashboard!$AU$4,INDIRECT("'"&amp;F1376&amp;"'!$C$5")),""),"")</f>
        <v/>
      </c>
      <c r="G1376" s="38" t="str" cm="1">
        <f t="array" aca="1" ref="G1376" ca="1">IF(F1376="",
    "",
    IFERROR(
        IF(INDIRECT("'"&amp;F1376&amp;"'!$B$2")="Credit Limit",
            "Credit Accounts",
            IF(INDIRECT("'"&amp;F1376&amp;"'!$E$2")="Location",
                "Cash Accounts",
                IF(INDIRECT("'"&amp;F1376&amp;"'!$B$2")="Amount",
                    "Investments",
                    "Bill Accounts"
                )
            )
        ),
    "")
)</f>
        <v/>
      </c>
      <c r="I1376" s="46" t="str" cm="1">
        <f t="array" aca="1" ref="I1376" ca="1">IF(F1376&lt;&gt;"",IF(OR(G1376="Bill Accounts",G1376="Investments", G1376="Cash Accounts"),INDIRECT("'"&amp;F1376&amp;"'!$C$10"),INDIRECT("'"&amp;F1376&amp;"'!$C$8")),"")</f>
        <v/>
      </c>
      <c r="K1376" s="48">
        <f t="shared" si="66"/>
        <v>1382</v>
      </c>
      <c r="L1376" s="114" t="str" cm="1">
        <f t="array" aca="1" ref="L1376" ca="1">IF(F1376&lt;&gt;"",INDIRECT("'"&amp;F1376&amp;"'!$F$17"),"")</f>
        <v/>
      </c>
      <c r="M1376" s="116" t="str">
        <f t="shared" ca="1" si="64"/>
        <v/>
      </c>
      <c r="O1376" s="49" t="str">
        <f t="shared" ca="1" si="65"/>
        <v/>
      </c>
      <c r="P1376" s="38" t="str">
        <f>IF(E1376&lt;&gt;"",RANK(E1376,$E$3:$E$2298)+COUNTIF($E$3:E1376,E1376)-1,"")</f>
        <v/>
      </c>
    </row>
    <row r="1377" spans="4:16" x14ac:dyDescent="0.25">
      <c r="D1377" s="36" t="str" cm="1">
        <f t="array" aca="1" ref="D1377" ca="1">IFERROR(IF(INDIRECT("'"&amp;F1377&amp;"'!$C$5")&gt;0,DATE(YEAR(Dashboard!$AL$2),Dashboard!$AU$4,INDIRECT("'"&amp;F1377&amp;"'!$C$5")),""),"")</f>
        <v/>
      </c>
      <c r="G1377" s="38" t="str" cm="1">
        <f t="array" aca="1" ref="G1377" ca="1">IF(F1377="",
    "",
    IFERROR(
        IF(INDIRECT("'"&amp;F1377&amp;"'!$B$2")="Credit Limit",
            "Credit Accounts",
            IF(INDIRECT("'"&amp;F1377&amp;"'!$E$2")="Location",
                "Cash Accounts",
                IF(INDIRECT("'"&amp;F1377&amp;"'!$B$2")="Amount",
                    "Investments",
                    "Bill Accounts"
                )
            )
        ),
    "")
)</f>
        <v/>
      </c>
      <c r="I1377" s="46" t="str" cm="1">
        <f t="array" aca="1" ref="I1377" ca="1">IF(F1377&lt;&gt;"",IF(OR(G1377="Bill Accounts",G1377="Investments", G1377="Cash Accounts"),INDIRECT("'"&amp;F1377&amp;"'!$C$10"),INDIRECT("'"&amp;F1377&amp;"'!$C$8")),"")</f>
        <v/>
      </c>
      <c r="K1377" s="48">
        <f t="shared" si="66"/>
        <v>1383</v>
      </c>
      <c r="L1377" s="114" t="str" cm="1">
        <f t="array" aca="1" ref="L1377" ca="1">IF(F1377&lt;&gt;"",INDIRECT("'"&amp;F1377&amp;"'!$F$17"),"")</f>
        <v/>
      </c>
      <c r="M1377" s="116" t="str">
        <f t="shared" ca="1" si="64"/>
        <v/>
      </c>
      <c r="O1377" s="49" t="str">
        <f t="shared" ca="1" si="65"/>
        <v/>
      </c>
      <c r="P1377" s="38" t="str">
        <f>IF(E1377&lt;&gt;"",RANK(E1377,$E$3:$E$2298)+COUNTIF($E$3:E1377,E1377)-1,"")</f>
        <v/>
      </c>
    </row>
    <row r="1378" spans="4:16" x14ac:dyDescent="0.25">
      <c r="D1378" s="36" t="str" cm="1">
        <f t="array" aca="1" ref="D1378" ca="1">IFERROR(IF(INDIRECT("'"&amp;F1378&amp;"'!$C$5")&gt;0,DATE(YEAR(Dashboard!$AL$2),Dashboard!$AU$4,INDIRECT("'"&amp;F1378&amp;"'!$C$5")),""),"")</f>
        <v/>
      </c>
      <c r="G1378" s="38" t="str" cm="1">
        <f t="array" aca="1" ref="G1378" ca="1">IF(F1378="",
    "",
    IFERROR(
        IF(INDIRECT("'"&amp;F1378&amp;"'!$B$2")="Credit Limit",
            "Credit Accounts",
            IF(INDIRECT("'"&amp;F1378&amp;"'!$E$2")="Location",
                "Cash Accounts",
                IF(INDIRECT("'"&amp;F1378&amp;"'!$B$2")="Amount",
                    "Investments",
                    "Bill Accounts"
                )
            )
        ),
    "")
)</f>
        <v/>
      </c>
      <c r="I1378" s="46" t="str" cm="1">
        <f t="array" aca="1" ref="I1378" ca="1">IF(F1378&lt;&gt;"",IF(OR(G1378="Bill Accounts",G1378="Investments", G1378="Cash Accounts"),INDIRECT("'"&amp;F1378&amp;"'!$C$10"),INDIRECT("'"&amp;F1378&amp;"'!$C$8")),"")</f>
        <v/>
      </c>
      <c r="K1378" s="48">
        <f t="shared" si="66"/>
        <v>1384</v>
      </c>
      <c r="L1378" s="114" t="str" cm="1">
        <f t="array" aca="1" ref="L1378" ca="1">IF(F1378&lt;&gt;"",INDIRECT("'"&amp;F1378&amp;"'!$F$17"),"")</f>
        <v/>
      </c>
      <c r="M1378" s="116" t="str">
        <f t="shared" ca="1" si="64"/>
        <v/>
      </c>
      <c r="O1378" s="49" t="str">
        <f t="shared" ca="1" si="65"/>
        <v/>
      </c>
      <c r="P1378" s="38" t="str">
        <f>IF(E1378&lt;&gt;"",RANK(E1378,$E$3:$E$2298)+COUNTIF($E$3:E1378,E1378)-1,"")</f>
        <v/>
      </c>
    </row>
    <row r="1379" spans="4:16" x14ac:dyDescent="0.25">
      <c r="D1379" s="36" t="str" cm="1">
        <f t="array" aca="1" ref="D1379" ca="1">IFERROR(IF(INDIRECT("'"&amp;F1379&amp;"'!$C$5")&gt;0,DATE(YEAR(Dashboard!$AL$2),Dashboard!$AU$4,INDIRECT("'"&amp;F1379&amp;"'!$C$5")),""),"")</f>
        <v/>
      </c>
      <c r="G1379" s="38" t="str" cm="1">
        <f t="array" aca="1" ref="G1379" ca="1">IF(F1379="",
    "",
    IFERROR(
        IF(INDIRECT("'"&amp;F1379&amp;"'!$B$2")="Credit Limit",
            "Credit Accounts",
            IF(INDIRECT("'"&amp;F1379&amp;"'!$E$2")="Location",
                "Cash Accounts",
                IF(INDIRECT("'"&amp;F1379&amp;"'!$B$2")="Amount",
                    "Investments",
                    "Bill Accounts"
                )
            )
        ),
    "")
)</f>
        <v/>
      </c>
      <c r="I1379" s="46" t="str" cm="1">
        <f t="array" aca="1" ref="I1379" ca="1">IF(F1379&lt;&gt;"",IF(OR(G1379="Bill Accounts",G1379="Investments", G1379="Cash Accounts"),INDIRECT("'"&amp;F1379&amp;"'!$C$10"),INDIRECT("'"&amp;F1379&amp;"'!$C$8")),"")</f>
        <v/>
      </c>
      <c r="K1379" s="48">
        <f t="shared" si="66"/>
        <v>1385</v>
      </c>
      <c r="L1379" s="114" t="str" cm="1">
        <f t="array" aca="1" ref="L1379" ca="1">IF(F1379&lt;&gt;"",INDIRECT("'"&amp;F1379&amp;"'!$F$17"),"")</f>
        <v/>
      </c>
      <c r="M1379" s="116" t="str">
        <f t="shared" ca="1" si="64"/>
        <v/>
      </c>
      <c r="O1379" s="49" t="str">
        <f t="shared" ca="1" si="65"/>
        <v/>
      </c>
      <c r="P1379" s="38" t="str">
        <f>IF(E1379&lt;&gt;"",RANK(E1379,$E$3:$E$2298)+COUNTIF($E$3:E1379,E1379)-1,"")</f>
        <v/>
      </c>
    </row>
    <row r="1380" spans="4:16" x14ac:dyDescent="0.25">
      <c r="D1380" s="36" t="str" cm="1">
        <f t="array" aca="1" ref="D1380" ca="1">IFERROR(IF(INDIRECT("'"&amp;F1380&amp;"'!$C$5")&gt;0,DATE(YEAR(Dashboard!$AL$2),Dashboard!$AU$4,INDIRECT("'"&amp;F1380&amp;"'!$C$5")),""),"")</f>
        <v/>
      </c>
      <c r="G1380" s="38" t="str" cm="1">
        <f t="array" aca="1" ref="G1380" ca="1">IF(F1380="",
    "",
    IFERROR(
        IF(INDIRECT("'"&amp;F1380&amp;"'!$B$2")="Credit Limit",
            "Credit Accounts",
            IF(INDIRECT("'"&amp;F1380&amp;"'!$E$2")="Location",
                "Cash Accounts",
                IF(INDIRECT("'"&amp;F1380&amp;"'!$B$2")="Amount",
                    "Investments",
                    "Bill Accounts"
                )
            )
        ),
    "")
)</f>
        <v/>
      </c>
      <c r="I1380" s="46" t="str" cm="1">
        <f t="array" aca="1" ref="I1380" ca="1">IF(F1380&lt;&gt;"",IF(OR(G1380="Bill Accounts",G1380="Investments", G1380="Cash Accounts"),INDIRECT("'"&amp;F1380&amp;"'!$C$10"),INDIRECT("'"&amp;F1380&amp;"'!$C$8")),"")</f>
        <v/>
      </c>
      <c r="K1380" s="48">
        <f t="shared" si="66"/>
        <v>1386</v>
      </c>
      <c r="L1380" s="114" t="str" cm="1">
        <f t="array" aca="1" ref="L1380" ca="1">IF(F1380&lt;&gt;"",INDIRECT("'"&amp;F1380&amp;"'!$F$17"),"")</f>
        <v/>
      </c>
      <c r="M1380" s="116" t="str">
        <f t="shared" ca="1" si="64"/>
        <v/>
      </c>
      <c r="O1380" s="49" t="str">
        <f t="shared" ca="1" si="65"/>
        <v/>
      </c>
      <c r="P1380" s="38" t="str">
        <f>IF(E1380&lt;&gt;"",RANK(E1380,$E$3:$E$2298)+COUNTIF($E$3:E1380,E1380)-1,"")</f>
        <v/>
      </c>
    </row>
    <row r="1381" spans="4:16" x14ac:dyDescent="0.25">
      <c r="D1381" s="36" t="str" cm="1">
        <f t="array" aca="1" ref="D1381" ca="1">IFERROR(IF(INDIRECT("'"&amp;F1381&amp;"'!$C$5")&gt;0,DATE(YEAR(Dashboard!$AL$2),Dashboard!$AU$4,INDIRECT("'"&amp;F1381&amp;"'!$C$5")),""),"")</f>
        <v/>
      </c>
      <c r="G1381" s="38" t="str" cm="1">
        <f t="array" aca="1" ref="G1381" ca="1">IF(F1381="",
    "",
    IFERROR(
        IF(INDIRECT("'"&amp;F1381&amp;"'!$B$2")="Credit Limit",
            "Credit Accounts",
            IF(INDIRECT("'"&amp;F1381&amp;"'!$E$2")="Location",
                "Cash Accounts",
                IF(INDIRECT("'"&amp;F1381&amp;"'!$B$2")="Amount",
                    "Investments",
                    "Bill Accounts"
                )
            )
        ),
    "")
)</f>
        <v/>
      </c>
      <c r="I1381" s="46" t="str" cm="1">
        <f t="array" aca="1" ref="I1381" ca="1">IF(F1381&lt;&gt;"",IF(OR(G1381="Bill Accounts",G1381="Investments", G1381="Cash Accounts"),INDIRECT("'"&amp;F1381&amp;"'!$C$10"),INDIRECT("'"&amp;F1381&amp;"'!$C$8")),"")</f>
        <v/>
      </c>
      <c r="K1381" s="48">
        <f t="shared" si="66"/>
        <v>1387</v>
      </c>
      <c r="L1381" s="114" t="str" cm="1">
        <f t="array" aca="1" ref="L1381" ca="1">IF(F1381&lt;&gt;"",INDIRECT("'"&amp;F1381&amp;"'!$F$17"),"")</f>
        <v/>
      </c>
      <c r="M1381" s="116" t="str">
        <f t="shared" ca="1" si="64"/>
        <v/>
      </c>
      <c r="O1381" s="49" t="str">
        <f t="shared" ca="1" si="65"/>
        <v/>
      </c>
      <c r="P1381" s="38" t="str">
        <f>IF(E1381&lt;&gt;"",RANK(E1381,$E$3:$E$2298)+COUNTIF($E$3:E1381,E1381)-1,"")</f>
        <v/>
      </c>
    </row>
    <row r="1382" spans="4:16" x14ac:dyDescent="0.25">
      <c r="D1382" s="36" t="str" cm="1">
        <f t="array" aca="1" ref="D1382" ca="1">IFERROR(IF(INDIRECT("'"&amp;F1382&amp;"'!$C$5")&gt;0,DATE(YEAR(Dashboard!$AL$2),Dashboard!$AU$4,INDIRECT("'"&amp;F1382&amp;"'!$C$5")),""),"")</f>
        <v/>
      </c>
      <c r="G1382" s="38" t="str" cm="1">
        <f t="array" aca="1" ref="G1382" ca="1">IF(F1382="",
    "",
    IFERROR(
        IF(INDIRECT("'"&amp;F1382&amp;"'!$B$2")="Credit Limit",
            "Credit Accounts",
            IF(INDIRECT("'"&amp;F1382&amp;"'!$E$2")="Location",
                "Cash Accounts",
                IF(INDIRECT("'"&amp;F1382&amp;"'!$B$2")="Amount",
                    "Investments",
                    "Bill Accounts"
                )
            )
        ),
    "")
)</f>
        <v/>
      </c>
      <c r="I1382" s="46" t="str" cm="1">
        <f t="array" aca="1" ref="I1382" ca="1">IF(F1382&lt;&gt;"",IF(OR(G1382="Bill Accounts",G1382="Investments", G1382="Cash Accounts"),INDIRECT("'"&amp;F1382&amp;"'!$C$10"),INDIRECT("'"&amp;F1382&amp;"'!$C$8")),"")</f>
        <v/>
      </c>
      <c r="K1382" s="48">
        <f t="shared" si="66"/>
        <v>1388</v>
      </c>
      <c r="L1382" s="114" t="str" cm="1">
        <f t="array" aca="1" ref="L1382" ca="1">IF(F1382&lt;&gt;"",INDIRECT("'"&amp;F1382&amp;"'!$F$17"),"")</f>
        <v/>
      </c>
      <c r="M1382" s="116" t="str">
        <f t="shared" ca="1" si="64"/>
        <v/>
      </c>
      <c r="O1382" s="49" t="str">
        <f t="shared" ca="1" si="65"/>
        <v/>
      </c>
      <c r="P1382" s="38" t="str">
        <f>IF(E1382&lt;&gt;"",RANK(E1382,$E$3:$E$2298)+COUNTIF($E$3:E1382,E1382)-1,"")</f>
        <v/>
      </c>
    </row>
    <row r="1383" spans="4:16" x14ac:dyDescent="0.25">
      <c r="D1383" s="36" t="str" cm="1">
        <f t="array" aca="1" ref="D1383" ca="1">IFERROR(IF(INDIRECT("'"&amp;F1383&amp;"'!$C$5")&gt;0,DATE(YEAR(Dashboard!$AL$2),Dashboard!$AU$4,INDIRECT("'"&amp;F1383&amp;"'!$C$5")),""),"")</f>
        <v/>
      </c>
      <c r="G1383" s="38" t="str" cm="1">
        <f t="array" aca="1" ref="G1383" ca="1">IF(F1383="",
    "",
    IFERROR(
        IF(INDIRECT("'"&amp;F1383&amp;"'!$B$2")="Credit Limit",
            "Credit Accounts",
            IF(INDIRECT("'"&amp;F1383&amp;"'!$E$2")="Location",
                "Cash Accounts",
                IF(INDIRECT("'"&amp;F1383&amp;"'!$B$2")="Amount",
                    "Investments",
                    "Bill Accounts"
                )
            )
        ),
    "")
)</f>
        <v/>
      </c>
      <c r="I1383" s="46" t="str" cm="1">
        <f t="array" aca="1" ref="I1383" ca="1">IF(F1383&lt;&gt;"",IF(OR(G1383="Bill Accounts",G1383="Investments", G1383="Cash Accounts"),INDIRECT("'"&amp;F1383&amp;"'!$C$10"),INDIRECT("'"&amp;F1383&amp;"'!$C$8")),"")</f>
        <v/>
      </c>
      <c r="K1383" s="48">
        <f t="shared" si="66"/>
        <v>1389</v>
      </c>
      <c r="L1383" s="114" t="str" cm="1">
        <f t="array" aca="1" ref="L1383" ca="1">IF(F1383&lt;&gt;"",INDIRECT("'"&amp;F1383&amp;"'!$F$17"),"")</f>
        <v/>
      </c>
      <c r="M1383" s="116" t="str">
        <f t="shared" ca="1" si="64"/>
        <v/>
      </c>
      <c r="O1383" s="49" t="str">
        <f t="shared" ca="1" si="65"/>
        <v/>
      </c>
      <c r="P1383" s="38" t="str">
        <f>IF(E1383&lt;&gt;"",RANK(E1383,$E$3:$E$2298)+COUNTIF($E$3:E1383,E1383)-1,"")</f>
        <v/>
      </c>
    </row>
    <row r="1384" spans="4:16" x14ac:dyDescent="0.25">
      <c r="D1384" s="36" t="str" cm="1">
        <f t="array" aca="1" ref="D1384" ca="1">IFERROR(IF(INDIRECT("'"&amp;F1384&amp;"'!$C$5")&gt;0,DATE(YEAR(Dashboard!$AL$2),Dashboard!$AU$4,INDIRECT("'"&amp;F1384&amp;"'!$C$5")),""),"")</f>
        <v/>
      </c>
      <c r="G1384" s="38" t="str" cm="1">
        <f t="array" aca="1" ref="G1384" ca="1">IF(F1384="",
    "",
    IFERROR(
        IF(INDIRECT("'"&amp;F1384&amp;"'!$B$2")="Credit Limit",
            "Credit Accounts",
            IF(INDIRECT("'"&amp;F1384&amp;"'!$E$2")="Location",
                "Cash Accounts",
                IF(INDIRECT("'"&amp;F1384&amp;"'!$B$2")="Amount",
                    "Investments",
                    "Bill Accounts"
                )
            )
        ),
    "")
)</f>
        <v/>
      </c>
      <c r="I1384" s="46" t="str" cm="1">
        <f t="array" aca="1" ref="I1384" ca="1">IF(F1384&lt;&gt;"",IF(OR(G1384="Bill Accounts",G1384="Investments", G1384="Cash Accounts"),INDIRECT("'"&amp;F1384&amp;"'!$C$10"),INDIRECT("'"&amp;F1384&amp;"'!$C$8")),"")</f>
        <v/>
      </c>
      <c r="K1384" s="48">
        <f t="shared" si="66"/>
        <v>1390</v>
      </c>
      <c r="L1384" s="114" t="str" cm="1">
        <f t="array" aca="1" ref="L1384" ca="1">IF(F1384&lt;&gt;"",INDIRECT("'"&amp;F1384&amp;"'!$F$17"),"")</f>
        <v/>
      </c>
      <c r="M1384" s="116" t="str">
        <f t="shared" ca="1" si="64"/>
        <v/>
      </c>
      <c r="O1384" s="49" t="str">
        <f t="shared" ca="1" si="65"/>
        <v/>
      </c>
      <c r="P1384" s="38" t="str">
        <f>IF(E1384&lt;&gt;"",RANK(E1384,$E$3:$E$2298)+COUNTIF($E$3:E1384,E1384)-1,"")</f>
        <v/>
      </c>
    </row>
    <row r="1385" spans="4:16" x14ac:dyDescent="0.25">
      <c r="D1385" s="36" t="str" cm="1">
        <f t="array" aca="1" ref="D1385" ca="1">IFERROR(IF(INDIRECT("'"&amp;F1385&amp;"'!$C$5")&gt;0,DATE(YEAR(Dashboard!$AL$2),Dashboard!$AU$4,INDIRECT("'"&amp;F1385&amp;"'!$C$5")),""),"")</f>
        <v/>
      </c>
      <c r="G1385" s="38" t="str" cm="1">
        <f t="array" aca="1" ref="G1385" ca="1">IF(F1385="",
    "",
    IFERROR(
        IF(INDIRECT("'"&amp;F1385&amp;"'!$B$2")="Credit Limit",
            "Credit Accounts",
            IF(INDIRECT("'"&amp;F1385&amp;"'!$E$2")="Location",
                "Cash Accounts",
                IF(INDIRECT("'"&amp;F1385&amp;"'!$B$2")="Amount",
                    "Investments",
                    "Bill Accounts"
                )
            )
        ),
    "")
)</f>
        <v/>
      </c>
      <c r="I1385" s="46" t="str" cm="1">
        <f t="array" aca="1" ref="I1385" ca="1">IF(F1385&lt;&gt;"",IF(OR(G1385="Bill Accounts",G1385="Investments", G1385="Cash Accounts"),INDIRECT("'"&amp;F1385&amp;"'!$C$10"),INDIRECT("'"&amp;F1385&amp;"'!$C$8")),"")</f>
        <v/>
      </c>
      <c r="K1385" s="48">
        <f t="shared" si="66"/>
        <v>1391</v>
      </c>
      <c r="L1385" s="114" t="str" cm="1">
        <f t="array" aca="1" ref="L1385" ca="1">IF(F1385&lt;&gt;"",INDIRECT("'"&amp;F1385&amp;"'!$F$17"),"")</f>
        <v/>
      </c>
      <c r="M1385" s="116" t="str">
        <f t="shared" ca="1" si="64"/>
        <v/>
      </c>
      <c r="O1385" s="49" t="str">
        <f t="shared" ca="1" si="65"/>
        <v/>
      </c>
      <c r="P1385" s="38" t="str">
        <f>IF(E1385&lt;&gt;"",RANK(E1385,$E$3:$E$2298)+COUNTIF($E$3:E1385,E1385)-1,"")</f>
        <v/>
      </c>
    </row>
    <row r="1386" spans="4:16" x14ac:dyDescent="0.25">
      <c r="D1386" s="36" t="str" cm="1">
        <f t="array" aca="1" ref="D1386" ca="1">IFERROR(IF(INDIRECT("'"&amp;F1386&amp;"'!$C$5")&gt;0,DATE(YEAR(Dashboard!$AL$2),Dashboard!$AU$4,INDIRECT("'"&amp;F1386&amp;"'!$C$5")),""),"")</f>
        <v/>
      </c>
      <c r="G1386" s="38" t="str" cm="1">
        <f t="array" aca="1" ref="G1386" ca="1">IF(F1386="",
    "",
    IFERROR(
        IF(INDIRECT("'"&amp;F1386&amp;"'!$B$2")="Credit Limit",
            "Credit Accounts",
            IF(INDIRECT("'"&amp;F1386&amp;"'!$E$2")="Location",
                "Cash Accounts",
                IF(INDIRECT("'"&amp;F1386&amp;"'!$B$2")="Amount",
                    "Investments",
                    "Bill Accounts"
                )
            )
        ),
    "")
)</f>
        <v/>
      </c>
      <c r="I1386" s="46" t="str" cm="1">
        <f t="array" aca="1" ref="I1386" ca="1">IF(F1386&lt;&gt;"",IF(OR(G1386="Bill Accounts",G1386="Investments", G1386="Cash Accounts"),INDIRECT("'"&amp;F1386&amp;"'!$C$10"),INDIRECT("'"&amp;F1386&amp;"'!$C$8")),"")</f>
        <v/>
      </c>
      <c r="K1386" s="48">
        <f t="shared" si="66"/>
        <v>1392</v>
      </c>
      <c r="L1386" s="114" t="str" cm="1">
        <f t="array" aca="1" ref="L1386" ca="1">IF(F1386&lt;&gt;"",INDIRECT("'"&amp;F1386&amp;"'!$F$17"),"")</f>
        <v/>
      </c>
      <c r="M1386" s="116" t="str">
        <f t="shared" ca="1" si="64"/>
        <v/>
      </c>
      <c r="O1386" s="49" t="str">
        <f t="shared" ca="1" si="65"/>
        <v/>
      </c>
      <c r="P1386" s="38" t="str">
        <f>IF(E1386&lt;&gt;"",RANK(E1386,$E$3:$E$2298)+COUNTIF($E$3:E1386,E1386)-1,"")</f>
        <v/>
      </c>
    </row>
    <row r="1387" spans="4:16" x14ac:dyDescent="0.25">
      <c r="D1387" s="36" t="str" cm="1">
        <f t="array" aca="1" ref="D1387" ca="1">IFERROR(IF(INDIRECT("'"&amp;F1387&amp;"'!$C$5")&gt;0,DATE(YEAR(Dashboard!$AL$2),Dashboard!$AU$4,INDIRECT("'"&amp;F1387&amp;"'!$C$5")),""),"")</f>
        <v/>
      </c>
      <c r="G1387" s="38" t="str" cm="1">
        <f t="array" aca="1" ref="G1387" ca="1">IF(F1387="",
    "",
    IFERROR(
        IF(INDIRECT("'"&amp;F1387&amp;"'!$B$2")="Credit Limit",
            "Credit Accounts",
            IF(INDIRECT("'"&amp;F1387&amp;"'!$E$2")="Location",
                "Cash Accounts",
                IF(INDIRECT("'"&amp;F1387&amp;"'!$B$2")="Amount",
                    "Investments",
                    "Bill Accounts"
                )
            )
        ),
    "")
)</f>
        <v/>
      </c>
      <c r="I1387" s="46" t="str" cm="1">
        <f t="array" aca="1" ref="I1387" ca="1">IF(F1387&lt;&gt;"",IF(OR(G1387="Bill Accounts",G1387="Investments", G1387="Cash Accounts"),INDIRECT("'"&amp;F1387&amp;"'!$C$10"),INDIRECT("'"&amp;F1387&amp;"'!$C$8")),"")</f>
        <v/>
      </c>
      <c r="K1387" s="48">
        <f t="shared" si="66"/>
        <v>1393</v>
      </c>
      <c r="L1387" s="114" t="str" cm="1">
        <f t="array" aca="1" ref="L1387" ca="1">IF(F1387&lt;&gt;"",INDIRECT("'"&amp;F1387&amp;"'!$F$17"),"")</f>
        <v/>
      </c>
      <c r="M1387" s="116" t="str">
        <f t="shared" ca="1" si="64"/>
        <v/>
      </c>
      <c r="O1387" s="49" t="str">
        <f t="shared" ca="1" si="65"/>
        <v/>
      </c>
      <c r="P1387" s="38" t="str">
        <f>IF(E1387&lt;&gt;"",RANK(E1387,$E$3:$E$2298)+COUNTIF($E$3:E1387,E1387)-1,"")</f>
        <v/>
      </c>
    </row>
    <row r="1388" spans="4:16" x14ac:dyDescent="0.25">
      <c r="D1388" s="36" t="str" cm="1">
        <f t="array" aca="1" ref="D1388" ca="1">IFERROR(IF(INDIRECT("'"&amp;F1388&amp;"'!$C$5")&gt;0,DATE(YEAR(Dashboard!$AL$2),Dashboard!$AU$4,INDIRECT("'"&amp;F1388&amp;"'!$C$5")),""),"")</f>
        <v/>
      </c>
      <c r="G1388" s="38" t="str" cm="1">
        <f t="array" aca="1" ref="G1388" ca="1">IF(F1388="",
    "",
    IFERROR(
        IF(INDIRECT("'"&amp;F1388&amp;"'!$B$2")="Credit Limit",
            "Credit Accounts",
            IF(INDIRECT("'"&amp;F1388&amp;"'!$E$2")="Location",
                "Cash Accounts",
                IF(INDIRECT("'"&amp;F1388&amp;"'!$B$2")="Amount",
                    "Investments",
                    "Bill Accounts"
                )
            )
        ),
    "")
)</f>
        <v/>
      </c>
      <c r="I1388" s="46" t="str" cm="1">
        <f t="array" aca="1" ref="I1388" ca="1">IF(F1388&lt;&gt;"",IF(OR(G1388="Bill Accounts",G1388="Investments", G1388="Cash Accounts"),INDIRECT("'"&amp;F1388&amp;"'!$C$10"),INDIRECT("'"&amp;F1388&amp;"'!$C$8")),"")</f>
        <v/>
      </c>
      <c r="K1388" s="48">
        <f t="shared" si="66"/>
        <v>1394</v>
      </c>
      <c r="L1388" s="114" t="str" cm="1">
        <f t="array" aca="1" ref="L1388" ca="1">IF(F1388&lt;&gt;"",INDIRECT("'"&amp;F1388&amp;"'!$F$17"),"")</f>
        <v/>
      </c>
      <c r="M1388" s="116" t="str">
        <f t="shared" ca="1" si="64"/>
        <v/>
      </c>
      <c r="O1388" s="49" t="str">
        <f t="shared" ca="1" si="65"/>
        <v/>
      </c>
      <c r="P1388" s="38" t="str">
        <f>IF(E1388&lt;&gt;"",RANK(E1388,$E$3:$E$2298)+COUNTIF($E$3:E1388,E1388)-1,"")</f>
        <v/>
      </c>
    </row>
    <row r="1389" spans="4:16" x14ac:dyDescent="0.25">
      <c r="D1389" s="36" t="str" cm="1">
        <f t="array" aca="1" ref="D1389" ca="1">IFERROR(IF(INDIRECT("'"&amp;F1389&amp;"'!$C$5")&gt;0,DATE(YEAR(Dashboard!$AL$2),Dashboard!$AU$4,INDIRECT("'"&amp;F1389&amp;"'!$C$5")),""),"")</f>
        <v/>
      </c>
      <c r="G1389" s="38" t="str" cm="1">
        <f t="array" aca="1" ref="G1389" ca="1">IF(F1389="",
    "",
    IFERROR(
        IF(INDIRECT("'"&amp;F1389&amp;"'!$B$2")="Credit Limit",
            "Credit Accounts",
            IF(INDIRECT("'"&amp;F1389&amp;"'!$E$2")="Location",
                "Cash Accounts",
                IF(INDIRECT("'"&amp;F1389&amp;"'!$B$2")="Amount",
                    "Investments",
                    "Bill Accounts"
                )
            )
        ),
    "")
)</f>
        <v/>
      </c>
      <c r="I1389" s="46" t="str" cm="1">
        <f t="array" aca="1" ref="I1389" ca="1">IF(F1389&lt;&gt;"",IF(OR(G1389="Bill Accounts",G1389="Investments", G1389="Cash Accounts"),INDIRECT("'"&amp;F1389&amp;"'!$C$10"),INDIRECT("'"&amp;F1389&amp;"'!$C$8")),"")</f>
        <v/>
      </c>
      <c r="K1389" s="48">
        <f t="shared" si="66"/>
        <v>1395</v>
      </c>
      <c r="L1389" s="114" t="str" cm="1">
        <f t="array" aca="1" ref="L1389" ca="1">IF(F1389&lt;&gt;"",INDIRECT("'"&amp;F1389&amp;"'!$F$17"),"")</f>
        <v/>
      </c>
      <c r="M1389" s="116" t="str">
        <f t="shared" ca="1" si="64"/>
        <v/>
      </c>
      <c r="O1389" s="49" t="str">
        <f t="shared" ca="1" si="65"/>
        <v/>
      </c>
      <c r="P1389" s="38" t="str">
        <f>IF(E1389&lt;&gt;"",RANK(E1389,$E$3:$E$2298)+COUNTIF($E$3:E1389,E1389)-1,"")</f>
        <v/>
      </c>
    </row>
    <row r="1390" spans="4:16" x14ac:dyDescent="0.25">
      <c r="D1390" s="36" t="str" cm="1">
        <f t="array" aca="1" ref="D1390" ca="1">IFERROR(IF(INDIRECT("'"&amp;F1390&amp;"'!$C$5")&gt;0,DATE(YEAR(Dashboard!$AL$2),Dashboard!$AU$4,INDIRECT("'"&amp;F1390&amp;"'!$C$5")),""),"")</f>
        <v/>
      </c>
      <c r="G1390" s="38" t="str" cm="1">
        <f t="array" aca="1" ref="G1390" ca="1">IF(F1390="",
    "",
    IFERROR(
        IF(INDIRECT("'"&amp;F1390&amp;"'!$B$2")="Credit Limit",
            "Credit Accounts",
            IF(INDIRECT("'"&amp;F1390&amp;"'!$E$2")="Location",
                "Cash Accounts",
                IF(INDIRECT("'"&amp;F1390&amp;"'!$B$2")="Amount",
                    "Investments",
                    "Bill Accounts"
                )
            )
        ),
    "")
)</f>
        <v/>
      </c>
      <c r="I1390" s="46" t="str" cm="1">
        <f t="array" aca="1" ref="I1390" ca="1">IF(F1390&lt;&gt;"",IF(OR(G1390="Bill Accounts",G1390="Investments", G1390="Cash Accounts"),INDIRECT("'"&amp;F1390&amp;"'!$C$10"),INDIRECT("'"&amp;F1390&amp;"'!$C$8")),"")</f>
        <v/>
      </c>
      <c r="K1390" s="48">
        <f t="shared" si="66"/>
        <v>1396</v>
      </c>
      <c r="L1390" s="114" t="str" cm="1">
        <f t="array" aca="1" ref="L1390" ca="1">IF(F1390&lt;&gt;"",INDIRECT("'"&amp;F1390&amp;"'!$F$17"),"")</f>
        <v/>
      </c>
      <c r="M1390" s="116" t="str">
        <f t="shared" ca="1" si="64"/>
        <v/>
      </c>
      <c r="O1390" s="49" t="str">
        <f t="shared" ca="1" si="65"/>
        <v/>
      </c>
      <c r="P1390" s="38" t="str">
        <f>IF(E1390&lt;&gt;"",RANK(E1390,$E$3:$E$2298)+COUNTIF($E$3:E1390,E1390)-1,"")</f>
        <v/>
      </c>
    </row>
    <row r="1391" spans="4:16" x14ac:dyDescent="0.25">
      <c r="D1391" s="36" t="str" cm="1">
        <f t="array" aca="1" ref="D1391" ca="1">IFERROR(IF(INDIRECT("'"&amp;F1391&amp;"'!$C$5")&gt;0,DATE(YEAR(Dashboard!$AL$2),Dashboard!$AU$4,INDIRECT("'"&amp;F1391&amp;"'!$C$5")),""),"")</f>
        <v/>
      </c>
      <c r="G1391" s="38" t="str" cm="1">
        <f t="array" aca="1" ref="G1391" ca="1">IF(F1391="",
    "",
    IFERROR(
        IF(INDIRECT("'"&amp;F1391&amp;"'!$B$2")="Credit Limit",
            "Credit Accounts",
            IF(INDIRECT("'"&amp;F1391&amp;"'!$E$2")="Location",
                "Cash Accounts",
                IF(INDIRECT("'"&amp;F1391&amp;"'!$B$2")="Amount",
                    "Investments",
                    "Bill Accounts"
                )
            )
        ),
    "")
)</f>
        <v/>
      </c>
      <c r="I1391" s="46" t="str" cm="1">
        <f t="array" aca="1" ref="I1391" ca="1">IF(F1391&lt;&gt;"",IF(OR(G1391="Bill Accounts",G1391="Investments", G1391="Cash Accounts"),INDIRECT("'"&amp;F1391&amp;"'!$C$10"),INDIRECT("'"&amp;F1391&amp;"'!$C$8")),"")</f>
        <v/>
      </c>
      <c r="K1391" s="48">
        <f t="shared" si="66"/>
        <v>1397</v>
      </c>
      <c r="L1391" s="114" t="str" cm="1">
        <f t="array" aca="1" ref="L1391" ca="1">IF(F1391&lt;&gt;"",INDIRECT("'"&amp;F1391&amp;"'!$F$17"),"")</f>
        <v/>
      </c>
      <c r="M1391" s="116" t="str">
        <f t="shared" ca="1" si="64"/>
        <v/>
      </c>
      <c r="O1391" s="49" t="str">
        <f t="shared" ca="1" si="65"/>
        <v/>
      </c>
      <c r="P1391" s="38" t="str">
        <f>IF(E1391&lt;&gt;"",RANK(E1391,$E$3:$E$2298)+COUNTIF($E$3:E1391,E1391)-1,"")</f>
        <v/>
      </c>
    </row>
    <row r="1392" spans="4:16" x14ac:dyDescent="0.25">
      <c r="D1392" s="36" t="str" cm="1">
        <f t="array" aca="1" ref="D1392" ca="1">IFERROR(IF(INDIRECT("'"&amp;F1392&amp;"'!$C$5")&gt;0,DATE(YEAR(Dashboard!$AL$2),Dashboard!$AU$4,INDIRECT("'"&amp;F1392&amp;"'!$C$5")),""),"")</f>
        <v/>
      </c>
      <c r="G1392" s="38" t="str" cm="1">
        <f t="array" aca="1" ref="G1392" ca="1">IF(F1392="",
    "",
    IFERROR(
        IF(INDIRECT("'"&amp;F1392&amp;"'!$B$2")="Credit Limit",
            "Credit Accounts",
            IF(INDIRECT("'"&amp;F1392&amp;"'!$E$2")="Location",
                "Cash Accounts",
                IF(INDIRECT("'"&amp;F1392&amp;"'!$B$2")="Amount",
                    "Investments",
                    "Bill Accounts"
                )
            )
        ),
    "")
)</f>
        <v/>
      </c>
      <c r="I1392" s="46" t="str" cm="1">
        <f t="array" aca="1" ref="I1392" ca="1">IF(F1392&lt;&gt;"",IF(OR(G1392="Bill Accounts",G1392="Investments", G1392="Cash Accounts"),INDIRECT("'"&amp;F1392&amp;"'!$C$10"),INDIRECT("'"&amp;F1392&amp;"'!$C$8")),"")</f>
        <v/>
      </c>
      <c r="K1392" s="48">
        <f t="shared" si="66"/>
        <v>1398</v>
      </c>
      <c r="L1392" s="114" t="str" cm="1">
        <f t="array" aca="1" ref="L1392" ca="1">IF(F1392&lt;&gt;"",INDIRECT("'"&amp;F1392&amp;"'!$F$17"),"")</f>
        <v/>
      </c>
      <c r="M1392" s="116" t="str">
        <f t="shared" ca="1" si="64"/>
        <v/>
      </c>
      <c r="O1392" s="49" t="str">
        <f t="shared" ca="1" si="65"/>
        <v/>
      </c>
      <c r="P1392" s="38" t="str">
        <f>IF(E1392&lt;&gt;"",RANK(E1392,$E$3:$E$2298)+COUNTIF($E$3:E1392,E1392)-1,"")</f>
        <v/>
      </c>
    </row>
    <row r="1393" spans="4:16" x14ac:dyDescent="0.25">
      <c r="D1393" s="36" t="str" cm="1">
        <f t="array" aca="1" ref="D1393" ca="1">IFERROR(IF(INDIRECT("'"&amp;F1393&amp;"'!$C$5")&gt;0,DATE(YEAR(Dashboard!$AL$2),Dashboard!$AU$4,INDIRECT("'"&amp;F1393&amp;"'!$C$5")),""),"")</f>
        <v/>
      </c>
      <c r="G1393" s="38" t="str" cm="1">
        <f t="array" aca="1" ref="G1393" ca="1">IF(F1393="",
    "",
    IFERROR(
        IF(INDIRECT("'"&amp;F1393&amp;"'!$B$2")="Credit Limit",
            "Credit Accounts",
            IF(INDIRECT("'"&amp;F1393&amp;"'!$E$2")="Location",
                "Cash Accounts",
                IF(INDIRECT("'"&amp;F1393&amp;"'!$B$2")="Amount",
                    "Investments",
                    "Bill Accounts"
                )
            )
        ),
    "")
)</f>
        <v/>
      </c>
      <c r="I1393" s="46" t="str" cm="1">
        <f t="array" aca="1" ref="I1393" ca="1">IF(F1393&lt;&gt;"",IF(OR(G1393="Bill Accounts",G1393="Investments", G1393="Cash Accounts"),INDIRECT("'"&amp;F1393&amp;"'!$C$10"),INDIRECT("'"&amp;F1393&amp;"'!$C$8")),"")</f>
        <v/>
      </c>
      <c r="K1393" s="48">
        <f t="shared" si="66"/>
        <v>1399</v>
      </c>
      <c r="L1393" s="114" t="str" cm="1">
        <f t="array" aca="1" ref="L1393" ca="1">IF(F1393&lt;&gt;"",INDIRECT("'"&amp;F1393&amp;"'!$F$17"),"")</f>
        <v/>
      </c>
      <c r="M1393" s="116" t="str">
        <f t="shared" ca="1" si="64"/>
        <v/>
      </c>
      <c r="O1393" s="49" t="str">
        <f t="shared" ca="1" si="65"/>
        <v/>
      </c>
      <c r="P1393" s="38" t="str">
        <f>IF(E1393&lt;&gt;"",RANK(E1393,$E$3:$E$2298)+COUNTIF($E$3:E1393,E1393)-1,"")</f>
        <v/>
      </c>
    </row>
    <row r="1394" spans="4:16" x14ac:dyDescent="0.25">
      <c r="D1394" s="36" t="str" cm="1">
        <f t="array" aca="1" ref="D1394" ca="1">IFERROR(IF(INDIRECT("'"&amp;F1394&amp;"'!$C$5")&gt;0,DATE(YEAR(Dashboard!$AL$2),Dashboard!$AU$4,INDIRECT("'"&amp;F1394&amp;"'!$C$5")),""),"")</f>
        <v/>
      </c>
      <c r="G1394" s="38" t="str" cm="1">
        <f t="array" aca="1" ref="G1394" ca="1">IF(F1394="",
    "",
    IFERROR(
        IF(INDIRECT("'"&amp;F1394&amp;"'!$B$2")="Credit Limit",
            "Credit Accounts",
            IF(INDIRECT("'"&amp;F1394&amp;"'!$E$2")="Location",
                "Cash Accounts",
                IF(INDIRECT("'"&amp;F1394&amp;"'!$B$2")="Amount",
                    "Investments",
                    "Bill Accounts"
                )
            )
        ),
    "")
)</f>
        <v/>
      </c>
      <c r="I1394" s="46" t="str" cm="1">
        <f t="array" aca="1" ref="I1394" ca="1">IF(F1394&lt;&gt;"",IF(OR(G1394="Bill Accounts",G1394="Investments", G1394="Cash Accounts"),INDIRECT("'"&amp;F1394&amp;"'!$C$10"),INDIRECT("'"&amp;F1394&amp;"'!$C$8")),"")</f>
        <v/>
      </c>
      <c r="K1394" s="48">
        <f t="shared" si="66"/>
        <v>1400</v>
      </c>
      <c r="L1394" s="114" t="str" cm="1">
        <f t="array" aca="1" ref="L1394" ca="1">IF(F1394&lt;&gt;"",INDIRECT("'"&amp;F1394&amp;"'!$F$17"),"")</f>
        <v/>
      </c>
      <c r="M1394" s="116" t="str">
        <f t="shared" ca="1" si="64"/>
        <v/>
      </c>
      <c r="O1394" s="49" t="str">
        <f t="shared" ca="1" si="65"/>
        <v/>
      </c>
      <c r="P1394" s="38" t="str">
        <f>IF(E1394&lt;&gt;"",RANK(E1394,$E$3:$E$2298)+COUNTIF($E$3:E1394,E1394)-1,"")</f>
        <v/>
      </c>
    </row>
    <row r="1395" spans="4:16" x14ac:dyDescent="0.25">
      <c r="D1395" s="36" t="str" cm="1">
        <f t="array" aca="1" ref="D1395" ca="1">IFERROR(IF(INDIRECT("'"&amp;F1395&amp;"'!$C$5")&gt;0,DATE(YEAR(Dashboard!$AL$2),Dashboard!$AU$4,INDIRECT("'"&amp;F1395&amp;"'!$C$5")),""),"")</f>
        <v/>
      </c>
      <c r="G1395" s="38" t="str" cm="1">
        <f t="array" aca="1" ref="G1395" ca="1">IF(F1395="",
    "",
    IFERROR(
        IF(INDIRECT("'"&amp;F1395&amp;"'!$B$2")="Credit Limit",
            "Credit Accounts",
            IF(INDIRECT("'"&amp;F1395&amp;"'!$E$2")="Location",
                "Cash Accounts",
                IF(INDIRECT("'"&amp;F1395&amp;"'!$B$2")="Amount",
                    "Investments",
                    "Bill Accounts"
                )
            )
        ),
    "")
)</f>
        <v/>
      </c>
      <c r="I1395" s="46" t="str" cm="1">
        <f t="array" aca="1" ref="I1395" ca="1">IF(F1395&lt;&gt;"",IF(OR(G1395="Bill Accounts",G1395="Investments", G1395="Cash Accounts"),INDIRECT("'"&amp;F1395&amp;"'!$C$10"),INDIRECT("'"&amp;F1395&amp;"'!$C$8")),"")</f>
        <v/>
      </c>
      <c r="K1395" s="48">
        <f t="shared" si="66"/>
        <v>1401</v>
      </c>
      <c r="L1395" s="114" t="str" cm="1">
        <f t="array" aca="1" ref="L1395" ca="1">IF(F1395&lt;&gt;"",INDIRECT("'"&amp;F1395&amp;"'!$F$17"),"")</f>
        <v/>
      </c>
      <c r="M1395" s="116" t="str">
        <f t="shared" ca="1" si="64"/>
        <v/>
      </c>
      <c r="O1395" s="49" t="str">
        <f t="shared" ca="1" si="65"/>
        <v/>
      </c>
      <c r="P1395" s="38" t="str">
        <f>IF(E1395&lt;&gt;"",RANK(E1395,$E$3:$E$2298)+COUNTIF($E$3:E1395,E1395)-1,"")</f>
        <v/>
      </c>
    </row>
    <row r="1396" spans="4:16" x14ac:dyDescent="0.25">
      <c r="D1396" s="36" t="str" cm="1">
        <f t="array" aca="1" ref="D1396" ca="1">IFERROR(IF(INDIRECT("'"&amp;F1396&amp;"'!$C$5")&gt;0,DATE(YEAR(Dashboard!$AL$2),Dashboard!$AU$4,INDIRECT("'"&amp;F1396&amp;"'!$C$5")),""),"")</f>
        <v/>
      </c>
      <c r="G1396" s="38" t="str" cm="1">
        <f t="array" aca="1" ref="G1396" ca="1">IF(F1396="",
    "",
    IFERROR(
        IF(INDIRECT("'"&amp;F1396&amp;"'!$B$2")="Credit Limit",
            "Credit Accounts",
            IF(INDIRECT("'"&amp;F1396&amp;"'!$E$2")="Location",
                "Cash Accounts",
                IF(INDIRECT("'"&amp;F1396&amp;"'!$B$2")="Amount",
                    "Investments",
                    "Bill Accounts"
                )
            )
        ),
    "")
)</f>
        <v/>
      </c>
      <c r="I1396" s="46" t="str" cm="1">
        <f t="array" aca="1" ref="I1396" ca="1">IF(F1396&lt;&gt;"",IF(OR(G1396="Bill Accounts",G1396="Investments", G1396="Cash Accounts"),INDIRECT("'"&amp;F1396&amp;"'!$C$10"),INDIRECT("'"&amp;F1396&amp;"'!$C$8")),"")</f>
        <v/>
      </c>
      <c r="K1396" s="48">
        <f t="shared" si="66"/>
        <v>1402</v>
      </c>
      <c r="L1396" s="114" t="str" cm="1">
        <f t="array" aca="1" ref="L1396" ca="1">IF(F1396&lt;&gt;"",INDIRECT("'"&amp;F1396&amp;"'!$F$17"),"")</f>
        <v/>
      </c>
      <c r="M1396" s="116" t="str">
        <f t="shared" ca="1" si="64"/>
        <v/>
      </c>
      <c r="O1396" s="49" t="str">
        <f t="shared" ca="1" si="65"/>
        <v/>
      </c>
      <c r="P1396" s="38" t="str">
        <f>IF(E1396&lt;&gt;"",RANK(E1396,$E$3:$E$2298)+COUNTIF($E$3:E1396,E1396)-1,"")</f>
        <v/>
      </c>
    </row>
    <row r="1397" spans="4:16" x14ac:dyDescent="0.25">
      <c r="D1397" s="36" t="str" cm="1">
        <f t="array" aca="1" ref="D1397" ca="1">IFERROR(IF(INDIRECT("'"&amp;F1397&amp;"'!$C$5")&gt;0,DATE(YEAR(Dashboard!$AL$2),Dashboard!$AU$4,INDIRECT("'"&amp;F1397&amp;"'!$C$5")),""),"")</f>
        <v/>
      </c>
      <c r="G1397" s="38" t="str" cm="1">
        <f t="array" aca="1" ref="G1397" ca="1">IF(F1397="",
    "",
    IFERROR(
        IF(INDIRECT("'"&amp;F1397&amp;"'!$B$2")="Credit Limit",
            "Credit Accounts",
            IF(INDIRECT("'"&amp;F1397&amp;"'!$E$2")="Location",
                "Cash Accounts",
                IF(INDIRECT("'"&amp;F1397&amp;"'!$B$2")="Amount",
                    "Investments",
                    "Bill Accounts"
                )
            )
        ),
    "")
)</f>
        <v/>
      </c>
      <c r="I1397" s="46" t="str" cm="1">
        <f t="array" aca="1" ref="I1397" ca="1">IF(F1397&lt;&gt;"",IF(OR(G1397="Bill Accounts",G1397="Investments", G1397="Cash Accounts"),INDIRECT("'"&amp;F1397&amp;"'!$C$10"),INDIRECT("'"&amp;F1397&amp;"'!$C$8")),"")</f>
        <v/>
      </c>
      <c r="K1397" s="48">
        <f t="shared" si="66"/>
        <v>1403</v>
      </c>
      <c r="L1397" s="114" t="str" cm="1">
        <f t="array" aca="1" ref="L1397" ca="1">IF(F1397&lt;&gt;"",INDIRECT("'"&amp;F1397&amp;"'!$F$17"),"")</f>
        <v/>
      </c>
      <c r="M1397" s="116" t="str">
        <f t="shared" ca="1" si="64"/>
        <v/>
      </c>
      <c r="O1397" s="49" t="str">
        <f t="shared" ca="1" si="65"/>
        <v/>
      </c>
      <c r="P1397" s="38" t="str">
        <f>IF(E1397&lt;&gt;"",RANK(E1397,$E$3:$E$2298)+COUNTIF($E$3:E1397,E1397)-1,"")</f>
        <v/>
      </c>
    </row>
    <row r="1398" spans="4:16" x14ac:dyDescent="0.25">
      <c r="D1398" s="36" t="str" cm="1">
        <f t="array" aca="1" ref="D1398" ca="1">IFERROR(IF(INDIRECT("'"&amp;F1398&amp;"'!$C$5")&gt;0,DATE(YEAR(Dashboard!$AL$2),Dashboard!$AU$4,INDIRECT("'"&amp;F1398&amp;"'!$C$5")),""),"")</f>
        <v/>
      </c>
      <c r="G1398" s="38" t="str" cm="1">
        <f t="array" aca="1" ref="G1398" ca="1">IF(F1398="",
    "",
    IFERROR(
        IF(INDIRECT("'"&amp;F1398&amp;"'!$B$2")="Credit Limit",
            "Credit Accounts",
            IF(INDIRECT("'"&amp;F1398&amp;"'!$E$2")="Location",
                "Cash Accounts",
                IF(INDIRECT("'"&amp;F1398&amp;"'!$B$2")="Amount",
                    "Investments",
                    "Bill Accounts"
                )
            )
        ),
    "")
)</f>
        <v/>
      </c>
      <c r="I1398" s="46" t="str" cm="1">
        <f t="array" aca="1" ref="I1398" ca="1">IF(F1398&lt;&gt;"",IF(OR(G1398="Bill Accounts",G1398="Investments", G1398="Cash Accounts"),INDIRECT("'"&amp;F1398&amp;"'!$C$10"),INDIRECT("'"&amp;F1398&amp;"'!$C$8")),"")</f>
        <v/>
      </c>
      <c r="K1398" s="48">
        <f t="shared" si="66"/>
        <v>1404</v>
      </c>
      <c r="L1398" s="114" t="str" cm="1">
        <f t="array" aca="1" ref="L1398" ca="1">IF(F1398&lt;&gt;"",INDIRECT("'"&amp;F1398&amp;"'!$F$17"),"")</f>
        <v/>
      </c>
      <c r="M1398" s="116" t="str">
        <f t="shared" ca="1" si="64"/>
        <v/>
      </c>
      <c r="O1398" s="49" t="str">
        <f t="shared" ca="1" si="65"/>
        <v/>
      </c>
      <c r="P1398" s="38" t="str">
        <f>IF(E1398&lt;&gt;"",RANK(E1398,$E$3:$E$2298)+COUNTIF($E$3:E1398,E1398)-1,"")</f>
        <v/>
      </c>
    </row>
    <row r="1399" spans="4:16" x14ac:dyDescent="0.25">
      <c r="D1399" s="36" t="str" cm="1">
        <f t="array" aca="1" ref="D1399" ca="1">IFERROR(IF(INDIRECT("'"&amp;F1399&amp;"'!$C$5")&gt;0,DATE(YEAR(Dashboard!$AL$2),Dashboard!$AU$4,INDIRECT("'"&amp;F1399&amp;"'!$C$5")),""),"")</f>
        <v/>
      </c>
      <c r="G1399" s="38" t="str" cm="1">
        <f t="array" aca="1" ref="G1399" ca="1">IF(F1399="",
    "",
    IFERROR(
        IF(INDIRECT("'"&amp;F1399&amp;"'!$B$2")="Credit Limit",
            "Credit Accounts",
            IF(INDIRECT("'"&amp;F1399&amp;"'!$E$2")="Location",
                "Cash Accounts",
                IF(INDIRECT("'"&amp;F1399&amp;"'!$B$2")="Amount",
                    "Investments",
                    "Bill Accounts"
                )
            )
        ),
    "")
)</f>
        <v/>
      </c>
      <c r="I1399" s="46" t="str" cm="1">
        <f t="array" aca="1" ref="I1399" ca="1">IF(F1399&lt;&gt;"",IF(OR(G1399="Bill Accounts",G1399="Investments", G1399="Cash Accounts"),INDIRECT("'"&amp;F1399&amp;"'!$C$10"),INDIRECT("'"&amp;F1399&amp;"'!$C$8")),"")</f>
        <v/>
      </c>
      <c r="K1399" s="48">
        <f t="shared" si="66"/>
        <v>1405</v>
      </c>
      <c r="L1399" s="114" t="str" cm="1">
        <f t="array" aca="1" ref="L1399" ca="1">IF(F1399&lt;&gt;"",INDIRECT("'"&amp;F1399&amp;"'!$F$17"),"")</f>
        <v/>
      </c>
      <c r="M1399" s="116" t="str">
        <f t="shared" ca="1" si="64"/>
        <v/>
      </c>
      <c r="O1399" s="49" t="str">
        <f t="shared" ca="1" si="65"/>
        <v/>
      </c>
      <c r="P1399" s="38" t="str">
        <f>IF(E1399&lt;&gt;"",RANK(E1399,$E$3:$E$2298)+COUNTIF($E$3:E1399,E1399)-1,"")</f>
        <v/>
      </c>
    </row>
    <row r="1400" spans="4:16" x14ac:dyDescent="0.25">
      <c r="D1400" s="36" t="str" cm="1">
        <f t="array" aca="1" ref="D1400" ca="1">IFERROR(IF(INDIRECT("'"&amp;F1400&amp;"'!$C$5")&gt;0,DATE(YEAR(Dashboard!$AL$2),Dashboard!$AU$4,INDIRECT("'"&amp;F1400&amp;"'!$C$5")),""),"")</f>
        <v/>
      </c>
      <c r="G1400" s="38" t="str" cm="1">
        <f t="array" aca="1" ref="G1400" ca="1">IF(F1400="",
    "",
    IFERROR(
        IF(INDIRECT("'"&amp;F1400&amp;"'!$B$2")="Credit Limit",
            "Credit Accounts",
            IF(INDIRECT("'"&amp;F1400&amp;"'!$E$2")="Location",
                "Cash Accounts",
                IF(INDIRECT("'"&amp;F1400&amp;"'!$B$2")="Amount",
                    "Investments",
                    "Bill Accounts"
                )
            )
        ),
    "")
)</f>
        <v/>
      </c>
      <c r="I1400" s="46" t="str" cm="1">
        <f t="array" aca="1" ref="I1400" ca="1">IF(F1400&lt;&gt;"",IF(OR(G1400="Bill Accounts",G1400="Investments", G1400="Cash Accounts"),INDIRECT("'"&amp;F1400&amp;"'!$C$10"),INDIRECT("'"&amp;F1400&amp;"'!$C$8")),"")</f>
        <v/>
      </c>
      <c r="K1400" s="48">
        <f t="shared" si="66"/>
        <v>1406</v>
      </c>
      <c r="L1400" s="114" t="str" cm="1">
        <f t="array" aca="1" ref="L1400" ca="1">IF(F1400&lt;&gt;"",INDIRECT("'"&amp;F1400&amp;"'!$F$17"),"")</f>
        <v/>
      </c>
      <c r="M1400" s="116" t="str">
        <f t="shared" ca="1" si="64"/>
        <v/>
      </c>
      <c r="O1400" s="49" t="str">
        <f t="shared" ca="1" si="65"/>
        <v/>
      </c>
      <c r="P1400" s="38" t="str">
        <f>IF(E1400&lt;&gt;"",RANK(E1400,$E$3:$E$2298)+COUNTIF($E$3:E1400,E1400)-1,"")</f>
        <v/>
      </c>
    </row>
    <row r="1401" spans="4:16" x14ac:dyDescent="0.25">
      <c r="D1401" s="36" t="str" cm="1">
        <f t="array" aca="1" ref="D1401" ca="1">IFERROR(IF(INDIRECT("'"&amp;F1401&amp;"'!$C$5")&gt;0,DATE(YEAR(Dashboard!$AL$2),Dashboard!$AU$4,INDIRECT("'"&amp;F1401&amp;"'!$C$5")),""),"")</f>
        <v/>
      </c>
      <c r="G1401" s="38" t="str" cm="1">
        <f t="array" aca="1" ref="G1401" ca="1">IF(F1401="",
    "",
    IFERROR(
        IF(INDIRECT("'"&amp;F1401&amp;"'!$B$2")="Credit Limit",
            "Credit Accounts",
            IF(INDIRECT("'"&amp;F1401&amp;"'!$E$2")="Location",
                "Cash Accounts",
                IF(INDIRECT("'"&amp;F1401&amp;"'!$B$2")="Amount",
                    "Investments",
                    "Bill Accounts"
                )
            )
        ),
    "")
)</f>
        <v/>
      </c>
      <c r="I1401" s="46" t="str" cm="1">
        <f t="array" aca="1" ref="I1401" ca="1">IF(F1401&lt;&gt;"",IF(OR(G1401="Bill Accounts",G1401="Investments", G1401="Cash Accounts"),INDIRECT("'"&amp;F1401&amp;"'!$C$10"),INDIRECT("'"&amp;F1401&amp;"'!$C$8")),"")</f>
        <v/>
      </c>
      <c r="K1401" s="48">
        <f t="shared" si="66"/>
        <v>1407</v>
      </c>
      <c r="L1401" s="114" t="str" cm="1">
        <f t="array" aca="1" ref="L1401" ca="1">IF(F1401&lt;&gt;"",INDIRECT("'"&amp;F1401&amp;"'!$F$17"),"")</f>
        <v/>
      </c>
      <c r="M1401" s="116" t="str">
        <f t="shared" ca="1" si="64"/>
        <v/>
      </c>
      <c r="O1401" s="49" t="str">
        <f t="shared" ca="1" si="65"/>
        <v/>
      </c>
      <c r="P1401" s="38" t="str">
        <f>IF(E1401&lt;&gt;"",RANK(E1401,$E$3:$E$2298)+COUNTIF($E$3:E1401,E1401)-1,"")</f>
        <v/>
      </c>
    </row>
    <row r="1402" spans="4:16" x14ac:dyDescent="0.25">
      <c r="D1402" s="36" t="str" cm="1">
        <f t="array" aca="1" ref="D1402" ca="1">IFERROR(IF(INDIRECT("'"&amp;F1402&amp;"'!$C$5")&gt;0,DATE(YEAR(Dashboard!$AL$2),Dashboard!$AU$4,INDIRECT("'"&amp;F1402&amp;"'!$C$5")),""),"")</f>
        <v/>
      </c>
      <c r="G1402" s="38" t="str" cm="1">
        <f t="array" aca="1" ref="G1402" ca="1">IF(F1402="",
    "",
    IFERROR(
        IF(INDIRECT("'"&amp;F1402&amp;"'!$B$2")="Credit Limit",
            "Credit Accounts",
            IF(INDIRECT("'"&amp;F1402&amp;"'!$E$2")="Location",
                "Cash Accounts",
                IF(INDIRECT("'"&amp;F1402&amp;"'!$B$2")="Amount",
                    "Investments",
                    "Bill Accounts"
                )
            )
        ),
    "")
)</f>
        <v/>
      </c>
      <c r="I1402" s="46" t="str" cm="1">
        <f t="array" aca="1" ref="I1402" ca="1">IF(F1402&lt;&gt;"",IF(OR(G1402="Bill Accounts",G1402="Investments", G1402="Cash Accounts"),INDIRECT("'"&amp;F1402&amp;"'!$C$10"),INDIRECT("'"&amp;F1402&amp;"'!$C$8")),"")</f>
        <v/>
      </c>
      <c r="K1402" s="48">
        <f t="shared" si="66"/>
        <v>1408</v>
      </c>
      <c r="L1402" s="114" t="str" cm="1">
        <f t="array" aca="1" ref="L1402" ca="1">IF(F1402&lt;&gt;"",INDIRECT("'"&amp;F1402&amp;"'!$F$17"),"")</f>
        <v/>
      </c>
      <c r="M1402" s="116" t="str">
        <f t="shared" ca="1" si="64"/>
        <v/>
      </c>
      <c r="O1402" s="49" t="str">
        <f t="shared" ca="1" si="65"/>
        <v/>
      </c>
      <c r="P1402" s="38" t="str">
        <f>IF(E1402&lt;&gt;"",RANK(E1402,$E$3:$E$2298)+COUNTIF($E$3:E1402,E1402)-1,"")</f>
        <v/>
      </c>
    </row>
    <row r="1403" spans="4:16" x14ac:dyDescent="0.25">
      <c r="D1403" s="36" t="str" cm="1">
        <f t="array" aca="1" ref="D1403" ca="1">IFERROR(IF(INDIRECT("'"&amp;F1403&amp;"'!$C$5")&gt;0,DATE(YEAR(Dashboard!$AL$2),Dashboard!$AU$4,INDIRECT("'"&amp;F1403&amp;"'!$C$5")),""),"")</f>
        <v/>
      </c>
      <c r="G1403" s="38" t="str" cm="1">
        <f t="array" aca="1" ref="G1403" ca="1">IF(F1403="",
    "",
    IFERROR(
        IF(INDIRECT("'"&amp;F1403&amp;"'!$B$2")="Credit Limit",
            "Credit Accounts",
            IF(INDIRECT("'"&amp;F1403&amp;"'!$E$2")="Location",
                "Cash Accounts",
                IF(INDIRECT("'"&amp;F1403&amp;"'!$B$2")="Amount",
                    "Investments",
                    "Bill Accounts"
                )
            )
        ),
    "")
)</f>
        <v/>
      </c>
      <c r="I1403" s="46" t="str" cm="1">
        <f t="array" aca="1" ref="I1403" ca="1">IF(F1403&lt;&gt;"",IF(OR(G1403="Bill Accounts",G1403="Investments", G1403="Cash Accounts"),INDIRECT("'"&amp;F1403&amp;"'!$C$10"),INDIRECT("'"&amp;F1403&amp;"'!$C$8")),"")</f>
        <v/>
      </c>
      <c r="K1403" s="48">
        <f t="shared" si="66"/>
        <v>1409</v>
      </c>
      <c r="L1403" s="114" t="str" cm="1">
        <f t="array" aca="1" ref="L1403" ca="1">IF(F1403&lt;&gt;"",INDIRECT("'"&amp;F1403&amp;"'!$F$17"),"")</f>
        <v/>
      </c>
      <c r="M1403" s="116" t="str">
        <f t="shared" ca="1" si="64"/>
        <v/>
      </c>
      <c r="O1403" s="49" t="str">
        <f t="shared" ca="1" si="65"/>
        <v/>
      </c>
      <c r="P1403" s="38" t="str">
        <f>IF(E1403&lt;&gt;"",RANK(E1403,$E$3:$E$2298)+COUNTIF($E$3:E1403,E1403)-1,"")</f>
        <v/>
      </c>
    </row>
    <row r="1404" spans="4:16" x14ac:dyDescent="0.25">
      <c r="D1404" s="36" t="str" cm="1">
        <f t="array" aca="1" ref="D1404" ca="1">IFERROR(IF(INDIRECT("'"&amp;F1404&amp;"'!$C$5")&gt;0,DATE(YEAR(Dashboard!$AL$2),Dashboard!$AU$4,INDIRECT("'"&amp;F1404&amp;"'!$C$5")),""),"")</f>
        <v/>
      </c>
      <c r="G1404" s="38" t="str" cm="1">
        <f t="array" aca="1" ref="G1404" ca="1">IF(F1404="",
    "",
    IFERROR(
        IF(INDIRECT("'"&amp;F1404&amp;"'!$B$2")="Credit Limit",
            "Credit Accounts",
            IF(INDIRECT("'"&amp;F1404&amp;"'!$E$2")="Location",
                "Cash Accounts",
                IF(INDIRECT("'"&amp;F1404&amp;"'!$B$2")="Amount",
                    "Investments",
                    "Bill Accounts"
                )
            )
        ),
    "")
)</f>
        <v/>
      </c>
      <c r="I1404" s="46" t="str" cm="1">
        <f t="array" aca="1" ref="I1404" ca="1">IF(F1404&lt;&gt;"",IF(OR(G1404="Bill Accounts",G1404="Investments", G1404="Cash Accounts"),INDIRECT("'"&amp;F1404&amp;"'!$C$10"),INDIRECT("'"&amp;F1404&amp;"'!$C$8")),"")</f>
        <v/>
      </c>
      <c r="K1404" s="48">
        <f t="shared" si="66"/>
        <v>1410</v>
      </c>
      <c r="L1404" s="114" t="str" cm="1">
        <f t="array" aca="1" ref="L1404" ca="1">IF(F1404&lt;&gt;"",INDIRECT("'"&amp;F1404&amp;"'!$F$17"),"")</f>
        <v/>
      </c>
      <c r="M1404" s="116" t="str">
        <f t="shared" ca="1" si="64"/>
        <v/>
      </c>
      <c r="O1404" s="49" t="str">
        <f t="shared" ca="1" si="65"/>
        <v/>
      </c>
      <c r="P1404" s="38" t="str">
        <f>IF(E1404&lt;&gt;"",RANK(E1404,$E$3:$E$2298)+COUNTIF($E$3:E1404,E1404)-1,"")</f>
        <v/>
      </c>
    </row>
    <row r="1405" spans="4:16" x14ac:dyDescent="0.25">
      <c r="D1405" s="36" t="str" cm="1">
        <f t="array" aca="1" ref="D1405" ca="1">IFERROR(IF(INDIRECT("'"&amp;F1405&amp;"'!$C$5")&gt;0,DATE(YEAR(Dashboard!$AL$2),Dashboard!$AU$4,INDIRECT("'"&amp;F1405&amp;"'!$C$5")),""),"")</f>
        <v/>
      </c>
      <c r="G1405" s="38" t="str" cm="1">
        <f t="array" aca="1" ref="G1405" ca="1">IF(F1405="",
    "",
    IFERROR(
        IF(INDIRECT("'"&amp;F1405&amp;"'!$B$2")="Credit Limit",
            "Credit Accounts",
            IF(INDIRECT("'"&amp;F1405&amp;"'!$E$2")="Location",
                "Cash Accounts",
                IF(INDIRECT("'"&amp;F1405&amp;"'!$B$2")="Amount",
                    "Investments",
                    "Bill Accounts"
                )
            )
        ),
    "")
)</f>
        <v/>
      </c>
      <c r="I1405" s="46" t="str" cm="1">
        <f t="array" aca="1" ref="I1405" ca="1">IF(F1405&lt;&gt;"",IF(OR(G1405="Bill Accounts",G1405="Investments", G1405="Cash Accounts"),INDIRECT("'"&amp;F1405&amp;"'!$C$10"),INDIRECT("'"&amp;F1405&amp;"'!$C$8")),"")</f>
        <v/>
      </c>
      <c r="K1405" s="48">
        <f t="shared" si="66"/>
        <v>1411</v>
      </c>
      <c r="L1405" s="114" t="str" cm="1">
        <f t="array" aca="1" ref="L1405" ca="1">IF(F1405&lt;&gt;"",INDIRECT("'"&amp;F1405&amp;"'!$F$17"),"")</f>
        <v/>
      </c>
      <c r="M1405" s="116" t="str">
        <f t="shared" ca="1" si="64"/>
        <v/>
      </c>
      <c r="O1405" s="49" t="str">
        <f t="shared" ca="1" si="65"/>
        <v/>
      </c>
      <c r="P1405" s="38" t="str">
        <f>IF(E1405&lt;&gt;"",RANK(E1405,$E$3:$E$2298)+COUNTIF($E$3:E1405,E1405)-1,"")</f>
        <v/>
      </c>
    </row>
    <row r="1406" spans="4:16" x14ac:dyDescent="0.25">
      <c r="D1406" s="36" t="str" cm="1">
        <f t="array" aca="1" ref="D1406" ca="1">IFERROR(IF(INDIRECT("'"&amp;F1406&amp;"'!$C$5")&gt;0,DATE(YEAR(Dashboard!$AL$2),Dashboard!$AU$4,INDIRECT("'"&amp;F1406&amp;"'!$C$5")),""),"")</f>
        <v/>
      </c>
      <c r="G1406" s="38" t="str" cm="1">
        <f t="array" aca="1" ref="G1406" ca="1">IF(F1406="",
    "",
    IFERROR(
        IF(INDIRECT("'"&amp;F1406&amp;"'!$B$2")="Credit Limit",
            "Credit Accounts",
            IF(INDIRECT("'"&amp;F1406&amp;"'!$E$2")="Location",
                "Cash Accounts",
                IF(INDIRECT("'"&amp;F1406&amp;"'!$B$2")="Amount",
                    "Investments",
                    "Bill Accounts"
                )
            )
        ),
    "")
)</f>
        <v/>
      </c>
      <c r="I1406" s="46" t="str" cm="1">
        <f t="array" aca="1" ref="I1406" ca="1">IF(F1406&lt;&gt;"",IF(OR(G1406="Bill Accounts",G1406="Investments", G1406="Cash Accounts"),INDIRECT("'"&amp;F1406&amp;"'!$C$10"),INDIRECT("'"&amp;F1406&amp;"'!$C$8")),"")</f>
        <v/>
      </c>
      <c r="K1406" s="48">
        <f t="shared" si="66"/>
        <v>1412</v>
      </c>
      <c r="L1406" s="114" t="str" cm="1">
        <f t="array" aca="1" ref="L1406" ca="1">IF(F1406&lt;&gt;"",INDIRECT("'"&amp;F1406&amp;"'!$F$17"),"")</f>
        <v/>
      </c>
      <c r="M1406" s="116" t="str">
        <f t="shared" ca="1" si="64"/>
        <v/>
      </c>
      <c r="O1406" s="49" t="str">
        <f t="shared" ca="1" si="65"/>
        <v/>
      </c>
      <c r="P1406" s="38" t="str">
        <f>IF(E1406&lt;&gt;"",RANK(E1406,$E$3:$E$2298)+COUNTIF($E$3:E1406,E1406)-1,"")</f>
        <v/>
      </c>
    </row>
    <row r="1407" spans="4:16" x14ac:dyDescent="0.25">
      <c r="D1407" s="36" t="str" cm="1">
        <f t="array" aca="1" ref="D1407" ca="1">IFERROR(IF(INDIRECT("'"&amp;F1407&amp;"'!$C$5")&gt;0,DATE(YEAR(Dashboard!$AL$2),Dashboard!$AU$4,INDIRECT("'"&amp;F1407&amp;"'!$C$5")),""),"")</f>
        <v/>
      </c>
      <c r="G1407" s="38" t="str" cm="1">
        <f t="array" aca="1" ref="G1407" ca="1">IF(F1407="",
    "",
    IFERROR(
        IF(INDIRECT("'"&amp;F1407&amp;"'!$B$2")="Credit Limit",
            "Credit Accounts",
            IF(INDIRECT("'"&amp;F1407&amp;"'!$E$2")="Location",
                "Cash Accounts",
                IF(INDIRECT("'"&amp;F1407&amp;"'!$B$2")="Amount",
                    "Investments",
                    "Bill Accounts"
                )
            )
        ),
    "")
)</f>
        <v/>
      </c>
      <c r="I1407" s="46" t="str" cm="1">
        <f t="array" aca="1" ref="I1407" ca="1">IF(F1407&lt;&gt;"",IF(OR(G1407="Bill Accounts",G1407="Investments", G1407="Cash Accounts"),INDIRECT("'"&amp;F1407&amp;"'!$C$10"),INDIRECT("'"&amp;F1407&amp;"'!$C$8")),"")</f>
        <v/>
      </c>
      <c r="K1407" s="48">
        <f t="shared" si="66"/>
        <v>1413</v>
      </c>
      <c r="L1407" s="114" t="str" cm="1">
        <f t="array" aca="1" ref="L1407" ca="1">IF(F1407&lt;&gt;"",INDIRECT("'"&amp;F1407&amp;"'!$F$17"),"")</f>
        <v/>
      </c>
      <c r="M1407" s="116" t="str">
        <f t="shared" ca="1" si="64"/>
        <v/>
      </c>
      <c r="O1407" s="49" t="str">
        <f t="shared" ca="1" si="65"/>
        <v/>
      </c>
      <c r="P1407" s="38" t="str">
        <f>IF(E1407&lt;&gt;"",RANK(E1407,$E$3:$E$2298)+COUNTIF($E$3:E1407,E1407)-1,"")</f>
        <v/>
      </c>
    </row>
    <row r="1408" spans="4:16" x14ac:dyDescent="0.25">
      <c r="D1408" s="36" t="str" cm="1">
        <f t="array" aca="1" ref="D1408" ca="1">IFERROR(IF(INDIRECT("'"&amp;F1408&amp;"'!$C$5")&gt;0,DATE(YEAR(Dashboard!$AL$2),Dashboard!$AU$4,INDIRECT("'"&amp;F1408&amp;"'!$C$5")),""),"")</f>
        <v/>
      </c>
      <c r="G1408" s="38" t="str" cm="1">
        <f t="array" aca="1" ref="G1408" ca="1">IF(F1408="",
    "",
    IFERROR(
        IF(INDIRECT("'"&amp;F1408&amp;"'!$B$2")="Credit Limit",
            "Credit Accounts",
            IF(INDIRECT("'"&amp;F1408&amp;"'!$E$2")="Location",
                "Cash Accounts",
                IF(INDIRECT("'"&amp;F1408&amp;"'!$B$2")="Amount",
                    "Investments",
                    "Bill Accounts"
                )
            )
        ),
    "")
)</f>
        <v/>
      </c>
      <c r="I1408" s="46" t="str" cm="1">
        <f t="array" aca="1" ref="I1408" ca="1">IF(F1408&lt;&gt;"",IF(OR(G1408="Bill Accounts",G1408="Investments", G1408="Cash Accounts"),INDIRECT("'"&amp;F1408&amp;"'!$C$10"),INDIRECT("'"&amp;F1408&amp;"'!$C$8")),"")</f>
        <v/>
      </c>
      <c r="K1408" s="48">
        <f t="shared" si="66"/>
        <v>1414</v>
      </c>
      <c r="L1408" s="114" t="str" cm="1">
        <f t="array" aca="1" ref="L1408" ca="1">IF(F1408&lt;&gt;"",INDIRECT("'"&amp;F1408&amp;"'!$F$17"),"")</f>
        <v/>
      </c>
      <c r="M1408" s="116" t="str">
        <f t="shared" ca="1" si="64"/>
        <v/>
      </c>
      <c r="O1408" s="49" t="str">
        <f t="shared" ca="1" si="65"/>
        <v/>
      </c>
      <c r="P1408" s="38" t="str">
        <f>IF(E1408&lt;&gt;"",RANK(E1408,$E$3:$E$2298)+COUNTIF($E$3:E1408,E1408)-1,"")</f>
        <v/>
      </c>
    </row>
    <row r="1409" spans="4:16" x14ac:dyDescent="0.25">
      <c r="D1409" s="36" t="str" cm="1">
        <f t="array" aca="1" ref="D1409" ca="1">IFERROR(IF(INDIRECT("'"&amp;F1409&amp;"'!$C$5")&gt;0,DATE(YEAR(Dashboard!$AL$2),Dashboard!$AU$4,INDIRECT("'"&amp;F1409&amp;"'!$C$5")),""),"")</f>
        <v/>
      </c>
      <c r="G1409" s="38" t="str" cm="1">
        <f t="array" aca="1" ref="G1409" ca="1">IF(F1409="",
    "",
    IFERROR(
        IF(INDIRECT("'"&amp;F1409&amp;"'!$B$2")="Credit Limit",
            "Credit Accounts",
            IF(INDIRECT("'"&amp;F1409&amp;"'!$E$2")="Location",
                "Cash Accounts",
                IF(INDIRECT("'"&amp;F1409&amp;"'!$B$2")="Amount",
                    "Investments",
                    "Bill Accounts"
                )
            )
        ),
    "")
)</f>
        <v/>
      </c>
      <c r="I1409" s="46" t="str" cm="1">
        <f t="array" aca="1" ref="I1409" ca="1">IF(F1409&lt;&gt;"",IF(OR(G1409="Bill Accounts",G1409="Investments", G1409="Cash Accounts"),INDIRECT("'"&amp;F1409&amp;"'!$C$10"),INDIRECT("'"&amp;F1409&amp;"'!$C$8")),"")</f>
        <v/>
      </c>
      <c r="K1409" s="48">
        <f t="shared" si="66"/>
        <v>1415</v>
      </c>
      <c r="L1409" s="114" t="str" cm="1">
        <f t="array" aca="1" ref="L1409" ca="1">IF(F1409&lt;&gt;"",INDIRECT("'"&amp;F1409&amp;"'!$F$17"),"")</f>
        <v/>
      </c>
      <c r="M1409" s="116" t="str">
        <f t="shared" ca="1" si="64"/>
        <v/>
      </c>
      <c r="O1409" s="49" t="str">
        <f t="shared" ca="1" si="65"/>
        <v/>
      </c>
      <c r="P1409" s="38" t="str">
        <f>IF(E1409&lt;&gt;"",RANK(E1409,$E$3:$E$2298)+COUNTIF($E$3:E1409,E1409)-1,"")</f>
        <v/>
      </c>
    </row>
    <row r="1410" spans="4:16" x14ac:dyDescent="0.25">
      <c r="D1410" s="36" t="str" cm="1">
        <f t="array" aca="1" ref="D1410" ca="1">IFERROR(IF(INDIRECT("'"&amp;F1410&amp;"'!$C$5")&gt;0,DATE(YEAR(Dashboard!$AL$2),Dashboard!$AU$4,INDIRECT("'"&amp;F1410&amp;"'!$C$5")),""),"")</f>
        <v/>
      </c>
      <c r="G1410" s="38" t="str" cm="1">
        <f t="array" aca="1" ref="G1410" ca="1">IF(F1410="",
    "",
    IFERROR(
        IF(INDIRECT("'"&amp;F1410&amp;"'!$B$2")="Credit Limit",
            "Credit Accounts",
            IF(INDIRECT("'"&amp;F1410&amp;"'!$E$2")="Location",
                "Cash Accounts",
                IF(INDIRECT("'"&amp;F1410&amp;"'!$B$2")="Amount",
                    "Investments",
                    "Bill Accounts"
                )
            )
        ),
    "")
)</f>
        <v/>
      </c>
      <c r="I1410" s="46" t="str" cm="1">
        <f t="array" aca="1" ref="I1410" ca="1">IF(F1410&lt;&gt;"",IF(OR(G1410="Bill Accounts",G1410="Investments", G1410="Cash Accounts"),INDIRECT("'"&amp;F1410&amp;"'!$C$10"),INDIRECT("'"&amp;F1410&amp;"'!$C$8")),"")</f>
        <v/>
      </c>
      <c r="K1410" s="48">
        <f t="shared" si="66"/>
        <v>1416</v>
      </c>
      <c r="L1410" s="114" t="str" cm="1">
        <f t="array" aca="1" ref="L1410" ca="1">IF(F1410&lt;&gt;"",INDIRECT("'"&amp;F1410&amp;"'!$F$17"),"")</f>
        <v/>
      </c>
      <c r="M1410" s="116" t="str">
        <f t="shared" ca="1" si="64"/>
        <v/>
      </c>
      <c r="O1410" s="49" t="str">
        <f t="shared" ca="1" si="65"/>
        <v/>
      </c>
      <c r="P1410" s="38" t="str">
        <f>IF(E1410&lt;&gt;"",RANK(E1410,$E$3:$E$2298)+COUNTIF($E$3:E1410,E1410)-1,"")</f>
        <v/>
      </c>
    </row>
    <row r="1411" spans="4:16" x14ac:dyDescent="0.25">
      <c r="D1411" s="36" t="str" cm="1">
        <f t="array" aca="1" ref="D1411" ca="1">IFERROR(IF(INDIRECT("'"&amp;F1411&amp;"'!$C$5")&gt;0,DATE(YEAR(Dashboard!$AL$2),Dashboard!$AU$4,INDIRECT("'"&amp;F1411&amp;"'!$C$5")),""),"")</f>
        <v/>
      </c>
      <c r="G1411" s="38" t="str" cm="1">
        <f t="array" aca="1" ref="G1411" ca="1">IF(F1411="",
    "",
    IFERROR(
        IF(INDIRECT("'"&amp;F1411&amp;"'!$B$2")="Credit Limit",
            "Credit Accounts",
            IF(INDIRECT("'"&amp;F1411&amp;"'!$E$2")="Location",
                "Cash Accounts",
                IF(INDIRECT("'"&amp;F1411&amp;"'!$B$2")="Amount",
                    "Investments",
                    "Bill Accounts"
                )
            )
        ),
    "")
)</f>
        <v/>
      </c>
      <c r="I1411" s="46" t="str" cm="1">
        <f t="array" aca="1" ref="I1411" ca="1">IF(F1411&lt;&gt;"",IF(OR(G1411="Bill Accounts",G1411="Investments", G1411="Cash Accounts"),INDIRECT("'"&amp;F1411&amp;"'!$C$10"),INDIRECT("'"&amp;F1411&amp;"'!$C$8")),"")</f>
        <v/>
      </c>
      <c r="K1411" s="48">
        <f t="shared" si="66"/>
        <v>1417</v>
      </c>
      <c r="L1411" s="114" t="str" cm="1">
        <f t="array" aca="1" ref="L1411" ca="1">IF(F1411&lt;&gt;"",INDIRECT("'"&amp;F1411&amp;"'!$F$17"),"")</f>
        <v/>
      </c>
      <c r="M1411" s="116" t="str">
        <f t="shared" ca="1" si="64"/>
        <v/>
      </c>
      <c r="O1411" s="49" t="str">
        <f t="shared" ca="1" si="65"/>
        <v/>
      </c>
      <c r="P1411" s="38" t="str">
        <f>IF(E1411&lt;&gt;"",RANK(E1411,$E$3:$E$2298)+COUNTIF($E$3:E1411,E1411)-1,"")</f>
        <v/>
      </c>
    </row>
    <row r="1412" spans="4:16" x14ac:dyDescent="0.25">
      <c r="D1412" s="36" t="str" cm="1">
        <f t="array" aca="1" ref="D1412" ca="1">IFERROR(IF(INDIRECT("'"&amp;F1412&amp;"'!$C$5")&gt;0,DATE(YEAR(Dashboard!$AL$2),Dashboard!$AU$4,INDIRECT("'"&amp;F1412&amp;"'!$C$5")),""),"")</f>
        <v/>
      </c>
      <c r="G1412" s="38" t="str" cm="1">
        <f t="array" aca="1" ref="G1412" ca="1">IF(F1412="",
    "",
    IFERROR(
        IF(INDIRECT("'"&amp;F1412&amp;"'!$B$2")="Credit Limit",
            "Credit Accounts",
            IF(INDIRECT("'"&amp;F1412&amp;"'!$E$2")="Location",
                "Cash Accounts",
                IF(INDIRECT("'"&amp;F1412&amp;"'!$B$2")="Amount",
                    "Investments",
                    "Bill Accounts"
                )
            )
        ),
    "")
)</f>
        <v/>
      </c>
      <c r="I1412" s="46" t="str" cm="1">
        <f t="array" aca="1" ref="I1412" ca="1">IF(F1412&lt;&gt;"",IF(OR(G1412="Bill Accounts",G1412="Investments", G1412="Cash Accounts"),INDIRECT("'"&amp;F1412&amp;"'!$C$10"),INDIRECT("'"&amp;F1412&amp;"'!$C$8")),"")</f>
        <v/>
      </c>
      <c r="K1412" s="48">
        <f t="shared" si="66"/>
        <v>1418</v>
      </c>
      <c r="L1412" s="114" t="str" cm="1">
        <f t="array" aca="1" ref="L1412" ca="1">IF(F1412&lt;&gt;"",INDIRECT("'"&amp;F1412&amp;"'!$F$17"),"")</f>
        <v/>
      </c>
      <c r="M1412" s="116" t="str">
        <f t="shared" ref="M1412:M1475" ca="1" si="67">IF(G1412="Credit Accounts",EDATE(TODAY(),INDIRECT("'"&amp;F1412&amp;"'!$C$14")),"")</f>
        <v/>
      </c>
      <c r="O1412" s="49" t="str">
        <f t="shared" ref="O1412:O1475" ca="1" si="68">IF(D1412&lt;&gt;"",DAY(D1412),"")</f>
        <v/>
      </c>
      <c r="P1412" s="38" t="str">
        <f>IF(E1412&lt;&gt;"",RANK(E1412,$E$3:$E$2298)+COUNTIF($E$3:E1412,E1412)-1,"")</f>
        <v/>
      </c>
    </row>
    <row r="1413" spans="4:16" x14ac:dyDescent="0.25">
      <c r="D1413" s="36" t="str" cm="1">
        <f t="array" aca="1" ref="D1413" ca="1">IFERROR(IF(INDIRECT("'"&amp;F1413&amp;"'!$C$5")&gt;0,DATE(YEAR(Dashboard!$AL$2),Dashboard!$AU$4,INDIRECT("'"&amp;F1413&amp;"'!$C$5")),""),"")</f>
        <v/>
      </c>
      <c r="G1413" s="38" t="str" cm="1">
        <f t="array" aca="1" ref="G1413" ca="1">IF(F1413="",
    "",
    IFERROR(
        IF(INDIRECT("'"&amp;F1413&amp;"'!$B$2")="Credit Limit",
            "Credit Accounts",
            IF(INDIRECT("'"&amp;F1413&amp;"'!$E$2")="Location",
                "Cash Accounts",
                IF(INDIRECT("'"&amp;F1413&amp;"'!$B$2")="Amount",
                    "Investments",
                    "Bill Accounts"
                )
            )
        ),
    "")
)</f>
        <v/>
      </c>
      <c r="I1413" s="46" t="str" cm="1">
        <f t="array" aca="1" ref="I1413" ca="1">IF(F1413&lt;&gt;"",IF(OR(G1413="Bill Accounts",G1413="Investments", G1413="Cash Accounts"),INDIRECT("'"&amp;F1413&amp;"'!$C$10"),INDIRECT("'"&amp;F1413&amp;"'!$C$8")),"")</f>
        <v/>
      </c>
      <c r="K1413" s="48">
        <f t="shared" si="66"/>
        <v>1419</v>
      </c>
      <c r="L1413" s="114" t="str" cm="1">
        <f t="array" aca="1" ref="L1413" ca="1">IF(F1413&lt;&gt;"",INDIRECT("'"&amp;F1413&amp;"'!$F$17"),"")</f>
        <v/>
      </c>
      <c r="M1413" s="116" t="str">
        <f t="shared" ca="1" si="67"/>
        <v/>
      </c>
      <c r="O1413" s="49" t="str">
        <f t="shared" ca="1" si="68"/>
        <v/>
      </c>
      <c r="P1413" s="38" t="str">
        <f>IF(E1413&lt;&gt;"",RANK(E1413,$E$3:$E$2298)+COUNTIF($E$3:E1413,E1413)-1,"")</f>
        <v/>
      </c>
    </row>
    <row r="1414" spans="4:16" x14ac:dyDescent="0.25">
      <c r="D1414" s="36" t="str" cm="1">
        <f t="array" aca="1" ref="D1414" ca="1">IFERROR(IF(INDIRECT("'"&amp;F1414&amp;"'!$C$5")&gt;0,DATE(YEAR(Dashboard!$AL$2),Dashboard!$AU$4,INDIRECT("'"&amp;F1414&amp;"'!$C$5")),""),"")</f>
        <v/>
      </c>
      <c r="G1414" s="38" t="str" cm="1">
        <f t="array" aca="1" ref="G1414" ca="1">IF(F1414="",
    "",
    IFERROR(
        IF(INDIRECT("'"&amp;F1414&amp;"'!$B$2")="Credit Limit",
            "Credit Accounts",
            IF(INDIRECT("'"&amp;F1414&amp;"'!$E$2")="Location",
                "Cash Accounts",
                IF(INDIRECT("'"&amp;F1414&amp;"'!$B$2")="Amount",
                    "Investments",
                    "Bill Accounts"
                )
            )
        ),
    "")
)</f>
        <v/>
      </c>
      <c r="I1414" s="46" t="str" cm="1">
        <f t="array" aca="1" ref="I1414" ca="1">IF(F1414&lt;&gt;"",IF(OR(G1414="Bill Accounts",G1414="Investments", G1414="Cash Accounts"),INDIRECT("'"&amp;F1414&amp;"'!$C$10"),INDIRECT("'"&amp;F1414&amp;"'!$C$8")),"")</f>
        <v/>
      </c>
      <c r="K1414" s="48">
        <f t="shared" si="66"/>
        <v>1420</v>
      </c>
      <c r="L1414" s="114" t="str" cm="1">
        <f t="array" aca="1" ref="L1414" ca="1">IF(F1414&lt;&gt;"",INDIRECT("'"&amp;F1414&amp;"'!$F$17"),"")</f>
        <v/>
      </c>
      <c r="M1414" s="116" t="str">
        <f t="shared" ca="1" si="67"/>
        <v/>
      </c>
      <c r="O1414" s="49" t="str">
        <f t="shared" ca="1" si="68"/>
        <v/>
      </c>
      <c r="P1414" s="38" t="str">
        <f>IF(E1414&lt;&gt;"",RANK(E1414,$E$3:$E$2298)+COUNTIF($E$3:E1414,E1414)-1,"")</f>
        <v/>
      </c>
    </row>
    <row r="1415" spans="4:16" x14ac:dyDescent="0.25">
      <c r="D1415" s="36" t="str" cm="1">
        <f t="array" aca="1" ref="D1415" ca="1">IFERROR(IF(INDIRECT("'"&amp;F1415&amp;"'!$C$5")&gt;0,DATE(YEAR(Dashboard!$AL$2),Dashboard!$AU$4,INDIRECT("'"&amp;F1415&amp;"'!$C$5")),""),"")</f>
        <v/>
      </c>
      <c r="G1415" s="38" t="str" cm="1">
        <f t="array" aca="1" ref="G1415" ca="1">IF(F1415="",
    "",
    IFERROR(
        IF(INDIRECT("'"&amp;F1415&amp;"'!$B$2")="Credit Limit",
            "Credit Accounts",
            IF(INDIRECT("'"&amp;F1415&amp;"'!$E$2")="Location",
                "Cash Accounts",
                IF(INDIRECT("'"&amp;F1415&amp;"'!$B$2")="Amount",
                    "Investments",
                    "Bill Accounts"
                )
            )
        ),
    "")
)</f>
        <v/>
      </c>
      <c r="I1415" s="46" t="str" cm="1">
        <f t="array" aca="1" ref="I1415" ca="1">IF(F1415&lt;&gt;"",IF(OR(G1415="Bill Accounts",G1415="Investments", G1415="Cash Accounts"),INDIRECT("'"&amp;F1415&amp;"'!$C$10"),INDIRECT("'"&amp;F1415&amp;"'!$C$8")),"")</f>
        <v/>
      </c>
      <c r="K1415" s="48">
        <f t="shared" si="66"/>
        <v>1421</v>
      </c>
      <c r="L1415" s="114" t="str" cm="1">
        <f t="array" aca="1" ref="L1415" ca="1">IF(F1415&lt;&gt;"",INDIRECT("'"&amp;F1415&amp;"'!$F$17"),"")</f>
        <v/>
      </c>
      <c r="M1415" s="116" t="str">
        <f t="shared" ca="1" si="67"/>
        <v/>
      </c>
      <c r="O1415" s="49" t="str">
        <f t="shared" ca="1" si="68"/>
        <v/>
      </c>
      <c r="P1415" s="38" t="str">
        <f>IF(E1415&lt;&gt;"",RANK(E1415,$E$3:$E$2298)+COUNTIF($E$3:E1415,E1415)-1,"")</f>
        <v/>
      </c>
    </row>
    <row r="1416" spans="4:16" x14ac:dyDescent="0.25">
      <c r="D1416" s="36" t="str" cm="1">
        <f t="array" aca="1" ref="D1416" ca="1">IFERROR(IF(INDIRECT("'"&amp;F1416&amp;"'!$C$5")&gt;0,DATE(YEAR(Dashboard!$AL$2),Dashboard!$AU$4,INDIRECT("'"&amp;F1416&amp;"'!$C$5")),""),"")</f>
        <v/>
      </c>
      <c r="G1416" s="38" t="str" cm="1">
        <f t="array" aca="1" ref="G1416" ca="1">IF(F1416="",
    "",
    IFERROR(
        IF(INDIRECT("'"&amp;F1416&amp;"'!$B$2")="Credit Limit",
            "Credit Accounts",
            IF(INDIRECT("'"&amp;F1416&amp;"'!$E$2")="Location",
                "Cash Accounts",
                IF(INDIRECT("'"&amp;F1416&amp;"'!$B$2")="Amount",
                    "Investments",
                    "Bill Accounts"
                )
            )
        ),
    "")
)</f>
        <v/>
      </c>
      <c r="I1416" s="46" t="str" cm="1">
        <f t="array" aca="1" ref="I1416" ca="1">IF(F1416&lt;&gt;"",IF(OR(G1416="Bill Accounts",G1416="Investments", G1416="Cash Accounts"),INDIRECT("'"&amp;F1416&amp;"'!$C$10"),INDIRECT("'"&amp;F1416&amp;"'!$C$8")),"")</f>
        <v/>
      </c>
      <c r="K1416" s="48">
        <f t="shared" ref="K1416:K1479" si="69">SUM(K1415+1)</f>
        <v>1422</v>
      </c>
      <c r="L1416" s="114" t="str" cm="1">
        <f t="array" aca="1" ref="L1416" ca="1">IF(F1416&lt;&gt;"",INDIRECT("'"&amp;F1416&amp;"'!$F$17"),"")</f>
        <v/>
      </c>
      <c r="M1416" s="116" t="str">
        <f t="shared" ca="1" si="67"/>
        <v/>
      </c>
      <c r="O1416" s="49" t="str">
        <f t="shared" ca="1" si="68"/>
        <v/>
      </c>
      <c r="P1416" s="38" t="str">
        <f>IF(E1416&lt;&gt;"",RANK(E1416,$E$3:$E$2298)+COUNTIF($E$3:E1416,E1416)-1,"")</f>
        <v/>
      </c>
    </row>
    <row r="1417" spans="4:16" x14ac:dyDescent="0.25">
      <c r="D1417" s="36" t="str" cm="1">
        <f t="array" aca="1" ref="D1417" ca="1">IFERROR(IF(INDIRECT("'"&amp;F1417&amp;"'!$C$5")&gt;0,DATE(YEAR(Dashboard!$AL$2),Dashboard!$AU$4,INDIRECT("'"&amp;F1417&amp;"'!$C$5")),""),"")</f>
        <v/>
      </c>
      <c r="G1417" s="38" t="str" cm="1">
        <f t="array" aca="1" ref="G1417" ca="1">IF(F1417="",
    "",
    IFERROR(
        IF(INDIRECT("'"&amp;F1417&amp;"'!$B$2")="Credit Limit",
            "Credit Accounts",
            IF(INDIRECT("'"&amp;F1417&amp;"'!$E$2")="Location",
                "Cash Accounts",
                IF(INDIRECT("'"&amp;F1417&amp;"'!$B$2")="Amount",
                    "Investments",
                    "Bill Accounts"
                )
            )
        ),
    "")
)</f>
        <v/>
      </c>
      <c r="I1417" s="46" t="str" cm="1">
        <f t="array" aca="1" ref="I1417" ca="1">IF(F1417&lt;&gt;"",IF(OR(G1417="Bill Accounts",G1417="Investments", G1417="Cash Accounts"),INDIRECT("'"&amp;F1417&amp;"'!$C$10"),INDIRECT("'"&amp;F1417&amp;"'!$C$8")),"")</f>
        <v/>
      </c>
      <c r="K1417" s="48">
        <f t="shared" si="69"/>
        <v>1423</v>
      </c>
      <c r="L1417" s="114" t="str" cm="1">
        <f t="array" aca="1" ref="L1417" ca="1">IF(F1417&lt;&gt;"",INDIRECT("'"&amp;F1417&amp;"'!$F$17"),"")</f>
        <v/>
      </c>
      <c r="M1417" s="116" t="str">
        <f t="shared" ca="1" si="67"/>
        <v/>
      </c>
      <c r="O1417" s="49" t="str">
        <f t="shared" ca="1" si="68"/>
        <v/>
      </c>
      <c r="P1417" s="38" t="str">
        <f>IF(E1417&lt;&gt;"",RANK(E1417,$E$3:$E$2298)+COUNTIF($E$3:E1417,E1417)-1,"")</f>
        <v/>
      </c>
    </row>
    <row r="1418" spans="4:16" x14ac:dyDescent="0.25">
      <c r="D1418" s="36" t="str" cm="1">
        <f t="array" aca="1" ref="D1418" ca="1">IFERROR(IF(INDIRECT("'"&amp;F1418&amp;"'!$C$5")&gt;0,DATE(YEAR(Dashboard!$AL$2),Dashboard!$AU$4,INDIRECT("'"&amp;F1418&amp;"'!$C$5")),""),"")</f>
        <v/>
      </c>
      <c r="G1418" s="38" t="str" cm="1">
        <f t="array" aca="1" ref="G1418" ca="1">IF(F1418="",
    "",
    IFERROR(
        IF(INDIRECT("'"&amp;F1418&amp;"'!$B$2")="Credit Limit",
            "Credit Accounts",
            IF(INDIRECT("'"&amp;F1418&amp;"'!$E$2")="Location",
                "Cash Accounts",
                IF(INDIRECT("'"&amp;F1418&amp;"'!$B$2")="Amount",
                    "Investments",
                    "Bill Accounts"
                )
            )
        ),
    "")
)</f>
        <v/>
      </c>
      <c r="I1418" s="46" t="str" cm="1">
        <f t="array" aca="1" ref="I1418" ca="1">IF(F1418&lt;&gt;"",IF(OR(G1418="Bill Accounts",G1418="Investments", G1418="Cash Accounts"),INDIRECT("'"&amp;F1418&amp;"'!$C$10"),INDIRECT("'"&amp;F1418&amp;"'!$C$8")),"")</f>
        <v/>
      </c>
      <c r="K1418" s="48">
        <f t="shared" si="69"/>
        <v>1424</v>
      </c>
      <c r="L1418" s="114" t="str" cm="1">
        <f t="array" aca="1" ref="L1418" ca="1">IF(F1418&lt;&gt;"",INDIRECT("'"&amp;F1418&amp;"'!$F$17"),"")</f>
        <v/>
      </c>
      <c r="M1418" s="116" t="str">
        <f t="shared" ca="1" si="67"/>
        <v/>
      </c>
      <c r="O1418" s="49" t="str">
        <f t="shared" ca="1" si="68"/>
        <v/>
      </c>
      <c r="P1418" s="38" t="str">
        <f>IF(E1418&lt;&gt;"",RANK(E1418,$E$3:$E$2298)+COUNTIF($E$3:E1418,E1418)-1,"")</f>
        <v/>
      </c>
    </row>
    <row r="1419" spans="4:16" x14ac:dyDescent="0.25">
      <c r="D1419" s="36" t="str" cm="1">
        <f t="array" aca="1" ref="D1419" ca="1">IFERROR(IF(INDIRECT("'"&amp;F1419&amp;"'!$C$5")&gt;0,DATE(YEAR(Dashboard!$AL$2),Dashboard!$AU$4,INDIRECT("'"&amp;F1419&amp;"'!$C$5")),""),"")</f>
        <v/>
      </c>
      <c r="G1419" s="38" t="str" cm="1">
        <f t="array" aca="1" ref="G1419" ca="1">IF(F1419="",
    "",
    IFERROR(
        IF(INDIRECT("'"&amp;F1419&amp;"'!$B$2")="Credit Limit",
            "Credit Accounts",
            IF(INDIRECT("'"&amp;F1419&amp;"'!$E$2")="Location",
                "Cash Accounts",
                IF(INDIRECT("'"&amp;F1419&amp;"'!$B$2")="Amount",
                    "Investments",
                    "Bill Accounts"
                )
            )
        ),
    "")
)</f>
        <v/>
      </c>
      <c r="I1419" s="46" t="str" cm="1">
        <f t="array" aca="1" ref="I1419" ca="1">IF(F1419&lt;&gt;"",IF(OR(G1419="Bill Accounts",G1419="Investments", G1419="Cash Accounts"),INDIRECT("'"&amp;F1419&amp;"'!$C$10"),INDIRECT("'"&amp;F1419&amp;"'!$C$8")),"")</f>
        <v/>
      </c>
      <c r="K1419" s="48">
        <f t="shared" si="69"/>
        <v>1425</v>
      </c>
      <c r="L1419" s="114" t="str" cm="1">
        <f t="array" aca="1" ref="L1419" ca="1">IF(F1419&lt;&gt;"",INDIRECT("'"&amp;F1419&amp;"'!$F$17"),"")</f>
        <v/>
      </c>
      <c r="M1419" s="116" t="str">
        <f t="shared" ca="1" si="67"/>
        <v/>
      </c>
      <c r="O1419" s="49" t="str">
        <f t="shared" ca="1" si="68"/>
        <v/>
      </c>
      <c r="P1419" s="38" t="str">
        <f>IF(E1419&lt;&gt;"",RANK(E1419,$E$3:$E$2298)+COUNTIF($E$3:E1419,E1419)-1,"")</f>
        <v/>
      </c>
    </row>
    <row r="1420" spans="4:16" x14ac:dyDescent="0.25">
      <c r="D1420" s="36" t="str" cm="1">
        <f t="array" aca="1" ref="D1420" ca="1">IFERROR(IF(INDIRECT("'"&amp;F1420&amp;"'!$C$5")&gt;0,DATE(YEAR(Dashboard!$AL$2),Dashboard!$AU$4,INDIRECT("'"&amp;F1420&amp;"'!$C$5")),""),"")</f>
        <v/>
      </c>
      <c r="G1420" s="38" t="str" cm="1">
        <f t="array" aca="1" ref="G1420" ca="1">IF(F1420="",
    "",
    IFERROR(
        IF(INDIRECT("'"&amp;F1420&amp;"'!$B$2")="Credit Limit",
            "Credit Accounts",
            IF(INDIRECT("'"&amp;F1420&amp;"'!$E$2")="Location",
                "Cash Accounts",
                IF(INDIRECT("'"&amp;F1420&amp;"'!$B$2")="Amount",
                    "Investments",
                    "Bill Accounts"
                )
            )
        ),
    "")
)</f>
        <v/>
      </c>
      <c r="I1420" s="46" t="str" cm="1">
        <f t="array" aca="1" ref="I1420" ca="1">IF(F1420&lt;&gt;"",IF(OR(G1420="Bill Accounts",G1420="Investments", G1420="Cash Accounts"),INDIRECT("'"&amp;F1420&amp;"'!$C$10"),INDIRECT("'"&amp;F1420&amp;"'!$C$8")),"")</f>
        <v/>
      </c>
      <c r="K1420" s="48">
        <f t="shared" si="69"/>
        <v>1426</v>
      </c>
      <c r="L1420" s="114" t="str" cm="1">
        <f t="array" aca="1" ref="L1420" ca="1">IF(F1420&lt;&gt;"",INDIRECT("'"&amp;F1420&amp;"'!$F$17"),"")</f>
        <v/>
      </c>
      <c r="M1420" s="116" t="str">
        <f t="shared" ca="1" si="67"/>
        <v/>
      </c>
      <c r="O1420" s="49" t="str">
        <f t="shared" ca="1" si="68"/>
        <v/>
      </c>
      <c r="P1420" s="38" t="str">
        <f>IF(E1420&lt;&gt;"",RANK(E1420,$E$3:$E$2298)+COUNTIF($E$3:E1420,E1420)-1,"")</f>
        <v/>
      </c>
    </row>
    <row r="1421" spans="4:16" x14ac:dyDescent="0.25">
      <c r="D1421" s="36" t="str" cm="1">
        <f t="array" aca="1" ref="D1421" ca="1">IFERROR(IF(INDIRECT("'"&amp;F1421&amp;"'!$C$5")&gt;0,DATE(YEAR(Dashboard!$AL$2),Dashboard!$AU$4,INDIRECT("'"&amp;F1421&amp;"'!$C$5")),""),"")</f>
        <v/>
      </c>
      <c r="G1421" s="38" t="str" cm="1">
        <f t="array" aca="1" ref="G1421" ca="1">IF(F1421="",
    "",
    IFERROR(
        IF(INDIRECT("'"&amp;F1421&amp;"'!$B$2")="Credit Limit",
            "Credit Accounts",
            IF(INDIRECT("'"&amp;F1421&amp;"'!$E$2")="Location",
                "Cash Accounts",
                IF(INDIRECT("'"&amp;F1421&amp;"'!$B$2")="Amount",
                    "Investments",
                    "Bill Accounts"
                )
            )
        ),
    "")
)</f>
        <v/>
      </c>
      <c r="I1421" s="46" t="str" cm="1">
        <f t="array" aca="1" ref="I1421" ca="1">IF(F1421&lt;&gt;"",IF(OR(G1421="Bill Accounts",G1421="Investments", G1421="Cash Accounts"),INDIRECT("'"&amp;F1421&amp;"'!$C$10"),INDIRECT("'"&amp;F1421&amp;"'!$C$8")),"")</f>
        <v/>
      </c>
      <c r="K1421" s="48">
        <f t="shared" si="69"/>
        <v>1427</v>
      </c>
      <c r="L1421" s="114" t="str" cm="1">
        <f t="array" aca="1" ref="L1421" ca="1">IF(F1421&lt;&gt;"",INDIRECT("'"&amp;F1421&amp;"'!$F$17"),"")</f>
        <v/>
      </c>
      <c r="M1421" s="116" t="str">
        <f t="shared" ca="1" si="67"/>
        <v/>
      </c>
      <c r="O1421" s="49" t="str">
        <f t="shared" ca="1" si="68"/>
        <v/>
      </c>
      <c r="P1421" s="38" t="str">
        <f>IF(E1421&lt;&gt;"",RANK(E1421,$E$3:$E$2298)+COUNTIF($E$3:E1421,E1421)-1,"")</f>
        <v/>
      </c>
    </row>
    <row r="1422" spans="4:16" x14ac:dyDescent="0.25">
      <c r="D1422" s="36" t="str" cm="1">
        <f t="array" aca="1" ref="D1422" ca="1">IFERROR(IF(INDIRECT("'"&amp;F1422&amp;"'!$C$5")&gt;0,DATE(YEAR(Dashboard!$AL$2),Dashboard!$AU$4,INDIRECT("'"&amp;F1422&amp;"'!$C$5")),""),"")</f>
        <v/>
      </c>
      <c r="G1422" s="38" t="str" cm="1">
        <f t="array" aca="1" ref="G1422" ca="1">IF(F1422="",
    "",
    IFERROR(
        IF(INDIRECT("'"&amp;F1422&amp;"'!$B$2")="Credit Limit",
            "Credit Accounts",
            IF(INDIRECT("'"&amp;F1422&amp;"'!$E$2")="Location",
                "Cash Accounts",
                IF(INDIRECT("'"&amp;F1422&amp;"'!$B$2")="Amount",
                    "Investments",
                    "Bill Accounts"
                )
            )
        ),
    "")
)</f>
        <v/>
      </c>
      <c r="I1422" s="46" t="str" cm="1">
        <f t="array" aca="1" ref="I1422" ca="1">IF(F1422&lt;&gt;"",IF(OR(G1422="Bill Accounts",G1422="Investments", G1422="Cash Accounts"),INDIRECT("'"&amp;F1422&amp;"'!$C$10"),INDIRECT("'"&amp;F1422&amp;"'!$C$8")),"")</f>
        <v/>
      </c>
      <c r="K1422" s="48">
        <f t="shared" si="69"/>
        <v>1428</v>
      </c>
      <c r="L1422" s="114" t="str" cm="1">
        <f t="array" aca="1" ref="L1422" ca="1">IF(F1422&lt;&gt;"",INDIRECT("'"&amp;F1422&amp;"'!$F$17"),"")</f>
        <v/>
      </c>
      <c r="M1422" s="116" t="str">
        <f t="shared" ca="1" si="67"/>
        <v/>
      </c>
      <c r="O1422" s="49" t="str">
        <f t="shared" ca="1" si="68"/>
        <v/>
      </c>
      <c r="P1422" s="38" t="str">
        <f>IF(E1422&lt;&gt;"",RANK(E1422,$E$3:$E$2298)+COUNTIF($E$3:E1422,E1422)-1,"")</f>
        <v/>
      </c>
    </row>
    <row r="1423" spans="4:16" x14ac:dyDescent="0.25">
      <c r="D1423" s="36" t="str" cm="1">
        <f t="array" aca="1" ref="D1423" ca="1">IFERROR(IF(INDIRECT("'"&amp;F1423&amp;"'!$C$5")&gt;0,DATE(YEAR(Dashboard!$AL$2),Dashboard!$AU$4,INDIRECT("'"&amp;F1423&amp;"'!$C$5")),""),"")</f>
        <v/>
      </c>
      <c r="G1423" s="38" t="str" cm="1">
        <f t="array" aca="1" ref="G1423" ca="1">IF(F1423="",
    "",
    IFERROR(
        IF(INDIRECT("'"&amp;F1423&amp;"'!$B$2")="Credit Limit",
            "Credit Accounts",
            IF(INDIRECT("'"&amp;F1423&amp;"'!$E$2")="Location",
                "Cash Accounts",
                IF(INDIRECT("'"&amp;F1423&amp;"'!$B$2")="Amount",
                    "Investments",
                    "Bill Accounts"
                )
            )
        ),
    "")
)</f>
        <v/>
      </c>
      <c r="I1423" s="46" t="str" cm="1">
        <f t="array" aca="1" ref="I1423" ca="1">IF(F1423&lt;&gt;"",IF(OR(G1423="Bill Accounts",G1423="Investments", G1423="Cash Accounts"),INDIRECT("'"&amp;F1423&amp;"'!$C$10"),INDIRECT("'"&amp;F1423&amp;"'!$C$8")),"")</f>
        <v/>
      </c>
      <c r="K1423" s="48">
        <f t="shared" si="69"/>
        <v>1429</v>
      </c>
      <c r="L1423" s="114" t="str" cm="1">
        <f t="array" aca="1" ref="L1423" ca="1">IF(F1423&lt;&gt;"",INDIRECT("'"&amp;F1423&amp;"'!$F$17"),"")</f>
        <v/>
      </c>
      <c r="M1423" s="116" t="str">
        <f t="shared" ca="1" si="67"/>
        <v/>
      </c>
      <c r="O1423" s="49" t="str">
        <f t="shared" ca="1" si="68"/>
        <v/>
      </c>
      <c r="P1423" s="38" t="str">
        <f>IF(E1423&lt;&gt;"",RANK(E1423,$E$3:$E$2298)+COUNTIF($E$3:E1423,E1423)-1,"")</f>
        <v/>
      </c>
    </row>
    <row r="1424" spans="4:16" x14ac:dyDescent="0.25">
      <c r="D1424" s="36" t="str" cm="1">
        <f t="array" aca="1" ref="D1424" ca="1">IFERROR(IF(INDIRECT("'"&amp;F1424&amp;"'!$C$5")&gt;0,DATE(YEAR(Dashboard!$AL$2),Dashboard!$AU$4,INDIRECT("'"&amp;F1424&amp;"'!$C$5")),""),"")</f>
        <v/>
      </c>
      <c r="G1424" s="38" t="str" cm="1">
        <f t="array" aca="1" ref="G1424" ca="1">IF(F1424="",
    "",
    IFERROR(
        IF(INDIRECT("'"&amp;F1424&amp;"'!$B$2")="Credit Limit",
            "Credit Accounts",
            IF(INDIRECT("'"&amp;F1424&amp;"'!$E$2")="Location",
                "Cash Accounts",
                IF(INDIRECT("'"&amp;F1424&amp;"'!$B$2")="Amount",
                    "Investments",
                    "Bill Accounts"
                )
            )
        ),
    "")
)</f>
        <v/>
      </c>
      <c r="I1424" s="46" t="str" cm="1">
        <f t="array" aca="1" ref="I1424" ca="1">IF(F1424&lt;&gt;"",IF(OR(G1424="Bill Accounts",G1424="Investments", G1424="Cash Accounts"),INDIRECT("'"&amp;F1424&amp;"'!$C$10"),INDIRECT("'"&amp;F1424&amp;"'!$C$8")),"")</f>
        <v/>
      </c>
      <c r="K1424" s="48">
        <f t="shared" si="69"/>
        <v>1430</v>
      </c>
      <c r="L1424" s="114" t="str" cm="1">
        <f t="array" aca="1" ref="L1424" ca="1">IF(F1424&lt;&gt;"",INDIRECT("'"&amp;F1424&amp;"'!$F$17"),"")</f>
        <v/>
      </c>
      <c r="M1424" s="116" t="str">
        <f t="shared" ca="1" si="67"/>
        <v/>
      </c>
      <c r="O1424" s="49" t="str">
        <f t="shared" ca="1" si="68"/>
        <v/>
      </c>
      <c r="P1424" s="38" t="str">
        <f>IF(E1424&lt;&gt;"",RANK(E1424,$E$3:$E$2298)+COUNTIF($E$3:E1424,E1424)-1,"")</f>
        <v/>
      </c>
    </row>
    <row r="1425" spans="4:16" x14ac:dyDescent="0.25">
      <c r="D1425" s="36" t="str" cm="1">
        <f t="array" aca="1" ref="D1425" ca="1">IFERROR(IF(INDIRECT("'"&amp;F1425&amp;"'!$C$5")&gt;0,DATE(YEAR(Dashboard!$AL$2),Dashboard!$AU$4,INDIRECT("'"&amp;F1425&amp;"'!$C$5")),""),"")</f>
        <v/>
      </c>
      <c r="G1425" s="38" t="str" cm="1">
        <f t="array" aca="1" ref="G1425" ca="1">IF(F1425="",
    "",
    IFERROR(
        IF(INDIRECT("'"&amp;F1425&amp;"'!$B$2")="Credit Limit",
            "Credit Accounts",
            IF(INDIRECT("'"&amp;F1425&amp;"'!$E$2")="Location",
                "Cash Accounts",
                IF(INDIRECT("'"&amp;F1425&amp;"'!$B$2")="Amount",
                    "Investments",
                    "Bill Accounts"
                )
            )
        ),
    "")
)</f>
        <v/>
      </c>
      <c r="I1425" s="46" t="str" cm="1">
        <f t="array" aca="1" ref="I1425" ca="1">IF(F1425&lt;&gt;"",IF(OR(G1425="Bill Accounts",G1425="Investments", G1425="Cash Accounts"),INDIRECT("'"&amp;F1425&amp;"'!$C$10"),INDIRECT("'"&amp;F1425&amp;"'!$C$8")),"")</f>
        <v/>
      </c>
      <c r="K1425" s="48">
        <f t="shared" si="69"/>
        <v>1431</v>
      </c>
      <c r="L1425" s="114" t="str" cm="1">
        <f t="array" aca="1" ref="L1425" ca="1">IF(F1425&lt;&gt;"",INDIRECT("'"&amp;F1425&amp;"'!$F$17"),"")</f>
        <v/>
      </c>
      <c r="M1425" s="116" t="str">
        <f t="shared" ca="1" si="67"/>
        <v/>
      </c>
      <c r="O1425" s="49" t="str">
        <f t="shared" ca="1" si="68"/>
        <v/>
      </c>
      <c r="P1425" s="38" t="str">
        <f>IF(E1425&lt;&gt;"",RANK(E1425,$E$3:$E$2298)+COUNTIF($E$3:E1425,E1425)-1,"")</f>
        <v/>
      </c>
    </row>
    <row r="1426" spans="4:16" x14ac:dyDescent="0.25">
      <c r="D1426" s="36" t="str" cm="1">
        <f t="array" aca="1" ref="D1426" ca="1">IFERROR(IF(INDIRECT("'"&amp;F1426&amp;"'!$C$5")&gt;0,DATE(YEAR(Dashboard!$AL$2),Dashboard!$AU$4,INDIRECT("'"&amp;F1426&amp;"'!$C$5")),""),"")</f>
        <v/>
      </c>
      <c r="G1426" s="38" t="str" cm="1">
        <f t="array" aca="1" ref="G1426" ca="1">IF(F1426="",
    "",
    IFERROR(
        IF(INDIRECT("'"&amp;F1426&amp;"'!$B$2")="Credit Limit",
            "Credit Accounts",
            IF(INDIRECT("'"&amp;F1426&amp;"'!$E$2")="Location",
                "Cash Accounts",
                IF(INDIRECT("'"&amp;F1426&amp;"'!$B$2")="Amount",
                    "Investments",
                    "Bill Accounts"
                )
            )
        ),
    "")
)</f>
        <v/>
      </c>
      <c r="I1426" s="46" t="str" cm="1">
        <f t="array" aca="1" ref="I1426" ca="1">IF(F1426&lt;&gt;"",IF(OR(G1426="Bill Accounts",G1426="Investments", G1426="Cash Accounts"),INDIRECT("'"&amp;F1426&amp;"'!$C$10"),INDIRECT("'"&amp;F1426&amp;"'!$C$8")),"")</f>
        <v/>
      </c>
      <c r="K1426" s="48">
        <f t="shared" si="69"/>
        <v>1432</v>
      </c>
      <c r="L1426" s="114" t="str" cm="1">
        <f t="array" aca="1" ref="L1426" ca="1">IF(F1426&lt;&gt;"",INDIRECT("'"&amp;F1426&amp;"'!$F$17"),"")</f>
        <v/>
      </c>
      <c r="M1426" s="116" t="str">
        <f t="shared" ca="1" si="67"/>
        <v/>
      </c>
      <c r="O1426" s="49" t="str">
        <f t="shared" ca="1" si="68"/>
        <v/>
      </c>
      <c r="P1426" s="38" t="str">
        <f>IF(E1426&lt;&gt;"",RANK(E1426,$E$3:$E$2298)+COUNTIF($E$3:E1426,E1426)-1,"")</f>
        <v/>
      </c>
    </row>
    <row r="1427" spans="4:16" x14ac:dyDescent="0.25">
      <c r="D1427" s="36" t="str" cm="1">
        <f t="array" aca="1" ref="D1427" ca="1">IFERROR(IF(INDIRECT("'"&amp;F1427&amp;"'!$C$5")&gt;0,DATE(YEAR(Dashboard!$AL$2),Dashboard!$AU$4,INDIRECT("'"&amp;F1427&amp;"'!$C$5")),""),"")</f>
        <v/>
      </c>
      <c r="G1427" s="38" t="str" cm="1">
        <f t="array" aca="1" ref="G1427" ca="1">IF(F1427="",
    "",
    IFERROR(
        IF(INDIRECT("'"&amp;F1427&amp;"'!$B$2")="Credit Limit",
            "Credit Accounts",
            IF(INDIRECT("'"&amp;F1427&amp;"'!$E$2")="Location",
                "Cash Accounts",
                IF(INDIRECT("'"&amp;F1427&amp;"'!$B$2")="Amount",
                    "Investments",
                    "Bill Accounts"
                )
            )
        ),
    "")
)</f>
        <v/>
      </c>
      <c r="I1427" s="46" t="str" cm="1">
        <f t="array" aca="1" ref="I1427" ca="1">IF(F1427&lt;&gt;"",IF(OR(G1427="Bill Accounts",G1427="Investments", G1427="Cash Accounts"),INDIRECT("'"&amp;F1427&amp;"'!$C$10"),INDIRECT("'"&amp;F1427&amp;"'!$C$8")),"")</f>
        <v/>
      </c>
      <c r="K1427" s="48">
        <f t="shared" si="69"/>
        <v>1433</v>
      </c>
      <c r="L1427" s="114" t="str" cm="1">
        <f t="array" aca="1" ref="L1427" ca="1">IF(F1427&lt;&gt;"",INDIRECT("'"&amp;F1427&amp;"'!$F$17"),"")</f>
        <v/>
      </c>
      <c r="M1427" s="116" t="str">
        <f t="shared" ca="1" si="67"/>
        <v/>
      </c>
      <c r="O1427" s="49" t="str">
        <f t="shared" ca="1" si="68"/>
        <v/>
      </c>
      <c r="P1427" s="38" t="str">
        <f>IF(E1427&lt;&gt;"",RANK(E1427,$E$3:$E$2298)+COUNTIF($E$3:E1427,E1427)-1,"")</f>
        <v/>
      </c>
    </row>
    <row r="1428" spans="4:16" x14ac:dyDescent="0.25">
      <c r="D1428" s="36" t="str" cm="1">
        <f t="array" aca="1" ref="D1428" ca="1">IFERROR(IF(INDIRECT("'"&amp;F1428&amp;"'!$C$5")&gt;0,DATE(YEAR(Dashboard!$AL$2),Dashboard!$AU$4,INDIRECT("'"&amp;F1428&amp;"'!$C$5")),""),"")</f>
        <v/>
      </c>
      <c r="G1428" s="38" t="str" cm="1">
        <f t="array" aca="1" ref="G1428" ca="1">IF(F1428="",
    "",
    IFERROR(
        IF(INDIRECT("'"&amp;F1428&amp;"'!$B$2")="Credit Limit",
            "Credit Accounts",
            IF(INDIRECT("'"&amp;F1428&amp;"'!$E$2")="Location",
                "Cash Accounts",
                IF(INDIRECT("'"&amp;F1428&amp;"'!$B$2")="Amount",
                    "Investments",
                    "Bill Accounts"
                )
            )
        ),
    "")
)</f>
        <v/>
      </c>
      <c r="I1428" s="46" t="str" cm="1">
        <f t="array" aca="1" ref="I1428" ca="1">IF(F1428&lt;&gt;"",IF(OR(G1428="Bill Accounts",G1428="Investments", G1428="Cash Accounts"),INDIRECT("'"&amp;F1428&amp;"'!$C$10"),INDIRECT("'"&amp;F1428&amp;"'!$C$8")),"")</f>
        <v/>
      </c>
      <c r="K1428" s="48">
        <f t="shared" si="69"/>
        <v>1434</v>
      </c>
      <c r="L1428" s="114" t="str" cm="1">
        <f t="array" aca="1" ref="L1428" ca="1">IF(F1428&lt;&gt;"",INDIRECT("'"&amp;F1428&amp;"'!$F$17"),"")</f>
        <v/>
      </c>
      <c r="M1428" s="116" t="str">
        <f t="shared" ca="1" si="67"/>
        <v/>
      </c>
      <c r="O1428" s="49" t="str">
        <f t="shared" ca="1" si="68"/>
        <v/>
      </c>
      <c r="P1428" s="38" t="str">
        <f>IF(E1428&lt;&gt;"",RANK(E1428,$E$3:$E$2298)+COUNTIF($E$3:E1428,E1428)-1,"")</f>
        <v/>
      </c>
    </row>
    <row r="1429" spans="4:16" x14ac:dyDescent="0.25">
      <c r="D1429" s="36" t="str" cm="1">
        <f t="array" aca="1" ref="D1429" ca="1">IFERROR(IF(INDIRECT("'"&amp;F1429&amp;"'!$C$5")&gt;0,DATE(YEAR(Dashboard!$AL$2),Dashboard!$AU$4,INDIRECT("'"&amp;F1429&amp;"'!$C$5")),""),"")</f>
        <v/>
      </c>
      <c r="G1429" s="38" t="str" cm="1">
        <f t="array" aca="1" ref="G1429" ca="1">IF(F1429="",
    "",
    IFERROR(
        IF(INDIRECT("'"&amp;F1429&amp;"'!$B$2")="Credit Limit",
            "Credit Accounts",
            IF(INDIRECT("'"&amp;F1429&amp;"'!$E$2")="Location",
                "Cash Accounts",
                IF(INDIRECT("'"&amp;F1429&amp;"'!$B$2")="Amount",
                    "Investments",
                    "Bill Accounts"
                )
            )
        ),
    "")
)</f>
        <v/>
      </c>
      <c r="I1429" s="46" t="str" cm="1">
        <f t="array" aca="1" ref="I1429" ca="1">IF(F1429&lt;&gt;"",IF(OR(G1429="Bill Accounts",G1429="Investments", G1429="Cash Accounts"),INDIRECT("'"&amp;F1429&amp;"'!$C$10"),INDIRECT("'"&amp;F1429&amp;"'!$C$8")),"")</f>
        <v/>
      </c>
      <c r="K1429" s="48">
        <f t="shared" si="69"/>
        <v>1435</v>
      </c>
      <c r="L1429" s="114" t="str" cm="1">
        <f t="array" aca="1" ref="L1429" ca="1">IF(F1429&lt;&gt;"",INDIRECT("'"&amp;F1429&amp;"'!$F$17"),"")</f>
        <v/>
      </c>
      <c r="M1429" s="116" t="str">
        <f t="shared" ca="1" si="67"/>
        <v/>
      </c>
      <c r="O1429" s="49" t="str">
        <f t="shared" ca="1" si="68"/>
        <v/>
      </c>
      <c r="P1429" s="38" t="str">
        <f>IF(E1429&lt;&gt;"",RANK(E1429,$E$3:$E$2298)+COUNTIF($E$3:E1429,E1429)-1,"")</f>
        <v/>
      </c>
    </row>
    <row r="1430" spans="4:16" x14ac:dyDescent="0.25">
      <c r="D1430" s="36" t="str" cm="1">
        <f t="array" aca="1" ref="D1430" ca="1">IFERROR(IF(INDIRECT("'"&amp;F1430&amp;"'!$C$5")&gt;0,DATE(YEAR(Dashboard!$AL$2),Dashboard!$AU$4,INDIRECT("'"&amp;F1430&amp;"'!$C$5")),""),"")</f>
        <v/>
      </c>
      <c r="G1430" s="38" t="str" cm="1">
        <f t="array" aca="1" ref="G1430" ca="1">IF(F1430="",
    "",
    IFERROR(
        IF(INDIRECT("'"&amp;F1430&amp;"'!$B$2")="Credit Limit",
            "Credit Accounts",
            IF(INDIRECT("'"&amp;F1430&amp;"'!$E$2")="Location",
                "Cash Accounts",
                IF(INDIRECT("'"&amp;F1430&amp;"'!$B$2")="Amount",
                    "Investments",
                    "Bill Accounts"
                )
            )
        ),
    "")
)</f>
        <v/>
      </c>
      <c r="I1430" s="46" t="str" cm="1">
        <f t="array" aca="1" ref="I1430" ca="1">IF(F1430&lt;&gt;"",IF(OR(G1430="Bill Accounts",G1430="Investments", G1430="Cash Accounts"),INDIRECT("'"&amp;F1430&amp;"'!$C$10"),INDIRECT("'"&amp;F1430&amp;"'!$C$8")),"")</f>
        <v/>
      </c>
      <c r="K1430" s="48">
        <f t="shared" si="69"/>
        <v>1436</v>
      </c>
      <c r="L1430" s="114" t="str" cm="1">
        <f t="array" aca="1" ref="L1430" ca="1">IF(F1430&lt;&gt;"",INDIRECT("'"&amp;F1430&amp;"'!$F$17"),"")</f>
        <v/>
      </c>
      <c r="M1430" s="116" t="str">
        <f t="shared" ca="1" si="67"/>
        <v/>
      </c>
      <c r="O1430" s="49" t="str">
        <f t="shared" ca="1" si="68"/>
        <v/>
      </c>
      <c r="P1430" s="38" t="str">
        <f>IF(E1430&lt;&gt;"",RANK(E1430,$E$3:$E$2298)+COUNTIF($E$3:E1430,E1430)-1,"")</f>
        <v/>
      </c>
    </row>
    <row r="1431" spans="4:16" x14ac:dyDescent="0.25">
      <c r="D1431" s="36" t="str" cm="1">
        <f t="array" aca="1" ref="D1431" ca="1">IFERROR(IF(INDIRECT("'"&amp;F1431&amp;"'!$C$5")&gt;0,DATE(YEAR(Dashboard!$AL$2),Dashboard!$AU$4,INDIRECT("'"&amp;F1431&amp;"'!$C$5")),""),"")</f>
        <v/>
      </c>
      <c r="G1431" s="38" t="str" cm="1">
        <f t="array" aca="1" ref="G1431" ca="1">IF(F1431="",
    "",
    IFERROR(
        IF(INDIRECT("'"&amp;F1431&amp;"'!$B$2")="Credit Limit",
            "Credit Accounts",
            IF(INDIRECT("'"&amp;F1431&amp;"'!$E$2")="Location",
                "Cash Accounts",
                IF(INDIRECT("'"&amp;F1431&amp;"'!$B$2")="Amount",
                    "Investments",
                    "Bill Accounts"
                )
            )
        ),
    "")
)</f>
        <v/>
      </c>
      <c r="I1431" s="46" t="str" cm="1">
        <f t="array" aca="1" ref="I1431" ca="1">IF(F1431&lt;&gt;"",IF(OR(G1431="Bill Accounts",G1431="Investments", G1431="Cash Accounts"),INDIRECT("'"&amp;F1431&amp;"'!$C$10"),INDIRECT("'"&amp;F1431&amp;"'!$C$8")),"")</f>
        <v/>
      </c>
      <c r="K1431" s="48">
        <f t="shared" si="69"/>
        <v>1437</v>
      </c>
      <c r="L1431" s="114" t="str" cm="1">
        <f t="array" aca="1" ref="L1431" ca="1">IF(F1431&lt;&gt;"",INDIRECT("'"&amp;F1431&amp;"'!$F$17"),"")</f>
        <v/>
      </c>
      <c r="M1431" s="116" t="str">
        <f t="shared" ca="1" si="67"/>
        <v/>
      </c>
      <c r="O1431" s="49" t="str">
        <f t="shared" ca="1" si="68"/>
        <v/>
      </c>
      <c r="P1431" s="38" t="str">
        <f>IF(E1431&lt;&gt;"",RANK(E1431,$E$3:$E$2298)+COUNTIF($E$3:E1431,E1431)-1,"")</f>
        <v/>
      </c>
    </row>
    <row r="1432" spans="4:16" x14ac:dyDescent="0.25">
      <c r="D1432" s="36" t="str" cm="1">
        <f t="array" aca="1" ref="D1432" ca="1">IFERROR(IF(INDIRECT("'"&amp;F1432&amp;"'!$C$5")&gt;0,DATE(YEAR(Dashboard!$AL$2),Dashboard!$AU$4,INDIRECT("'"&amp;F1432&amp;"'!$C$5")),""),"")</f>
        <v/>
      </c>
      <c r="G1432" s="38" t="str" cm="1">
        <f t="array" aca="1" ref="G1432" ca="1">IF(F1432="",
    "",
    IFERROR(
        IF(INDIRECT("'"&amp;F1432&amp;"'!$B$2")="Credit Limit",
            "Credit Accounts",
            IF(INDIRECT("'"&amp;F1432&amp;"'!$E$2")="Location",
                "Cash Accounts",
                IF(INDIRECT("'"&amp;F1432&amp;"'!$B$2")="Amount",
                    "Investments",
                    "Bill Accounts"
                )
            )
        ),
    "")
)</f>
        <v/>
      </c>
      <c r="I1432" s="46" t="str" cm="1">
        <f t="array" aca="1" ref="I1432" ca="1">IF(F1432&lt;&gt;"",IF(OR(G1432="Bill Accounts",G1432="Investments", G1432="Cash Accounts"),INDIRECT("'"&amp;F1432&amp;"'!$C$10"),INDIRECT("'"&amp;F1432&amp;"'!$C$8")),"")</f>
        <v/>
      </c>
      <c r="K1432" s="48">
        <f t="shared" si="69"/>
        <v>1438</v>
      </c>
      <c r="L1432" s="114" t="str" cm="1">
        <f t="array" aca="1" ref="L1432" ca="1">IF(F1432&lt;&gt;"",INDIRECT("'"&amp;F1432&amp;"'!$F$17"),"")</f>
        <v/>
      </c>
      <c r="M1432" s="116" t="str">
        <f t="shared" ca="1" si="67"/>
        <v/>
      </c>
      <c r="O1432" s="49" t="str">
        <f t="shared" ca="1" si="68"/>
        <v/>
      </c>
      <c r="P1432" s="38" t="str">
        <f>IF(E1432&lt;&gt;"",RANK(E1432,$E$3:$E$2298)+COUNTIF($E$3:E1432,E1432)-1,"")</f>
        <v/>
      </c>
    </row>
    <row r="1433" spans="4:16" x14ac:dyDescent="0.25">
      <c r="D1433" s="36" t="str" cm="1">
        <f t="array" aca="1" ref="D1433" ca="1">IFERROR(IF(INDIRECT("'"&amp;F1433&amp;"'!$C$5")&gt;0,DATE(YEAR(Dashboard!$AL$2),Dashboard!$AU$4,INDIRECT("'"&amp;F1433&amp;"'!$C$5")),""),"")</f>
        <v/>
      </c>
      <c r="G1433" s="38" t="str" cm="1">
        <f t="array" aca="1" ref="G1433" ca="1">IF(F1433="",
    "",
    IFERROR(
        IF(INDIRECT("'"&amp;F1433&amp;"'!$B$2")="Credit Limit",
            "Credit Accounts",
            IF(INDIRECT("'"&amp;F1433&amp;"'!$E$2")="Location",
                "Cash Accounts",
                IF(INDIRECT("'"&amp;F1433&amp;"'!$B$2")="Amount",
                    "Investments",
                    "Bill Accounts"
                )
            )
        ),
    "")
)</f>
        <v/>
      </c>
      <c r="I1433" s="46" t="str" cm="1">
        <f t="array" aca="1" ref="I1433" ca="1">IF(F1433&lt;&gt;"",IF(OR(G1433="Bill Accounts",G1433="Investments", G1433="Cash Accounts"),INDIRECT("'"&amp;F1433&amp;"'!$C$10"),INDIRECT("'"&amp;F1433&amp;"'!$C$8")),"")</f>
        <v/>
      </c>
      <c r="K1433" s="48">
        <f t="shared" si="69"/>
        <v>1439</v>
      </c>
      <c r="L1433" s="114" t="str" cm="1">
        <f t="array" aca="1" ref="L1433" ca="1">IF(F1433&lt;&gt;"",INDIRECT("'"&amp;F1433&amp;"'!$F$17"),"")</f>
        <v/>
      </c>
      <c r="M1433" s="116" t="str">
        <f t="shared" ca="1" si="67"/>
        <v/>
      </c>
      <c r="O1433" s="49" t="str">
        <f t="shared" ca="1" si="68"/>
        <v/>
      </c>
      <c r="P1433" s="38" t="str">
        <f>IF(E1433&lt;&gt;"",RANK(E1433,$E$3:$E$2298)+COUNTIF($E$3:E1433,E1433)-1,"")</f>
        <v/>
      </c>
    </row>
    <row r="1434" spans="4:16" x14ac:dyDescent="0.25">
      <c r="D1434" s="36" t="str" cm="1">
        <f t="array" aca="1" ref="D1434" ca="1">IFERROR(IF(INDIRECT("'"&amp;F1434&amp;"'!$C$5")&gt;0,DATE(YEAR(Dashboard!$AL$2),Dashboard!$AU$4,INDIRECT("'"&amp;F1434&amp;"'!$C$5")),""),"")</f>
        <v/>
      </c>
      <c r="G1434" s="38" t="str" cm="1">
        <f t="array" aca="1" ref="G1434" ca="1">IF(F1434="",
    "",
    IFERROR(
        IF(INDIRECT("'"&amp;F1434&amp;"'!$B$2")="Credit Limit",
            "Credit Accounts",
            IF(INDIRECT("'"&amp;F1434&amp;"'!$E$2")="Location",
                "Cash Accounts",
                IF(INDIRECT("'"&amp;F1434&amp;"'!$B$2")="Amount",
                    "Investments",
                    "Bill Accounts"
                )
            )
        ),
    "")
)</f>
        <v/>
      </c>
      <c r="I1434" s="46" t="str" cm="1">
        <f t="array" aca="1" ref="I1434" ca="1">IF(F1434&lt;&gt;"",IF(OR(G1434="Bill Accounts",G1434="Investments", G1434="Cash Accounts"),INDIRECT("'"&amp;F1434&amp;"'!$C$10"),INDIRECT("'"&amp;F1434&amp;"'!$C$8")),"")</f>
        <v/>
      </c>
      <c r="K1434" s="48">
        <f t="shared" si="69"/>
        <v>1440</v>
      </c>
      <c r="L1434" s="114" t="str" cm="1">
        <f t="array" aca="1" ref="L1434" ca="1">IF(F1434&lt;&gt;"",INDIRECT("'"&amp;F1434&amp;"'!$F$17"),"")</f>
        <v/>
      </c>
      <c r="M1434" s="116" t="str">
        <f t="shared" ca="1" si="67"/>
        <v/>
      </c>
      <c r="O1434" s="49" t="str">
        <f t="shared" ca="1" si="68"/>
        <v/>
      </c>
      <c r="P1434" s="38" t="str">
        <f>IF(E1434&lt;&gt;"",RANK(E1434,$E$3:$E$2298)+COUNTIF($E$3:E1434,E1434)-1,"")</f>
        <v/>
      </c>
    </row>
    <row r="1435" spans="4:16" x14ac:dyDescent="0.25">
      <c r="D1435" s="36" t="str" cm="1">
        <f t="array" aca="1" ref="D1435" ca="1">IFERROR(IF(INDIRECT("'"&amp;F1435&amp;"'!$C$5")&gt;0,DATE(YEAR(Dashboard!$AL$2),Dashboard!$AU$4,INDIRECT("'"&amp;F1435&amp;"'!$C$5")),""),"")</f>
        <v/>
      </c>
      <c r="G1435" s="38" t="str" cm="1">
        <f t="array" aca="1" ref="G1435" ca="1">IF(F1435="",
    "",
    IFERROR(
        IF(INDIRECT("'"&amp;F1435&amp;"'!$B$2")="Credit Limit",
            "Credit Accounts",
            IF(INDIRECT("'"&amp;F1435&amp;"'!$E$2")="Location",
                "Cash Accounts",
                IF(INDIRECT("'"&amp;F1435&amp;"'!$B$2")="Amount",
                    "Investments",
                    "Bill Accounts"
                )
            )
        ),
    "")
)</f>
        <v/>
      </c>
      <c r="I1435" s="46" t="str" cm="1">
        <f t="array" aca="1" ref="I1435" ca="1">IF(F1435&lt;&gt;"",IF(OR(G1435="Bill Accounts",G1435="Investments", G1435="Cash Accounts"),INDIRECT("'"&amp;F1435&amp;"'!$C$10"),INDIRECT("'"&amp;F1435&amp;"'!$C$8")),"")</f>
        <v/>
      </c>
      <c r="K1435" s="48">
        <f t="shared" si="69"/>
        <v>1441</v>
      </c>
      <c r="L1435" s="114" t="str" cm="1">
        <f t="array" aca="1" ref="L1435" ca="1">IF(F1435&lt;&gt;"",INDIRECT("'"&amp;F1435&amp;"'!$F$17"),"")</f>
        <v/>
      </c>
      <c r="M1435" s="116" t="str">
        <f t="shared" ca="1" si="67"/>
        <v/>
      </c>
      <c r="O1435" s="49" t="str">
        <f t="shared" ca="1" si="68"/>
        <v/>
      </c>
      <c r="P1435" s="38" t="str">
        <f>IF(E1435&lt;&gt;"",RANK(E1435,$E$3:$E$2298)+COUNTIF($E$3:E1435,E1435)-1,"")</f>
        <v/>
      </c>
    </row>
    <row r="1436" spans="4:16" x14ac:dyDescent="0.25">
      <c r="D1436" s="36" t="str" cm="1">
        <f t="array" aca="1" ref="D1436" ca="1">IFERROR(IF(INDIRECT("'"&amp;F1436&amp;"'!$C$5")&gt;0,DATE(YEAR(Dashboard!$AL$2),Dashboard!$AU$4,INDIRECT("'"&amp;F1436&amp;"'!$C$5")),""),"")</f>
        <v/>
      </c>
      <c r="G1436" s="38" t="str" cm="1">
        <f t="array" aca="1" ref="G1436" ca="1">IF(F1436="",
    "",
    IFERROR(
        IF(INDIRECT("'"&amp;F1436&amp;"'!$B$2")="Credit Limit",
            "Credit Accounts",
            IF(INDIRECT("'"&amp;F1436&amp;"'!$E$2")="Location",
                "Cash Accounts",
                IF(INDIRECT("'"&amp;F1436&amp;"'!$B$2")="Amount",
                    "Investments",
                    "Bill Accounts"
                )
            )
        ),
    "")
)</f>
        <v/>
      </c>
      <c r="I1436" s="46" t="str" cm="1">
        <f t="array" aca="1" ref="I1436" ca="1">IF(F1436&lt;&gt;"",IF(OR(G1436="Bill Accounts",G1436="Investments", G1436="Cash Accounts"),INDIRECT("'"&amp;F1436&amp;"'!$C$10"),INDIRECT("'"&amp;F1436&amp;"'!$C$8")),"")</f>
        <v/>
      </c>
      <c r="K1436" s="48">
        <f t="shared" si="69"/>
        <v>1442</v>
      </c>
      <c r="L1436" s="114" t="str" cm="1">
        <f t="array" aca="1" ref="L1436" ca="1">IF(F1436&lt;&gt;"",INDIRECT("'"&amp;F1436&amp;"'!$F$17"),"")</f>
        <v/>
      </c>
      <c r="M1436" s="116" t="str">
        <f t="shared" ca="1" si="67"/>
        <v/>
      </c>
      <c r="O1436" s="49" t="str">
        <f t="shared" ca="1" si="68"/>
        <v/>
      </c>
      <c r="P1436" s="38" t="str">
        <f>IF(E1436&lt;&gt;"",RANK(E1436,$E$3:$E$2298)+COUNTIF($E$3:E1436,E1436)-1,"")</f>
        <v/>
      </c>
    </row>
    <row r="1437" spans="4:16" x14ac:dyDescent="0.25">
      <c r="D1437" s="36" t="str" cm="1">
        <f t="array" aca="1" ref="D1437" ca="1">IFERROR(IF(INDIRECT("'"&amp;F1437&amp;"'!$C$5")&gt;0,DATE(YEAR(Dashboard!$AL$2),Dashboard!$AU$4,INDIRECT("'"&amp;F1437&amp;"'!$C$5")),""),"")</f>
        <v/>
      </c>
      <c r="G1437" s="38" t="str" cm="1">
        <f t="array" aca="1" ref="G1437" ca="1">IF(F1437="",
    "",
    IFERROR(
        IF(INDIRECT("'"&amp;F1437&amp;"'!$B$2")="Credit Limit",
            "Credit Accounts",
            IF(INDIRECT("'"&amp;F1437&amp;"'!$E$2")="Location",
                "Cash Accounts",
                IF(INDIRECT("'"&amp;F1437&amp;"'!$B$2")="Amount",
                    "Investments",
                    "Bill Accounts"
                )
            )
        ),
    "")
)</f>
        <v/>
      </c>
      <c r="I1437" s="46" t="str" cm="1">
        <f t="array" aca="1" ref="I1437" ca="1">IF(F1437&lt;&gt;"",IF(OR(G1437="Bill Accounts",G1437="Investments", G1437="Cash Accounts"),INDIRECT("'"&amp;F1437&amp;"'!$C$10"),INDIRECT("'"&amp;F1437&amp;"'!$C$8")),"")</f>
        <v/>
      </c>
      <c r="K1437" s="48">
        <f t="shared" si="69"/>
        <v>1443</v>
      </c>
      <c r="L1437" s="114" t="str" cm="1">
        <f t="array" aca="1" ref="L1437" ca="1">IF(F1437&lt;&gt;"",INDIRECT("'"&amp;F1437&amp;"'!$F$17"),"")</f>
        <v/>
      </c>
      <c r="M1437" s="116" t="str">
        <f t="shared" ca="1" si="67"/>
        <v/>
      </c>
      <c r="O1437" s="49" t="str">
        <f t="shared" ca="1" si="68"/>
        <v/>
      </c>
      <c r="P1437" s="38" t="str">
        <f>IF(E1437&lt;&gt;"",RANK(E1437,$E$3:$E$2298)+COUNTIF($E$3:E1437,E1437)-1,"")</f>
        <v/>
      </c>
    </row>
    <row r="1438" spans="4:16" x14ac:dyDescent="0.25">
      <c r="D1438" s="36" t="str" cm="1">
        <f t="array" aca="1" ref="D1438" ca="1">IFERROR(IF(INDIRECT("'"&amp;F1438&amp;"'!$C$5")&gt;0,DATE(YEAR(Dashboard!$AL$2),Dashboard!$AU$4,INDIRECT("'"&amp;F1438&amp;"'!$C$5")),""),"")</f>
        <v/>
      </c>
      <c r="G1438" s="38" t="str" cm="1">
        <f t="array" aca="1" ref="G1438" ca="1">IF(F1438="",
    "",
    IFERROR(
        IF(INDIRECT("'"&amp;F1438&amp;"'!$B$2")="Credit Limit",
            "Credit Accounts",
            IF(INDIRECT("'"&amp;F1438&amp;"'!$E$2")="Location",
                "Cash Accounts",
                IF(INDIRECT("'"&amp;F1438&amp;"'!$B$2")="Amount",
                    "Investments",
                    "Bill Accounts"
                )
            )
        ),
    "")
)</f>
        <v/>
      </c>
      <c r="I1438" s="46" t="str" cm="1">
        <f t="array" aca="1" ref="I1438" ca="1">IF(F1438&lt;&gt;"",IF(OR(G1438="Bill Accounts",G1438="Investments", G1438="Cash Accounts"),INDIRECT("'"&amp;F1438&amp;"'!$C$10"),INDIRECT("'"&amp;F1438&amp;"'!$C$8")),"")</f>
        <v/>
      </c>
      <c r="K1438" s="48">
        <f t="shared" si="69"/>
        <v>1444</v>
      </c>
      <c r="L1438" s="114" t="str" cm="1">
        <f t="array" aca="1" ref="L1438" ca="1">IF(F1438&lt;&gt;"",INDIRECT("'"&amp;F1438&amp;"'!$F$17"),"")</f>
        <v/>
      </c>
      <c r="M1438" s="116" t="str">
        <f t="shared" ca="1" si="67"/>
        <v/>
      </c>
      <c r="O1438" s="49" t="str">
        <f t="shared" ca="1" si="68"/>
        <v/>
      </c>
      <c r="P1438" s="38" t="str">
        <f>IF(E1438&lt;&gt;"",RANK(E1438,$E$3:$E$2298)+COUNTIF($E$3:E1438,E1438)-1,"")</f>
        <v/>
      </c>
    </row>
    <row r="1439" spans="4:16" x14ac:dyDescent="0.25">
      <c r="D1439" s="36" t="str" cm="1">
        <f t="array" aca="1" ref="D1439" ca="1">IFERROR(IF(INDIRECT("'"&amp;F1439&amp;"'!$C$5")&gt;0,DATE(YEAR(Dashboard!$AL$2),Dashboard!$AU$4,INDIRECT("'"&amp;F1439&amp;"'!$C$5")),""),"")</f>
        <v/>
      </c>
      <c r="G1439" s="38" t="str" cm="1">
        <f t="array" aca="1" ref="G1439" ca="1">IF(F1439="",
    "",
    IFERROR(
        IF(INDIRECT("'"&amp;F1439&amp;"'!$B$2")="Credit Limit",
            "Credit Accounts",
            IF(INDIRECT("'"&amp;F1439&amp;"'!$E$2")="Location",
                "Cash Accounts",
                IF(INDIRECT("'"&amp;F1439&amp;"'!$B$2")="Amount",
                    "Investments",
                    "Bill Accounts"
                )
            )
        ),
    "")
)</f>
        <v/>
      </c>
      <c r="I1439" s="46" t="str" cm="1">
        <f t="array" aca="1" ref="I1439" ca="1">IF(F1439&lt;&gt;"",IF(OR(G1439="Bill Accounts",G1439="Investments", G1439="Cash Accounts"),INDIRECT("'"&amp;F1439&amp;"'!$C$10"),INDIRECT("'"&amp;F1439&amp;"'!$C$8")),"")</f>
        <v/>
      </c>
      <c r="K1439" s="48">
        <f t="shared" si="69"/>
        <v>1445</v>
      </c>
      <c r="L1439" s="114" t="str" cm="1">
        <f t="array" aca="1" ref="L1439" ca="1">IF(F1439&lt;&gt;"",INDIRECT("'"&amp;F1439&amp;"'!$F$17"),"")</f>
        <v/>
      </c>
      <c r="M1439" s="116" t="str">
        <f t="shared" ca="1" si="67"/>
        <v/>
      </c>
      <c r="O1439" s="49" t="str">
        <f t="shared" ca="1" si="68"/>
        <v/>
      </c>
      <c r="P1439" s="38" t="str">
        <f>IF(E1439&lt;&gt;"",RANK(E1439,$E$3:$E$2298)+COUNTIF($E$3:E1439,E1439)-1,"")</f>
        <v/>
      </c>
    </row>
    <row r="1440" spans="4:16" x14ac:dyDescent="0.25">
      <c r="D1440" s="36" t="str" cm="1">
        <f t="array" aca="1" ref="D1440" ca="1">IFERROR(IF(INDIRECT("'"&amp;F1440&amp;"'!$C$5")&gt;0,DATE(YEAR(Dashboard!$AL$2),Dashboard!$AU$4,INDIRECT("'"&amp;F1440&amp;"'!$C$5")),""),"")</f>
        <v/>
      </c>
      <c r="G1440" s="38" t="str" cm="1">
        <f t="array" aca="1" ref="G1440" ca="1">IF(F1440="",
    "",
    IFERROR(
        IF(INDIRECT("'"&amp;F1440&amp;"'!$B$2")="Credit Limit",
            "Credit Accounts",
            IF(INDIRECT("'"&amp;F1440&amp;"'!$E$2")="Location",
                "Cash Accounts",
                IF(INDIRECT("'"&amp;F1440&amp;"'!$B$2")="Amount",
                    "Investments",
                    "Bill Accounts"
                )
            )
        ),
    "")
)</f>
        <v/>
      </c>
      <c r="I1440" s="46" t="str" cm="1">
        <f t="array" aca="1" ref="I1440" ca="1">IF(F1440&lt;&gt;"",IF(OR(G1440="Bill Accounts",G1440="Investments", G1440="Cash Accounts"),INDIRECT("'"&amp;F1440&amp;"'!$C$10"),INDIRECT("'"&amp;F1440&amp;"'!$C$8")),"")</f>
        <v/>
      </c>
      <c r="K1440" s="48">
        <f t="shared" si="69"/>
        <v>1446</v>
      </c>
      <c r="L1440" s="114" t="str" cm="1">
        <f t="array" aca="1" ref="L1440" ca="1">IF(F1440&lt;&gt;"",INDIRECT("'"&amp;F1440&amp;"'!$F$17"),"")</f>
        <v/>
      </c>
      <c r="M1440" s="116" t="str">
        <f t="shared" ca="1" si="67"/>
        <v/>
      </c>
      <c r="O1440" s="49" t="str">
        <f t="shared" ca="1" si="68"/>
        <v/>
      </c>
      <c r="P1440" s="38" t="str">
        <f>IF(E1440&lt;&gt;"",RANK(E1440,$E$3:$E$2298)+COUNTIF($E$3:E1440,E1440)-1,"")</f>
        <v/>
      </c>
    </row>
    <row r="1441" spans="4:16" x14ac:dyDescent="0.25">
      <c r="D1441" s="36" t="str" cm="1">
        <f t="array" aca="1" ref="D1441" ca="1">IFERROR(IF(INDIRECT("'"&amp;F1441&amp;"'!$C$5")&gt;0,DATE(YEAR(Dashboard!$AL$2),Dashboard!$AU$4,INDIRECT("'"&amp;F1441&amp;"'!$C$5")),""),"")</f>
        <v/>
      </c>
      <c r="G1441" s="38" t="str" cm="1">
        <f t="array" aca="1" ref="G1441" ca="1">IF(F1441="",
    "",
    IFERROR(
        IF(INDIRECT("'"&amp;F1441&amp;"'!$B$2")="Credit Limit",
            "Credit Accounts",
            IF(INDIRECT("'"&amp;F1441&amp;"'!$E$2")="Location",
                "Cash Accounts",
                IF(INDIRECT("'"&amp;F1441&amp;"'!$B$2")="Amount",
                    "Investments",
                    "Bill Accounts"
                )
            )
        ),
    "")
)</f>
        <v/>
      </c>
      <c r="I1441" s="46" t="str" cm="1">
        <f t="array" aca="1" ref="I1441" ca="1">IF(F1441&lt;&gt;"",IF(OR(G1441="Bill Accounts",G1441="Investments", G1441="Cash Accounts"),INDIRECT("'"&amp;F1441&amp;"'!$C$10"),INDIRECT("'"&amp;F1441&amp;"'!$C$8")),"")</f>
        <v/>
      </c>
      <c r="K1441" s="48">
        <f t="shared" si="69"/>
        <v>1447</v>
      </c>
      <c r="L1441" s="114" t="str" cm="1">
        <f t="array" aca="1" ref="L1441" ca="1">IF(F1441&lt;&gt;"",INDIRECT("'"&amp;F1441&amp;"'!$F$17"),"")</f>
        <v/>
      </c>
      <c r="M1441" s="116" t="str">
        <f t="shared" ca="1" si="67"/>
        <v/>
      </c>
      <c r="O1441" s="49" t="str">
        <f t="shared" ca="1" si="68"/>
        <v/>
      </c>
      <c r="P1441" s="38" t="str">
        <f>IF(E1441&lt;&gt;"",RANK(E1441,$E$3:$E$2298)+COUNTIF($E$3:E1441,E1441)-1,"")</f>
        <v/>
      </c>
    </row>
    <row r="1442" spans="4:16" x14ac:dyDescent="0.25">
      <c r="D1442" s="36" t="str" cm="1">
        <f t="array" aca="1" ref="D1442" ca="1">IFERROR(IF(INDIRECT("'"&amp;F1442&amp;"'!$C$5")&gt;0,DATE(YEAR(Dashboard!$AL$2),Dashboard!$AU$4,INDIRECT("'"&amp;F1442&amp;"'!$C$5")),""),"")</f>
        <v/>
      </c>
      <c r="G1442" s="38" t="str" cm="1">
        <f t="array" aca="1" ref="G1442" ca="1">IF(F1442="",
    "",
    IFERROR(
        IF(INDIRECT("'"&amp;F1442&amp;"'!$B$2")="Credit Limit",
            "Credit Accounts",
            IF(INDIRECT("'"&amp;F1442&amp;"'!$E$2")="Location",
                "Cash Accounts",
                IF(INDIRECT("'"&amp;F1442&amp;"'!$B$2")="Amount",
                    "Investments",
                    "Bill Accounts"
                )
            )
        ),
    "")
)</f>
        <v/>
      </c>
      <c r="I1442" s="46" t="str" cm="1">
        <f t="array" aca="1" ref="I1442" ca="1">IF(F1442&lt;&gt;"",IF(OR(G1442="Bill Accounts",G1442="Investments", G1442="Cash Accounts"),INDIRECT("'"&amp;F1442&amp;"'!$C$10"),INDIRECT("'"&amp;F1442&amp;"'!$C$8")),"")</f>
        <v/>
      </c>
      <c r="K1442" s="48">
        <f t="shared" si="69"/>
        <v>1448</v>
      </c>
      <c r="L1442" s="114" t="str" cm="1">
        <f t="array" aca="1" ref="L1442" ca="1">IF(F1442&lt;&gt;"",INDIRECT("'"&amp;F1442&amp;"'!$F$17"),"")</f>
        <v/>
      </c>
      <c r="M1442" s="116" t="str">
        <f t="shared" ca="1" si="67"/>
        <v/>
      </c>
      <c r="O1442" s="49" t="str">
        <f t="shared" ca="1" si="68"/>
        <v/>
      </c>
      <c r="P1442" s="38" t="str">
        <f>IF(E1442&lt;&gt;"",RANK(E1442,$E$3:$E$2298)+COUNTIF($E$3:E1442,E1442)-1,"")</f>
        <v/>
      </c>
    </row>
    <row r="1443" spans="4:16" x14ac:dyDescent="0.25">
      <c r="D1443" s="36" t="str" cm="1">
        <f t="array" aca="1" ref="D1443" ca="1">IFERROR(IF(INDIRECT("'"&amp;F1443&amp;"'!$C$5")&gt;0,DATE(YEAR(Dashboard!$AL$2),Dashboard!$AU$4,INDIRECT("'"&amp;F1443&amp;"'!$C$5")),""),"")</f>
        <v/>
      </c>
      <c r="G1443" s="38" t="str" cm="1">
        <f t="array" aca="1" ref="G1443" ca="1">IF(F1443="",
    "",
    IFERROR(
        IF(INDIRECT("'"&amp;F1443&amp;"'!$B$2")="Credit Limit",
            "Credit Accounts",
            IF(INDIRECT("'"&amp;F1443&amp;"'!$E$2")="Location",
                "Cash Accounts",
                IF(INDIRECT("'"&amp;F1443&amp;"'!$B$2")="Amount",
                    "Investments",
                    "Bill Accounts"
                )
            )
        ),
    "")
)</f>
        <v/>
      </c>
      <c r="I1443" s="46" t="str" cm="1">
        <f t="array" aca="1" ref="I1443" ca="1">IF(F1443&lt;&gt;"",IF(OR(G1443="Bill Accounts",G1443="Investments", G1443="Cash Accounts"),INDIRECT("'"&amp;F1443&amp;"'!$C$10"),INDIRECT("'"&amp;F1443&amp;"'!$C$8")),"")</f>
        <v/>
      </c>
      <c r="K1443" s="48">
        <f t="shared" si="69"/>
        <v>1449</v>
      </c>
      <c r="L1443" s="114" t="str" cm="1">
        <f t="array" aca="1" ref="L1443" ca="1">IF(F1443&lt;&gt;"",INDIRECT("'"&amp;F1443&amp;"'!$F$17"),"")</f>
        <v/>
      </c>
      <c r="M1443" s="116" t="str">
        <f t="shared" ca="1" si="67"/>
        <v/>
      </c>
      <c r="O1443" s="49" t="str">
        <f t="shared" ca="1" si="68"/>
        <v/>
      </c>
      <c r="P1443" s="38" t="str">
        <f>IF(E1443&lt;&gt;"",RANK(E1443,$E$3:$E$2298)+COUNTIF($E$3:E1443,E1443)-1,"")</f>
        <v/>
      </c>
    </row>
    <row r="1444" spans="4:16" x14ac:dyDescent="0.25">
      <c r="D1444" s="36" t="str" cm="1">
        <f t="array" aca="1" ref="D1444" ca="1">IFERROR(IF(INDIRECT("'"&amp;F1444&amp;"'!$C$5")&gt;0,DATE(YEAR(Dashboard!$AL$2),Dashboard!$AU$4,INDIRECT("'"&amp;F1444&amp;"'!$C$5")),""),"")</f>
        <v/>
      </c>
      <c r="G1444" s="38" t="str" cm="1">
        <f t="array" aca="1" ref="G1444" ca="1">IF(F1444="",
    "",
    IFERROR(
        IF(INDIRECT("'"&amp;F1444&amp;"'!$B$2")="Credit Limit",
            "Credit Accounts",
            IF(INDIRECT("'"&amp;F1444&amp;"'!$E$2")="Location",
                "Cash Accounts",
                IF(INDIRECT("'"&amp;F1444&amp;"'!$B$2")="Amount",
                    "Investments",
                    "Bill Accounts"
                )
            )
        ),
    "")
)</f>
        <v/>
      </c>
      <c r="I1444" s="46" t="str" cm="1">
        <f t="array" aca="1" ref="I1444" ca="1">IF(F1444&lt;&gt;"",IF(OR(G1444="Bill Accounts",G1444="Investments", G1444="Cash Accounts"),INDIRECT("'"&amp;F1444&amp;"'!$C$10"),INDIRECT("'"&amp;F1444&amp;"'!$C$8")),"")</f>
        <v/>
      </c>
      <c r="K1444" s="48">
        <f t="shared" si="69"/>
        <v>1450</v>
      </c>
      <c r="L1444" s="114" t="str" cm="1">
        <f t="array" aca="1" ref="L1444" ca="1">IF(F1444&lt;&gt;"",INDIRECT("'"&amp;F1444&amp;"'!$F$17"),"")</f>
        <v/>
      </c>
      <c r="M1444" s="116" t="str">
        <f t="shared" ca="1" si="67"/>
        <v/>
      </c>
      <c r="O1444" s="49" t="str">
        <f t="shared" ca="1" si="68"/>
        <v/>
      </c>
      <c r="P1444" s="38" t="str">
        <f>IF(E1444&lt;&gt;"",RANK(E1444,$E$3:$E$2298)+COUNTIF($E$3:E1444,E1444)-1,"")</f>
        <v/>
      </c>
    </row>
    <row r="1445" spans="4:16" x14ac:dyDescent="0.25">
      <c r="D1445" s="36" t="str" cm="1">
        <f t="array" aca="1" ref="D1445" ca="1">IFERROR(IF(INDIRECT("'"&amp;F1445&amp;"'!$C$5")&gt;0,DATE(YEAR(Dashboard!$AL$2),Dashboard!$AU$4,INDIRECT("'"&amp;F1445&amp;"'!$C$5")),""),"")</f>
        <v/>
      </c>
      <c r="G1445" s="38" t="str" cm="1">
        <f t="array" aca="1" ref="G1445" ca="1">IF(F1445="",
    "",
    IFERROR(
        IF(INDIRECT("'"&amp;F1445&amp;"'!$B$2")="Credit Limit",
            "Credit Accounts",
            IF(INDIRECT("'"&amp;F1445&amp;"'!$E$2")="Location",
                "Cash Accounts",
                IF(INDIRECT("'"&amp;F1445&amp;"'!$B$2")="Amount",
                    "Investments",
                    "Bill Accounts"
                )
            )
        ),
    "")
)</f>
        <v/>
      </c>
      <c r="I1445" s="46" t="str" cm="1">
        <f t="array" aca="1" ref="I1445" ca="1">IF(F1445&lt;&gt;"",IF(OR(G1445="Bill Accounts",G1445="Investments", G1445="Cash Accounts"),INDIRECT("'"&amp;F1445&amp;"'!$C$10"),INDIRECT("'"&amp;F1445&amp;"'!$C$8")),"")</f>
        <v/>
      </c>
      <c r="K1445" s="48">
        <f t="shared" si="69"/>
        <v>1451</v>
      </c>
      <c r="L1445" s="114" t="str" cm="1">
        <f t="array" aca="1" ref="L1445" ca="1">IF(F1445&lt;&gt;"",INDIRECT("'"&amp;F1445&amp;"'!$F$17"),"")</f>
        <v/>
      </c>
      <c r="M1445" s="116" t="str">
        <f t="shared" ca="1" si="67"/>
        <v/>
      </c>
      <c r="O1445" s="49" t="str">
        <f t="shared" ca="1" si="68"/>
        <v/>
      </c>
      <c r="P1445" s="38" t="str">
        <f>IF(E1445&lt;&gt;"",RANK(E1445,$E$3:$E$2298)+COUNTIF($E$3:E1445,E1445)-1,"")</f>
        <v/>
      </c>
    </row>
    <row r="1446" spans="4:16" x14ac:dyDescent="0.25">
      <c r="D1446" s="36" t="str" cm="1">
        <f t="array" aca="1" ref="D1446" ca="1">IFERROR(IF(INDIRECT("'"&amp;F1446&amp;"'!$C$5")&gt;0,DATE(YEAR(Dashboard!$AL$2),Dashboard!$AU$4,INDIRECT("'"&amp;F1446&amp;"'!$C$5")),""),"")</f>
        <v/>
      </c>
      <c r="G1446" s="38" t="str" cm="1">
        <f t="array" aca="1" ref="G1446" ca="1">IF(F1446="",
    "",
    IFERROR(
        IF(INDIRECT("'"&amp;F1446&amp;"'!$B$2")="Credit Limit",
            "Credit Accounts",
            IF(INDIRECT("'"&amp;F1446&amp;"'!$E$2")="Location",
                "Cash Accounts",
                IF(INDIRECT("'"&amp;F1446&amp;"'!$B$2")="Amount",
                    "Investments",
                    "Bill Accounts"
                )
            )
        ),
    "")
)</f>
        <v/>
      </c>
      <c r="I1446" s="46" t="str" cm="1">
        <f t="array" aca="1" ref="I1446" ca="1">IF(F1446&lt;&gt;"",IF(OR(G1446="Bill Accounts",G1446="Investments", G1446="Cash Accounts"),INDIRECT("'"&amp;F1446&amp;"'!$C$10"),INDIRECT("'"&amp;F1446&amp;"'!$C$8")),"")</f>
        <v/>
      </c>
      <c r="K1446" s="48">
        <f t="shared" si="69"/>
        <v>1452</v>
      </c>
      <c r="L1446" s="114" t="str" cm="1">
        <f t="array" aca="1" ref="L1446" ca="1">IF(F1446&lt;&gt;"",INDIRECT("'"&amp;F1446&amp;"'!$F$17"),"")</f>
        <v/>
      </c>
      <c r="M1446" s="116" t="str">
        <f t="shared" ca="1" si="67"/>
        <v/>
      </c>
      <c r="O1446" s="49" t="str">
        <f t="shared" ca="1" si="68"/>
        <v/>
      </c>
      <c r="P1446" s="38" t="str">
        <f>IF(E1446&lt;&gt;"",RANK(E1446,$E$3:$E$2298)+COUNTIF($E$3:E1446,E1446)-1,"")</f>
        <v/>
      </c>
    </row>
    <row r="1447" spans="4:16" x14ac:dyDescent="0.25">
      <c r="D1447" s="36" t="str" cm="1">
        <f t="array" aca="1" ref="D1447" ca="1">IFERROR(IF(INDIRECT("'"&amp;F1447&amp;"'!$C$5")&gt;0,DATE(YEAR(Dashboard!$AL$2),Dashboard!$AU$4,INDIRECT("'"&amp;F1447&amp;"'!$C$5")),""),"")</f>
        <v/>
      </c>
      <c r="G1447" s="38" t="str" cm="1">
        <f t="array" aca="1" ref="G1447" ca="1">IF(F1447="",
    "",
    IFERROR(
        IF(INDIRECT("'"&amp;F1447&amp;"'!$B$2")="Credit Limit",
            "Credit Accounts",
            IF(INDIRECT("'"&amp;F1447&amp;"'!$E$2")="Location",
                "Cash Accounts",
                IF(INDIRECT("'"&amp;F1447&amp;"'!$B$2")="Amount",
                    "Investments",
                    "Bill Accounts"
                )
            )
        ),
    "")
)</f>
        <v/>
      </c>
      <c r="I1447" s="46" t="str" cm="1">
        <f t="array" aca="1" ref="I1447" ca="1">IF(F1447&lt;&gt;"",IF(OR(G1447="Bill Accounts",G1447="Investments", G1447="Cash Accounts"),INDIRECT("'"&amp;F1447&amp;"'!$C$10"),INDIRECT("'"&amp;F1447&amp;"'!$C$8")),"")</f>
        <v/>
      </c>
      <c r="K1447" s="48">
        <f t="shared" si="69"/>
        <v>1453</v>
      </c>
      <c r="L1447" s="114" t="str" cm="1">
        <f t="array" aca="1" ref="L1447" ca="1">IF(F1447&lt;&gt;"",INDIRECT("'"&amp;F1447&amp;"'!$F$17"),"")</f>
        <v/>
      </c>
      <c r="M1447" s="116" t="str">
        <f t="shared" ca="1" si="67"/>
        <v/>
      </c>
      <c r="O1447" s="49" t="str">
        <f t="shared" ca="1" si="68"/>
        <v/>
      </c>
      <c r="P1447" s="38" t="str">
        <f>IF(E1447&lt;&gt;"",RANK(E1447,$E$3:$E$2298)+COUNTIF($E$3:E1447,E1447)-1,"")</f>
        <v/>
      </c>
    </row>
    <row r="1448" spans="4:16" x14ac:dyDescent="0.25">
      <c r="D1448" s="36" t="str" cm="1">
        <f t="array" aca="1" ref="D1448" ca="1">IFERROR(IF(INDIRECT("'"&amp;F1448&amp;"'!$C$5")&gt;0,DATE(YEAR(Dashboard!$AL$2),Dashboard!$AU$4,INDIRECT("'"&amp;F1448&amp;"'!$C$5")),""),"")</f>
        <v/>
      </c>
      <c r="G1448" s="38" t="str" cm="1">
        <f t="array" aca="1" ref="G1448" ca="1">IF(F1448="",
    "",
    IFERROR(
        IF(INDIRECT("'"&amp;F1448&amp;"'!$B$2")="Credit Limit",
            "Credit Accounts",
            IF(INDIRECT("'"&amp;F1448&amp;"'!$E$2")="Location",
                "Cash Accounts",
                IF(INDIRECT("'"&amp;F1448&amp;"'!$B$2")="Amount",
                    "Investments",
                    "Bill Accounts"
                )
            )
        ),
    "")
)</f>
        <v/>
      </c>
      <c r="I1448" s="46" t="str" cm="1">
        <f t="array" aca="1" ref="I1448" ca="1">IF(F1448&lt;&gt;"",IF(OR(G1448="Bill Accounts",G1448="Investments", G1448="Cash Accounts"),INDIRECT("'"&amp;F1448&amp;"'!$C$10"),INDIRECT("'"&amp;F1448&amp;"'!$C$8")),"")</f>
        <v/>
      </c>
      <c r="K1448" s="48">
        <f t="shared" si="69"/>
        <v>1454</v>
      </c>
      <c r="L1448" s="114" t="str" cm="1">
        <f t="array" aca="1" ref="L1448" ca="1">IF(F1448&lt;&gt;"",INDIRECT("'"&amp;F1448&amp;"'!$F$17"),"")</f>
        <v/>
      </c>
      <c r="M1448" s="116" t="str">
        <f t="shared" ca="1" si="67"/>
        <v/>
      </c>
      <c r="O1448" s="49" t="str">
        <f t="shared" ca="1" si="68"/>
        <v/>
      </c>
      <c r="P1448" s="38" t="str">
        <f>IF(E1448&lt;&gt;"",RANK(E1448,$E$3:$E$2298)+COUNTIF($E$3:E1448,E1448)-1,"")</f>
        <v/>
      </c>
    </row>
    <row r="1449" spans="4:16" x14ac:dyDescent="0.25">
      <c r="D1449" s="36" t="str" cm="1">
        <f t="array" aca="1" ref="D1449" ca="1">IFERROR(IF(INDIRECT("'"&amp;F1449&amp;"'!$C$5")&gt;0,DATE(YEAR(Dashboard!$AL$2),Dashboard!$AU$4,INDIRECT("'"&amp;F1449&amp;"'!$C$5")),""),"")</f>
        <v/>
      </c>
      <c r="G1449" s="38" t="str" cm="1">
        <f t="array" aca="1" ref="G1449" ca="1">IF(F1449="",
    "",
    IFERROR(
        IF(INDIRECT("'"&amp;F1449&amp;"'!$B$2")="Credit Limit",
            "Credit Accounts",
            IF(INDIRECT("'"&amp;F1449&amp;"'!$E$2")="Location",
                "Cash Accounts",
                IF(INDIRECT("'"&amp;F1449&amp;"'!$B$2")="Amount",
                    "Investments",
                    "Bill Accounts"
                )
            )
        ),
    "")
)</f>
        <v/>
      </c>
      <c r="I1449" s="46" t="str" cm="1">
        <f t="array" aca="1" ref="I1449" ca="1">IF(F1449&lt;&gt;"",IF(OR(G1449="Bill Accounts",G1449="Investments", G1449="Cash Accounts"),INDIRECT("'"&amp;F1449&amp;"'!$C$10"),INDIRECT("'"&amp;F1449&amp;"'!$C$8")),"")</f>
        <v/>
      </c>
      <c r="K1449" s="48">
        <f t="shared" si="69"/>
        <v>1455</v>
      </c>
      <c r="L1449" s="114" t="str" cm="1">
        <f t="array" aca="1" ref="L1449" ca="1">IF(F1449&lt;&gt;"",INDIRECT("'"&amp;F1449&amp;"'!$F$17"),"")</f>
        <v/>
      </c>
      <c r="M1449" s="116" t="str">
        <f t="shared" ca="1" si="67"/>
        <v/>
      </c>
      <c r="O1449" s="49" t="str">
        <f t="shared" ca="1" si="68"/>
        <v/>
      </c>
      <c r="P1449" s="38" t="str">
        <f>IF(E1449&lt;&gt;"",RANK(E1449,$E$3:$E$2298)+COUNTIF($E$3:E1449,E1449)-1,"")</f>
        <v/>
      </c>
    </row>
    <row r="1450" spans="4:16" x14ac:dyDescent="0.25">
      <c r="D1450" s="36" t="str" cm="1">
        <f t="array" aca="1" ref="D1450" ca="1">IFERROR(IF(INDIRECT("'"&amp;F1450&amp;"'!$C$5")&gt;0,DATE(YEAR(Dashboard!$AL$2),Dashboard!$AU$4,INDIRECT("'"&amp;F1450&amp;"'!$C$5")),""),"")</f>
        <v/>
      </c>
      <c r="G1450" s="38" t="str" cm="1">
        <f t="array" aca="1" ref="G1450" ca="1">IF(F1450="",
    "",
    IFERROR(
        IF(INDIRECT("'"&amp;F1450&amp;"'!$B$2")="Credit Limit",
            "Credit Accounts",
            IF(INDIRECT("'"&amp;F1450&amp;"'!$E$2")="Location",
                "Cash Accounts",
                IF(INDIRECT("'"&amp;F1450&amp;"'!$B$2")="Amount",
                    "Investments",
                    "Bill Accounts"
                )
            )
        ),
    "")
)</f>
        <v/>
      </c>
      <c r="I1450" s="46" t="str" cm="1">
        <f t="array" aca="1" ref="I1450" ca="1">IF(F1450&lt;&gt;"",IF(OR(G1450="Bill Accounts",G1450="Investments", G1450="Cash Accounts"),INDIRECT("'"&amp;F1450&amp;"'!$C$10"),INDIRECT("'"&amp;F1450&amp;"'!$C$8")),"")</f>
        <v/>
      </c>
      <c r="K1450" s="48">
        <f t="shared" si="69"/>
        <v>1456</v>
      </c>
      <c r="L1450" s="114" t="str" cm="1">
        <f t="array" aca="1" ref="L1450" ca="1">IF(F1450&lt;&gt;"",INDIRECT("'"&amp;F1450&amp;"'!$F$17"),"")</f>
        <v/>
      </c>
      <c r="M1450" s="116" t="str">
        <f t="shared" ca="1" si="67"/>
        <v/>
      </c>
      <c r="O1450" s="49" t="str">
        <f t="shared" ca="1" si="68"/>
        <v/>
      </c>
      <c r="P1450" s="38" t="str">
        <f>IF(E1450&lt;&gt;"",RANK(E1450,$E$3:$E$2298)+COUNTIF($E$3:E1450,E1450)-1,"")</f>
        <v/>
      </c>
    </row>
    <row r="1451" spans="4:16" x14ac:dyDescent="0.25">
      <c r="D1451" s="36" t="str" cm="1">
        <f t="array" aca="1" ref="D1451" ca="1">IFERROR(IF(INDIRECT("'"&amp;F1451&amp;"'!$C$5")&gt;0,DATE(YEAR(Dashboard!$AL$2),Dashboard!$AU$4,INDIRECT("'"&amp;F1451&amp;"'!$C$5")),""),"")</f>
        <v/>
      </c>
      <c r="G1451" s="38" t="str" cm="1">
        <f t="array" aca="1" ref="G1451" ca="1">IF(F1451="",
    "",
    IFERROR(
        IF(INDIRECT("'"&amp;F1451&amp;"'!$B$2")="Credit Limit",
            "Credit Accounts",
            IF(INDIRECT("'"&amp;F1451&amp;"'!$E$2")="Location",
                "Cash Accounts",
                IF(INDIRECT("'"&amp;F1451&amp;"'!$B$2")="Amount",
                    "Investments",
                    "Bill Accounts"
                )
            )
        ),
    "")
)</f>
        <v/>
      </c>
      <c r="I1451" s="46" t="str" cm="1">
        <f t="array" aca="1" ref="I1451" ca="1">IF(F1451&lt;&gt;"",IF(OR(G1451="Bill Accounts",G1451="Investments", G1451="Cash Accounts"),INDIRECT("'"&amp;F1451&amp;"'!$C$10"),INDIRECT("'"&amp;F1451&amp;"'!$C$8")),"")</f>
        <v/>
      </c>
      <c r="K1451" s="48">
        <f t="shared" si="69"/>
        <v>1457</v>
      </c>
      <c r="L1451" s="114" t="str" cm="1">
        <f t="array" aca="1" ref="L1451" ca="1">IF(F1451&lt;&gt;"",INDIRECT("'"&amp;F1451&amp;"'!$F$17"),"")</f>
        <v/>
      </c>
      <c r="M1451" s="116" t="str">
        <f t="shared" ca="1" si="67"/>
        <v/>
      </c>
      <c r="O1451" s="49" t="str">
        <f t="shared" ca="1" si="68"/>
        <v/>
      </c>
      <c r="P1451" s="38" t="str">
        <f>IF(E1451&lt;&gt;"",RANK(E1451,$E$3:$E$2298)+COUNTIF($E$3:E1451,E1451)-1,"")</f>
        <v/>
      </c>
    </row>
    <row r="1452" spans="4:16" x14ac:dyDescent="0.25">
      <c r="D1452" s="36" t="str" cm="1">
        <f t="array" aca="1" ref="D1452" ca="1">IFERROR(IF(INDIRECT("'"&amp;F1452&amp;"'!$C$5")&gt;0,DATE(YEAR(Dashboard!$AL$2),Dashboard!$AU$4,INDIRECT("'"&amp;F1452&amp;"'!$C$5")),""),"")</f>
        <v/>
      </c>
      <c r="G1452" s="38" t="str" cm="1">
        <f t="array" aca="1" ref="G1452" ca="1">IF(F1452="",
    "",
    IFERROR(
        IF(INDIRECT("'"&amp;F1452&amp;"'!$B$2")="Credit Limit",
            "Credit Accounts",
            IF(INDIRECT("'"&amp;F1452&amp;"'!$E$2")="Location",
                "Cash Accounts",
                IF(INDIRECT("'"&amp;F1452&amp;"'!$B$2")="Amount",
                    "Investments",
                    "Bill Accounts"
                )
            )
        ),
    "")
)</f>
        <v/>
      </c>
      <c r="I1452" s="46" t="str" cm="1">
        <f t="array" aca="1" ref="I1452" ca="1">IF(F1452&lt;&gt;"",IF(OR(G1452="Bill Accounts",G1452="Investments", G1452="Cash Accounts"),INDIRECT("'"&amp;F1452&amp;"'!$C$10"),INDIRECT("'"&amp;F1452&amp;"'!$C$8")),"")</f>
        <v/>
      </c>
      <c r="K1452" s="48">
        <f t="shared" si="69"/>
        <v>1458</v>
      </c>
      <c r="L1452" s="114" t="str" cm="1">
        <f t="array" aca="1" ref="L1452" ca="1">IF(F1452&lt;&gt;"",INDIRECT("'"&amp;F1452&amp;"'!$F$17"),"")</f>
        <v/>
      </c>
      <c r="M1452" s="116" t="str">
        <f t="shared" ca="1" si="67"/>
        <v/>
      </c>
      <c r="O1452" s="49" t="str">
        <f t="shared" ca="1" si="68"/>
        <v/>
      </c>
      <c r="P1452" s="38" t="str">
        <f>IF(E1452&lt;&gt;"",RANK(E1452,$E$3:$E$2298)+COUNTIF($E$3:E1452,E1452)-1,"")</f>
        <v/>
      </c>
    </row>
    <row r="1453" spans="4:16" x14ac:dyDescent="0.25">
      <c r="D1453" s="36" t="str" cm="1">
        <f t="array" aca="1" ref="D1453" ca="1">IFERROR(IF(INDIRECT("'"&amp;F1453&amp;"'!$C$5")&gt;0,DATE(YEAR(Dashboard!$AL$2),Dashboard!$AU$4,INDIRECT("'"&amp;F1453&amp;"'!$C$5")),""),"")</f>
        <v/>
      </c>
      <c r="G1453" s="38" t="str" cm="1">
        <f t="array" aca="1" ref="G1453" ca="1">IF(F1453="",
    "",
    IFERROR(
        IF(INDIRECT("'"&amp;F1453&amp;"'!$B$2")="Credit Limit",
            "Credit Accounts",
            IF(INDIRECT("'"&amp;F1453&amp;"'!$E$2")="Location",
                "Cash Accounts",
                IF(INDIRECT("'"&amp;F1453&amp;"'!$B$2")="Amount",
                    "Investments",
                    "Bill Accounts"
                )
            )
        ),
    "")
)</f>
        <v/>
      </c>
      <c r="I1453" s="46" t="str" cm="1">
        <f t="array" aca="1" ref="I1453" ca="1">IF(F1453&lt;&gt;"",IF(OR(G1453="Bill Accounts",G1453="Investments", G1453="Cash Accounts"),INDIRECT("'"&amp;F1453&amp;"'!$C$10"),INDIRECT("'"&amp;F1453&amp;"'!$C$8")),"")</f>
        <v/>
      </c>
      <c r="K1453" s="48">
        <f t="shared" si="69"/>
        <v>1459</v>
      </c>
      <c r="L1453" s="114" t="str" cm="1">
        <f t="array" aca="1" ref="L1453" ca="1">IF(F1453&lt;&gt;"",INDIRECT("'"&amp;F1453&amp;"'!$F$17"),"")</f>
        <v/>
      </c>
      <c r="M1453" s="116" t="str">
        <f t="shared" ca="1" si="67"/>
        <v/>
      </c>
      <c r="O1453" s="49" t="str">
        <f t="shared" ca="1" si="68"/>
        <v/>
      </c>
      <c r="P1453" s="38" t="str">
        <f>IF(E1453&lt;&gt;"",RANK(E1453,$E$3:$E$2298)+COUNTIF($E$3:E1453,E1453)-1,"")</f>
        <v/>
      </c>
    </row>
    <row r="1454" spans="4:16" x14ac:dyDescent="0.25">
      <c r="D1454" s="36" t="str" cm="1">
        <f t="array" aca="1" ref="D1454" ca="1">IFERROR(IF(INDIRECT("'"&amp;F1454&amp;"'!$C$5")&gt;0,DATE(YEAR(Dashboard!$AL$2),Dashboard!$AU$4,INDIRECT("'"&amp;F1454&amp;"'!$C$5")),""),"")</f>
        <v/>
      </c>
      <c r="G1454" s="38" t="str" cm="1">
        <f t="array" aca="1" ref="G1454" ca="1">IF(F1454="",
    "",
    IFERROR(
        IF(INDIRECT("'"&amp;F1454&amp;"'!$B$2")="Credit Limit",
            "Credit Accounts",
            IF(INDIRECT("'"&amp;F1454&amp;"'!$E$2")="Location",
                "Cash Accounts",
                IF(INDIRECT("'"&amp;F1454&amp;"'!$B$2")="Amount",
                    "Investments",
                    "Bill Accounts"
                )
            )
        ),
    "")
)</f>
        <v/>
      </c>
      <c r="I1454" s="46" t="str" cm="1">
        <f t="array" aca="1" ref="I1454" ca="1">IF(F1454&lt;&gt;"",IF(OR(G1454="Bill Accounts",G1454="Investments", G1454="Cash Accounts"),INDIRECT("'"&amp;F1454&amp;"'!$C$10"),INDIRECT("'"&amp;F1454&amp;"'!$C$8")),"")</f>
        <v/>
      </c>
      <c r="K1454" s="48">
        <f t="shared" si="69"/>
        <v>1460</v>
      </c>
      <c r="L1454" s="114" t="str" cm="1">
        <f t="array" aca="1" ref="L1454" ca="1">IF(F1454&lt;&gt;"",INDIRECT("'"&amp;F1454&amp;"'!$F$17"),"")</f>
        <v/>
      </c>
      <c r="M1454" s="116" t="str">
        <f t="shared" ca="1" si="67"/>
        <v/>
      </c>
      <c r="O1454" s="49" t="str">
        <f t="shared" ca="1" si="68"/>
        <v/>
      </c>
      <c r="P1454" s="38" t="str">
        <f>IF(E1454&lt;&gt;"",RANK(E1454,$E$3:$E$2298)+COUNTIF($E$3:E1454,E1454)-1,"")</f>
        <v/>
      </c>
    </row>
    <row r="1455" spans="4:16" x14ac:dyDescent="0.25">
      <c r="D1455" s="36" t="str" cm="1">
        <f t="array" aca="1" ref="D1455" ca="1">IFERROR(IF(INDIRECT("'"&amp;F1455&amp;"'!$C$5")&gt;0,DATE(YEAR(Dashboard!$AL$2),Dashboard!$AU$4,INDIRECT("'"&amp;F1455&amp;"'!$C$5")),""),"")</f>
        <v/>
      </c>
      <c r="G1455" s="38" t="str" cm="1">
        <f t="array" aca="1" ref="G1455" ca="1">IF(F1455="",
    "",
    IFERROR(
        IF(INDIRECT("'"&amp;F1455&amp;"'!$B$2")="Credit Limit",
            "Credit Accounts",
            IF(INDIRECT("'"&amp;F1455&amp;"'!$E$2")="Location",
                "Cash Accounts",
                IF(INDIRECT("'"&amp;F1455&amp;"'!$B$2")="Amount",
                    "Investments",
                    "Bill Accounts"
                )
            )
        ),
    "")
)</f>
        <v/>
      </c>
      <c r="I1455" s="46" t="str" cm="1">
        <f t="array" aca="1" ref="I1455" ca="1">IF(F1455&lt;&gt;"",IF(OR(G1455="Bill Accounts",G1455="Investments", G1455="Cash Accounts"),INDIRECT("'"&amp;F1455&amp;"'!$C$10"),INDIRECT("'"&amp;F1455&amp;"'!$C$8")),"")</f>
        <v/>
      </c>
      <c r="K1455" s="48">
        <f t="shared" si="69"/>
        <v>1461</v>
      </c>
      <c r="L1455" s="114" t="str" cm="1">
        <f t="array" aca="1" ref="L1455" ca="1">IF(F1455&lt;&gt;"",INDIRECT("'"&amp;F1455&amp;"'!$F$17"),"")</f>
        <v/>
      </c>
      <c r="M1455" s="116" t="str">
        <f t="shared" ca="1" si="67"/>
        <v/>
      </c>
      <c r="O1455" s="49" t="str">
        <f t="shared" ca="1" si="68"/>
        <v/>
      </c>
      <c r="P1455" s="38" t="str">
        <f>IF(E1455&lt;&gt;"",RANK(E1455,$E$3:$E$2298)+COUNTIF($E$3:E1455,E1455)-1,"")</f>
        <v/>
      </c>
    </row>
    <row r="1456" spans="4:16" x14ac:dyDescent="0.25">
      <c r="D1456" s="36" t="str" cm="1">
        <f t="array" aca="1" ref="D1456" ca="1">IFERROR(IF(INDIRECT("'"&amp;F1456&amp;"'!$C$5")&gt;0,DATE(YEAR(Dashboard!$AL$2),Dashboard!$AU$4,INDIRECT("'"&amp;F1456&amp;"'!$C$5")),""),"")</f>
        <v/>
      </c>
      <c r="G1456" s="38" t="str" cm="1">
        <f t="array" aca="1" ref="G1456" ca="1">IF(F1456="",
    "",
    IFERROR(
        IF(INDIRECT("'"&amp;F1456&amp;"'!$B$2")="Credit Limit",
            "Credit Accounts",
            IF(INDIRECT("'"&amp;F1456&amp;"'!$E$2")="Location",
                "Cash Accounts",
                IF(INDIRECT("'"&amp;F1456&amp;"'!$B$2")="Amount",
                    "Investments",
                    "Bill Accounts"
                )
            )
        ),
    "")
)</f>
        <v/>
      </c>
      <c r="I1456" s="46" t="str" cm="1">
        <f t="array" aca="1" ref="I1456" ca="1">IF(F1456&lt;&gt;"",IF(OR(G1456="Bill Accounts",G1456="Investments", G1456="Cash Accounts"),INDIRECT("'"&amp;F1456&amp;"'!$C$10"),INDIRECT("'"&amp;F1456&amp;"'!$C$8")),"")</f>
        <v/>
      </c>
      <c r="K1456" s="48">
        <f t="shared" si="69"/>
        <v>1462</v>
      </c>
      <c r="L1456" s="114" t="str" cm="1">
        <f t="array" aca="1" ref="L1456" ca="1">IF(F1456&lt;&gt;"",INDIRECT("'"&amp;F1456&amp;"'!$F$17"),"")</f>
        <v/>
      </c>
      <c r="M1456" s="116" t="str">
        <f t="shared" ca="1" si="67"/>
        <v/>
      </c>
      <c r="O1456" s="49" t="str">
        <f t="shared" ca="1" si="68"/>
        <v/>
      </c>
      <c r="P1456" s="38" t="str">
        <f>IF(E1456&lt;&gt;"",RANK(E1456,$E$3:$E$2298)+COUNTIF($E$3:E1456,E1456)-1,"")</f>
        <v/>
      </c>
    </row>
    <row r="1457" spans="4:16" x14ac:dyDescent="0.25">
      <c r="D1457" s="36" t="str" cm="1">
        <f t="array" aca="1" ref="D1457" ca="1">IFERROR(IF(INDIRECT("'"&amp;F1457&amp;"'!$C$5")&gt;0,DATE(YEAR(Dashboard!$AL$2),Dashboard!$AU$4,INDIRECT("'"&amp;F1457&amp;"'!$C$5")),""),"")</f>
        <v/>
      </c>
      <c r="G1457" s="38" t="str" cm="1">
        <f t="array" aca="1" ref="G1457" ca="1">IF(F1457="",
    "",
    IFERROR(
        IF(INDIRECT("'"&amp;F1457&amp;"'!$B$2")="Credit Limit",
            "Credit Accounts",
            IF(INDIRECT("'"&amp;F1457&amp;"'!$E$2")="Location",
                "Cash Accounts",
                IF(INDIRECT("'"&amp;F1457&amp;"'!$B$2")="Amount",
                    "Investments",
                    "Bill Accounts"
                )
            )
        ),
    "")
)</f>
        <v/>
      </c>
      <c r="I1457" s="46" t="str" cm="1">
        <f t="array" aca="1" ref="I1457" ca="1">IF(F1457&lt;&gt;"",IF(OR(G1457="Bill Accounts",G1457="Investments", G1457="Cash Accounts"),INDIRECT("'"&amp;F1457&amp;"'!$C$10"),INDIRECT("'"&amp;F1457&amp;"'!$C$8")),"")</f>
        <v/>
      </c>
      <c r="K1457" s="48">
        <f t="shared" si="69"/>
        <v>1463</v>
      </c>
      <c r="L1457" s="114" t="str" cm="1">
        <f t="array" aca="1" ref="L1457" ca="1">IF(F1457&lt;&gt;"",INDIRECT("'"&amp;F1457&amp;"'!$F$17"),"")</f>
        <v/>
      </c>
      <c r="M1457" s="116" t="str">
        <f t="shared" ca="1" si="67"/>
        <v/>
      </c>
      <c r="O1457" s="49" t="str">
        <f t="shared" ca="1" si="68"/>
        <v/>
      </c>
      <c r="P1457" s="38" t="str">
        <f>IF(E1457&lt;&gt;"",RANK(E1457,$E$3:$E$2298)+COUNTIF($E$3:E1457,E1457)-1,"")</f>
        <v/>
      </c>
    </row>
    <row r="1458" spans="4:16" x14ac:dyDescent="0.25">
      <c r="D1458" s="36" t="str" cm="1">
        <f t="array" aca="1" ref="D1458" ca="1">IFERROR(IF(INDIRECT("'"&amp;F1458&amp;"'!$C$5")&gt;0,DATE(YEAR(Dashboard!$AL$2),Dashboard!$AU$4,INDIRECT("'"&amp;F1458&amp;"'!$C$5")),""),"")</f>
        <v/>
      </c>
      <c r="G1458" s="38" t="str" cm="1">
        <f t="array" aca="1" ref="G1458" ca="1">IF(F1458="",
    "",
    IFERROR(
        IF(INDIRECT("'"&amp;F1458&amp;"'!$B$2")="Credit Limit",
            "Credit Accounts",
            IF(INDIRECT("'"&amp;F1458&amp;"'!$E$2")="Location",
                "Cash Accounts",
                IF(INDIRECT("'"&amp;F1458&amp;"'!$B$2")="Amount",
                    "Investments",
                    "Bill Accounts"
                )
            )
        ),
    "")
)</f>
        <v/>
      </c>
      <c r="I1458" s="46" t="str" cm="1">
        <f t="array" aca="1" ref="I1458" ca="1">IF(F1458&lt;&gt;"",IF(OR(G1458="Bill Accounts",G1458="Investments", G1458="Cash Accounts"),INDIRECT("'"&amp;F1458&amp;"'!$C$10"),INDIRECT("'"&amp;F1458&amp;"'!$C$8")),"")</f>
        <v/>
      </c>
      <c r="K1458" s="48">
        <f t="shared" si="69"/>
        <v>1464</v>
      </c>
      <c r="L1458" s="114" t="str" cm="1">
        <f t="array" aca="1" ref="L1458" ca="1">IF(F1458&lt;&gt;"",INDIRECT("'"&amp;F1458&amp;"'!$F$17"),"")</f>
        <v/>
      </c>
      <c r="M1458" s="116" t="str">
        <f t="shared" ca="1" si="67"/>
        <v/>
      </c>
      <c r="O1458" s="49" t="str">
        <f t="shared" ca="1" si="68"/>
        <v/>
      </c>
      <c r="P1458" s="38" t="str">
        <f>IF(E1458&lt;&gt;"",RANK(E1458,$E$3:$E$2298)+COUNTIF($E$3:E1458,E1458)-1,"")</f>
        <v/>
      </c>
    </row>
    <row r="1459" spans="4:16" x14ac:dyDescent="0.25">
      <c r="D1459" s="36" t="str" cm="1">
        <f t="array" aca="1" ref="D1459" ca="1">IFERROR(IF(INDIRECT("'"&amp;F1459&amp;"'!$C$5")&gt;0,DATE(YEAR(Dashboard!$AL$2),Dashboard!$AU$4,INDIRECT("'"&amp;F1459&amp;"'!$C$5")),""),"")</f>
        <v/>
      </c>
      <c r="G1459" s="38" t="str" cm="1">
        <f t="array" aca="1" ref="G1459" ca="1">IF(F1459="",
    "",
    IFERROR(
        IF(INDIRECT("'"&amp;F1459&amp;"'!$B$2")="Credit Limit",
            "Credit Accounts",
            IF(INDIRECT("'"&amp;F1459&amp;"'!$E$2")="Location",
                "Cash Accounts",
                IF(INDIRECT("'"&amp;F1459&amp;"'!$B$2")="Amount",
                    "Investments",
                    "Bill Accounts"
                )
            )
        ),
    "")
)</f>
        <v/>
      </c>
      <c r="I1459" s="46" t="str" cm="1">
        <f t="array" aca="1" ref="I1459" ca="1">IF(F1459&lt;&gt;"",IF(OR(G1459="Bill Accounts",G1459="Investments", G1459="Cash Accounts"),INDIRECT("'"&amp;F1459&amp;"'!$C$10"),INDIRECT("'"&amp;F1459&amp;"'!$C$8")),"")</f>
        <v/>
      </c>
      <c r="K1459" s="48">
        <f t="shared" si="69"/>
        <v>1465</v>
      </c>
      <c r="L1459" s="114" t="str" cm="1">
        <f t="array" aca="1" ref="L1459" ca="1">IF(F1459&lt;&gt;"",INDIRECT("'"&amp;F1459&amp;"'!$F$17"),"")</f>
        <v/>
      </c>
      <c r="M1459" s="116" t="str">
        <f t="shared" ca="1" si="67"/>
        <v/>
      </c>
      <c r="O1459" s="49" t="str">
        <f t="shared" ca="1" si="68"/>
        <v/>
      </c>
      <c r="P1459" s="38" t="str">
        <f>IF(E1459&lt;&gt;"",RANK(E1459,$E$3:$E$2298)+COUNTIF($E$3:E1459,E1459)-1,"")</f>
        <v/>
      </c>
    </row>
    <row r="1460" spans="4:16" x14ac:dyDescent="0.25">
      <c r="D1460" s="36" t="str" cm="1">
        <f t="array" aca="1" ref="D1460" ca="1">IFERROR(IF(INDIRECT("'"&amp;F1460&amp;"'!$C$5")&gt;0,DATE(YEAR(Dashboard!$AL$2),Dashboard!$AU$4,INDIRECT("'"&amp;F1460&amp;"'!$C$5")),""),"")</f>
        <v/>
      </c>
      <c r="G1460" s="38" t="str" cm="1">
        <f t="array" aca="1" ref="G1460" ca="1">IF(F1460="",
    "",
    IFERROR(
        IF(INDIRECT("'"&amp;F1460&amp;"'!$B$2")="Credit Limit",
            "Credit Accounts",
            IF(INDIRECT("'"&amp;F1460&amp;"'!$E$2")="Location",
                "Cash Accounts",
                IF(INDIRECT("'"&amp;F1460&amp;"'!$B$2")="Amount",
                    "Investments",
                    "Bill Accounts"
                )
            )
        ),
    "")
)</f>
        <v/>
      </c>
      <c r="I1460" s="46" t="str" cm="1">
        <f t="array" aca="1" ref="I1460" ca="1">IF(F1460&lt;&gt;"",IF(OR(G1460="Bill Accounts",G1460="Investments", G1460="Cash Accounts"),INDIRECT("'"&amp;F1460&amp;"'!$C$10"),INDIRECT("'"&amp;F1460&amp;"'!$C$8")),"")</f>
        <v/>
      </c>
      <c r="K1460" s="48">
        <f t="shared" si="69"/>
        <v>1466</v>
      </c>
      <c r="L1460" s="114" t="str" cm="1">
        <f t="array" aca="1" ref="L1460" ca="1">IF(F1460&lt;&gt;"",INDIRECT("'"&amp;F1460&amp;"'!$F$17"),"")</f>
        <v/>
      </c>
      <c r="M1460" s="116" t="str">
        <f t="shared" ca="1" si="67"/>
        <v/>
      </c>
      <c r="O1460" s="49" t="str">
        <f t="shared" ca="1" si="68"/>
        <v/>
      </c>
      <c r="P1460" s="38" t="str">
        <f>IF(E1460&lt;&gt;"",RANK(E1460,$E$3:$E$2298)+COUNTIF($E$3:E1460,E1460)-1,"")</f>
        <v/>
      </c>
    </row>
    <row r="1461" spans="4:16" x14ac:dyDescent="0.25">
      <c r="D1461" s="36" t="str" cm="1">
        <f t="array" aca="1" ref="D1461" ca="1">IFERROR(IF(INDIRECT("'"&amp;F1461&amp;"'!$C$5")&gt;0,DATE(YEAR(Dashboard!$AL$2),Dashboard!$AU$4,INDIRECT("'"&amp;F1461&amp;"'!$C$5")),""),"")</f>
        <v/>
      </c>
      <c r="G1461" s="38" t="str" cm="1">
        <f t="array" aca="1" ref="G1461" ca="1">IF(F1461="",
    "",
    IFERROR(
        IF(INDIRECT("'"&amp;F1461&amp;"'!$B$2")="Credit Limit",
            "Credit Accounts",
            IF(INDIRECT("'"&amp;F1461&amp;"'!$E$2")="Location",
                "Cash Accounts",
                IF(INDIRECT("'"&amp;F1461&amp;"'!$B$2")="Amount",
                    "Investments",
                    "Bill Accounts"
                )
            )
        ),
    "")
)</f>
        <v/>
      </c>
      <c r="I1461" s="46" t="str" cm="1">
        <f t="array" aca="1" ref="I1461" ca="1">IF(F1461&lt;&gt;"",IF(OR(G1461="Bill Accounts",G1461="Investments", G1461="Cash Accounts"),INDIRECT("'"&amp;F1461&amp;"'!$C$10"),INDIRECT("'"&amp;F1461&amp;"'!$C$8")),"")</f>
        <v/>
      </c>
      <c r="K1461" s="48">
        <f t="shared" si="69"/>
        <v>1467</v>
      </c>
      <c r="L1461" s="114" t="str" cm="1">
        <f t="array" aca="1" ref="L1461" ca="1">IF(F1461&lt;&gt;"",INDIRECT("'"&amp;F1461&amp;"'!$F$17"),"")</f>
        <v/>
      </c>
      <c r="M1461" s="116" t="str">
        <f t="shared" ca="1" si="67"/>
        <v/>
      </c>
      <c r="O1461" s="49" t="str">
        <f t="shared" ca="1" si="68"/>
        <v/>
      </c>
      <c r="P1461" s="38" t="str">
        <f>IF(E1461&lt;&gt;"",RANK(E1461,$E$3:$E$2298)+COUNTIF($E$3:E1461,E1461)-1,"")</f>
        <v/>
      </c>
    </row>
    <row r="1462" spans="4:16" x14ac:dyDescent="0.25">
      <c r="D1462" s="36" t="str" cm="1">
        <f t="array" aca="1" ref="D1462" ca="1">IFERROR(IF(INDIRECT("'"&amp;F1462&amp;"'!$C$5")&gt;0,DATE(YEAR(Dashboard!$AL$2),Dashboard!$AU$4,INDIRECT("'"&amp;F1462&amp;"'!$C$5")),""),"")</f>
        <v/>
      </c>
      <c r="G1462" s="38" t="str" cm="1">
        <f t="array" aca="1" ref="G1462" ca="1">IF(F1462="",
    "",
    IFERROR(
        IF(INDIRECT("'"&amp;F1462&amp;"'!$B$2")="Credit Limit",
            "Credit Accounts",
            IF(INDIRECT("'"&amp;F1462&amp;"'!$E$2")="Location",
                "Cash Accounts",
                IF(INDIRECT("'"&amp;F1462&amp;"'!$B$2")="Amount",
                    "Investments",
                    "Bill Accounts"
                )
            )
        ),
    "")
)</f>
        <v/>
      </c>
      <c r="I1462" s="46" t="str" cm="1">
        <f t="array" aca="1" ref="I1462" ca="1">IF(F1462&lt;&gt;"",IF(OR(G1462="Bill Accounts",G1462="Investments", G1462="Cash Accounts"),INDIRECT("'"&amp;F1462&amp;"'!$C$10"),INDIRECT("'"&amp;F1462&amp;"'!$C$8")),"")</f>
        <v/>
      </c>
      <c r="K1462" s="48">
        <f t="shared" si="69"/>
        <v>1468</v>
      </c>
      <c r="L1462" s="114" t="str" cm="1">
        <f t="array" aca="1" ref="L1462" ca="1">IF(F1462&lt;&gt;"",INDIRECT("'"&amp;F1462&amp;"'!$F$17"),"")</f>
        <v/>
      </c>
      <c r="M1462" s="116" t="str">
        <f t="shared" ca="1" si="67"/>
        <v/>
      </c>
      <c r="O1462" s="49" t="str">
        <f t="shared" ca="1" si="68"/>
        <v/>
      </c>
      <c r="P1462" s="38" t="str">
        <f>IF(E1462&lt;&gt;"",RANK(E1462,$E$3:$E$2298)+COUNTIF($E$3:E1462,E1462)-1,"")</f>
        <v/>
      </c>
    </row>
    <row r="1463" spans="4:16" x14ac:dyDescent="0.25">
      <c r="D1463" s="36" t="str" cm="1">
        <f t="array" aca="1" ref="D1463" ca="1">IFERROR(IF(INDIRECT("'"&amp;F1463&amp;"'!$C$5")&gt;0,DATE(YEAR(Dashboard!$AL$2),Dashboard!$AU$4,INDIRECT("'"&amp;F1463&amp;"'!$C$5")),""),"")</f>
        <v/>
      </c>
      <c r="G1463" s="38" t="str" cm="1">
        <f t="array" aca="1" ref="G1463" ca="1">IF(F1463="",
    "",
    IFERROR(
        IF(INDIRECT("'"&amp;F1463&amp;"'!$B$2")="Credit Limit",
            "Credit Accounts",
            IF(INDIRECT("'"&amp;F1463&amp;"'!$E$2")="Location",
                "Cash Accounts",
                IF(INDIRECT("'"&amp;F1463&amp;"'!$B$2")="Amount",
                    "Investments",
                    "Bill Accounts"
                )
            )
        ),
    "")
)</f>
        <v/>
      </c>
      <c r="I1463" s="46" t="str" cm="1">
        <f t="array" aca="1" ref="I1463" ca="1">IF(F1463&lt;&gt;"",IF(OR(G1463="Bill Accounts",G1463="Investments", G1463="Cash Accounts"),INDIRECT("'"&amp;F1463&amp;"'!$C$10"),INDIRECT("'"&amp;F1463&amp;"'!$C$8")),"")</f>
        <v/>
      </c>
      <c r="K1463" s="48">
        <f t="shared" si="69"/>
        <v>1469</v>
      </c>
      <c r="L1463" s="114" t="str" cm="1">
        <f t="array" aca="1" ref="L1463" ca="1">IF(F1463&lt;&gt;"",INDIRECT("'"&amp;F1463&amp;"'!$F$17"),"")</f>
        <v/>
      </c>
      <c r="M1463" s="116" t="str">
        <f t="shared" ca="1" si="67"/>
        <v/>
      </c>
      <c r="O1463" s="49" t="str">
        <f t="shared" ca="1" si="68"/>
        <v/>
      </c>
      <c r="P1463" s="38" t="str">
        <f>IF(E1463&lt;&gt;"",RANK(E1463,$E$3:$E$2298)+COUNTIF($E$3:E1463,E1463)-1,"")</f>
        <v/>
      </c>
    </row>
    <row r="1464" spans="4:16" x14ac:dyDescent="0.25">
      <c r="D1464" s="36" t="str" cm="1">
        <f t="array" aca="1" ref="D1464" ca="1">IFERROR(IF(INDIRECT("'"&amp;F1464&amp;"'!$C$5")&gt;0,DATE(YEAR(Dashboard!$AL$2),Dashboard!$AU$4,INDIRECT("'"&amp;F1464&amp;"'!$C$5")),""),"")</f>
        <v/>
      </c>
      <c r="G1464" s="38" t="str" cm="1">
        <f t="array" aca="1" ref="G1464" ca="1">IF(F1464="",
    "",
    IFERROR(
        IF(INDIRECT("'"&amp;F1464&amp;"'!$B$2")="Credit Limit",
            "Credit Accounts",
            IF(INDIRECT("'"&amp;F1464&amp;"'!$E$2")="Location",
                "Cash Accounts",
                IF(INDIRECT("'"&amp;F1464&amp;"'!$B$2")="Amount",
                    "Investments",
                    "Bill Accounts"
                )
            )
        ),
    "")
)</f>
        <v/>
      </c>
      <c r="I1464" s="46" t="str" cm="1">
        <f t="array" aca="1" ref="I1464" ca="1">IF(F1464&lt;&gt;"",IF(OR(G1464="Bill Accounts",G1464="Investments", G1464="Cash Accounts"),INDIRECT("'"&amp;F1464&amp;"'!$C$10"),INDIRECT("'"&amp;F1464&amp;"'!$C$8")),"")</f>
        <v/>
      </c>
      <c r="K1464" s="48">
        <f t="shared" si="69"/>
        <v>1470</v>
      </c>
      <c r="L1464" s="114" t="str" cm="1">
        <f t="array" aca="1" ref="L1464" ca="1">IF(F1464&lt;&gt;"",INDIRECT("'"&amp;F1464&amp;"'!$F$17"),"")</f>
        <v/>
      </c>
      <c r="M1464" s="116" t="str">
        <f t="shared" ca="1" si="67"/>
        <v/>
      </c>
      <c r="O1464" s="49" t="str">
        <f t="shared" ca="1" si="68"/>
        <v/>
      </c>
      <c r="P1464" s="38" t="str">
        <f>IF(E1464&lt;&gt;"",RANK(E1464,$E$3:$E$2298)+COUNTIF($E$3:E1464,E1464)-1,"")</f>
        <v/>
      </c>
    </row>
    <row r="1465" spans="4:16" x14ac:dyDescent="0.25">
      <c r="D1465" s="36" t="str" cm="1">
        <f t="array" aca="1" ref="D1465" ca="1">IFERROR(IF(INDIRECT("'"&amp;F1465&amp;"'!$C$5")&gt;0,DATE(YEAR(Dashboard!$AL$2),Dashboard!$AU$4,INDIRECT("'"&amp;F1465&amp;"'!$C$5")),""),"")</f>
        <v/>
      </c>
      <c r="G1465" s="38" t="str" cm="1">
        <f t="array" aca="1" ref="G1465" ca="1">IF(F1465="",
    "",
    IFERROR(
        IF(INDIRECT("'"&amp;F1465&amp;"'!$B$2")="Credit Limit",
            "Credit Accounts",
            IF(INDIRECT("'"&amp;F1465&amp;"'!$E$2")="Location",
                "Cash Accounts",
                IF(INDIRECT("'"&amp;F1465&amp;"'!$B$2")="Amount",
                    "Investments",
                    "Bill Accounts"
                )
            )
        ),
    "")
)</f>
        <v/>
      </c>
      <c r="I1465" s="46" t="str" cm="1">
        <f t="array" aca="1" ref="I1465" ca="1">IF(F1465&lt;&gt;"",IF(OR(G1465="Bill Accounts",G1465="Investments", G1465="Cash Accounts"),INDIRECT("'"&amp;F1465&amp;"'!$C$10"),INDIRECT("'"&amp;F1465&amp;"'!$C$8")),"")</f>
        <v/>
      </c>
      <c r="K1465" s="48">
        <f t="shared" si="69"/>
        <v>1471</v>
      </c>
      <c r="L1465" s="114" t="str" cm="1">
        <f t="array" aca="1" ref="L1465" ca="1">IF(F1465&lt;&gt;"",INDIRECT("'"&amp;F1465&amp;"'!$F$17"),"")</f>
        <v/>
      </c>
      <c r="M1465" s="116" t="str">
        <f t="shared" ca="1" si="67"/>
        <v/>
      </c>
      <c r="O1465" s="49" t="str">
        <f t="shared" ca="1" si="68"/>
        <v/>
      </c>
      <c r="P1465" s="38" t="str">
        <f>IF(E1465&lt;&gt;"",RANK(E1465,$E$3:$E$2298)+COUNTIF($E$3:E1465,E1465)-1,"")</f>
        <v/>
      </c>
    </row>
    <row r="1466" spans="4:16" x14ac:dyDescent="0.25">
      <c r="D1466" s="36" t="str" cm="1">
        <f t="array" aca="1" ref="D1466" ca="1">IFERROR(IF(INDIRECT("'"&amp;F1466&amp;"'!$C$5")&gt;0,DATE(YEAR(Dashboard!$AL$2),Dashboard!$AU$4,INDIRECT("'"&amp;F1466&amp;"'!$C$5")),""),"")</f>
        <v/>
      </c>
      <c r="G1466" s="38" t="str" cm="1">
        <f t="array" aca="1" ref="G1466" ca="1">IF(F1466="",
    "",
    IFERROR(
        IF(INDIRECT("'"&amp;F1466&amp;"'!$B$2")="Credit Limit",
            "Credit Accounts",
            IF(INDIRECT("'"&amp;F1466&amp;"'!$E$2")="Location",
                "Cash Accounts",
                IF(INDIRECT("'"&amp;F1466&amp;"'!$B$2")="Amount",
                    "Investments",
                    "Bill Accounts"
                )
            )
        ),
    "")
)</f>
        <v/>
      </c>
      <c r="I1466" s="46" t="str" cm="1">
        <f t="array" aca="1" ref="I1466" ca="1">IF(F1466&lt;&gt;"",IF(OR(G1466="Bill Accounts",G1466="Investments", G1466="Cash Accounts"),INDIRECT("'"&amp;F1466&amp;"'!$C$10"),INDIRECT("'"&amp;F1466&amp;"'!$C$8")),"")</f>
        <v/>
      </c>
      <c r="K1466" s="48">
        <f t="shared" si="69"/>
        <v>1472</v>
      </c>
      <c r="L1466" s="114" t="str" cm="1">
        <f t="array" aca="1" ref="L1466" ca="1">IF(F1466&lt;&gt;"",INDIRECT("'"&amp;F1466&amp;"'!$F$17"),"")</f>
        <v/>
      </c>
      <c r="M1466" s="116" t="str">
        <f t="shared" ca="1" si="67"/>
        <v/>
      </c>
      <c r="O1466" s="49" t="str">
        <f t="shared" ca="1" si="68"/>
        <v/>
      </c>
      <c r="P1466" s="38" t="str">
        <f>IF(E1466&lt;&gt;"",RANK(E1466,$E$3:$E$2298)+COUNTIF($E$3:E1466,E1466)-1,"")</f>
        <v/>
      </c>
    </row>
    <row r="1467" spans="4:16" x14ac:dyDescent="0.25">
      <c r="D1467" s="36" t="str" cm="1">
        <f t="array" aca="1" ref="D1467" ca="1">IFERROR(IF(INDIRECT("'"&amp;F1467&amp;"'!$C$5")&gt;0,DATE(YEAR(Dashboard!$AL$2),Dashboard!$AU$4,INDIRECT("'"&amp;F1467&amp;"'!$C$5")),""),"")</f>
        <v/>
      </c>
      <c r="G1467" s="38" t="str" cm="1">
        <f t="array" aca="1" ref="G1467" ca="1">IF(F1467="",
    "",
    IFERROR(
        IF(INDIRECT("'"&amp;F1467&amp;"'!$B$2")="Credit Limit",
            "Credit Accounts",
            IF(INDIRECT("'"&amp;F1467&amp;"'!$E$2")="Location",
                "Cash Accounts",
                IF(INDIRECT("'"&amp;F1467&amp;"'!$B$2")="Amount",
                    "Investments",
                    "Bill Accounts"
                )
            )
        ),
    "")
)</f>
        <v/>
      </c>
      <c r="I1467" s="46" t="str" cm="1">
        <f t="array" aca="1" ref="I1467" ca="1">IF(F1467&lt;&gt;"",IF(OR(G1467="Bill Accounts",G1467="Investments", G1467="Cash Accounts"),INDIRECT("'"&amp;F1467&amp;"'!$C$10"),INDIRECT("'"&amp;F1467&amp;"'!$C$8")),"")</f>
        <v/>
      </c>
      <c r="K1467" s="48">
        <f t="shared" si="69"/>
        <v>1473</v>
      </c>
      <c r="L1467" s="114" t="str" cm="1">
        <f t="array" aca="1" ref="L1467" ca="1">IF(F1467&lt;&gt;"",INDIRECT("'"&amp;F1467&amp;"'!$F$17"),"")</f>
        <v/>
      </c>
      <c r="M1467" s="116" t="str">
        <f t="shared" ca="1" si="67"/>
        <v/>
      </c>
      <c r="O1467" s="49" t="str">
        <f t="shared" ca="1" si="68"/>
        <v/>
      </c>
      <c r="P1467" s="38" t="str">
        <f>IF(E1467&lt;&gt;"",RANK(E1467,$E$3:$E$2298)+COUNTIF($E$3:E1467,E1467)-1,"")</f>
        <v/>
      </c>
    </row>
    <row r="1468" spans="4:16" x14ac:dyDescent="0.25">
      <c r="D1468" s="36" t="str" cm="1">
        <f t="array" aca="1" ref="D1468" ca="1">IFERROR(IF(INDIRECT("'"&amp;F1468&amp;"'!$C$5")&gt;0,DATE(YEAR(Dashboard!$AL$2),Dashboard!$AU$4,INDIRECT("'"&amp;F1468&amp;"'!$C$5")),""),"")</f>
        <v/>
      </c>
      <c r="G1468" s="38" t="str" cm="1">
        <f t="array" aca="1" ref="G1468" ca="1">IF(F1468="",
    "",
    IFERROR(
        IF(INDIRECT("'"&amp;F1468&amp;"'!$B$2")="Credit Limit",
            "Credit Accounts",
            IF(INDIRECT("'"&amp;F1468&amp;"'!$E$2")="Location",
                "Cash Accounts",
                IF(INDIRECT("'"&amp;F1468&amp;"'!$B$2")="Amount",
                    "Investments",
                    "Bill Accounts"
                )
            )
        ),
    "")
)</f>
        <v/>
      </c>
      <c r="I1468" s="46" t="str" cm="1">
        <f t="array" aca="1" ref="I1468" ca="1">IF(F1468&lt;&gt;"",IF(OR(G1468="Bill Accounts",G1468="Investments", G1468="Cash Accounts"),INDIRECT("'"&amp;F1468&amp;"'!$C$10"),INDIRECT("'"&amp;F1468&amp;"'!$C$8")),"")</f>
        <v/>
      </c>
      <c r="K1468" s="48">
        <f t="shared" si="69"/>
        <v>1474</v>
      </c>
      <c r="L1468" s="114" t="str" cm="1">
        <f t="array" aca="1" ref="L1468" ca="1">IF(F1468&lt;&gt;"",INDIRECT("'"&amp;F1468&amp;"'!$F$17"),"")</f>
        <v/>
      </c>
      <c r="M1468" s="116" t="str">
        <f t="shared" ca="1" si="67"/>
        <v/>
      </c>
      <c r="O1468" s="49" t="str">
        <f t="shared" ca="1" si="68"/>
        <v/>
      </c>
      <c r="P1468" s="38" t="str">
        <f>IF(E1468&lt;&gt;"",RANK(E1468,$E$3:$E$2298)+COUNTIF($E$3:E1468,E1468)-1,"")</f>
        <v/>
      </c>
    </row>
    <row r="1469" spans="4:16" x14ac:dyDescent="0.25">
      <c r="D1469" s="36" t="str" cm="1">
        <f t="array" aca="1" ref="D1469" ca="1">IFERROR(IF(INDIRECT("'"&amp;F1469&amp;"'!$C$5")&gt;0,DATE(YEAR(Dashboard!$AL$2),Dashboard!$AU$4,INDIRECT("'"&amp;F1469&amp;"'!$C$5")),""),"")</f>
        <v/>
      </c>
      <c r="G1469" s="38" t="str" cm="1">
        <f t="array" aca="1" ref="G1469" ca="1">IF(F1469="",
    "",
    IFERROR(
        IF(INDIRECT("'"&amp;F1469&amp;"'!$B$2")="Credit Limit",
            "Credit Accounts",
            IF(INDIRECT("'"&amp;F1469&amp;"'!$E$2")="Location",
                "Cash Accounts",
                IF(INDIRECT("'"&amp;F1469&amp;"'!$B$2")="Amount",
                    "Investments",
                    "Bill Accounts"
                )
            )
        ),
    "")
)</f>
        <v/>
      </c>
      <c r="I1469" s="46" t="str" cm="1">
        <f t="array" aca="1" ref="I1469" ca="1">IF(F1469&lt;&gt;"",IF(OR(G1469="Bill Accounts",G1469="Investments", G1469="Cash Accounts"),INDIRECT("'"&amp;F1469&amp;"'!$C$10"),INDIRECT("'"&amp;F1469&amp;"'!$C$8")),"")</f>
        <v/>
      </c>
      <c r="K1469" s="48">
        <f t="shared" si="69"/>
        <v>1475</v>
      </c>
      <c r="L1469" s="114" t="str" cm="1">
        <f t="array" aca="1" ref="L1469" ca="1">IF(F1469&lt;&gt;"",INDIRECT("'"&amp;F1469&amp;"'!$F$17"),"")</f>
        <v/>
      </c>
      <c r="M1469" s="116" t="str">
        <f t="shared" ca="1" si="67"/>
        <v/>
      </c>
      <c r="O1469" s="49" t="str">
        <f t="shared" ca="1" si="68"/>
        <v/>
      </c>
      <c r="P1469" s="38" t="str">
        <f>IF(E1469&lt;&gt;"",RANK(E1469,$E$3:$E$2298)+COUNTIF($E$3:E1469,E1469)-1,"")</f>
        <v/>
      </c>
    </row>
    <row r="1470" spans="4:16" x14ac:dyDescent="0.25">
      <c r="D1470" s="36" t="str" cm="1">
        <f t="array" aca="1" ref="D1470" ca="1">IFERROR(IF(INDIRECT("'"&amp;F1470&amp;"'!$C$5")&gt;0,DATE(YEAR(Dashboard!$AL$2),Dashboard!$AU$4,INDIRECT("'"&amp;F1470&amp;"'!$C$5")),""),"")</f>
        <v/>
      </c>
      <c r="G1470" s="38" t="str" cm="1">
        <f t="array" aca="1" ref="G1470" ca="1">IF(F1470="",
    "",
    IFERROR(
        IF(INDIRECT("'"&amp;F1470&amp;"'!$B$2")="Credit Limit",
            "Credit Accounts",
            IF(INDIRECT("'"&amp;F1470&amp;"'!$E$2")="Location",
                "Cash Accounts",
                IF(INDIRECT("'"&amp;F1470&amp;"'!$B$2")="Amount",
                    "Investments",
                    "Bill Accounts"
                )
            )
        ),
    "")
)</f>
        <v/>
      </c>
      <c r="I1470" s="46" t="str" cm="1">
        <f t="array" aca="1" ref="I1470" ca="1">IF(F1470&lt;&gt;"",IF(OR(G1470="Bill Accounts",G1470="Investments", G1470="Cash Accounts"),INDIRECT("'"&amp;F1470&amp;"'!$C$10"),INDIRECT("'"&amp;F1470&amp;"'!$C$8")),"")</f>
        <v/>
      </c>
      <c r="K1470" s="48">
        <f t="shared" si="69"/>
        <v>1476</v>
      </c>
      <c r="L1470" s="114" t="str" cm="1">
        <f t="array" aca="1" ref="L1470" ca="1">IF(F1470&lt;&gt;"",INDIRECT("'"&amp;F1470&amp;"'!$F$17"),"")</f>
        <v/>
      </c>
      <c r="M1470" s="116" t="str">
        <f t="shared" ca="1" si="67"/>
        <v/>
      </c>
      <c r="O1470" s="49" t="str">
        <f t="shared" ca="1" si="68"/>
        <v/>
      </c>
      <c r="P1470" s="38" t="str">
        <f>IF(E1470&lt;&gt;"",RANK(E1470,$E$3:$E$2298)+COUNTIF($E$3:E1470,E1470)-1,"")</f>
        <v/>
      </c>
    </row>
    <row r="1471" spans="4:16" x14ac:dyDescent="0.25">
      <c r="D1471" s="36" t="str" cm="1">
        <f t="array" aca="1" ref="D1471" ca="1">IFERROR(IF(INDIRECT("'"&amp;F1471&amp;"'!$C$5")&gt;0,DATE(YEAR(Dashboard!$AL$2),Dashboard!$AU$4,INDIRECT("'"&amp;F1471&amp;"'!$C$5")),""),"")</f>
        <v/>
      </c>
      <c r="G1471" s="38" t="str" cm="1">
        <f t="array" aca="1" ref="G1471" ca="1">IF(F1471="",
    "",
    IFERROR(
        IF(INDIRECT("'"&amp;F1471&amp;"'!$B$2")="Credit Limit",
            "Credit Accounts",
            IF(INDIRECT("'"&amp;F1471&amp;"'!$E$2")="Location",
                "Cash Accounts",
                IF(INDIRECT("'"&amp;F1471&amp;"'!$B$2")="Amount",
                    "Investments",
                    "Bill Accounts"
                )
            )
        ),
    "")
)</f>
        <v/>
      </c>
      <c r="I1471" s="46" t="str" cm="1">
        <f t="array" aca="1" ref="I1471" ca="1">IF(F1471&lt;&gt;"",IF(OR(G1471="Bill Accounts",G1471="Investments", G1471="Cash Accounts"),INDIRECT("'"&amp;F1471&amp;"'!$C$10"),INDIRECT("'"&amp;F1471&amp;"'!$C$8")),"")</f>
        <v/>
      </c>
      <c r="K1471" s="48">
        <f t="shared" si="69"/>
        <v>1477</v>
      </c>
      <c r="L1471" s="114" t="str" cm="1">
        <f t="array" aca="1" ref="L1471" ca="1">IF(F1471&lt;&gt;"",INDIRECT("'"&amp;F1471&amp;"'!$F$17"),"")</f>
        <v/>
      </c>
      <c r="M1471" s="116" t="str">
        <f t="shared" ca="1" si="67"/>
        <v/>
      </c>
      <c r="O1471" s="49" t="str">
        <f t="shared" ca="1" si="68"/>
        <v/>
      </c>
      <c r="P1471" s="38" t="str">
        <f>IF(E1471&lt;&gt;"",RANK(E1471,$E$3:$E$2298)+COUNTIF($E$3:E1471,E1471)-1,"")</f>
        <v/>
      </c>
    </row>
    <row r="1472" spans="4:16" x14ac:dyDescent="0.25">
      <c r="D1472" s="36" t="str" cm="1">
        <f t="array" aca="1" ref="D1472" ca="1">IFERROR(IF(INDIRECT("'"&amp;F1472&amp;"'!$C$5")&gt;0,DATE(YEAR(Dashboard!$AL$2),Dashboard!$AU$4,INDIRECT("'"&amp;F1472&amp;"'!$C$5")),""),"")</f>
        <v/>
      </c>
      <c r="G1472" s="38" t="str" cm="1">
        <f t="array" aca="1" ref="G1472" ca="1">IF(F1472="",
    "",
    IFERROR(
        IF(INDIRECT("'"&amp;F1472&amp;"'!$B$2")="Credit Limit",
            "Credit Accounts",
            IF(INDIRECT("'"&amp;F1472&amp;"'!$E$2")="Location",
                "Cash Accounts",
                IF(INDIRECT("'"&amp;F1472&amp;"'!$B$2")="Amount",
                    "Investments",
                    "Bill Accounts"
                )
            )
        ),
    "")
)</f>
        <v/>
      </c>
      <c r="I1472" s="46" t="str" cm="1">
        <f t="array" aca="1" ref="I1472" ca="1">IF(F1472&lt;&gt;"",IF(OR(G1472="Bill Accounts",G1472="Investments", G1472="Cash Accounts"),INDIRECT("'"&amp;F1472&amp;"'!$C$10"),INDIRECT("'"&amp;F1472&amp;"'!$C$8")),"")</f>
        <v/>
      </c>
      <c r="K1472" s="48">
        <f t="shared" si="69"/>
        <v>1478</v>
      </c>
      <c r="L1472" s="114" t="str" cm="1">
        <f t="array" aca="1" ref="L1472" ca="1">IF(F1472&lt;&gt;"",INDIRECT("'"&amp;F1472&amp;"'!$F$17"),"")</f>
        <v/>
      </c>
      <c r="M1472" s="116" t="str">
        <f t="shared" ca="1" si="67"/>
        <v/>
      </c>
      <c r="O1472" s="49" t="str">
        <f t="shared" ca="1" si="68"/>
        <v/>
      </c>
      <c r="P1472" s="38" t="str">
        <f>IF(E1472&lt;&gt;"",RANK(E1472,$E$3:$E$2298)+COUNTIF($E$3:E1472,E1472)-1,"")</f>
        <v/>
      </c>
    </row>
    <row r="1473" spans="4:16" x14ac:dyDescent="0.25">
      <c r="D1473" s="36" t="str" cm="1">
        <f t="array" aca="1" ref="D1473" ca="1">IFERROR(IF(INDIRECT("'"&amp;F1473&amp;"'!$C$5")&gt;0,DATE(YEAR(Dashboard!$AL$2),Dashboard!$AU$4,INDIRECT("'"&amp;F1473&amp;"'!$C$5")),""),"")</f>
        <v/>
      </c>
      <c r="G1473" s="38" t="str" cm="1">
        <f t="array" aca="1" ref="G1473" ca="1">IF(F1473="",
    "",
    IFERROR(
        IF(INDIRECT("'"&amp;F1473&amp;"'!$B$2")="Credit Limit",
            "Credit Accounts",
            IF(INDIRECT("'"&amp;F1473&amp;"'!$E$2")="Location",
                "Cash Accounts",
                IF(INDIRECT("'"&amp;F1473&amp;"'!$B$2")="Amount",
                    "Investments",
                    "Bill Accounts"
                )
            )
        ),
    "")
)</f>
        <v/>
      </c>
      <c r="I1473" s="46" t="str" cm="1">
        <f t="array" aca="1" ref="I1473" ca="1">IF(F1473&lt;&gt;"",IF(OR(G1473="Bill Accounts",G1473="Investments", G1473="Cash Accounts"),INDIRECT("'"&amp;F1473&amp;"'!$C$10"),INDIRECT("'"&amp;F1473&amp;"'!$C$8")),"")</f>
        <v/>
      </c>
      <c r="K1473" s="48">
        <f t="shared" si="69"/>
        <v>1479</v>
      </c>
      <c r="L1473" s="114" t="str" cm="1">
        <f t="array" aca="1" ref="L1473" ca="1">IF(F1473&lt;&gt;"",INDIRECT("'"&amp;F1473&amp;"'!$F$17"),"")</f>
        <v/>
      </c>
      <c r="M1473" s="116" t="str">
        <f t="shared" ca="1" si="67"/>
        <v/>
      </c>
      <c r="O1473" s="49" t="str">
        <f t="shared" ca="1" si="68"/>
        <v/>
      </c>
      <c r="P1473" s="38" t="str">
        <f>IF(E1473&lt;&gt;"",RANK(E1473,$E$3:$E$2298)+COUNTIF($E$3:E1473,E1473)-1,"")</f>
        <v/>
      </c>
    </row>
    <row r="1474" spans="4:16" x14ac:dyDescent="0.25">
      <c r="D1474" s="36" t="str" cm="1">
        <f t="array" aca="1" ref="D1474" ca="1">IFERROR(IF(INDIRECT("'"&amp;F1474&amp;"'!$C$5")&gt;0,DATE(YEAR(Dashboard!$AL$2),Dashboard!$AU$4,INDIRECT("'"&amp;F1474&amp;"'!$C$5")),""),"")</f>
        <v/>
      </c>
      <c r="G1474" s="38" t="str" cm="1">
        <f t="array" aca="1" ref="G1474" ca="1">IF(F1474="",
    "",
    IFERROR(
        IF(INDIRECT("'"&amp;F1474&amp;"'!$B$2")="Credit Limit",
            "Credit Accounts",
            IF(INDIRECT("'"&amp;F1474&amp;"'!$E$2")="Location",
                "Cash Accounts",
                IF(INDIRECT("'"&amp;F1474&amp;"'!$B$2")="Amount",
                    "Investments",
                    "Bill Accounts"
                )
            )
        ),
    "")
)</f>
        <v/>
      </c>
      <c r="I1474" s="46" t="str" cm="1">
        <f t="array" aca="1" ref="I1474" ca="1">IF(F1474&lt;&gt;"",IF(OR(G1474="Bill Accounts",G1474="Investments", G1474="Cash Accounts"),INDIRECT("'"&amp;F1474&amp;"'!$C$10"),INDIRECT("'"&amp;F1474&amp;"'!$C$8")),"")</f>
        <v/>
      </c>
      <c r="K1474" s="48">
        <f t="shared" si="69"/>
        <v>1480</v>
      </c>
      <c r="L1474" s="114" t="str" cm="1">
        <f t="array" aca="1" ref="L1474" ca="1">IF(F1474&lt;&gt;"",INDIRECT("'"&amp;F1474&amp;"'!$F$17"),"")</f>
        <v/>
      </c>
      <c r="M1474" s="116" t="str">
        <f t="shared" ca="1" si="67"/>
        <v/>
      </c>
      <c r="O1474" s="49" t="str">
        <f t="shared" ca="1" si="68"/>
        <v/>
      </c>
      <c r="P1474" s="38" t="str">
        <f>IF(E1474&lt;&gt;"",RANK(E1474,$E$3:$E$2298)+COUNTIF($E$3:E1474,E1474)-1,"")</f>
        <v/>
      </c>
    </row>
    <row r="1475" spans="4:16" x14ac:dyDescent="0.25">
      <c r="D1475" s="36" t="str" cm="1">
        <f t="array" aca="1" ref="D1475" ca="1">IFERROR(IF(INDIRECT("'"&amp;F1475&amp;"'!$C$5")&gt;0,DATE(YEAR(Dashboard!$AL$2),Dashboard!$AU$4,INDIRECT("'"&amp;F1475&amp;"'!$C$5")),""),"")</f>
        <v/>
      </c>
      <c r="G1475" s="38" t="str" cm="1">
        <f t="array" aca="1" ref="G1475" ca="1">IF(F1475="",
    "",
    IFERROR(
        IF(INDIRECT("'"&amp;F1475&amp;"'!$B$2")="Credit Limit",
            "Credit Accounts",
            IF(INDIRECT("'"&amp;F1475&amp;"'!$E$2")="Location",
                "Cash Accounts",
                IF(INDIRECT("'"&amp;F1475&amp;"'!$B$2")="Amount",
                    "Investments",
                    "Bill Accounts"
                )
            )
        ),
    "")
)</f>
        <v/>
      </c>
      <c r="I1475" s="46" t="str" cm="1">
        <f t="array" aca="1" ref="I1475" ca="1">IF(F1475&lt;&gt;"",IF(OR(G1475="Bill Accounts",G1475="Investments", G1475="Cash Accounts"),INDIRECT("'"&amp;F1475&amp;"'!$C$10"),INDIRECT("'"&amp;F1475&amp;"'!$C$8")),"")</f>
        <v/>
      </c>
      <c r="K1475" s="48">
        <f t="shared" si="69"/>
        <v>1481</v>
      </c>
      <c r="L1475" s="114" t="str" cm="1">
        <f t="array" aca="1" ref="L1475" ca="1">IF(F1475&lt;&gt;"",INDIRECT("'"&amp;F1475&amp;"'!$F$17"),"")</f>
        <v/>
      </c>
      <c r="M1475" s="116" t="str">
        <f t="shared" ca="1" si="67"/>
        <v/>
      </c>
      <c r="O1475" s="49" t="str">
        <f t="shared" ca="1" si="68"/>
        <v/>
      </c>
      <c r="P1475" s="38" t="str">
        <f>IF(E1475&lt;&gt;"",RANK(E1475,$E$3:$E$2298)+COUNTIF($E$3:E1475,E1475)-1,"")</f>
        <v/>
      </c>
    </row>
    <row r="1476" spans="4:16" x14ac:dyDescent="0.25">
      <c r="D1476" s="36" t="str" cm="1">
        <f t="array" aca="1" ref="D1476" ca="1">IFERROR(IF(INDIRECT("'"&amp;F1476&amp;"'!$C$5")&gt;0,DATE(YEAR(Dashboard!$AL$2),Dashboard!$AU$4,INDIRECT("'"&amp;F1476&amp;"'!$C$5")),""),"")</f>
        <v/>
      </c>
      <c r="G1476" s="38" t="str" cm="1">
        <f t="array" aca="1" ref="G1476" ca="1">IF(F1476="",
    "",
    IFERROR(
        IF(INDIRECT("'"&amp;F1476&amp;"'!$B$2")="Credit Limit",
            "Credit Accounts",
            IF(INDIRECT("'"&amp;F1476&amp;"'!$E$2")="Location",
                "Cash Accounts",
                IF(INDIRECT("'"&amp;F1476&amp;"'!$B$2")="Amount",
                    "Investments",
                    "Bill Accounts"
                )
            )
        ),
    "")
)</f>
        <v/>
      </c>
      <c r="I1476" s="46" t="str" cm="1">
        <f t="array" aca="1" ref="I1476" ca="1">IF(F1476&lt;&gt;"",IF(OR(G1476="Bill Accounts",G1476="Investments", G1476="Cash Accounts"),INDIRECT("'"&amp;F1476&amp;"'!$C$10"),INDIRECT("'"&amp;F1476&amp;"'!$C$8")),"")</f>
        <v/>
      </c>
      <c r="K1476" s="48">
        <f t="shared" si="69"/>
        <v>1482</v>
      </c>
      <c r="L1476" s="114" t="str" cm="1">
        <f t="array" aca="1" ref="L1476" ca="1">IF(F1476&lt;&gt;"",INDIRECT("'"&amp;F1476&amp;"'!$F$17"),"")</f>
        <v/>
      </c>
      <c r="M1476" s="116" t="str">
        <f t="shared" ref="M1476:M1539" ca="1" si="70">IF(G1476="Credit Accounts",EDATE(TODAY(),INDIRECT("'"&amp;F1476&amp;"'!$C$14")),"")</f>
        <v/>
      </c>
      <c r="O1476" s="49" t="str">
        <f t="shared" ref="O1476:O1539" ca="1" si="71">IF(D1476&lt;&gt;"",DAY(D1476),"")</f>
        <v/>
      </c>
      <c r="P1476" s="38" t="str">
        <f>IF(E1476&lt;&gt;"",RANK(E1476,$E$3:$E$2298)+COUNTIF($E$3:E1476,E1476)-1,"")</f>
        <v/>
      </c>
    </row>
    <row r="1477" spans="4:16" x14ac:dyDescent="0.25">
      <c r="D1477" s="36" t="str" cm="1">
        <f t="array" aca="1" ref="D1477" ca="1">IFERROR(IF(INDIRECT("'"&amp;F1477&amp;"'!$C$5")&gt;0,DATE(YEAR(Dashboard!$AL$2),Dashboard!$AU$4,INDIRECT("'"&amp;F1477&amp;"'!$C$5")),""),"")</f>
        <v/>
      </c>
      <c r="G1477" s="38" t="str" cm="1">
        <f t="array" aca="1" ref="G1477" ca="1">IF(F1477="",
    "",
    IFERROR(
        IF(INDIRECT("'"&amp;F1477&amp;"'!$B$2")="Credit Limit",
            "Credit Accounts",
            IF(INDIRECT("'"&amp;F1477&amp;"'!$E$2")="Location",
                "Cash Accounts",
                IF(INDIRECT("'"&amp;F1477&amp;"'!$B$2")="Amount",
                    "Investments",
                    "Bill Accounts"
                )
            )
        ),
    "")
)</f>
        <v/>
      </c>
      <c r="I1477" s="46" t="str" cm="1">
        <f t="array" aca="1" ref="I1477" ca="1">IF(F1477&lt;&gt;"",IF(OR(G1477="Bill Accounts",G1477="Investments", G1477="Cash Accounts"),INDIRECT("'"&amp;F1477&amp;"'!$C$10"),INDIRECT("'"&amp;F1477&amp;"'!$C$8")),"")</f>
        <v/>
      </c>
      <c r="K1477" s="48">
        <f t="shared" si="69"/>
        <v>1483</v>
      </c>
      <c r="L1477" s="114" t="str" cm="1">
        <f t="array" aca="1" ref="L1477" ca="1">IF(F1477&lt;&gt;"",INDIRECT("'"&amp;F1477&amp;"'!$F$17"),"")</f>
        <v/>
      </c>
      <c r="M1477" s="116" t="str">
        <f t="shared" ca="1" si="70"/>
        <v/>
      </c>
      <c r="O1477" s="49" t="str">
        <f t="shared" ca="1" si="71"/>
        <v/>
      </c>
      <c r="P1477" s="38" t="str">
        <f>IF(E1477&lt;&gt;"",RANK(E1477,$E$3:$E$2298)+COUNTIF($E$3:E1477,E1477)-1,"")</f>
        <v/>
      </c>
    </row>
    <row r="1478" spans="4:16" x14ac:dyDescent="0.25">
      <c r="D1478" s="36" t="str" cm="1">
        <f t="array" aca="1" ref="D1478" ca="1">IFERROR(IF(INDIRECT("'"&amp;F1478&amp;"'!$C$5")&gt;0,DATE(YEAR(Dashboard!$AL$2),Dashboard!$AU$4,INDIRECT("'"&amp;F1478&amp;"'!$C$5")),""),"")</f>
        <v/>
      </c>
      <c r="G1478" s="38" t="str" cm="1">
        <f t="array" aca="1" ref="G1478" ca="1">IF(F1478="",
    "",
    IFERROR(
        IF(INDIRECT("'"&amp;F1478&amp;"'!$B$2")="Credit Limit",
            "Credit Accounts",
            IF(INDIRECT("'"&amp;F1478&amp;"'!$E$2")="Location",
                "Cash Accounts",
                IF(INDIRECT("'"&amp;F1478&amp;"'!$B$2")="Amount",
                    "Investments",
                    "Bill Accounts"
                )
            )
        ),
    "")
)</f>
        <v/>
      </c>
      <c r="I1478" s="46" t="str" cm="1">
        <f t="array" aca="1" ref="I1478" ca="1">IF(F1478&lt;&gt;"",IF(OR(G1478="Bill Accounts",G1478="Investments", G1478="Cash Accounts"),INDIRECT("'"&amp;F1478&amp;"'!$C$10"),INDIRECT("'"&amp;F1478&amp;"'!$C$8")),"")</f>
        <v/>
      </c>
      <c r="K1478" s="48">
        <f t="shared" si="69"/>
        <v>1484</v>
      </c>
      <c r="L1478" s="114" t="str" cm="1">
        <f t="array" aca="1" ref="L1478" ca="1">IF(F1478&lt;&gt;"",INDIRECT("'"&amp;F1478&amp;"'!$F$17"),"")</f>
        <v/>
      </c>
      <c r="M1478" s="116" t="str">
        <f t="shared" ca="1" si="70"/>
        <v/>
      </c>
      <c r="O1478" s="49" t="str">
        <f t="shared" ca="1" si="71"/>
        <v/>
      </c>
      <c r="P1478" s="38" t="str">
        <f>IF(E1478&lt;&gt;"",RANK(E1478,$E$3:$E$2298)+COUNTIF($E$3:E1478,E1478)-1,"")</f>
        <v/>
      </c>
    </row>
    <row r="1479" spans="4:16" x14ac:dyDescent="0.25">
      <c r="D1479" s="36" t="str" cm="1">
        <f t="array" aca="1" ref="D1479" ca="1">IFERROR(IF(INDIRECT("'"&amp;F1479&amp;"'!$C$5")&gt;0,DATE(YEAR(Dashboard!$AL$2),Dashboard!$AU$4,INDIRECT("'"&amp;F1479&amp;"'!$C$5")),""),"")</f>
        <v/>
      </c>
      <c r="G1479" s="38" t="str" cm="1">
        <f t="array" aca="1" ref="G1479" ca="1">IF(F1479="",
    "",
    IFERROR(
        IF(INDIRECT("'"&amp;F1479&amp;"'!$B$2")="Credit Limit",
            "Credit Accounts",
            IF(INDIRECT("'"&amp;F1479&amp;"'!$E$2")="Location",
                "Cash Accounts",
                IF(INDIRECT("'"&amp;F1479&amp;"'!$B$2")="Amount",
                    "Investments",
                    "Bill Accounts"
                )
            )
        ),
    "")
)</f>
        <v/>
      </c>
      <c r="I1479" s="46" t="str" cm="1">
        <f t="array" aca="1" ref="I1479" ca="1">IF(F1479&lt;&gt;"",IF(OR(G1479="Bill Accounts",G1479="Investments", G1479="Cash Accounts"),INDIRECT("'"&amp;F1479&amp;"'!$C$10"),INDIRECT("'"&amp;F1479&amp;"'!$C$8")),"")</f>
        <v/>
      </c>
      <c r="K1479" s="48">
        <f t="shared" si="69"/>
        <v>1485</v>
      </c>
      <c r="L1479" s="114" t="str" cm="1">
        <f t="array" aca="1" ref="L1479" ca="1">IF(F1479&lt;&gt;"",INDIRECT("'"&amp;F1479&amp;"'!$F$17"),"")</f>
        <v/>
      </c>
      <c r="M1479" s="116" t="str">
        <f t="shared" ca="1" si="70"/>
        <v/>
      </c>
      <c r="O1479" s="49" t="str">
        <f t="shared" ca="1" si="71"/>
        <v/>
      </c>
      <c r="P1479" s="38" t="str">
        <f>IF(E1479&lt;&gt;"",RANK(E1479,$E$3:$E$2298)+COUNTIF($E$3:E1479,E1479)-1,"")</f>
        <v/>
      </c>
    </row>
    <row r="1480" spans="4:16" x14ac:dyDescent="0.25">
      <c r="D1480" s="36" t="str" cm="1">
        <f t="array" aca="1" ref="D1480" ca="1">IFERROR(IF(INDIRECT("'"&amp;F1480&amp;"'!$C$5")&gt;0,DATE(YEAR(Dashboard!$AL$2),Dashboard!$AU$4,INDIRECT("'"&amp;F1480&amp;"'!$C$5")),""),"")</f>
        <v/>
      </c>
      <c r="G1480" s="38" t="str" cm="1">
        <f t="array" aca="1" ref="G1480" ca="1">IF(F1480="",
    "",
    IFERROR(
        IF(INDIRECT("'"&amp;F1480&amp;"'!$B$2")="Credit Limit",
            "Credit Accounts",
            IF(INDIRECT("'"&amp;F1480&amp;"'!$E$2")="Location",
                "Cash Accounts",
                IF(INDIRECT("'"&amp;F1480&amp;"'!$B$2")="Amount",
                    "Investments",
                    "Bill Accounts"
                )
            )
        ),
    "")
)</f>
        <v/>
      </c>
      <c r="I1480" s="46" t="str" cm="1">
        <f t="array" aca="1" ref="I1480" ca="1">IF(F1480&lt;&gt;"",IF(OR(G1480="Bill Accounts",G1480="Investments", G1480="Cash Accounts"),INDIRECT("'"&amp;F1480&amp;"'!$C$10"),INDIRECT("'"&amp;F1480&amp;"'!$C$8")),"")</f>
        <v/>
      </c>
      <c r="K1480" s="48">
        <f t="shared" ref="K1480:K1543" si="72">SUM(K1479+1)</f>
        <v>1486</v>
      </c>
      <c r="L1480" s="114" t="str" cm="1">
        <f t="array" aca="1" ref="L1480" ca="1">IF(F1480&lt;&gt;"",INDIRECT("'"&amp;F1480&amp;"'!$F$17"),"")</f>
        <v/>
      </c>
      <c r="M1480" s="116" t="str">
        <f t="shared" ca="1" si="70"/>
        <v/>
      </c>
      <c r="O1480" s="49" t="str">
        <f t="shared" ca="1" si="71"/>
        <v/>
      </c>
      <c r="P1480" s="38" t="str">
        <f>IF(E1480&lt;&gt;"",RANK(E1480,$E$3:$E$2298)+COUNTIF($E$3:E1480,E1480)-1,"")</f>
        <v/>
      </c>
    </row>
    <row r="1481" spans="4:16" x14ac:dyDescent="0.25">
      <c r="D1481" s="36" t="str" cm="1">
        <f t="array" aca="1" ref="D1481" ca="1">IFERROR(IF(INDIRECT("'"&amp;F1481&amp;"'!$C$5")&gt;0,DATE(YEAR(Dashboard!$AL$2),Dashboard!$AU$4,INDIRECT("'"&amp;F1481&amp;"'!$C$5")),""),"")</f>
        <v/>
      </c>
      <c r="G1481" s="38" t="str" cm="1">
        <f t="array" aca="1" ref="G1481" ca="1">IF(F1481="",
    "",
    IFERROR(
        IF(INDIRECT("'"&amp;F1481&amp;"'!$B$2")="Credit Limit",
            "Credit Accounts",
            IF(INDIRECT("'"&amp;F1481&amp;"'!$E$2")="Location",
                "Cash Accounts",
                IF(INDIRECT("'"&amp;F1481&amp;"'!$B$2")="Amount",
                    "Investments",
                    "Bill Accounts"
                )
            )
        ),
    "")
)</f>
        <v/>
      </c>
      <c r="I1481" s="46" t="str" cm="1">
        <f t="array" aca="1" ref="I1481" ca="1">IF(F1481&lt;&gt;"",IF(OR(G1481="Bill Accounts",G1481="Investments", G1481="Cash Accounts"),INDIRECT("'"&amp;F1481&amp;"'!$C$10"),INDIRECT("'"&amp;F1481&amp;"'!$C$8")),"")</f>
        <v/>
      </c>
      <c r="K1481" s="48">
        <f t="shared" si="72"/>
        <v>1487</v>
      </c>
      <c r="L1481" s="114" t="str" cm="1">
        <f t="array" aca="1" ref="L1481" ca="1">IF(F1481&lt;&gt;"",INDIRECT("'"&amp;F1481&amp;"'!$F$17"),"")</f>
        <v/>
      </c>
      <c r="M1481" s="116" t="str">
        <f t="shared" ca="1" si="70"/>
        <v/>
      </c>
      <c r="O1481" s="49" t="str">
        <f t="shared" ca="1" si="71"/>
        <v/>
      </c>
      <c r="P1481" s="38" t="str">
        <f>IF(E1481&lt;&gt;"",RANK(E1481,$E$3:$E$2298)+COUNTIF($E$3:E1481,E1481)-1,"")</f>
        <v/>
      </c>
    </row>
    <row r="1482" spans="4:16" x14ac:dyDescent="0.25">
      <c r="D1482" s="36" t="str" cm="1">
        <f t="array" aca="1" ref="D1482" ca="1">IFERROR(IF(INDIRECT("'"&amp;F1482&amp;"'!$C$5")&gt;0,DATE(YEAR(Dashboard!$AL$2),Dashboard!$AU$4,INDIRECT("'"&amp;F1482&amp;"'!$C$5")),""),"")</f>
        <v/>
      </c>
      <c r="G1482" s="38" t="str" cm="1">
        <f t="array" aca="1" ref="G1482" ca="1">IF(F1482="",
    "",
    IFERROR(
        IF(INDIRECT("'"&amp;F1482&amp;"'!$B$2")="Credit Limit",
            "Credit Accounts",
            IF(INDIRECT("'"&amp;F1482&amp;"'!$E$2")="Location",
                "Cash Accounts",
                IF(INDIRECT("'"&amp;F1482&amp;"'!$B$2")="Amount",
                    "Investments",
                    "Bill Accounts"
                )
            )
        ),
    "")
)</f>
        <v/>
      </c>
      <c r="I1482" s="46" t="str" cm="1">
        <f t="array" aca="1" ref="I1482" ca="1">IF(F1482&lt;&gt;"",IF(OR(G1482="Bill Accounts",G1482="Investments", G1482="Cash Accounts"),INDIRECT("'"&amp;F1482&amp;"'!$C$10"),INDIRECT("'"&amp;F1482&amp;"'!$C$8")),"")</f>
        <v/>
      </c>
      <c r="K1482" s="48">
        <f t="shared" si="72"/>
        <v>1488</v>
      </c>
      <c r="L1482" s="114" t="str" cm="1">
        <f t="array" aca="1" ref="L1482" ca="1">IF(F1482&lt;&gt;"",INDIRECT("'"&amp;F1482&amp;"'!$F$17"),"")</f>
        <v/>
      </c>
      <c r="M1482" s="116" t="str">
        <f t="shared" ca="1" si="70"/>
        <v/>
      </c>
      <c r="O1482" s="49" t="str">
        <f t="shared" ca="1" si="71"/>
        <v/>
      </c>
      <c r="P1482" s="38" t="str">
        <f>IF(E1482&lt;&gt;"",RANK(E1482,$E$3:$E$2298)+COUNTIF($E$3:E1482,E1482)-1,"")</f>
        <v/>
      </c>
    </row>
    <row r="1483" spans="4:16" x14ac:dyDescent="0.25">
      <c r="D1483" s="36" t="str" cm="1">
        <f t="array" aca="1" ref="D1483" ca="1">IFERROR(IF(INDIRECT("'"&amp;F1483&amp;"'!$C$5")&gt;0,DATE(YEAR(Dashboard!$AL$2),Dashboard!$AU$4,INDIRECT("'"&amp;F1483&amp;"'!$C$5")),""),"")</f>
        <v/>
      </c>
      <c r="G1483" s="38" t="str" cm="1">
        <f t="array" aca="1" ref="G1483" ca="1">IF(F1483="",
    "",
    IFERROR(
        IF(INDIRECT("'"&amp;F1483&amp;"'!$B$2")="Credit Limit",
            "Credit Accounts",
            IF(INDIRECT("'"&amp;F1483&amp;"'!$E$2")="Location",
                "Cash Accounts",
                IF(INDIRECT("'"&amp;F1483&amp;"'!$B$2")="Amount",
                    "Investments",
                    "Bill Accounts"
                )
            )
        ),
    "")
)</f>
        <v/>
      </c>
      <c r="I1483" s="46" t="str" cm="1">
        <f t="array" aca="1" ref="I1483" ca="1">IF(F1483&lt;&gt;"",IF(OR(G1483="Bill Accounts",G1483="Investments", G1483="Cash Accounts"),INDIRECT("'"&amp;F1483&amp;"'!$C$10"),INDIRECT("'"&amp;F1483&amp;"'!$C$8")),"")</f>
        <v/>
      </c>
      <c r="K1483" s="48">
        <f t="shared" si="72"/>
        <v>1489</v>
      </c>
      <c r="L1483" s="114" t="str" cm="1">
        <f t="array" aca="1" ref="L1483" ca="1">IF(F1483&lt;&gt;"",INDIRECT("'"&amp;F1483&amp;"'!$F$17"),"")</f>
        <v/>
      </c>
      <c r="M1483" s="116" t="str">
        <f t="shared" ca="1" si="70"/>
        <v/>
      </c>
      <c r="O1483" s="49" t="str">
        <f t="shared" ca="1" si="71"/>
        <v/>
      </c>
      <c r="P1483" s="38" t="str">
        <f>IF(E1483&lt;&gt;"",RANK(E1483,$E$3:$E$2298)+COUNTIF($E$3:E1483,E1483)-1,"")</f>
        <v/>
      </c>
    </row>
    <row r="1484" spans="4:16" x14ac:dyDescent="0.25">
      <c r="D1484" s="36" t="str" cm="1">
        <f t="array" aca="1" ref="D1484" ca="1">IFERROR(IF(INDIRECT("'"&amp;F1484&amp;"'!$C$5")&gt;0,DATE(YEAR(Dashboard!$AL$2),Dashboard!$AU$4,INDIRECT("'"&amp;F1484&amp;"'!$C$5")),""),"")</f>
        <v/>
      </c>
      <c r="G1484" s="38" t="str" cm="1">
        <f t="array" aca="1" ref="G1484" ca="1">IF(F1484="",
    "",
    IFERROR(
        IF(INDIRECT("'"&amp;F1484&amp;"'!$B$2")="Credit Limit",
            "Credit Accounts",
            IF(INDIRECT("'"&amp;F1484&amp;"'!$E$2")="Location",
                "Cash Accounts",
                IF(INDIRECT("'"&amp;F1484&amp;"'!$B$2")="Amount",
                    "Investments",
                    "Bill Accounts"
                )
            )
        ),
    "")
)</f>
        <v/>
      </c>
      <c r="I1484" s="46" t="str" cm="1">
        <f t="array" aca="1" ref="I1484" ca="1">IF(F1484&lt;&gt;"",IF(OR(G1484="Bill Accounts",G1484="Investments", G1484="Cash Accounts"),INDIRECT("'"&amp;F1484&amp;"'!$C$10"),INDIRECT("'"&amp;F1484&amp;"'!$C$8")),"")</f>
        <v/>
      </c>
      <c r="K1484" s="48">
        <f t="shared" si="72"/>
        <v>1490</v>
      </c>
      <c r="L1484" s="114" t="str" cm="1">
        <f t="array" aca="1" ref="L1484" ca="1">IF(F1484&lt;&gt;"",INDIRECT("'"&amp;F1484&amp;"'!$F$17"),"")</f>
        <v/>
      </c>
      <c r="M1484" s="116" t="str">
        <f t="shared" ca="1" si="70"/>
        <v/>
      </c>
      <c r="O1484" s="49" t="str">
        <f t="shared" ca="1" si="71"/>
        <v/>
      </c>
      <c r="P1484" s="38" t="str">
        <f>IF(E1484&lt;&gt;"",RANK(E1484,$E$3:$E$2298)+COUNTIF($E$3:E1484,E1484)-1,"")</f>
        <v/>
      </c>
    </row>
    <row r="1485" spans="4:16" x14ac:dyDescent="0.25">
      <c r="D1485" s="36" t="str" cm="1">
        <f t="array" aca="1" ref="D1485" ca="1">IFERROR(IF(INDIRECT("'"&amp;F1485&amp;"'!$C$5")&gt;0,DATE(YEAR(Dashboard!$AL$2),Dashboard!$AU$4,INDIRECT("'"&amp;F1485&amp;"'!$C$5")),""),"")</f>
        <v/>
      </c>
      <c r="G1485" s="38" t="str" cm="1">
        <f t="array" aca="1" ref="G1485" ca="1">IF(F1485="",
    "",
    IFERROR(
        IF(INDIRECT("'"&amp;F1485&amp;"'!$B$2")="Credit Limit",
            "Credit Accounts",
            IF(INDIRECT("'"&amp;F1485&amp;"'!$E$2")="Location",
                "Cash Accounts",
                IF(INDIRECT("'"&amp;F1485&amp;"'!$B$2")="Amount",
                    "Investments",
                    "Bill Accounts"
                )
            )
        ),
    "")
)</f>
        <v/>
      </c>
      <c r="I1485" s="46" t="str" cm="1">
        <f t="array" aca="1" ref="I1485" ca="1">IF(F1485&lt;&gt;"",IF(OR(G1485="Bill Accounts",G1485="Investments", G1485="Cash Accounts"),INDIRECT("'"&amp;F1485&amp;"'!$C$10"),INDIRECT("'"&amp;F1485&amp;"'!$C$8")),"")</f>
        <v/>
      </c>
      <c r="K1485" s="48">
        <f t="shared" si="72"/>
        <v>1491</v>
      </c>
      <c r="L1485" s="114" t="str" cm="1">
        <f t="array" aca="1" ref="L1485" ca="1">IF(F1485&lt;&gt;"",INDIRECT("'"&amp;F1485&amp;"'!$F$17"),"")</f>
        <v/>
      </c>
      <c r="M1485" s="116" t="str">
        <f t="shared" ca="1" si="70"/>
        <v/>
      </c>
      <c r="O1485" s="49" t="str">
        <f t="shared" ca="1" si="71"/>
        <v/>
      </c>
      <c r="P1485" s="38" t="str">
        <f>IF(E1485&lt;&gt;"",RANK(E1485,$E$3:$E$2298)+COUNTIF($E$3:E1485,E1485)-1,"")</f>
        <v/>
      </c>
    </row>
    <row r="1486" spans="4:16" x14ac:dyDescent="0.25">
      <c r="D1486" s="36" t="str" cm="1">
        <f t="array" aca="1" ref="D1486" ca="1">IFERROR(IF(INDIRECT("'"&amp;F1486&amp;"'!$C$5")&gt;0,DATE(YEAR(Dashboard!$AL$2),Dashboard!$AU$4,INDIRECT("'"&amp;F1486&amp;"'!$C$5")),""),"")</f>
        <v/>
      </c>
      <c r="G1486" s="38" t="str" cm="1">
        <f t="array" aca="1" ref="G1486" ca="1">IF(F1486="",
    "",
    IFERROR(
        IF(INDIRECT("'"&amp;F1486&amp;"'!$B$2")="Credit Limit",
            "Credit Accounts",
            IF(INDIRECT("'"&amp;F1486&amp;"'!$E$2")="Location",
                "Cash Accounts",
                IF(INDIRECT("'"&amp;F1486&amp;"'!$B$2")="Amount",
                    "Investments",
                    "Bill Accounts"
                )
            )
        ),
    "")
)</f>
        <v/>
      </c>
      <c r="I1486" s="46" t="str" cm="1">
        <f t="array" aca="1" ref="I1486" ca="1">IF(F1486&lt;&gt;"",IF(OR(G1486="Bill Accounts",G1486="Investments", G1486="Cash Accounts"),INDIRECT("'"&amp;F1486&amp;"'!$C$10"),INDIRECT("'"&amp;F1486&amp;"'!$C$8")),"")</f>
        <v/>
      </c>
      <c r="K1486" s="48">
        <f t="shared" si="72"/>
        <v>1492</v>
      </c>
      <c r="L1486" s="114" t="str" cm="1">
        <f t="array" aca="1" ref="L1486" ca="1">IF(F1486&lt;&gt;"",INDIRECT("'"&amp;F1486&amp;"'!$F$17"),"")</f>
        <v/>
      </c>
      <c r="M1486" s="116" t="str">
        <f t="shared" ca="1" si="70"/>
        <v/>
      </c>
      <c r="O1486" s="49" t="str">
        <f t="shared" ca="1" si="71"/>
        <v/>
      </c>
      <c r="P1486" s="38" t="str">
        <f>IF(E1486&lt;&gt;"",RANK(E1486,$E$3:$E$2298)+COUNTIF($E$3:E1486,E1486)-1,"")</f>
        <v/>
      </c>
    </row>
    <row r="1487" spans="4:16" x14ac:dyDescent="0.25">
      <c r="D1487" s="36" t="str" cm="1">
        <f t="array" aca="1" ref="D1487" ca="1">IFERROR(IF(INDIRECT("'"&amp;F1487&amp;"'!$C$5")&gt;0,DATE(YEAR(Dashboard!$AL$2),Dashboard!$AU$4,INDIRECT("'"&amp;F1487&amp;"'!$C$5")),""),"")</f>
        <v/>
      </c>
      <c r="G1487" s="38" t="str" cm="1">
        <f t="array" aca="1" ref="G1487" ca="1">IF(F1487="",
    "",
    IFERROR(
        IF(INDIRECT("'"&amp;F1487&amp;"'!$B$2")="Credit Limit",
            "Credit Accounts",
            IF(INDIRECT("'"&amp;F1487&amp;"'!$E$2")="Location",
                "Cash Accounts",
                IF(INDIRECT("'"&amp;F1487&amp;"'!$B$2")="Amount",
                    "Investments",
                    "Bill Accounts"
                )
            )
        ),
    "")
)</f>
        <v/>
      </c>
      <c r="I1487" s="46" t="str" cm="1">
        <f t="array" aca="1" ref="I1487" ca="1">IF(F1487&lt;&gt;"",IF(OR(G1487="Bill Accounts",G1487="Investments", G1487="Cash Accounts"),INDIRECT("'"&amp;F1487&amp;"'!$C$10"),INDIRECT("'"&amp;F1487&amp;"'!$C$8")),"")</f>
        <v/>
      </c>
      <c r="K1487" s="48">
        <f t="shared" si="72"/>
        <v>1493</v>
      </c>
      <c r="L1487" s="114" t="str" cm="1">
        <f t="array" aca="1" ref="L1487" ca="1">IF(F1487&lt;&gt;"",INDIRECT("'"&amp;F1487&amp;"'!$F$17"),"")</f>
        <v/>
      </c>
      <c r="M1487" s="116" t="str">
        <f t="shared" ca="1" si="70"/>
        <v/>
      </c>
      <c r="O1487" s="49" t="str">
        <f t="shared" ca="1" si="71"/>
        <v/>
      </c>
      <c r="P1487" s="38" t="str">
        <f>IF(E1487&lt;&gt;"",RANK(E1487,$E$3:$E$2298)+COUNTIF($E$3:E1487,E1487)-1,"")</f>
        <v/>
      </c>
    </row>
    <row r="1488" spans="4:16" x14ac:dyDescent="0.25">
      <c r="D1488" s="36" t="str" cm="1">
        <f t="array" aca="1" ref="D1488" ca="1">IFERROR(IF(INDIRECT("'"&amp;F1488&amp;"'!$C$5")&gt;0,DATE(YEAR(Dashboard!$AL$2),Dashboard!$AU$4,INDIRECT("'"&amp;F1488&amp;"'!$C$5")),""),"")</f>
        <v/>
      </c>
      <c r="G1488" s="38" t="str" cm="1">
        <f t="array" aca="1" ref="G1488" ca="1">IF(F1488="",
    "",
    IFERROR(
        IF(INDIRECT("'"&amp;F1488&amp;"'!$B$2")="Credit Limit",
            "Credit Accounts",
            IF(INDIRECT("'"&amp;F1488&amp;"'!$E$2")="Location",
                "Cash Accounts",
                IF(INDIRECT("'"&amp;F1488&amp;"'!$B$2")="Amount",
                    "Investments",
                    "Bill Accounts"
                )
            )
        ),
    "")
)</f>
        <v/>
      </c>
      <c r="I1488" s="46" t="str" cm="1">
        <f t="array" aca="1" ref="I1488" ca="1">IF(F1488&lt;&gt;"",IF(OR(G1488="Bill Accounts",G1488="Investments", G1488="Cash Accounts"),INDIRECT("'"&amp;F1488&amp;"'!$C$10"),INDIRECT("'"&amp;F1488&amp;"'!$C$8")),"")</f>
        <v/>
      </c>
      <c r="K1488" s="48">
        <f t="shared" si="72"/>
        <v>1494</v>
      </c>
      <c r="L1488" s="114" t="str" cm="1">
        <f t="array" aca="1" ref="L1488" ca="1">IF(F1488&lt;&gt;"",INDIRECT("'"&amp;F1488&amp;"'!$F$17"),"")</f>
        <v/>
      </c>
      <c r="M1488" s="116" t="str">
        <f t="shared" ca="1" si="70"/>
        <v/>
      </c>
      <c r="O1488" s="49" t="str">
        <f t="shared" ca="1" si="71"/>
        <v/>
      </c>
      <c r="P1488" s="38" t="str">
        <f>IF(E1488&lt;&gt;"",RANK(E1488,$E$3:$E$2298)+COUNTIF($E$3:E1488,E1488)-1,"")</f>
        <v/>
      </c>
    </row>
    <row r="1489" spans="4:16" x14ac:dyDescent="0.25">
      <c r="D1489" s="36" t="str" cm="1">
        <f t="array" aca="1" ref="D1489" ca="1">IFERROR(IF(INDIRECT("'"&amp;F1489&amp;"'!$C$5")&gt;0,DATE(YEAR(Dashboard!$AL$2),Dashboard!$AU$4,INDIRECT("'"&amp;F1489&amp;"'!$C$5")),""),"")</f>
        <v/>
      </c>
      <c r="G1489" s="38" t="str" cm="1">
        <f t="array" aca="1" ref="G1489" ca="1">IF(F1489="",
    "",
    IFERROR(
        IF(INDIRECT("'"&amp;F1489&amp;"'!$B$2")="Credit Limit",
            "Credit Accounts",
            IF(INDIRECT("'"&amp;F1489&amp;"'!$E$2")="Location",
                "Cash Accounts",
                IF(INDIRECT("'"&amp;F1489&amp;"'!$B$2")="Amount",
                    "Investments",
                    "Bill Accounts"
                )
            )
        ),
    "")
)</f>
        <v/>
      </c>
      <c r="I1489" s="46" t="str" cm="1">
        <f t="array" aca="1" ref="I1489" ca="1">IF(F1489&lt;&gt;"",IF(OR(G1489="Bill Accounts",G1489="Investments", G1489="Cash Accounts"),INDIRECT("'"&amp;F1489&amp;"'!$C$10"),INDIRECT("'"&amp;F1489&amp;"'!$C$8")),"")</f>
        <v/>
      </c>
      <c r="K1489" s="48">
        <f t="shared" si="72"/>
        <v>1495</v>
      </c>
      <c r="L1489" s="114" t="str" cm="1">
        <f t="array" aca="1" ref="L1489" ca="1">IF(F1489&lt;&gt;"",INDIRECT("'"&amp;F1489&amp;"'!$F$17"),"")</f>
        <v/>
      </c>
      <c r="M1489" s="116" t="str">
        <f t="shared" ca="1" si="70"/>
        <v/>
      </c>
      <c r="O1489" s="49" t="str">
        <f t="shared" ca="1" si="71"/>
        <v/>
      </c>
      <c r="P1489" s="38" t="str">
        <f>IF(E1489&lt;&gt;"",RANK(E1489,$E$3:$E$2298)+COUNTIF($E$3:E1489,E1489)-1,"")</f>
        <v/>
      </c>
    </row>
    <row r="1490" spans="4:16" x14ac:dyDescent="0.25">
      <c r="D1490" s="36" t="str" cm="1">
        <f t="array" aca="1" ref="D1490" ca="1">IFERROR(IF(INDIRECT("'"&amp;F1490&amp;"'!$C$5")&gt;0,DATE(YEAR(Dashboard!$AL$2),Dashboard!$AU$4,INDIRECT("'"&amp;F1490&amp;"'!$C$5")),""),"")</f>
        <v/>
      </c>
      <c r="G1490" s="38" t="str" cm="1">
        <f t="array" aca="1" ref="G1490" ca="1">IF(F1490="",
    "",
    IFERROR(
        IF(INDIRECT("'"&amp;F1490&amp;"'!$B$2")="Credit Limit",
            "Credit Accounts",
            IF(INDIRECT("'"&amp;F1490&amp;"'!$E$2")="Location",
                "Cash Accounts",
                IF(INDIRECT("'"&amp;F1490&amp;"'!$B$2")="Amount",
                    "Investments",
                    "Bill Accounts"
                )
            )
        ),
    "")
)</f>
        <v/>
      </c>
      <c r="I1490" s="46" t="str" cm="1">
        <f t="array" aca="1" ref="I1490" ca="1">IF(F1490&lt;&gt;"",IF(OR(G1490="Bill Accounts",G1490="Investments", G1490="Cash Accounts"),INDIRECT("'"&amp;F1490&amp;"'!$C$10"),INDIRECT("'"&amp;F1490&amp;"'!$C$8")),"")</f>
        <v/>
      </c>
      <c r="K1490" s="48">
        <f t="shared" si="72"/>
        <v>1496</v>
      </c>
      <c r="L1490" s="114" t="str" cm="1">
        <f t="array" aca="1" ref="L1490" ca="1">IF(F1490&lt;&gt;"",INDIRECT("'"&amp;F1490&amp;"'!$F$17"),"")</f>
        <v/>
      </c>
      <c r="M1490" s="116" t="str">
        <f t="shared" ca="1" si="70"/>
        <v/>
      </c>
      <c r="O1490" s="49" t="str">
        <f t="shared" ca="1" si="71"/>
        <v/>
      </c>
      <c r="P1490" s="38" t="str">
        <f>IF(E1490&lt;&gt;"",RANK(E1490,$E$3:$E$2298)+COUNTIF($E$3:E1490,E1490)-1,"")</f>
        <v/>
      </c>
    </row>
    <row r="1491" spans="4:16" x14ac:dyDescent="0.25">
      <c r="D1491" s="36" t="str" cm="1">
        <f t="array" aca="1" ref="D1491" ca="1">IFERROR(IF(INDIRECT("'"&amp;F1491&amp;"'!$C$5")&gt;0,DATE(YEAR(Dashboard!$AL$2),Dashboard!$AU$4,INDIRECT("'"&amp;F1491&amp;"'!$C$5")),""),"")</f>
        <v/>
      </c>
      <c r="G1491" s="38" t="str" cm="1">
        <f t="array" aca="1" ref="G1491" ca="1">IF(F1491="",
    "",
    IFERROR(
        IF(INDIRECT("'"&amp;F1491&amp;"'!$B$2")="Credit Limit",
            "Credit Accounts",
            IF(INDIRECT("'"&amp;F1491&amp;"'!$E$2")="Location",
                "Cash Accounts",
                IF(INDIRECT("'"&amp;F1491&amp;"'!$B$2")="Amount",
                    "Investments",
                    "Bill Accounts"
                )
            )
        ),
    "")
)</f>
        <v/>
      </c>
      <c r="I1491" s="46" t="str" cm="1">
        <f t="array" aca="1" ref="I1491" ca="1">IF(F1491&lt;&gt;"",IF(OR(G1491="Bill Accounts",G1491="Investments", G1491="Cash Accounts"),INDIRECT("'"&amp;F1491&amp;"'!$C$10"),INDIRECT("'"&amp;F1491&amp;"'!$C$8")),"")</f>
        <v/>
      </c>
      <c r="K1491" s="48">
        <f t="shared" si="72"/>
        <v>1497</v>
      </c>
      <c r="L1491" s="114" t="str" cm="1">
        <f t="array" aca="1" ref="L1491" ca="1">IF(F1491&lt;&gt;"",INDIRECT("'"&amp;F1491&amp;"'!$F$17"),"")</f>
        <v/>
      </c>
      <c r="M1491" s="116" t="str">
        <f t="shared" ca="1" si="70"/>
        <v/>
      </c>
      <c r="O1491" s="49" t="str">
        <f t="shared" ca="1" si="71"/>
        <v/>
      </c>
      <c r="P1491" s="38" t="str">
        <f>IF(E1491&lt;&gt;"",RANK(E1491,$E$3:$E$2298)+COUNTIF($E$3:E1491,E1491)-1,"")</f>
        <v/>
      </c>
    </row>
    <row r="1492" spans="4:16" x14ac:dyDescent="0.25">
      <c r="D1492" s="36" t="str" cm="1">
        <f t="array" aca="1" ref="D1492" ca="1">IFERROR(IF(INDIRECT("'"&amp;F1492&amp;"'!$C$5")&gt;0,DATE(YEAR(Dashboard!$AL$2),Dashboard!$AU$4,INDIRECT("'"&amp;F1492&amp;"'!$C$5")),""),"")</f>
        <v/>
      </c>
      <c r="G1492" s="38" t="str" cm="1">
        <f t="array" aca="1" ref="G1492" ca="1">IF(F1492="",
    "",
    IFERROR(
        IF(INDIRECT("'"&amp;F1492&amp;"'!$B$2")="Credit Limit",
            "Credit Accounts",
            IF(INDIRECT("'"&amp;F1492&amp;"'!$E$2")="Location",
                "Cash Accounts",
                IF(INDIRECT("'"&amp;F1492&amp;"'!$B$2")="Amount",
                    "Investments",
                    "Bill Accounts"
                )
            )
        ),
    "")
)</f>
        <v/>
      </c>
      <c r="I1492" s="46" t="str" cm="1">
        <f t="array" aca="1" ref="I1492" ca="1">IF(F1492&lt;&gt;"",IF(OR(G1492="Bill Accounts",G1492="Investments", G1492="Cash Accounts"),INDIRECT("'"&amp;F1492&amp;"'!$C$10"),INDIRECT("'"&amp;F1492&amp;"'!$C$8")),"")</f>
        <v/>
      </c>
      <c r="K1492" s="48">
        <f t="shared" si="72"/>
        <v>1498</v>
      </c>
      <c r="L1492" s="114" t="str" cm="1">
        <f t="array" aca="1" ref="L1492" ca="1">IF(F1492&lt;&gt;"",INDIRECT("'"&amp;F1492&amp;"'!$F$17"),"")</f>
        <v/>
      </c>
      <c r="M1492" s="116" t="str">
        <f t="shared" ca="1" si="70"/>
        <v/>
      </c>
      <c r="O1492" s="49" t="str">
        <f t="shared" ca="1" si="71"/>
        <v/>
      </c>
      <c r="P1492" s="38" t="str">
        <f>IF(E1492&lt;&gt;"",RANK(E1492,$E$3:$E$2298)+COUNTIF($E$3:E1492,E1492)-1,"")</f>
        <v/>
      </c>
    </row>
    <row r="1493" spans="4:16" x14ac:dyDescent="0.25">
      <c r="D1493" s="36" t="str" cm="1">
        <f t="array" aca="1" ref="D1493" ca="1">IFERROR(IF(INDIRECT("'"&amp;F1493&amp;"'!$C$5")&gt;0,DATE(YEAR(Dashboard!$AL$2),Dashboard!$AU$4,INDIRECT("'"&amp;F1493&amp;"'!$C$5")),""),"")</f>
        <v/>
      </c>
      <c r="G1493" s="38" t="str" cm="1">
        <f t="array" aca="1" ref="G1493" ca="1">IF(F1493="",
    "",
    IFERROR(
        IF(INDIRECT("'"&amp;F1493&amp;"'!$B$2")="Credit Limit",
            "Credit Accounts",
            IF(INDIRECT("'"&amp;F1493&amp;"'!$E$2")="Location",
                "Cash Accounts",
                IF(INDIRECT("'"&amp;F1493&amp;"'!$B$2")="Amount",
                    "Investments",
                    "Bill Accounts"
                )
            )
        ),
    "")
)</f>
        <v/>
      </c>
      <c r="I1493" s="46" t="str" cm="1">
        <f t="array" aca="1" ref="I1493" ca="1">IF(F1493&lt;&gt;"",IF(OR(G1493="Bill Accounts",G1493="Investments", G1493="Cash Accounts"),INDIRECT("'"&amp;F1493&amp;"'!$C$10"),INDIRECT("'"&amp;F1493&amp;"'!$C$8")),"")</f>
        <v/>
      </c>
      <c r="K1493" s="48">
        <f t="shared" si="72"/>
        <v>1499</v>
      </c>
      <c r="L1493" s="114" t="str" cm="1">
        <f t="array" aca="1" ref="L1493" ca="1">IF(F1493&lt;&gt;"",INDIRECT("'"&amp;F1493&amp;"'!$F$17"),"")</f>
        <v/>
      </c>
      <c r="M1493" s="116" t="str">
        <f t="shared" ca="1" si="70"/>
        <v/>
      </c>
      <c r="O1493" s="49" t="str">
        <f t="shared" ca="1" si="71"/>
        <v/>
      </c>
      <c r="P1493" s="38" t="str">
        <f>IF(E1493&lt;&gt;"",RANK(E1493,$E$3:$E$2298)+COUNTIF($E$3:E1493,E1493)-1,"")</f>
        <v/>
      </c>
    </row>
    <row r="1494" spans="4:16" x14ac:dyDescent="0.25">
      <c r="D1494" s="36" t="str" cm="1">
        <f t="array" aca="1" ref="D1494" ca="1">IFERROR(IF(INDIRECT("'"&amp;F1494&amp;"'!$C$5")&gt;0,DATE(YEAR(Dashboard!$AL$2),Dashboard!$AU$4,INDIRECT("'"&amp;F1494&amp;"'!$C$5")),""),"")</f>
        <v/>
      </c>
      <c r="G1494" s="38" t="str" cm="1">
        <f t="array" aca="1" ref="G1494" ca="1">IF(F1494="",
    "",
    IFERROR(
        IF(INDIRECT("'"&amp;F1494&amp;"'!$B$2")="Credit Limit",
            "Credit Accounts",
            IF(INDIRECT("'"&amp;F1494&amp;"'!$E$2")="Location",
                "Cash Accounts",
                IF(INDIRECT("'"&amp;F1494&amp;"'!$B$2")="Amount",
                    "Investments",
                    "Bill Accounts"
                )
            )
        ),
    "")
)</f>
        <v/>
      </c>
      <c r="I1494" s="46" t="str" cm="1">
        <f t="array" aca="1" ref="I1494" ca="1">IF(F1494&lt;&gt;"",IF(OR(G1494="Bill Accounts",G1494="Investments", G1494="Cash Accounts"),INDIRECT("'"&amp;F1494&amp;"'!$C$10"),INDIRECT("'"&amp;F1494&amp;"'!$C$8")),"")</f>
        <v/>
      </c>
      <c r="K1494" s="48">
        <f t="shared" si="72"/>
        <v>1500</v>
      </c>
      <c r="L1494" s="114" t="str" cm="1">
        <f t="array" aca="1" ref="L1494" ca="1">IF(F1494&lt;&gt;"",INDIRECT("'"&amp;F1494&amp;"'!$F$17"),"")</f>
        <v/>
      </c>
      <c r="M1494" s="116" t="str">
        <f t="shared" ca="1" si="70"/>
        <v/>
      </c>
      <c r="O1494" s="49" t="str">
        <f t="shared" ca="1" si="71"/>
        <v/>
      </c>
      <c r="P1494" s="38" t="str">
        <f>IF(E1494&lt;&gt;"",RANK(E1494,$E$3:$E$2298)+COUNTIF($E$3:E1494,E1494)-1,"")</f>
        <v/>
      </c>
    </row>
    <row r="1495" spans="4:16" x14ac:dyDescent="0.25">
      <c r="D1495" s="36" t="str" cm="1">
        <f t="array" aca="1" ref="D1495" ca="1">IFERROR(IF(INDIRECT("'"&amp;F1495&amp;"'!$C$5")&gt;0,DATE(YEAR(Dashboard!$AL$2),Dashboard!$AU$4,INDIRECT("'"&amp;F1495&amp;"'!$C$5")),""),"")</f>
        <v/>
      </c>
      <c r="G1495" s="38" t="str" cm="1">
        <f t="array" aca="1" ref="G1495" ca="1">IF(F1495="",
    "",
    IFERROR(
        IF(INDIRECT("'"&amp;F1495&amp;"'!$B$2")="Credit Limit",
            "Credit Accounts",
            IF(INDIRECT("'"&amp;F1495&amp;"'!$E$2")="Location",
                "Cash Accounts",
                IF(INDIRECT("'"&amp;F1495&amp;"'!$B$2")="Amount",
                    "Investments",
                    "Bill Accounts"
                )
            )
        ),
    "")
)</f>
        <v/>
      </c>
      <c r="I1495" s="46" t="str" cm="1">
        <f t="array" aca="1" ref="I1495" ca="1">IF(F1495&lt;&gt;"",IF(OR(G1495="Bill Accounts",G1495="Investments", G1495="Cash Accounts"),INDIRECT("'"&amp;F1495&amp;"'!$C$10"),INDIRECT("'"&amp;F1495&amp;"'!$C$8")),"")</f>
        <v/>
      </c>
      <c r="K1495" s="48">
        <f t="shared" si="72"/>
        <v>1501</v>
      </c>
      <c r="L1495" s="114" t="str" cm="1">
        <f t="array" aca="1" ref="L1495" ca="1">IF(F1495&lt;&gt;"",INDIRECT("'"&amp;F1495&amp;"'!$F$17"),"")</f>
        <v/>
      </c>
      <c r="M1495" s="116" t="str">
        <f t="shared" ca="1" si="70"/>
        <v/>
      </c>
      <c r="O1495" s="49" t="str">
        <f t="shared" ca="1" si="71"/>
        <v/>
      </c>
      <c r="P1495" s="38" t="str">
        <f>IF(E1495&lt;&gt;"",RANK(E1495,$E$3:$E$2298)+COUNTIF($E$3:E1495,E1495)-1,"")</f>
        <v/>
      </c>
    </row>
    <row r="1496" spans="4:16" x14ac:dyDescent="0.25">
      <c r="D1496" s="36" t="str" cm="1">
        <f t="array" aca="1" ref="D1496" ca="1">IFERROR(IF(INDIRECT("'"&amp;F1496&amp;"'!$C$5")&gt;0,DATE(YEAR(Dashboard!$AL$2),Dashboard!$AU$4,INDIRECT("'"&amp;F1496&amp;"'!$C$5")),""),"")</f>
        <v/>
      </c>
      <c r="G1496" s="38" t="str" cm="1">
        <f t="array" aca="1" ref="G1496" ca="1">IF(F1496="",
    "",
    IFERROR(
        IF(INDIRECT("'"&amp;F1496&amp;"'!$B$2")="Credit Limit",
            "Credit Accounts",
            IF(INDIRECT("'"&amp;F1496&amp;"'!$E$2")="Location",
                "Cash Accounts",
                IF(INDIRECT("'"&amp;F1496&amp;"'!$B$2")="Amount",
                    "Investments",
                    "Bill Accounts"
                )
            )
        ),
    "")
)</f>
        <v/>
      </c>
      <c r="I1496" s="46" t="str" cm="1">
        <f t="array" aca="1" ref="I1496" ca="1">IF(F1496&lt;&gt;"",IF(OR(G1496="Bill Accounts",G1496="Investments", G1496="Cash Accounts"),INDIRECT("'"&amp;F1496&amp;"'!$C$10"),INDIRECT("'"&amp;F1496&amp;"'!$C$8")),"")</f>
        <v/>
      </c>
      <c r="K1496" s="48">
        <f t="shared" si="72"/>
        <v>1502</v>
      </c>
      <c r="L1496" s="114" t="str" cm="1">
        <f t="array" aca="1" ref="L1496" ca="1">IF(F1496&lt;&gt;"",INDIRECT("'"&amp;F1496&amp;"'!$F$17"),"")</f>
        <v/>
      </c>
      <c r="M1496" s="116" t="str">
        <f t="shared" ca="1" si="70"/>
        <v/>
      </c>
      <c r="O1496" s="49" t="str">
        <f t="shared" ca="1" si="71"/>
        <v/>
      </c>
      <c r="P1496" s="38" t="str">
        <f>IF(E1496&lt;&gt;"",RANK(E1496,$E$3:$E$2298)+COUNTIF($E$3:E1496,E1496)-1,"")</f>
        <v/>
      </c>
    </row>
    <row r="1497" spans="4:16" x14ac:dyDescent="0.25">
      <c r="D1497" s="36" t="str" cm="1">
        <f t="array" aca="1" ref="D1497" ca="1">IFERROR(IF(INDIRECT("'"&amp;F1497&amp;"'!$C$5")&gt;0,DATE(YEAR(Dashboard!$AL$2),Dashboard!$AU$4,INDIRECT("'"&amp;F1497&amp;"'!$C$5")),""),"")</f>
        <v/>
      </c>
      <c r="G1497" s="38" t="str" cm="1">
        <f t="array" aca="1" ref="G1497" ca="1">IF(F1497="",
    "",
    IFERROR(
        IF(INDIRECT("'"&amp;F1497&amp;"'!$B$2")="Credit Limit",
            "Credit Accounts",
            IF(INDIRECT("'"&amp;F1497&amp;"'!$E$2")="Location",
                "Cash Accounts",
                IF(INDIRECT("'"&amp;F1497&amp;"'!$B$2")="Amount",
                    "Investments",
                    "Bill Accounts"
                )
            )
        ),
    "")
)</f>
        <v/>
      </c>
      <c r="I1497" s="46" t="str" cm="1">
        <f t="array" aca="1" ref="I1497" ca="1">IF(F1497&lt;&gt;"",IF(OR(G1497="Bill Accounts",G1497="Investments", G1497="Cash Accounts"),INDIRECT("'"&amp;F1497&amp;"'!$C$10"),INDIRECT("'"&amp;F1497&amp;"'!$C$8")),"")</f>
        <v/>
      </c>
      <c r="K1497" s="48">
        <f t="shared" si="72"/>
        <v>1503</v>
      </c>
      <c r="L1497" s="114" t="str" cm="1">
        <f t="array" aca="1" ref="L1497" ca="1">IF(F1497&lt;&gt;"",INDIRECT("'"&amp;F1497&amp;"'!$F$17"),"")</f>
        <v/>
      </c>
      <c r="M1497" s="116" t="str">
        <f t="shared" ca="1" si="70"/>
        <v/>
      </c>
      <c r="O1497" s="49" t="str">
        <f t="shared" ca="1" si="71"/>
        <v/>
      </c>
      <c r="P1497" s="38" t="str">
        <f>IF(E1497&lt;&gt;"",RANK(E1497,$E$3:$E$2298)+COUNTIF($E$3:E1497,E1497)-1,"")</f>
        <v/>
      </c>
    </row>
    <row r="1498" spans="4:16" x14ac:dyDescent="0.25">
      <c r="D1498" s="36" t="str" cm="1">
        <f t="array" aca="1" ref="D1498" ca="1">IFERROR(IF(INDIRECT("'"&amp;F1498&amp;"'!$C$5")&gt;0,DATE(YEAR(Dashboard!$AL$2),Dashboard!$AU$4,INDIRECT("'"&amp;F1498&amp;"'!$C$5")),""),"")</f>
        <v/>
      </c>
      <c r="G1498" s="38" t="str" cm="1">
        <f t="array" aca="1" ref="G1498" ca="1">IF(F1498="",
    "",
    IFERROR(
        IF(INDIRECT("'"&amp;F1498&amp;"'!$B$2")="Credit Limit",
            "Credit Accounts",
            IF(INDIRECT("'"&amp;F1498&amp;"'!$E$2")="Location",
                "Cash Accounts",
                IF(INDIRECT("'"&amp;F1498&amp;"'!$B$2")="Amount",
                    "Investments",
                    "Bill Accounts"
                )
            )
        ),
    "")
)</f>
        <v/>
      </c>
      <c r="I1498" s="46" t="str" cm="1">
        <f t="array" aca="1" ref="I1498" ca="1">IF(F1498&lt;&gt;"",IF(OR(G1498="Bill Accounts",G1498="Investments", G1498="Cash Accounts"),INDIRECT("'"&amp;F1498&amp;"'!$C$10"),INDIRECT("'"&amp;F1498&amp;"'!$C$8")),"")</f>
        <v/>
      </c>
      <c r="K1498" s="48">
        <f t="shared" si="72"/>
        <v>1504</v>
      </c>
      <c r="L1498" s="114" t="str" cm="1">
        <f t="array" aca="1" ref="L1498" ca="1">IF(F1498&lt;&gt;"",INDIRECT("'"&amp;F1498&amp;"'!$F$17"),"")</f>
        <v/>
      </c>
      <c r="M1498" s="116" t="str">
        <f t="shared" ca="1" si="70"/>
        <v/>
      </c>
      <c r="O1498" s="49" t="str">
        <f t="shared" ca="1" si="71"/>
        <v/>
      </c>
      <c r="P1498" s="38" t="str">
        <f>IF(E1498&lt;&gt;"",RANK(E1498,$E$3:$E$2298)+COUNTIF($E$3:E1498,E1498)-1,"")</f>
        <v/>
      </c>
    </row>
    <row r="1499" spans="4:16" x14ac:dyDescent="0.25">
      <c r="D1499" s="36" t="str" cm="1">
        <f t="array" aca="1" ref="D1499" ca="1">IFERROR(IF(INDIRECT("'"&amp;F1499&amp;"'!$C$5")&gt;0,DATE(YEAR(Dashboard!$AL$2),Dashboard!$AU$4,INDIRECT("'"&amp;F1499&amp;"'!$C$5")),""),"")</f>
        <v/>
      </c>
      <c r="G1499" s="38" t="str" cm="1">
        <f t="array" aca="1" ref="G1499" ca="1">IF(F1499="",
    "",
    IFERROR(
        IF(INDIRECT("'"&amp;F1499&amp;"'!$B$2")="Credit Limit",
            "Credit Accounts",
            IF(INDIRECT("'"&amp;F1499&amp;"'!$E$2")="Location",
                "Cash Accounts",
                IF(INDIRECT("'"&amp;F1499&amp;"'!$B$2")="Amount",
                    "Investments",
                    "Bill Accounts"
                )
            )
        ),
    "")
)</f>
        <v/>
      </c>
      <c r="I1499" s="46" t="str" cm="1">
        <f t="array" aca="1" ref="I1499" ca="1">IF(F1499&lt;&gt;"",IF(OR(G1499="Bill Accounts",G1499="Investments", G1499="Cash Accounts"),INDIRECT("'"&amp;F1499&amp;"'!$C$10"),INDIRECT("'"&amp;F1499&amp;"'!$C$8")),"")</f>
        <v/>
      </c>
      <c r="K1499" s="48">
        <f t="shared" si="72"/>
        <v>1505</v>
      </c>
      <c r="L1499" s="114" t="str" cm="1">
        <f t="array" aca="1" ref="L1499" ca="1">IF(F1499&lt;&gt;"",INDIRECT("'"&amp;F1499&amp;"'!$F$17"),"")</f>
        <v/>
      </c>
      <c r="M1499" s="116" t="str">
        <f t="shared" ca="1" si="70"/>
        <v/>
      </c>
      <c r="O1499" s="49" t="str">
        <f t="shared" ca="1" si="71"/>
        <v/>
      </c>
      <c r="P1499" s="38" t="str">
        <f>IF(E1499&lt;&gt;"",RANK(E1499,$E$3:$E$2298)+COUNTIF($E$3:E1499,E1499)-1,"")</f>
        <v/>
      </c>
    </row>
    <row r="1500" spans="4:16" x14ac:dyDescent="0.25">
      <c r="D1500" s="36" t="str" cm="1">
        <f t="array" aca="1" ref="D1500" ca="1">IFERROR(IF(INDIRECT("'"&amp;F1500&amp;"'!$C$5")&gt;0,DATE(YEAR(Dashboard!$AL$2),Dashboard!$AU$4,INDIRECT("'"&amp;F1500&amp;"'!$C$5")),""),"")</f>
        <v/>
      </c>
      <c r="G1500" s="38" t="str" cm="1">
        <f t="array" aca="1" ref="G1500" ca="1">IF(F1500="",
    "",
    IFERROR(
        IF(INDIRECT("'"&amp;F1500&amp;"'!$B$2")="Credit Limit",
            "Credit Accounts",
            IF(INDIRECT("'"&amp;F1500&amp;"'!$E$2")="Location",
                "Cash Accounts",
                IF(INDIRECT("'"&amp;F1500&amp;"'!$B$2")="Amount",
                    "Investments",
                    "Bill Accounts"
                )
            )
        ),
    "")
)</f>
        <v/>
      </c>
      <c r="I1500" s="46" t="str" cm="1">
        <f t="array" aca="1" ref="I1500" ca="1">IF(F1500&lt;&gt;"",IF(OR(G1500="Bill Accounts",G1500="Investments", G1500="Cash Accounts"),INDIRECT("'"&amp;F1500&amp;"'!$C$10"),INDIRECT("'"&amp;F1500&amp;"'!$C$8")),"")</f>
        <v/>
      </c>
      <c r="K1500" s="48">
        <f t="shared" si="72"/>
        <v>1506</v>
      </c>
      <c r="L1500" s="114" t="str" cm="1">
        <f t="array" aca="1" ref="L1500" ca="1">IF(F1500&lt;&gt;"",INDIRECT("'"&amp;F1500&amp;"'!$F$17"),"")</f>
        <v/>
      </c>
      <c r="M1500" s="116" t="str">
        <f t="shared" ca="1" si="70"/>
        <v/>
      </c>
      <c r="O1500" s="49" t="str">
        <f t="shared" ca="1" si="71"/>
        <v/>
      </c>
      <c r="P1500" s="38" t="str">
        <f>IF(E1500&lt;&gt;"",RANK(E1500,$E$3:$E$2298)+COUNTIF($E$3:E1500,E1500)-1,"")</f>
        <v/>
      </c>
    </row>
    <row r="1501" spans="4:16" x14ac:dyDescent="0.25">
      <c r="D1501" s="36" t="str" cm="1">
        <f t="array" aca="1" ref="D1501" ca="1">IFERROR(IF(INDIRECT("'"&amp;F1501&amp;"'!$C$5")&gt;0,DATE(YEAR(Dashboard!$AL$2),Dashboard!$AU$4,INDIRECT("'"&amp;F1501&amp;"'!$C$5")),""),"")</f>
        <v/>
      </c>
      <c r="G1501" s="38" t="str" cm="1">
        <f t="array" aca="1" ref="G1501" ca="1">IF(F1501="",
    "",
    IFERROR(
        IF(INDIRECT("'"&amp;F1501&amp;"'!$B$2")="Credit Limit",
            "Credit Accounts",
            IF(INDIRECT("'"&amp;F1501&amp;"'!$E$2")="Location",
                "Cash Accounts",
                IF(INDIRECT("'"&amp;F1501&amp;"'!$B$2")="Amount",
                    "Investments",
                    "Bill Accounts"
                )
            )
        ),
    "")
)</f>
        <v/>
      </c>
      <c r="I1501" s="46" t="str" cm="1">
        <f t="array" aca="1" ref="I1501" ca="1">IF(F1501&lt;&gt;"",IF(OR(G1501="Bill Accounts",G1501="Investments", G1501="Cash Accounts"),INDIRECT("'"&amp;F1501&amp;"'!$C$10"),INDIRECT("'"&amp;F1501&amp;"'!$C$8")),"")</f>
        <v/>
      </c>
      <c r="K1501" s="48">
        <f t="shared" si="72"/>
        <v>1507</v>
      </c>
      <c r="L1501" s="114" t="str" cm="1">
        <f t="array" aca="1" ref="L1501" ca="1">IF(F1501&lt;&gt;"",INDIRECT("'"&amp;F1501&amp;"'!$F$17"),"")</f>
        <v/>
      </c>
      <c r="M1501" s="116" t="str">
        <f t="shared" ca="1" si="70"/>
        <v/>
      </c>
      <c r="O1501" s="49" t="str">
        <f t="shared" ca="1" si="71"/>
        <v/>
      </c>
      <c r="P1501" s="38" t="str">
        <f>IF(E1501&lt;&gt;"",RANK(E1501,$E$3:$E$2298)+COUNTIF($E$3:E1501,E1501)-1,"")</f>
        <v/>
      </c>
    </row>
    <row r="1502" spans="4:16" x14ac:dyDescent="0.25">
      <c r="D1502" s="36" t="str" cm="1">
        <f t="array" aca="1" ref="D1502" ca="1">IFERROR(IF(INDIRECT("'"&amp;F1502&amp;"'!$C$5")&gt;0,DATE(YEAR(Dashboard!$AL$2),Dashboard!$AU$4,INDIRECT("'"&amp;F1502&amp;"'!$C$5")),""),"")</f>
        <v/>
      </c>
      <c r="G1502" s="38" t="str" cm="1">
        <f t="array" aca="1" ref="G1502" ca="1">IF(F1502="",
    "",
    IFERROR(
        IF(INDIRECT("'"&amp;F1502&amp;"'!$B$2")="Credit Limit",
            "Credit Accounts",
            IF(INDIRECT("'"&amp;F1502&amp;"'!$E$2")="Location",
                "Cash Accounts",
                IF(INDIRECT("'"&amp;F1502&amp;"'!$B$2")="Amount",
                    "Investments",
                    "Bill Accounts"
                )
            )
        ),
    "")
)</f>
        <v/>
      </c>
      <c r="I1502" s="46" t="str" cm="1">
        <f t="array" aca="1" ref="I1502" ca="1">IF(F1502&lt;&gt;"",IF(OR(G1502="Bill Accounts",G1502="Investments", G1502="Cash Accounts"),INDIRECT("'"&amp;F1502&amp;"'!$C$10"),INDIRECT("'"&amp;F1502&amp;"'!$C$8")),"")</f>
        <v/>
      </c>
      <c r="K1502" s="48">
        <f t="shared" si="72"/>
        <v>1508</v>
      </c>
      <c r="L1502" s="114" t="str" cm="1">
        <f t="array" aca="1" ref="L1502" ca="1">IF(F1502&lt;&gt;"",INDIRECT("'"&amp;F1502&amp;"'!$F$17"),"")</f>
        <v/>
      </c>
      <c r="M1502" s="116" t="str">
        <f t="shared" ca="1" si="70"/>
        <v/>
      </c>
      <c r="O1502" s="49" t="str">
        <f t="shared" ca="1" si="71"/>
        <v/>
      </c>
      <c r="P1502" s="38" t="str">
        <f>IF(E1502&lt;&gt;"",RANK(E1502,$E$3:$E$2298)+COUNTIF($E$3:E1502,E1502)-1,"")</f>
        <v/>
      </c>
    </row>
    <row r="1503" spans="4:16" x14ac:dyDescent="0.25">
      <c r="D1503" s="36" t="str" cm="1">
        <f t="array" aca="1" ref="D1503" ca="1">IFERROR(IF(INDIRECT("'"&amp;F1503&amp;"'!$C$5")&gt;0,DATE(YEAR(Dashboard!$AL$2),Dashboard!$AU$4,INDIRECT("'"&amp;F1503&amp;"'!$C$5")),""),"")</f>
        <v/>
      </c>
      <c r="G1503" s="38" t="str" cm="1">
        <f t="array" aca="1" ref="G1503" ca="1">IF(F1503="",
    "",
    IFERROR(
        IF(INDIRECT("'"&amp;F1503&amp;"'!$B$2")="Credit Limit",
            "Credit Accounts",
            IF(INDIRECT("'"&amp;F1503&amp;"'!$E$2")="Location",
                "Cash Accounts",
                IF(INDIRECT("'"&amp;F1503&amp;"'!$B$2")="Amount",
                    "Investments",
                    "Bill Accounts"
                )
            )
        ),
    "")
)</f>
        <v/>
      </c>
      <c r="I1503" s="46" t="str" cm="1">
        <f t="array" aca="1" ref="I1503" ca="1">IF(F1503&lt;&gt;"",IF(OR(G1503="Bill Accounts",G1503="Investments", G1503="Cash Accounts"),INDIRECT("'"&amp;F1503&amp;"'!$C$10"),INDIRECT("'"&amp;F1503&amp;"'!$C$8")),"")</f>
        <v/>
      </c>
      <c r="K1503" s="48">
        <f t="shared" si="72"/>
        <v>1509</v>
      </c>
      <c r="L1503" s="114" t="str" cm="1">
        <f t="array" aca="1" ref="L1503" ca="1">IF(F1503&lt;&gt;"",INDIRECT("'"&amp;F1503&amp;"'!$F$17"),"")</f>
        <v/>
      </c>
      <c r="M1503" s="116" t="str">
        <f t="shared" ca="1" si="70"/>
        <v/>
      </c>
      <c r="O1503" s="49" t="str">
        <f t="shared" ca="1" si="71"/>
        <v/>
      </c>
      <c r="P1503" s="38" t="str">
        <f>IF(E1503&lt;&gt;"",RANK(E1503,$E$3:$E$2298)+COUNTIF($E$3:E1503,E1503)-1,"")</f>
        <v/>
      </c>
    </row>
    <row r="1504" spans="4:16" x14ac:dyDescent="0.25">
      <c r="D1504" s="36" t="str" cm="1">
        <f t="array" aca="1" ref="D1504" ca="1">IFERROR(IF(INDIRECT("'"&amp;F1504&amp;"'!$C$5")&gt;0,DATE(YEAR(Dashboard!$AL$2),Dashboard!$AU$4,INDIRECT("'"&amp;F1504&amp;"'!$C$5")),""),"")</f>
        <v/>
      </c>
      <c r="G1504" s="38" t="str" cm="1">
        <f t="array" aca="1" ref="G1504" ca="1">IF(F1504="",
    "",
    IFERROR(
        IF(INDIRECT("'"&amp;F1504&amp;"'!$B$2")="Credit Limit",
            "Credit Accounts",
            IF(INDIRECT("'"&amp;F1504&amp;"'!$E$2")="Location",
                "Cash Accounts",
                IF(INDIRECT("'"&amp;F1504&amp;"'!$B$2")="Amount",
                    "Investments",
                    "Bill Accounts"
                )
            )
        ),
    "")
)</f>
        <v/>
      </c>
      <c r="I1504" s="46" t="str" cm="1">
        <f t="array" aca="1" ref="I1504" ca="1">IF(F1504&lt;&gt;"",IF(OR(G1504="Bill Accounts",G1504="Investments", G1504="Cash Accounts"),INDIRECT("'"&amp;F1504&amp;"'!$C$10"),INDIRECT("'"&amp;F1504&amp;"'!$C$8")),"")</f>
        <v/>
      </c>
      <c r="K1504" s="48">
        <f t="shared" si="72"/>
        <v>1510</v>
      </c>
      <c r="L1504" s="114" t="str" cm="1">
        <f t="array" aca="1" ref="L1504" ca="1">IF(F1504&lt;&gt;"",INDIRECT("'"&amp;F1504&amp;"'!$F$17"),"")</f>
        <v/>
      </c>
      <c r="M1504" s="116" t="str">
        <f t="shared" ca="1" si="70"/>
        <v/>
      </c>
      <c r="O1504" s="49" t="str">
        <f t="shared" ca="1" si="71"/>
        <v/>
      </c>
      <c r="P1504" s="38" t="str">
        <f>IF(E1504&lt;&gt;"",RANK(E1504,$E$3:$E$2298)+COUNTIF($E$3:E1504,E1504)-1,"")</f>
        <v/>
      </c>
    </row>
    <row r="1505" spans="4:16" x14ac:dyDescent="0.25">
      <c r="D1505" s="36" t="str" cm="1">
        <f t="array" aca="1" ref="D1505" ca="1">IFERROR(IF(INDIRECT("'"&amp;F1505&amp;"'!$C$5")&gt;0,DATE(YEAR(Dashboard!$AL$2),Dashboard!$AU$4,INDIRECT("'"&amp;F1505&amp;"'!$C$5")),""),"")</f>
        <v/>
      </c>
      <c r="G1505" s="38" t="str" cm="1">
        <f t="array" aca="1" ref="G1505" ca="1">IF(F1505="",
    "",
    IFERROR(
        IF(INDIRECT("'"&amp;F1505&amp;"'!$B$2")="Credit Limit",
            "Credit Accounts",
            IF(INDIRECT("'"&amp;F1505&amp;"'!$E$2")="Location",
                "Cash Accounts",
                IF(INDIRECT("'"&amp;F1505&amp;"'!$B$2")="Amount",
                    "Investments",
                    "Bill Accounts"
                )
            )
        ),
    "")
)</f>
        <v/>
      </c>
      <c r="I1505" s="46" t="str" cm="1">
        <f t="array" aca="1" ref="I1505" ca="1">IF(F1505&lt;&gt;"",IF(OR(G1505="Bill Accounts",G1505="Investments", G1505="Cash Accounts"),INDIRECT("'"&amp;F1505&amp;"'!$C$10"),INDIRECT("'"&amp;F1505&amp;"'!$C$8")),"")</f>
        <v/>
      </c>
      <c r="K1505" s="48">
        <f t="shared" si="72"/>
        <v>1511</v>
      </c>
      <c r="L1505" s="114" t="str" cm="1">
        <f t="array" aca="1" ref="L1505" ca="1">IF(F1505&lt;&gt;"",INDIRECT("'"&amp;F1505&amp;"'!$F$17"),"")</f>
        <v/>
      </c>
      <c r="M1505" s="116" t="str">
        <f t="shared" ca="1" si="70"/>
        <v/>
      </c>
      <c r="O1505" s="49" t="str">
        <f t="shared" ca="1" si="71"/>
        <v/>
      </c>
      <c r="P1505" s="38" t="str">
        <f>IF(E1505&lt;&gt;"",RANK(E1505,$E$3:$E$2298)+COUNTIF($E$3:E1505,E1505)-1,"")</f>
        <v/>
      </c>
    </row>
    <row r="1506" spans="4:16" x14ac:dyDescent="0.25">
      <c r="D1506" s="36" t="str" cm="1">
        <f t="array" aca="1" ref="D1506" ca="1">IFERROR(IF(INDIRECT("'"&amp;F1506&amp;"'!$C$5")&gt;0,DATE(YEAR(Dashboard!$AL$2),Dashboard!$AU$4,INDIRECT("'"&amp;F1506&amp;"'!$C$5")),""),"")</f>
        <v/>
      </c>
      <c r="G1506" s="38" t="str" cm="1">
        <f t="array" aca="1" ref="G1506" ca="1">IF(F1506="",
    "",
    IFERROR(
        IF(INDIRECT("'"&amp;F1506&amp;"'!$B$2")="Credit Limit",
            "Credit Accounts",
            IF(INDIRECT("'"&amp;F1506&amp;"'!$E$2")="Location",
                "Cash Accounts",
                IF(INDIRECT("'"&amp;F1506&amp;"'!$B$2")="Amount",
                    "Investments",
                    "Bill Accounts"
                )
            )
        ),
    "")
)</f>
        <v/>
      </c>
      <c r="I1506" s="46" t="str" cm="1">
        <f t="array" aca="1" ref="I1506" ca="1">IF(F1506&lt;&gt;"",IF(OR(G1506="Bill Accounts",G1506="Investments", G1506="Cash Accounts"),INDIRECT("'"&amp;F1506&amp;"'!$C$10"),INDIRECT("'"&amp;F1506&amp;"'!$C$8")),"")</f>
        <v/>
      </c>
      <c r="K1506" s="48">
        <f t="shared" si="72"/>
        <v>1512</v>
      </c>
      <c r="L1506" s="114" t="str" cm="1">
        <f t="array" aca="1" ref="L1506" ca="1">IF(F1506&lt;&gt;"",INDIRECT("'"&amp;F1506&amp;"'!$F$17"),"")</f>
        <v/>
      </c>
      <c r="M1506" s="116" t="str">
        <f t="shared" ca="1" si="70"/>
        <v/>
      </c>
      <c r="O1506" s="49" t="str">
        <f t="shared" ca="1" si="71"/>
        <v/>
      </c>
      <c r="P1506" s="38" t="str">
        <f>IF(E1506&lt;&gt;"",RANK(E1506,$E$3:$E$2298)+COUNTIF($E$3:E1506,E1506)-1,"")</f>
        <v/>
      </c>
    </row>
    <row r="1507" spans="4:16" x14ac:dyDescent="0.25">
      <c r="D1507" s="36" t="str" cm="1">
        <f t="array" aca="1" ref="D1507" ca="1">IFERROR(IF(INDIRECT("'"&amp;F1507&amp;"'!$C$5")&gt;0,DATE(YEAR(Dashboard!$AL$2),Dashboard!$AU$4,INDIRECT("'"&amp;F1507&amp;"'!$C$5")),""),"")</f>
        <v/>
      </c>
      <c r="G1507" s="38" t="str" cm="1">
        <f t="array" aca="1" ref="G1507" ca="1">IF(F1507="",
    "",
    IFERROR(
        IF(INDIRECT("'"&amp;F1507&amp;"'!$B$2")="Credit Limit",
            "Credit Accounts",
            IF(INDIRECT("'"&amp;F1507&amp;"'!$E$2")="Location",
                "Cash Accounts",
                IF(INDIRECT("'"&amp;F1507&amp;"'!$B$2")="Amount",
                    "Investments",
                    "Bill Accounts"
                )
            )
        ),
    "")
)</f>
        <v/>
      </c>
      <c r="I1507" s="46" t="str" cm="1">
        <f t="array" aca="1" ref="I1507" ca="1">IF(F1507&lt;&gt;"",IF(OR(G1507="Bill Accounts",G1507="Investments", G1507="Cash Accounts"),INDIRECT("'"&amp;F1507&amp;"'!$C$10"),INDIRECT("'"&amp;F1507&amp;"'!$C$8")),"")</f>
        <v/>
      </c>
      <c r="K1507" s="48">
        <f t="shared" si="72"/>
        <v>1513</v>
      </c>
      <c r="L1507" s="114" t="str" cm="1">
        <f t="array" aca="1" ref="L1507" ca="1">IF(F1507&lt;&gt;"",INDIRECT("'"&amp;F1507&amp;"'!$F$17"),"")</f>
        <v/>
      </c>
      <c r="M1507" s="116" t="str">
        <f t="shared" ca="1" si="70"/>
        <v/>
      </c>
      <c r="O1507" s="49" t="str">
        <f t="shared" ca="1" si="71"/>
        <v/>
      </c>
      <c r="P1507" s="38" t="str">
        <f>IF(E1507&lt;&gt;"",RANK(E1507,$E$3:$E$2298)+COUNTIF($E$3:E1507,E1507)-1,"")</f>
        <v/>
      </c>
    </row>
    <row r="1508" spans="4:16" x14ac:dyDescent="0.25">
      <c r="D1508" s="36" t="str" cm="1">
        <f t="array" aca="1" ref="D1508" ca="1">IFERROR(IF(INDIRECT("'"&amp;F1508&amp;"'!$C$5")&gt;0,DATE(YEAR(Dashboard!$AL$2),Dashboard!$AU$4,INDIRECT("'"&amp;F1508&amp;"'!$C$5")),""),"")</f>
        <v/>
      </c>
      <c r="G1508" s="38" t="str" cm="1">
        <f t="array" aca="1" ref="G1508" ca="1">IF(F1508="",
    "",
    IFERROR(
        IF(INDIRECT("'"&amp;F1508&amp;"'!$B$2")="Credit Limit",
            "Credit Accounts",
            IF(INDIRECT("'"&amp;F1508&amp;"'!$E$2")="Location",
                "Cash Accounts",
                IF(INDIRECT("'"&amp;F1508&amp;"'!$B$2")="Amount",
                    "Investments",
                    "Bill Accounts"
                )
            )
        ),
    "")
)</f>
        <v/>
      </c>
      <c r="I1508" s="46" t="str" cm="1">
        <f t="array" aca="1" ref="I1508" ca="1">IF(F1508&lt;&gt;"",IF(OR(G1508="Bill Accounts",G1508="Investments", G1508="Cash Accounts"),INDIRECT("'"&amp;F1508&amp;"'!$C$10"),INDIRECT("'"&amp;F1508&amp;"'!$C$8")),"")</f>
        <v/>
      </c>
      <c r="K1508" s="48">
        <f t="shared" si="72"/>
        <v>1514</v>
      </c>
      <c r="L1508" s="114" t="str" cm="1">
        <f t="array" aca="1" ref="L1508" ca="1">IF(F1508&lt;&gt;"",INDIRECT("'"&amp;F1508&amp;"'!$F$17"),"")</f>
        <v/>
      </c>
      <c r="M1508" s="116" t="str">
        <f t="shared" ca="1" si="70"/>
        <v/>
      </c>
      <c r="O1508" s="49" t="str">
        <f t="shared" ca="1" si="71"/>
        <v/>
      </c>
      <c r="P1508" s="38" t="str">
        <f>IF(E1508&lt;&gt;"",RANK(E1508,$E$3:$E$2298)+COUNTIF($E$3:E1508,E1508)-1,"")</f>
        <v/>
      </c>
    </row>
    <row r="1509" spans="4:16" x14ac:dyDescent="0.25">
      <c r="D1509" s="36" t="str" cm="1">
        <f t="array" aca="1" ref="D1509" ca="1">IFERROR(IF(INDIRECT("'"&amp;F1509&amp;"'!$C$5")&gt;0,DATE(YEAR(Dashboard!$AL$2),Dashboard!$AU$4,INDIRECT("'"&amp;F1509&amp;"'!$C$5")),""),"")</f>
        <v/>
      </c>
      <c r="G1509" s="38" t="str" cm="1">
        <f t="array" aca="1" ref="G1509" ca="1">IF(F1509="",
    "",
    IFERROR(
        IF(INDIRECT("'"&amp;F1509&amp;"'!$B$2")="Credit Limit",
            "Credit Accounts",
            IF(INDIRECT("'"&amp;F1509&amp;"'!$E$2")="Location",
                "Cash Accounts",
                IF(INDIRECT("'"&amp;F1509&amp;"'!$B$2")="Amount",
                    "Investments",
                    "Bill Accounts"
                )
            )
        ),
    "")
)</f>
        <v/>
      </c>
      <c r="I1509" s="46" t="str" cm="1">
        <f t="array" aca="1" ref="I1509" ca="1">IF(F1509&lt;&gt;"",IF(OR(G1509="Bill Accounts",G1509="Investments", G1509="Cash Accounts"),INDIRECT("'"&amp;F1509&amp;"'!$C$10"),INDIRECT("'"&amp;F1509&amp;"'!$C$8")),"")</f>
        <v/>
      </c>
      <c r="K1509" s="48">
        <f t="shared" si="72"/>
        <v>1515</v>
      </c>
      <c r="L1509" s="114" t="str" cm="1">
        <f t="array" aca="1" ref="L1509" ca="1">IF(F1509&lt;&gt;"",INDIRECT("'"&amp;F1509&amp;"'!$F$17"),"")</f>
        <v/>
      </c>
      <c r="M1509" s="116" t="str">
        <f t="shared" ca="1" si="70"/>
        <v/>
      </c>
      <c r="O1509" s="49" t="str">
        <f t="shared" ca="1" si="71"/>
        <v/>
      </c>
      <c r="P1509" s="38" t="str">
        <f>IF(E1509&lt;&gt;"",RANK(E1509,$E$3:$E$2298)+COUNTIF($E$3:E1509,E1509)-1,"")</f>
        <v/>
      </c>
    </row>
    <row r="1510" spans="4:16" x14ac:dyDescent="0.25">
      <c r="D1510" s="36" t="str" cm="1">
        <f t="array" aca="1" ref="D1510" ca="1">IFERROR(IF(INDIRECT("'"&amp;F1510&amp;"'!$C$5")&gt;0,DATE(YEAR(Dashboard!$AL$2),Dashboard!$AU$4,INDIRECT("'"&amp;F1510&amp;"'!$C$5")),""),"")</f>
        <v/>
      </c>
      <c r="G1510" s="38" t="str" cm="1">
        <f t="array" aca="1" ref="G1510" ca="1">IF(F1510="",
    "",
    IFERROR(
        IF(INDIRECT("'"&amp;F1510&amp;"'!$B$2")="Credit Limit",
            "Credit Accounts",
            IF(INDIRECT("'"&amp;F1510&amp;"'!$E$2")="Location",
                "Cash Accounts",
                IF(INDIRECT("'"&amp;F1510&amp;"'!$B$2")="Amount",
                    "Investments",
                    "Bill Accounts"
                )
            )
        ),
    "")
)</f>
        <v/>
      </c>
      <c r="I1510" s="46" t="str" cm="1">
        <f t="array" aca="1" ref="I1510" ca="1">IF(F1510&lt;&gt;"",IF(OR(G1510="Bill Accounts",G1510="Investments", G1510="Cash Accounts"),INDIRECT("'"&amp;F1510&amp;"'!$C$10"),INDIRECT("'"&amp;F1510&amp;"'!$C$8")),"")</f>
        <v/>
      </c>
      <c r="K1510" s="48">
        <f t="shared" si="72"/>
        <v>1516</v>
      </c>
      <c r="L1510" s="114" t="str" cm="1">
        <f t="array" aca="1" ref="L1510" ca="1">IF(F1510&lt;&gt;"",INDIRECT("'"&amp;F1510&amp;"'!$F$17"),"")</f>
        <v/>
      </c>
      <c r="M1510" s="116" t="str">
        <f t="shared" ca="1" si="70"/>
        <v/>
      </c>
      <c r="O1510" s="49" t="str">
        <f t="shared" ca="1" si="71"/>
        <v/>
      </c>
      <c r="P1510" s="38" t="str">
        <f>IF(E1510&lt;&gt;"",RANK(E1510,$E$3:$E$2298)+COUNTIF($E$3:E1510,E1510)-1,"")</f>
        <v/>
      </c>
    </row>
    <row r="1511" spans="4:16" x14ac:dyDescent="0.25">
      <c r="D1511" s="36" t="str" cm="1">
        <f t="array" aca="1" ref="D1511" ca="1">IFERROR(IF(INDIRECT("'"&amp;F1511&amp;"'!$C$5")&gt;0,DATE(YEAR(Dashboard!$AL$2),Dashboard!$AU$4,INDIRECT("'"&amp;F1511&amp;"'!$C$5")),""),"")</f>
        <v/>
      </c>
      <c r="G1511" s="38" t="str" cm="1">
        <f t="array" aca="1" ref="G1511" ca="1">IF(F1511="",
    "",
    IFERROR(
        IF(INDIRECT("'"&amp;F1511&amp;"'!$B$2")="Credit Limit",
            "Credit Accounts",
            IF(INDIRECT("'"&amp;F1511&amp;"'!$E$2")="Location",
                "Cash Accounts",
                IF(INDIRECT("'"&amp;F1511&amp;"'!$B$2")="Amount",
                    "Investments",
                    "Bill Accounts"
                )
            )
        ),
    "")
)</f>
        <v/>
      </c>
      <c r="I1511" s="46" t="str" cm="1">
        <f t="array" aca="1" ref="I1511" ca="1">IF(F1511&lt;&gt;"",IF(OR(G1511="Bill Accounts",G1511="Investments", G1511="Cash Accounts"),INDIRECT("'"&amp;F1511&amp;"'!$C$10"),INDIRECT("'"&amp;F1511&amp;"'!$C$8")),"")</f>
        <v/>
      </c>
      <c r="K1511" s="48">
        <f t="shared" si="72"/>
        <v>1517</v>
      </c>
      <c r="L1511" s="114" t="str" cm="1">
        <f t="array" aca="1" ref="L1511" ca="1">IF(F1511&lt;&gt;"",INDIRECT("'"&amp;F1511&amp;"'!$F$17"),"")</f>
        <v/>
      </c>
      <c r="M1511" s="116" t="str">
        <f t="shared" ca="1" si="70"/>
        <v/>
      </c>
      <c r="O1511" s="49" t="str">
        <f t="shared" ca="1" si="71"/>
        <v/>
      </c>
      <c r="P1511" s="38" t="str">
        <f>IF(E1511&lt;&gt;"",RANK(E1511,$E$3:$E$2298)+COUNTIF($E$3:E1511,E1511)-1,"")</f>
        <v/>
      </c>
    </row>
    <row r="1512" spans="4:16" x14ac:dyDescent="0.25">
      <c r="D1512" s="36" t="str" cm="1">
        <f t="array" aca="1" ref="D1512" ca="1">IFERROR(IF(INDIRECT("'"&amp;F1512&amp;"'!$C$5")&gt;0,DATE(YEAR(Dashboard!$AL$2),Dashboard!$AU$4,INDIRECT("'"&amp;F1512&amp;"'!$C$5")),""),"")</f>
        <v/>
      </c>
      <c r="G1512" s="38" t="str" cm="1">
        <f t="array" aca="1" ref="G1512" ca="1">IF(F1512="",
    "",
    IFERROR(
        IF(INDIRECT("'"&amp;F1512&amp;"'!$B$2")="Credit Limit",
            "Credit Accounts",
            IF(INDIRECT("'"&amp;F1512&amp;"'!$E$2")="Location",
                "Cash Accounts",
                IF(INDIRECT("'"&amp;F1512&amp;"'!$B$2")="Amount",
                    "Investments",
                    "Bill Accounts"
                )
            )
        ),
    "")
)</f>
        <v/>
      </c>
      <c r="I1512" s="46" t="str" cm="1">
        <f t="array" aca="1" ref="I1512" ca="1">IF(F1512&lt;&gt;"",IF(OR(G1512="Bill Accounts",G1512="Investments", G1512="Cash Accounts"),INDIRECT("'"&amp;F1512&amp;"'!$C$10"),INDIRECT("'"&amp;F1512&amp;"'!$C$8")),"")</f>
        <v/>
      </c>
      <c r="K1512" s="48">
        <f t="shared" si="72"/>
        <v>1518</v>
      </c>
      <c r="L1512" s="114" t="str" cm="1">
        <f t="array" aca="1" ref="L1512" ca="1">IF(F1512&lt;&gt;"",INDIRECT("'"&amp;F1512&amp;"'!$F$17"),"")</f>
        <v/>
      </c>
      <c r="M1512" s="116" t="str">
        <f t="shared" ca="1" si="70"/>
        <v/>
      </c>
      <c r="O1512" s="49" t="str">
        <f t="shared" ca="1" si="71"/>
        <v/>
      </c>
      <c r="P1512" s="38" t="str">
        <f>IF(E1512&lt;&gt;"",RANK(E1512,$E$3:$E$2298)+COUNTIF($E$3:E1512,E1512)-1,"")</f>
        <v/>
      </c>
    </row>
    <row r="1513" spans="4:16" x14ac:dyDescent="0.25">
      <c r="D1513" s="36" t="str" cm="1">
        <f t="array" aca="1" ref="D1513" ca="1">IFERROR(IF(INDIRECT("'"&amp;F1513&amp;"'!$C$5")&gt;0,DATE(YEAR(Dashboard!$AL$2),Dashboard!$AU$4,INDIRECT("'"&amp;F1513&amp;"'!$C$5")),""),"")</f>
        <v/>
      </c>
      <c r="G1513" s="38" t="str" cm="1">
        <f t="array" aca="1" ref="G1513" ca="1">IF(F1513="",
    "",
    IFERROR(
        IF(INDIRECT("'"&amp;F1513&amp;"'!$B$2")="Credit Limit",
            "Credit Accounts",
            IF(INDIRECT("'"&amp;F1513&amp;"'!$E$2")="Location",
                "Cash Accounts",
                IF(INDIRECT("'"&amp;F1513&amp;"'!$B$2")="Amount",
                    "Investments",
                    "Bill Accounts"
                )
            )
        ),
    "")
)</f>
        <v/>
      </c>
      <c r="I1513" s="46" t="str" cm="1">
        <f t="array" aca="1" ref="I1513" ca="1">IF(F1513&lt;&gt;"",IF(OR(G1513="Bill Accounts",G1513="Investments", G1513="Cash Accounts"),INDIRECT("'"&amp;F1513&amp;"'!$C$10"),INDIRECT("'"&amp;F1513&amp;"'!$C$8")),"")</f>
        <v/>
      </c>
      <c r="K1513" s="48">
        <f t="shared" si="72"/>
        <v>1519</v>
      </c>
      <c r="L1513" s="114" t="str" cm="1">
        <f t="array" aca="1" ref="L1513" ca="1">IF(F1513&lt;&gt;"",INDIRECT("'"&amp;F1513&amp;"'!$F$17"),"")</f>
        <v/>
      </c>
      <c r="M1513" s="116" t="str">
        <f t="shared" ca="1" si="70"/>
        <v/>
      </c>
      <c r="O1513" s="49" t="str">
        <f t="shared" ca="1" si="71"/>
        <v/>
      </c>
      <c r="P1513" s="38" t="str">
        <f>IF(E1513&lt;&gt;"",RANK(E1513,$E$3:$E$2298)+COUNTIF($E$3:E1513,E1513)-1,"")</f>
        <v/>
      </c>
    </row>
    <row r="1514" spans="4:16" x14ac:dyDescent="0.25">
      <c r="D1514" s="36" t="str" cm="1">
        <f t="array" aca="1" ref="D1514" ca="1">IFERROR(IF(INDIRECT("'"&amp;F1514&amp;"'!$C$5")&gt;0,DATE(YEAR(Dashboard!$AL$2),Dashboard!$AU$4,INDIRECT("'"&amp;F1514&amp;"'!$C$5")),""),"")</f>
        <v/>
      </c>
      <c r="G1514" s="38" t="str" cm="1">
        <f t="array" aca="1" ref="G1514" ca="1">IF(F1514="",
    "",
    IFERROR(
        IF(INDIRECT("'"&amp;F1514&amp;"'!$B$2")="Credit Limit",
            "Credit Accounts",
            IF(INDIRECT("'"&amp;F1514&amp;"'!$E$2")="Location",
                "Cash Accounts",
                IF(INDIRECT("'"&amp;F1514&amp;"'!$B$2")="Amount",
                    "Investments",
                    "Bill Accounts"
                )
            )
        ),
    "")
)</f>
        <v/>
      </c>
      <c r="I1514" s="46" t="str" cm="1">
        <f t="array" aca="1" ref="I1514" ca="1">IF(F1514&lt;&gt;"",IF(OR(G1514="Bill Accounts",G1514="Investments", G1514="Cash Accounts"),INDIRECT("'"&amp;F1514&amp;"'!$C$10"),INDIRECT("'"&amp;F1514&amp;"'!$C$8")),"")</f>
        <v/>
      </c>
      <c r="K1514" s="48">
        <f t="shared" si="72"/>
        <v>1520</v>
      </c>
      <c r="L1514" s="114" t="str" cm="1">
        <f t="array" aca="1" ref="L1514" ca="1">IF(F1514&lt;&gt;"",INDIRECT("'"&amp;F1514&amp;"'!$F$17"),"")</f>
        <v/>
      </c>
      <c r="M1514" s="116" t="str">
        <f t="shared" ca="1" si="70"/>
        <v/>
      </c>
      <c r="O1514" s="49" t="str">
        <f t="shared" ca="1" si="71"/>
        <v/>
      </c>
      <c r="P1514" s="38" t="str">
        <f>IF(E1514&lt;&gt;"",RANK(E1514,$E$3:$E$2298)+COUNTIF($E$3:E1514,E1514)-1,"")</f>
        <v/>
      </c>
    </row>
    <row r="1515" spans="4:16" x14ac:dyDescent="0.25">
      <c r="D1515" s="36" t="str" cm="1">
        <f t="array" aca="1" ref="D1515" ca="1">IFERROR(IF(INDIRECT("'"&amp;F1515&amp;"'!$C$5")&gt;0,DATE(YEAR(Dashboard!$AL$2),Dashboard!$AU$4,INDIRECT("'"&amp;F1515&amp;"'!$C$5")),""),"")</f>
        <v/>
      </c>
      <c r="G1515" s="38" t="str" cm="1">
        <f t="array" aca="1" ref="G1515" ca="1">IF(F1515="",
    "",
    IFERROR(
        IF(INDIRECT("'"&amp;F1515&amp;"'!$B$2")="Credit Limit",
            "Credit Accounts",
            IF(INDIRECT("'"&amp;F1515&amp;"'!$E$2")="Location",
                "Cash Accounts",
                IF(INDIRECT("'"&amp;F1515&amp;"'!$B$2")="Amount",
                    "Investments",
                    "Bill Accounts"
                )
            )
        ),
    "")
)</f>
        <v/>
      </c>
      <c r="I1515" s="46" t="str" cm="1">
        <f t="array" aca="1" ref="I1515" ca="1">IF(F1515&lt;&gt;"",IF(OR(G1515="Bill Accounts",G1515="Investments", G1515="Cash Accounts"),INDIRECT("'"&amp;F1515&amp;"'!$C$10"),INDIRECT("'"&amp;F1515&amp;"'!$C$8")),"")</f>
        <v/>
      </c>
      <c r="K1515" s="48">
        <f t="shared" si="72"/>
        <v>1521</v>
      </c>
      <c r="L1515" s="114" t="str" cm="1">
        <f t="array" aca="1" ref="L1515" ca="1">IF(F1515&lt;&gt;"",INDIRECT("'"&amp;F1515&amp;"'!$F$17"),"")</f>
        <v/>
      </c>
      <c r="M1515" s="116" t="str">
        <f t="shared" ca="1" si="70"/>
        <v/>
      </c>
      <c r="O1515" s="49" t="str">
        <f t="shared" ca="1" si="71"/>
        <v/>
      </c>
      <c r="P1515" s="38" t="str">
        <f>IF(E1515&lt;&gt;"",RANK(E1515,$E$3:$E$2298)+COUNTIF($E$3:E1515,E1515)-1,"")</f>
        <v/>
      </c>
    </row>
    <row r="1516" spans="4:16" x14ac:dyDescent="0.25">
      <c r="D1516" s="36" t="str" cm="1">
        <f t="array" aca="1" ref="D1516" ca="1">IFERROR(IF(INDIRECT("'"&amp;F1516&amp;"'!$C$5")&gt;0,DATE(YEAR(Dashboard!$AL$2),Dashboard!$AU$4,INDIRECT("'"&amp;F1516&amp;"'!$C$5")),""),"")</f>
        <v/>
      </c>
      <c r="G1516" s="38" t="str" cm="1">
        <f t="array" aca="1" ref="G1516" ca="1">IF(F1516="",
    "",
    IFERROR(
        IF(INDIRECT("'"&amp;F1516&amp;"'!$B$2")="Credit Limit",
            "Credit Accounts",
            IF(INDIRECT("'"&amp;F1516&amp;"'!$E$2")="Location",
                "Cash Accounts",
                IF(INDIRECT("'"&amp;F1516&amp;"'!$B$2")="Amount",
                    "Investments",
                    "Bill Accounts"
                )
            )
        ),
    "")
)</f>
        <v/>
      </c>
      <c r="I1516" s="46" t="str" cm="1">
        <f t="array" aca="1" ref="I1516" ca="1">IF(F1516&lt;&gt;"",IF(OR(G1516="Bill Accounts",G1516="Investments", G1516="Cash Accounts"),INDIRECT("'"&amp;F1516&amp;"'!$C$10"),INDIRECT("'"&amp;F1516&amp;"'!$C$8")),"")</f>
        <v/>
      </c>
      <c r="K1516" s="48">
        <f t="shared" si="72"/>
        <v>1522</v>
      </c>
      <c r="L1516" s="114" t="str" cm="1">
        <f t="array" aca="1" ref="L1516" ca="1">IF(F1516&lt;&gt;"",INDIRECT("'"&amp;F1516&amp;"'!$F$17"),"")</f>
        <v/>
      </c>
      <c r="M1516" s="116" t="str">
        <f t="shared" ca="1" si="70"/>
        <v/>
      </c>
      <c r="O1516" s="49" t="str">
        <f t="shared" ca="1" si="71"/>
        <v/>
      </c>
      <c r="P1516" s="38" t="str">
        <f>IF(E1516&lt;&gt;"",RANK(E1516,$E$3:$E$2298)+COUNTIF($E$3:E1516,E1516)-1,"")</f>
        <v/>
      </c>
    </row>
    <row r="1517" spans="4:16" x14ac:dyDescent="0.25">
      <c r="D1517" s="36" t="str" cm="1">
        <f t="array" aca="1" ref="D1517" ca="1">IFERROR(IF(INDIRECT("'"&amp;F1517&amp;"'!$C$5")&gt;0,DATE(YEAR(Dashboard!$AL$2),Dashboard!$AU$4,INDIRECT("'"&amp;F1517&amp;"'!$C$5")),""),"")</f>
        <v/>
      </c>
      <c r="G1517" s="38" t="str" cm="1">
        <f t="array" aca="1" ref="G1517" ca="1">IF(F1517="",
    "",
    IFERROR(
        IF(INDIRECT("'"&amp;F1517&amp;"'!$B$2")="Credit Limit",
            "Credit Accounts",
            IF(INDIRECT("'"&amp;F1517&amp;"'!$E$2")="Location",
                "Cash Accounts",
                IF(INDIRECT("'"&amp;F1517&amp;"'!$B$2")="Amount",
                    "Investments",
                    "Bill Accounts"
                )
            )
        ),
    "")
)</f>
        <v/>
      </c>
      <c r="I1517" s="46" t="str" cm="1">
        <f t="array" aca="1" ref="I1517" ca="1">IF(F1517&lt;&gt;"",IF(OR(G1517="Bill Accounts",G1517="Investments", G1517="Cash Accounts"),INDIRECT("'"&amp;F1517&amp;"'!$C$10"),INDIRECT("'"&amp;F1517&amp;"'!$C$8")),"")</f>
        <v/>
      </c>
      <c r="K1517" s="48">
        <f t="shared" si="72"/>
        <v>1523</v>
      </c>
      <c r="L1517" s="114" t="str" cm="1">
        <f t="array" aca="1" ref="L1517" ca="1">IF(F1517&lt;&gt;"",INDIRECT("'"&amp;F1517&amp;"'!$F$17"),"")</f>
        <v/>
      </c>
      <c r="M1517" s="116" t="str">
        <f t="shared" ca="1" si="70"/>
        <v/>
      </c>
      <c r="O1517" s="49" t="str">
        <f t="shared" ca="1" si="71"/>
        <v/>
      </c>
      <c r="P1517" s="38" t="str">
        <f>IF(E1517&lt;&gt;"",RANK(E1517,$E$3:$E$2298)+COUNTIF($E$3:E1517,E1517)-1,"")</f>
        <v/>
      </c>
    </row>
    <row r="1518" spans="4:16" x14ac:dyDescent="0.25">
      <c r="D1518" s="36" t="str" cm="1">
        <f t="array" aca="1" ref="D1518" ca="1">IFERROR(IF(INDIRECT("'"&amp;F1518&amp;"'!$C$5")&gt;0,DATE(YEAR(Dashboard!$AL$2),Dashboard!$AU$4,INDIRECT("'"&amp;F1518&amp;"'!$C$5")),""),"")</f>
        <v/>
      </c>
      <c r="G1518" s="38" t="str" cm="1">
        <f t="array" aca="1" ref="G1518" ca="1">IF(F1518="",
    "",
    IFERROR(
        IF(INDIRECT("'"&amp;F1518&amp;"'!$B$2")="Credit Limit",
            "Credit Accounts",
            IF(INDIRECT("'"&amp;F1518&amp;"'!$E$2")="Location",
                "Cash Accounts",
                IF(INDIRECT("'"&amp;F1518&amp;"'!$B$2")="Amount",
                    "Investments",
                    "Bill Accounts"
                )
            )
        ),
    "")
)</f>
        <v/>
      </c>
      <c r="I1518" s="46" t="str" cm="1">
        <f t="array" aca="1" ref="I1518" ca="1">IF(F1518&lt;&gt;"",IF(OR(G1518="Bill Accounts",G1518="Investments", G1518="Cash Accounts"),INDIRECT("'"&amp;F1518&amp;"'!$C$10"),INDIRECT("'"&amp;F1518&amp;"'!$C$8")),"")</f>
        <v/>
      </c>
      <c r="K1518" s="48">
        <f t="shared" si="72"/>
        <v>1524</v>
      </c>
      <c r="L1518" s="114" t="str" cm="1">
        <f t="array" aca="1" ref="L1518" ca="1">IF(F1518&lt;&gt;"",INDIRECT("'"&amp;F1518&amp;"'!$F$17"),"")</f>
        <v/>
      </c>
      <c r="M1518" s="116" t="str">
        <f t="shared" ca="1" si="70"/>
        <v/>
      </c>
      <c r="O1518" s="49" t="str">
        <f t="shared" ca="1" si="71"/>
        <v/>
      </c>
      <c r="P1518" s="38" t="str">
        <f>IF(E1518&lt;&gt;"",RANK(E1518,$E$3:$E$2298)+COUNTIF($E$3:E1518,E1518)-1,"")</f>
        <v/>
      </c>
    </row>
    <row r="1519" spans="4:16" x14ac:dyDescent="0.25">
      <c r="D1519" s="36" t="str" cm="1">
        <f t="array" aca="1" ref="D1519" ca="1">IFERROR(IF(INDIRECT("'"&amp;F1519&amp;"'!$C$5")&gt;0,DATE(YEAR(Dashboard!$AL$2),Dashboard!$AU$4,INDIRECT("'"&amp;F1519&amp;"'!$C$5")),""),"")</f>
        <v/>
      </c>
      <c r="G1519" s="38" t="str" cm="1">
        <f t="array" aca="1" ref="G1519" ca="1">IF(F1519="",
    "",
    IFERROR(
        IF(INDIRECT("'"&amp;F1519&amp;"'!$B$2")="Credit Limit",
            "Credit Accounts",
            IF(INDIRECT("'"&amp;F1519&amp;"'!$E$2")="Location",
                "Cash Accounts",
                IF(INDIRECT("'"&amp;F1519&amp;"'!$B$2")="Amount",
                    "Investments",
                    "Bill Accounts"
                )
            )
        ),
    "")
)</f>
        <v/>
      </c>
      <c r="I1519" s="46" t="str" cm="1">
        <f t="array" aca="1" ref="I1519" ca="1">IF(F1519&lt;&gt;"",IF(OR(G1519="Bill Accounts",G1519="Investments", G1519="Cash Accounts"),INDIRECT("'"&amp;F1519&amp;"'!$C$10"),INDIRECT("'"&amp;F1519&amp;"'!$C$8")),"")</f>
        <v/>
      </c>
      <c r="K1519" s="48">
        <f t="shared" si="72"/>
        <v>1525</v>
      </c>
      <c r="L1519" s="114" t="str" cm="1">
        <f t="array" aca="1" ref="L1519" ca="1">IF(F1519&lt;&gt;"",INDIRECT("'"&amp;F1519&amp;"'!$F$17"),"")</f>
        <v/>
      </c>
      <c r="M1519" s="116" t="str">
        <f t="shared" ca="1" si="70"/>
        <v/>
      </c>
      <c r="O1519" s="49" t="str">
        <f t="shared" ca="1" si="71"/>
        <v/>
      </c>
      <c r="P1519" s="38" t="str">
        <f>IF(E1519&lt;&gt;"",RANK(E1519,$E$3:$E$2298)+COUNTIF($E$3:E1519,E1519)-1,"")</f>
        <v/>
      </c>
    </row>
    <row r="1520" spans="4:16" x14ac:dyDescent="0.25">
      <c r="D1520" s="36" t="str" cm="1">
        <f t="array" aca="1" ref="D1520" ca="1">IFERROR(IF(INDIRECT("'"&amp;F1520&amp;"'!$C$5")&gt;0,DATE(YEAR(Dashboard!$AL$2),Dashboard!$AU$4,INDIRECT("'"&amp;F1520&amp;"'!$C$5")),""),"")</f>
        <v/>
      </c>
      <c r="G1520" s="38" t="str" cm="1">
        <f t="array" aca="1" ref="G1520" ca="1">IF(F1520="",
    "",
    IFERROR(
        IF(INDIRECT("'"&amp;F1520&amp;"'!$B$2")="Credit Limit",
            "Credit Accounts",
            IF(INDIRECT("'"&amp;F1520&amp;"'!$E$2")="Location",
                "Cash Accounts",
                IF(INDIRECT("'"&amp;F1520&amp;"'!$B$2")="Amount",
                    "Investments",
                    "Bill Accounts"
                )
            )
        ),
    "")
)</f>
        <v/>
      </c>
      <c r="I1520" s="46" t="str" cm="1">
        <f t="array" aca="1" ref="I1520" ca="1">IF(F1520&lt;&gt;"",IF(OR(G1520="Bill Accounts",G1520="Investments", G1520="Cash Accounts"),INDIRECT("'"&amp;F1520&amp;"'!$C$10"),INDIRECT("'"&amp;F1520&amp;"'!$C$8")),"")</f>
        <v/>
      </c>
      <c r="K1520" s="48">
        <f t="shared" si="72"/>
        <v>1526</v>
      </c>
      <c r="L1520" s="114" t="str" cm="1">
        <f t="array" aca="1" ref="L1520" ca="1">IF(F1520&lt;&gt;"",INDIRECT("'"&amp;F1520&amp;"'!$F$17"),"")</f>
        <v/>
      </c>
      <c r="M1520" s="116" t="str">
        <f t="shared" ca="1" si="70"/>
        <v/>
      </c>
      <c r="O1520" s="49" t="str">
        <f t="shared" ca="1" si="71"/>
        <v/>
      </c>
      <c r="P1520" s="38" t="str">
        <f>IF(E1520&lt;&gt;"",RANK(E1520,$E$3:$E$2298)+COUNTIF($E$3:E1520,E1520)-1,"")</f>
        <v/>
      </c>
    </row>
    <row r="1521" spans="4:16" x14ac:dyDescent="0.25">
      <c r="D1521" s="36" t="str" cm="1">
        <f t="array" aca="1" ref="D1521" ca="1">IFERROR(IF(INDIRECT("'"&amp;F1521&amp;"'!$C$5")&gt;0,DATE(YEAR(Dashboard!$AL$2),Dashboard!$AU$4,INDIRECT("'"&amp;F1521&amp;"'!$C$5")),""),"")</f>
        <v/>
      </c>
      <c r="G1521" s="38" t="str" cm="1">
        <f t="array" aca="1" ref="G1521" ca="1">IF(F1521="",
    "",
    IFERROR(
        IF(INDIRECT("'"&amp;F1521&amp;"'!$B$2")="Credit Limit",
            "Credit Accounts",
            IF(INDIRECT("'"&amp;F1521&amp;"'!$E$2")="Location",
                "Cash Accounts",
                IF(INDIRECT("'"&amp;F1521&amp;"'!$B$2")="Amount",
                    "Investments",
                    "Bill Accounts"
                )
            )
        ),
    "")
)</f>
        <v/>
      </c>
      <c r="I1521" s="46" t="str" cm="1">
        <f t="array" aca="1" ref="I1521" ca="1">IF(F1521&lt;&gt;"",IF(OR(G1521="Bill Accounts",G1521="Investments", G1521="Cash Accounts"),INDIRECT("'"&amp;F1521&amp;"'!$C$10"),INDIRECT("'"&amp;F1521&amp;"'!$C$8")),"")</f>
        <v/>
      </c>
      <c r="K1521" s="48">
        <f t="shared" si="72"/>
        <v>1527</v>
      </c>
      <c r="L1521" s="114" t="str" cm="1">
        <f t="array" aca="1" ref="L1521" ca="1">IF(F1521&lt;&gt;"",INDIRECT("'"&amp;F1521&amp;"'!$F$17"),"")</f>
        <v/>
      </c>
      <c r="M1521" s="116" t="str">
        <f t="shared" ca="1" si="70"/>
        <v/>
      </c>
      <c r="O1521" s="49" t="str">
        <f t="shared" ca="1" si="71"/>
        <v/>
      </c>
      <c r="P1521" s="38" t="str">
        <f>IF(E1521&lt;&gt;"",RANK(E1521,$E$3:$E$2298)+COUNTIF($E$3:E1521,E1521)-1,"")</f>
        <v/>
      </c>
    </row>
    <row r="1522" spans="4:16" x14ac:dyDescent="0.25">
      <c r="D1522" s="36" t="str" cm="1">
        <f t="array" aca="1" ref="D1522" ca="1">IFERROR(IF(INDIRECT("'"&amp;F1522&amp;"'!$C$5")&gt;0,DATE(YEAR(Dashboard!$AL$2),Dashboard!$AU$4,INDIRECT("'"&amp;F1522&amp;"'!$C$5")),""),"")</f>
        <v/>
      </c>
      <c r="G1522" s="38" t="str" cm="1">
        <f t="array" aca="1" ref="G1522" ca="1">IF(F1522="",
    "",
    IFERROR(
        IF(INDIRECT("'"&amp;F1522&amp;"'!$B$2")="Credit Limit",
            "Credit Accounts",
            IF(INDIRECT("'"&amp;F1522&amp;"'!$E$2")="Location",
                "Cash Accounts",
                IF(INDIRECT("'"&amp;F1522&amp;"'!$B$2")="Amount",
                    "Investments",
                    "Bill Accounts"
                )
            )
        ),
    "")
)</f>
        <v/>
      </c>
      <c r="I1522" s="46" t="str" cm="1">
        <f t="array" aca="1" ref="I1522" ca="1">IF(F1522&lt;&gt;"",IF(OR(G1522="Bill Accounts",G1522="Investments", G1522="Cash Accounts"),INDIRECT("'"&amp;F1522&amp;"'!$C$10"),INDIRECT("'"&amp;F1522&amp;"'!$C$8")),"")</f>
        <v/>
      </c>
      <c r="K1522" s="48">
        <f t="shared" si="72"/>
        <v>1528</v>
      </c>
      <c r="L1522" s="114" t="str" cm="1">
        <f t="array" aca="1" ref="L1522" ca="1">IF(F1522&lt;&gt;"",INDIRECT("'"&amp;F1522&amp;"'!$F$17"),"")</f>
        <v/>
      </c>
      <c r="M1522" s="116" t="str">
        <f t="shared" ca="1" si="70"/>
        <v/>
      </c>
      <c r="O1522" s="49" t="str">
        <f t="shared" ca="1" si="71"/>
        <v/>
      </c>
      <c r="P1522" s="38" t="str">
        <f>IF(E1522&lt;&gt;"",RANK(E1522,$E$3:$E$2298)+COUNTIF($E$3:E1522,E1522)-1,"")</f>
        <v/>
      </c>
    </row>
    <row r="1523" spans="4:16" x14ac:dyDescent="0.25">
      <c r="D1523" s="36" t="str" cm="1">
        <f t="array" aca="1" ref="D1523" ca="1">IFERROR(IF(INDIRECT("'"&amp;F1523&amp;"'!$C$5")&gt;0,DATE(YEAR(Dashboard!$AL$2),Dashboard!$AU$4,INDIRECT("'"&amp;F1523&amp;"'!$C$5")),""),"")</f>
        <v/>
      </c>
      <c r="G1523" s="38" t="str" cm="1">
        <f t="array" aca="1" ref="G1523" ca="1">IF(F1523="",
    "",
    IFERROR(
        IF(INDIRECT("'"&amp;F1523&amp;"'!$B$2")="Credit Limit",
            "Credit Accounts",
            IF(INDIRECT("'"&amp;F1523&amp;"'!$E$2")="Location",
                "Cash Accounts",
                IF(INDIRECT("'"&amp;F1523&amp;"'!$B$2")="Amount",
                    "Investments",
                    "Bill Accounts"
                )
            )
        ),
    "")
)</f>
        <v/>
      </c>
      <c r="I1523" s="46" t="str" cm="1">
        <f t="array" aca="1" ref="I1523" ca="1">IF(F1523&lt;&gt;"",IF(OR(G1523="Bill Accounts",G1523="Investments", G1523="Cash Accounts"),INDIRECT("'"&amp;F1523&amp;"'!$C$10"),INDIRECT("'"&amp;F1523&amp;"'!$C$8")),"")</f>
        <v/>
      </c>
      <c r="K1523" s="48">
        <f t="shared" si="72"/>
        <v>1529</v>
      </c>
      <c r="L1523" s="114" t="str" cm="1">
        <f t="array" aca="1" ref="L1523" ca="1">IF(F1523&lt;&gt;"",INDIRECT("'"&amp;F1523&amp;"'!$F$17"),"")</f>
        <v/>
      </c>
      <c r="M1523" s="116" t="str">
        <f t="shared" ca="1" si="70"/>
        <v/>
      </c>
      <c r="O1523" s="49" t="str">
        <f t="shared" ca="1" si="71"/>
        <v/>
      </c>
      <c r="P1523" s="38" t="str">
        <f>IF(E1523&lt;&gt;"",RANK(E1523,$E$3:$E$2298)+COUNTIF($E$3:E1523,E1523)-1,"")</f>
        <v/>
      </c>
    </row>
    <row r="1524" spans="4:16" x14ac:dyDescent="0.25">
      <c r="D1524" s="36" t="str" cm="1">
        <f t="array" aca="1" ref="D1524" ca="1">IFERROR(IF(INDIRECT("'"&amp;F1524&amp;"'!$C$5")&gt;0,DATE(YEAR(Dashboard!$AL$2),Dashboard!$AU$4,INDIRECT("'"&amp;F1524&amp;"'!$C$5")),""),"")</f>
        <v/>
      </c>
      <c r="G1524" s="38" t="str" cm="1">
        <f t="array" aca="1" ref="G1524" ca="1">IF(F1524="",
    "",
    IFERROR(
        IF(INDIRECT("'"&amp;F1524&amp;"'!$B$2")="Credit Limit",
            "Credit Accounts",
            IF(INDIRECT("'"&amp;F1524&amp;"'!$E$2")="Location",
                "Cash Accounts",
                IF(INDIRECT("'"&amp;F1524&amp;"'!$B$2")="Amount",
                    "Investments",
                    "Bill Accounts"
                )
            )
        ),
    "")
)</f>
        <v/>
      </c>
      <c r="I1524" s="46" t="str" cm="1">
        <f t="array" aca="1" ref="I1524" ca="1">IF(F1524&lt;&gt;"",IF(OR(G1524="Bill Accounts",G1524="Investments", G1524="Cash Accounts"),INDIRECT("'"&amp;F1524&amp;"'!$C$10"),INDIRECT("'"&amp;F1524&amp;"'!$C$8")),"")</f>
        <v/>
      </c>
      <c r="K1524" s="48">
        <f t="shared" si="72"/>
        <v>1530</v>
      </c>
      <c r="L1524" s="114" t="str" cm="1">
        <f t="array" aca="1" ref="L1524" ca="1">IF(F1524&lt;&gt;"",INDIRECT("'"&amp;F1524&amp;"'!$F$17"),"")</f>
        <v/>
      </c>
      <c r="M1524" s="116" t="str">
        <f t="shared" ca="1" si="70"/>
        <v/>
      </c>
      <c r="O1524" s="49" t="str">
        <f t="shared" ca="1" si="71"/>
        <v/>
      </c>
      <c r="P1524" s="38" t="str">
        <f>IF(E1524&lt;&gt;"",RANK(E1524,$E$3:$E$2298)+COUNTIF($E$3:E1524,E1524)-1,"")</f>
        <v/>
      </c>
    </row>
    <row r="1525" spans="4:16" x14ac:dyDescent="0.25">
      <c r="D1525" s="36" t="str" cm="1">
        <f t="array" aca="1" ref="D1525" ca="1">IFERROR(IF(INDIRECT("'"&amp;F1525&amp;"'!$C$5")&gt;0,DATE(YEAR(Dashboard!$AL$2),Dashboard!$AU$4,INDIRECT("'"&amp;F1525&amp;"'!$C$5")),""),"")</f>
        <v/>
      </c>
      <c r="G1525" s="38" t="str" cm="1">
        <f t="array" aca="1" ref="G1525" ca="1">IF(F1525="",
    "",
    IFERROR(
        IF(INDIRECT("'"&amp;F1525&amp;"'!$B$2")="Credit Limit",
            "Credit Accounts",
            IF(INDIRECT("'"&amp;F1525&amp;"'!$E$2")="Location",
                "Cash Accounts",
                IF(INDIRECT("'"&amp;F1525&amp;"'!$B$2")="Amount",
                    "Investments",
                    "Bill Accounts"
                )
            )
        ),
    "")
)</f>
        <v/>
      </c>
      <c r="I1525" s="46" t="str" cm="1">
        <f t="array" aca="1" ref="I1525" ca="1">IF(F1525&lt;&gt;"",IF(OR(G1525="Bill Accounts",G1525="Investments", G1525="Cash Accounts"),INDIRECT("'"&amp;F1525&amp;"'!$C$10"),INDIRECT("'"&amp;F1525&amp;"'!$C$8")),"")</f>
        <v/>
      </c>
      <c r="K1525" s="48">
        <f t="shared" si="72"/>
        <v>1531</v>
      </c>
      <c r="L1525" s="114" t="str" cm="1">
        <f t="array" aca="1" ref="L1525" ca="1">IF(F1525&lt;&gt;"",INDIRECT("'"&amp;F1525&amp;"'!$F$17"),"")</f>
        <v/>
      </c>
      <c r="M1525" s="116" t="str">
        <f t="shared" ca="1" si="70"/>
        <v/>
      </c>
      <c r="O1525" s="49" t="str">
        <f t="shared" ca="1" si="71"/>
        <v/>
      </c>
      <c r="P1525" s="38" t="str">
        <f>IF(E1525&lt;&gt;"",RANK(E1525,$E$3:$E$2298)+COUNTIF($E$3:E1525,E1525)-1,"")</f>
        <v/>
      </c>
    </row>
    <row r="1526" spans="4:16" x14ac:dyDescent="0.25">
      <c r="D1526" s="36" t="str" cm="1">
        <f t="array" aca="1" ref="D1526" ca="1">IFERROR(IF(INDIRECT("'"&amp;F1526&amp;"'!$C$5")&gt;0,DATE(YEAR(Dashboard!$AL$2),Dashboard!$AU$4,INDIRECT("'"&amp;F1526&amp;"'!$C$5")),""),"")</f>
        <v/>
      </c>
      <c r="G1526" s="38" t="str" cm="1">
        <f t="array" aca="1" ref="G1526" ca="1">IF(F1526="",
    "",
    IFERROR(
        IF(INDIRECT("'"&amp;F1526&amp;"'!$B$2")="Credit Limit",
            "Credit Accounts",
            IF(INDIRECT("'"&amp;F1526&amp;"'!$E$2")="Location",
                "Cash Accounts",
                IF(INDIRECT("'"&amp;F1526&amp;"'!$B$2")="Amount",
                    "Investments",
                    "Bill Accounts"
                )
            )
        ),
    "")
)</f>
        <v/>
      </c>
      <c r="I1526" s="46" t="str" cm="1">
        <f t="array" aca="1" ref="I1526" ca="1">IF(F1526&lt;&gt;"",IF(OR(G1526="Bill Accounts",G1526="Investments", G1526="Cash Accounts"),INDIRECT("'"&amp;F1526&amp;"'!$C$10"),INDIRECT("'"&amp;F1526&amp;"'!$C$8")),"")</f>
        <v/>
      </c>
      <c r="K1526" s="48">
        <f t="shared" si="72"/>
        <v>1532</v>
      </c>
      <c r="L1526" s="114" t="str" cm="1">
        <f t="array" aca="1" ref="L1526" ca="1">IF(F1526&lt;&gt;"",INDIRECT("'"&amp;F1526&amp;"'!$F$17"),"")</f>
        <v/>
      </c>
      <c r="M1526" s="116" t="str">
        <f t="shared" ca="1" si="70"/>
        <v/>
      </c>
      <c r="O1526" s="49" t="str">
        <f t="shared" ca="1" si="71"/>
        <v/>
      </c>
      <c r="P1526" s="38" t="str">
        <f>IF(E1526&lt;&gt;"",RANK(E1526,$E$3:$E$2298)+COUNTIF($E$3:E1526,E1526)-1,"")</f>
        <v/>
      </c>
    </row>
    <row r="1527" spans="4:16" x14ac:dyDescent="0.25">
      <c r="D1527" s="36" t="str" cm="1">
        <f t="array" aca="1" ref="D1527" ca="1">IFERROR(IF(INDIRECT("'"&amp;F1527&amp;"'!$C$5")&gt;0,DATE(YEAR(Dashboard!$AL$2),Dashboard!$AU$4,INDIRECT("'"&amp;F1527&amp;"'!$C$5")),""),"")</f>
        <v/>
      </c>
      <c r="G1527" s="38" t="str" cm="1">
        <f t="array" aca="1" ref="G1527" ca="1">IF(F1527="",
    "",
    IFERROR(
        IF(INDIRECT("'"&amp;F1527&amp;"'!$B$2")="Credit Limit",
            "Credit Accounts",
            IF(INDIRECT("'"&amp;F1527&amp;"'!$E$2")="Location",
                "Cash Accounts",
                IF(INDIRECT("'"&amp;F1527&amp;"'!$B$2")="Amount",
                    "Investments",
                    "Bill Accounts"
                )
            )
        ),
    "")
)</f>
        <v/>
      </c>
      <c r="I1527" s="46" t="str" cm="1">
        <f t="array" aca="1" ref="I1527" ca="1">IF(F1527&lt;&gt;"",IF(OR(G1527="Bill Accounts",G1527="Investments", G1527="Cash Accounts"),INDIRECT("'"&amp;F1527&amp;"'!$C$10"),INDIRECT("'"&amp;F1527&amp;"'!$C$8")),"")</f>
        <v/>
      </c>
      <c r="K1527" s="48">
        <f t="shared" si="72"/>
        <v>1533</v>
      </c>
      <c r="L1527" s="114" t="str" cm="1">
        <f t="array" aca="1" ref="L1527" ca="1">IF(F1527&lt;&gt;"",INDIRECT("'"&amp;F1527&amp;"'!$F$17"),"")</f>
        <v/>
      </c>
      <c r="M1527" s="116" t="str">
        <f t="shared" ca="1" si="70"/>
        <v/>
      </c>
      <c r="O1527" s="49" t="str">
        <f t="shared" ca="1" si="71"/>
        <v/>
      </c>
      <c r="P1527" s="38" t="str">
        <f>IF(E1527&lt;&gt;"",RANK(E1527,$E$3:$E$2298)+COUNTIF($E$3:E1527,E1527)-1,"")</f>
        <v/>
      </c>
    </row>
    <row r="1528" spans="4:16" x14ac:dyDescent="0.25">
      <c r="D1528" s="36" t="str" cm="1">
        <f t="array" aca="1" ref="D1528" ca="1">IFERROR(IF(INDIRECT("'"&amp;F1528&amp;"'!$C$5")&gt;0,DATE(YEAR(Dashboard!$AL$2),Dashboard!$AU$4,INDIRECT("'"&amp;F1528&amp;"'!$C$5")),""),"")</f>
        <v/>
      </c>
      <c r="G1528" s="38" t="str" cm="1">
        <f t="array" aca="1" ref="G1528" ca="1">IF(F1528="",
    "",
    IFERROR(
        IF(INDIRECT("'"&amp;F1528&amp;"'!$B$2")="Credit Limit",
            "Credit Accounts",
            IF(INDIRECT("'"&amp;F1528&amp;"'!$E$2")="Location",
                "Cash Accounts",
                IF(INDIRECT("'"&amp;F1528&amp;"'!$B$2")="Amount",
                    "Investments",
                    "Bill Accounts"
                )
            )
        ),
    "")
)</f>
        <v/>
      </c>
      <c r="I1528" s="46" t="str" cm="1">
        <f t="array" aca="1" ref="I1528" ca="1">IF(F1528&lt;&gt;"",IF(OR(G1528="Bill Accounts",G1528="Investments", G1528="Cash Accounts"),INDIRECT("'"&amp;F1528&amp;"'!$C$10"),INDIRECT("'"&amp;F1528&amp;"'!$C$8")),"")</f>
        <v/>
      </c>
      <c r="K1528" s="48">
        <f t="shared" si="72"/>
        <v>1534</v>
      </c>
      <c r="L1528" s="114" t="str" cm="1">
        <f t="array" aca="1" ref="L1528" ca="1">IF(F1528&lt;&gt;"",INDIRECT("'"&amp;F1528&amp;"'!$F$17"),"")</f>
        <v/>
      </c>
      <c r="M1528" s="116" t="str">
        <f t="shared" ca="1" si="70"/>
        <v/>
      </c>
      <c r="O1528" s="49" t="str">
        <f t="shared" ca="1" si="71"/>
        <v/>
      </c>
      <c r="P1528" s="38" t="str">
        <f>IF(E1528&lt;&gt;"",RANK(E1528,$E$3:$E$2298)+COUNTIF($E$3:E1528,E1528)-1,"")</f>
        <v/>
      </c>
    </row>
    <row r="1529" spans="4:16" x14ac:dyDescent="0.25">
      <c r="D1529" s="36" t="str" cm="1">
        <f t="array" aca="1" ref="D1529" ca="1">IFERROR(IF(INDIRECT("'"&amp;F1529&amp;"'!$C$5")&gt;0,DATE(YEAR(Dashboard!$AL$2),Dashboard!$AU$4,INDIRECT("'"&amp;F1529&amp;"'!$C$5")),""),"")</f>
        <v/>
      </c>
      <c r="G1529" s="38" t="str" cm="1">
        <f t="array" aca="1" ref="G1529" ca="1">IF(F1529="",
    "",
    IFERROR(
        IF(INDIRECT("'"&amp;F1529&amp;"'!$B$2")="Credit Limit",
            "Credit Accounts",
            IF(INDIRECT("'"&amp;F1529&amp;"'!$E$2")="Location",
                "Cash Accounts",
                IF(INDIRECT("'"&amp;F1529&amp;"'!$B$2")="Amount",
                    "Investments",
                    "Bill Accounts"
                )
            )
        ),
    "")
)</f>
        <v/>
      </c>
      <c r="I1529" s="46" t="str" cm="1">
        <f t="array" aca="1" ref="I1529" ca="1">IF(F1529&lt;&gt;"",IF(OR(G1529="Bill Accounts",G1529="Investments", G1529="Cash Accounts"),INDIRECT("'"&amp;F1529&amp;"'!$C$10"),INDIRECT("'"&amp;F1529&amp;"'!$C$8")),"")</f>
        <v/>
      </c>
      <c r="K1529" s="48">
        <f t="shared" si="72"/>
        <v>1535</v>
      </c>
      <c r="L1529" s="114" t="str" cm="1">
        <f t="array" aca="1" ref="L1529" ca="1">IF(F1529&lt;&gt;"",INDIRECT("'"&amp;F1529&amp;"'!$F$17"),"")</f>
        <v/>
      </c>
      <c r="M1529" s="116" t="str">
        <f t="shared" ca="1" si="70"/>
        <v/>
      </c>
      <c r="O1529" s="49" t="str">
        <f t="shared" ca="1" si="71"/>
        <v/>
      </c>
      <c r="P1529" s="38" t="str">
        <f>IF(E1529&lt;&gt;"",RANK(E1529,$E$3:$E$2298)+COUNTIF($E$3:E1529,E1529)-1,"")</f>
        <v/>
      </c>
    </row>
    <row r="1530" spans="4:16" x14ac:dyDescent="0.25">
      <c r="D1530" s="36" t="str" cm="1">
        <f t="array" aca="1" ref="D1530" ca="1">IFERROR(IF(INDIRECT("'"&amp;F1530&amp;"'!$C$5")&gt;0,DATE(YEAR(Dashboard!$AL$2),Dashboard!$AU$4,INDIRECT("'"&amp;F1530&amp;"'!$C$5")),""),"")</f>
        <v/>
      </c>
      <c r="G1530" s="38" t="str" cm="1">
        <f t="array" aca="1" ref="G1530" ca="1">IF(F1530="",
    "",
    IFERROR(
        IF(INDIRECT("'"&amp;F1530&amp;"'!$B$2")="Credit Limit",
            "Credit Accounts",
            IF(INDIRECT("'"&amp;F1530&amp;"'!$E$2")="Location",
                "Cash Accounts",
                IF(INDIRECT("'"&amp;F1530&amp;"'!$B$2")="Amount",
                    "Investments",
                    "Bill Accounts"
                )
            )
        ),
    "")
)</f>
        <v/>
      </c>
      <c r="I1530" s="46" t="str" cm="1">
        <f t="array" aca="1" ref="I1530" ca="1">IF(F1530&lt;&gt;"",IF(OR(G1530="Bill Accounts",G1530="Investments", G1530="Cash Accounts"),INDIRECT("'"&amp;F1530&amp;"'!$C$10"),INDIRECT("'"&amp;F1530&amp;"'!$C$8")),"")</f>
        <v/>
      </c>
      <c r="K1530" s="48">
        <f t="shared" si="72"/>
        <v>1536</v>
      </c>
      <c r="L1530" s="114" t="str" cm="1">
        <f t="array" aca="1" ref="L1530" ca="1">IF(F1530&lt;&gt;"",INDIRECT("'"&amp;F1530&amp;"'!$F$17"),"")</f>
        <v/>
      </c>
      <c r="M1530" s="116" t="str">
        <f t="shared" ca="1" si="70"/>
        <v/>
      </c>
      <c r="O1530" s="49" t="str">
        <f t="shared" ca="1" si="71"/>
        <v/>
      </c>
      <c r="P1530" s="38" t="str">
        <f>IF(E1530&lt;&gt;"",RANK(E1530,$E$3:$E$2298)+COUNTIF($E$3:E1530,E1530)-1,"")</f>
        <v/>
      </c>
    </row>
    <row r="1531" spans="4:16" x14ac:dyDescent="0.25">
      <c r="D1531" s="36" t="str" cm="1">
        <f t="array" aca="1" ref="D1531" ca="1">IFERROR(IF(INDIRECT("'"&amp;F1531&amp;"'!$C$5")&gt;0,DATE(YEAR(Dashboard!$AL$2),Dashboard!$AU$4,INDIRECT("'"&amp;F1531&amp;"'!$C$5")),""),"")</f>
        <v/>
      </c>
      <c r="G1531" s="38" t="str" cm="1">
        <f t="array" aca="1" ref="G1531" ca="1">IF(F1531="",
    "",
    IFERROR(
        IF(INDIRECT("'"&amp;F1531&amp;"'!$B$2")="Credit Limit",
            "Credit Accounts",
            IF(INDIRECT("'"&amp;F1531&amp;"'!$E$2")="Location",
                "Cash Accounts",
                IF(INDIRECT("'"&amp;F1531&amp;"'!$B$2")="Amount",
                    "Investments",
                    "Bill Accounts"
                )
            )
        ),
    "")
)</f>
        <v/>
      </c>
      <c r="I1531" s="46" t="str" cm="1">
        <f t="array" aca="1" ref="I1531" ca="1">IF(F1531&lt;&gt;"",IF(OR(G1531="Bill Accounts",G1531="Investments", G1531="Cash Accounts"),INDIRECT("'"&amp;F1531&amp;"'!$C$10"),INDIRECT("'"&amp;F1531&amp;"'!$C$8")),"")</f>
        <v/>
      </c>
      <c r="K1531" s="48">
        <f t="shared" si="72"/>
        <v>1537</v>
      </c>
      <c r="L1531" s="114" t="str" cm="1">
        <f t="array" aca="1" ref="L1531" ca="1">IF(F1531&lt;&gt;"",INDIRECT("'"&amp;F1531&amp;"'!$F$17"),"")</f>
        <v/>
      </c>
      <c r="M1531" s="116" t="str">
        <f t="shared" ca="1" si="70"/>
        <v/>
      </c>
      <c r="O1531" s="49" t="str">
        <f t="shared" ca="1" si="71"/>
        <v/>
      </c>
      <c r="P1531" s="38" t="str">
        <f>IF(E1531&lt;&gt;"",RANK(E1531,$E$3:$E$2298)+COUNTIF($E$3:E1531,E1531)-1,"")</f>
        <v/>
      </c>
    </row>
    <row r="1532" spans="4:16" x14ac:dyDescent="0.25">
      <c r="D1532" s="36" t="str" cm="1">
        <f t="array" aca="1" ref="D1532" ca="1">IFERROR(IF(INDIRECT("'"&amp;F1532&amp;"'!$C$5")&gt;0,DATE(YEAR(Dashboard!$AL$2),Dashboard!$AU$4,INDIRECT("'"&amp;F1532&amp;"'!$C$5")),""),"")</f>
        <v/>
      </c>
      <c r="G1532" s="38" t="str" cm="1">
        <f t="array" aca="1" ref="G1532" ca="1">IF(F1532="",
    "",
    IFERROR(
        IF(INDIRECT("'"&amp;F1532&amp;"'!$B$2")="Credit Limit",
            "Credit Accounts",
            IF(INDIRECT("'"&amp;F1532&amp;"'!$E$2")="Location",
                "Cash Accounts",
                IF(INDIRECT("'"&amp;F1532&amp;"'!$B$2")="Amount",
                    "Investments",
                    "Bill Accounts"
                )
            )
        ),
    "")
)</f>
        <v/>
      </c>
      <c r="I1532" s="46" t="str" cm="1">
        <f t="array" aca="1" ref="I1532" ca="1">IF(F1532&lt;&gt;"",IF(OR(G1532="Bill Accounts",G1532="Investments", G1532="Cash Accounts"),INDIRECT("'"&amp;F1532&amp;"'!$C$10"),INDIRECT("'"&amp;F1532&amp;"'!$C$8")),"")</f>
        <v/>
      </c>
      <c r="K1532" s="48">
        <f t="shared" si="72"/>
        <v>1538</v>
      </c>
      <c r="L1532" s="114" t="str" cm="1">
        <f t="array" aca="1" ref="L1532" ca="1">IF(F1532&lt;&gt;"",INDIRECT("'"&amp;F1532&amp;"'!$F$17"),"")</f>
        <v/>
      </c>
      <c r="M1532" s="116" t="str">
        <f t="shared" ca="1" si="70"/>
        <v/>
      </c>
      <c r="O1532" s="49" t="str">
        <f t="shared" ca="1" si="71"/>
        <v/>
      </c>
      <c r="P1532" s="38" t="str">
        <f>IF(E1532&lt;&gt;"",RANK(E1532,$E$3:$E$2298)+COUNTIF($E$3:E1532,E1532)-1,"")</f>
        <v/>
      </c>
    </row>
    <row r="1533" spans="4:16" x14ac:dyDescent="0.25">
      <c r="D1533" s="36" t="str" cm="1">
        <f t="array" aca="1" ref="D1533" ca="1">IFERROR(IF(INDIRECT("'"&amp;F1533&amp;"'!$C$5")&gt;0,DATE(YEAR(Dashboard!$AL$2),Dashboard!$AU$4,INDIRECT("'"&amp;F1533&amp;"'!$C$5")),""),"")</f>
        <v/>
      </c>
      <c r="G1533" s="38" t="str" cm="1">
        <f t="array" aca="1" ref="G1533" ca="1">IF(F1533="",
    "",
    IFERROR(
        IF(INDIRECT("'"&amp;F1533&amp;"'!$B$2")="Credit Limit",
            "Credit Accounts",
            IF(INDIRECT("'"&amp;F1533&amp;"'!$E$2")="Location",
                "Cash Accounts",
                IF(INDIRECT("'"&amp;F1533&amp;"'!$B$2")="Amount",
                    "Investments",
                    "Bill Accounts"
                )
            )
        ),
    "")
)</f>
        <v/>
      </c>
      <c r="I1533" s="46" t="str" cm="1">
        <f t="array" aca="1" ref="I1533" ca="1">IF(F1533&lt;&gt;"",IF(OR(G1533="Bill Accounts",G1533="Investments", G1533="Cash Accounts"),INDIRECT("'"&amp;F1533&amp;"'!$C$10"),INDIRECT("'"&amp;F1533&amp;"'!$C$8")),"")</f>
        <v/>
      </c>
      <c r="K1533" s="48">
        <f t="shared" si="72"/>
        <v>1539</v>
      </c>
      <c r="L1533" s="114" t="str" cm="1">
        <f t="array" aca="1" ref="L1533" ca="1">IF(F1533&lt;&gt;"",INDIRECT("'"&amp;F1533&amp;"'!$F$17"),"")</f>
        <v/>
      </c>
      <c r="M1533" s="116" t="str">
        <f t="shared" ca="1" si="70"/>
        <v/>
      </c>
      <c r="O1533" s="49" t="str">
        <f t="shared" ca="1" si="71"/>
        <v/>
      </c>
      <c r="P1533" s="38" t="str">
        <f>IF(E1533&lt;&gt;"",RANK(E1533,$E$3:$E$2298)+COUNTIF($E$3:E1533,E1533)-1,"")</f>
        <v/>
      </c>
    </row>
    <row r="1534" spans="4:16" x14ac:dyDescent="0.25">
      <c r="D1534" s="36" t="str" cm="1">
        <f t="array" aca="1" ref="D1534" ca="1">IFERROR(IF(INDIRECT("'"&amp;F1534&amp;"'!$C$5")&gt;0,DATE(YEAR(Dashboard!$AL$2),Dashboard!$AU$4,INDIRECT("'"&amp;F1534&amp;"'!$C$5")),""),"")</f>
        <v/>
      </c>
      <c r="G1534" s="38" t="str" cm="1">
        <f t="array" aca="1" ref="G1534" ca="1">IF(F1534="",
    "",
    IFERROR(
        IF(INDIRECT("'"&amp;F1534&amp;"'!$B$2")="Credit Limit",
            "Credit Accounts",
            IF(INDIRECT("'"&amp;F1534&amp;"'!$E$2")="Location",
                "Cash Accounts",
                IF(INDIRECT("'"&amp;F1534&amp;"'!$B$2")="Amount",
                    "Investments",
                    "Bill Accounts"
                )
            )
        ),
    "")
)</f>
        <v/>
      </c>
      <c r="I1534" s="46" t="str" cm="1">
        <f t="array" aca="1" ref="I1534" ca="1">IF(F1534&lt;&gt;"",IF(OR(G1534="Bill Accounts",G1534="Investments", G1534="Cash Accounts"),INDIRECT("'"&amp;F1534&amp;"'!$C$10"),INDIRECT("'"&amp;F1534&amp;"'!$C$8")),"")</f>
        <v/>
      </c>
      <c r="K1534" s="48">
        <f t="shared" si="72"/>
        <v>1540</v>
      </c>
      <c r="L1534" s="114" t="str" cm="1">
        <f t="array" aca="1" ref="L1534" ca="1">IF(F1534&lt;&gt;"",INDIRECT("'"&amp;F1534&amp;"'!$F$17"),"")</f>
        <v/>
      </c>
      <c r="M1534" s="116" t="str">
        <f t="shared" ca="1" si="70"/>
        <v/>
      </c>
      <c r="O1534" s="49" t="str">
        <f t="shared" ca="1" si="71"/>
        <v/>
      </c>
      <c r="P1534" s="38" t="str">
        <f>IF(E1534&lt;&gt;"",RANK(E1534,$E$3:$E$2298)+COUNTIF($E$3:E1534,E1534)-1,"")</f>
        <v/>
      </c>
    </row>
    <row r="1535" spans="4:16" x14ac:dyDescent="0.25">
      <c r="D1535" s="36" t="str" cm="1">
        <f t="array" aca="1" ref="D1535" ca="1">IFERROR(IF(INDIRECT("'"&amp;F1535&amp;"'!$C$5")&gt;0,DATE(YEAR(Dashboard!$AL$2),Dashboard!$AU$4,INDIRECT("'"&amp;F1535&amp;"'!$C$5")),""),"")</f>
        <v/>
      </c>
      <c r="G1535" s="38" t="str" cm="1">
        <f t="array" aca="1" ref="G1535" ca="1">IF(F1535="",
    "",
    IFERROR(
        IF(INDIRECT("'"&amp;F1535&amp;"'!$B$2")="Credit Limit",
            "Credit Accounts",
            IF(INDIRECT("'"&amp;F1535&amp;"'!$E$2")="Location",
                "Cash Accounts",
                IF(INDIRECT("'"&amp;F1535&amp;"'!$B$2")="Amount",
                    "Investments",
                    "Bill Accounts"
                )
            )
        ),
    "")
)</f>
        <v/>
      </c>
      <c r="I1535" s="46" t="str" cm="1">
        <f t="array" aca="1" ref="I1535" ca="1">IF(F1535&lt;&gt;"",IF(OR(G1535="Bill Accounts",G1535="Investments", G1535="Cash Accounts"),INDIRECT("'"&amp;F1535&amp;"'!$C$10"),INDIRECT("'"&amp;F1535&amp;"'!$C$8")),"")</f>
        <v/>
      </c>
      <c r="K1535" s="48">
        <f t="shared" si="72"/>
        <v>1541</v>
      </c>
      <c r="L1535" s="114" t="str" cm="1">
        <f t="array" aca="1" ref="L1535" ca="1">IF(F1535&lt;&gt;"",INDIRECT("'"&amp;F1535&amp;"'!$F$17"),"")</f>
        <v/>
      </c>
      <c r="M1535" s="116" t="str">
        <f t="shared" ca="1" si="70"/>
        <v/>
      </c>
      <c r="O1535" s="49" t="str">
        <f t="shared" ca="1" si="71"/>
        <v/>
      </c>
      <c r="P1535" s="38" t="str">
        <f>IF(E1535&lt;&gt;"",RANK(E1535,$E$3:$E$2298)+COUNTIF($E$3:E1535,E1535)-1,"")</f>
        <v/>
      </c>
    </row>
    <row r="1536" spans="4:16" x14ac:dyDescent="0.25">
      <c r="D1536" s="36" t="str" cm="1">
        <f t="array" aca="1" ref="D1536" ca="1">IFERROR(IF(INDIRECT("'"&amp;F1536&amp;"'!$C$5")&gt;0,DATE(YEAR(Dashboard!$AL$2),Dashboard!$AU$4,INDIRECT("'"&amp;F1536&amp;"'!$C$5")),""),"")</f>
        <v/>
      </c>
      <c r="G1536" s="38" t="str" cm="1">
        <f t="array" aca="1" ref="G1536" ca="1">IF(F1536="",
    "",
    IFERROR(
        IF(INDIRECT("'"&amp;F1536&amp;"'!$B$2")="Credit Limit",
            "Credit Accounts",
            IF(INDIRECT("'"&amp;F1536&amp;"'!$E$2")="Location",
                "Cash Accounts",
                IF(INDIRECT("'"&amp;F1536&amp;"'!$B$2")="Amount",
                    "Investments",
                    "Bill Accounts"
                )
            )
        ),
    "")
)</f>
        <v/>
      </c>
      <c r="I1536" s="46" t="str" cm="1">
        <f t="array" aca="1" ref="I1536" ca="1">IF(F1536&lt;&gt;"",IF(OR(G1536="Bill Accounts",G1536="Investments", G1536="Cash Accounts"),INDIRECT("'"&amp;F1536&amp;"'!$C$10"),INDIRECT("'"&amp;F1536&amp;"'!$C$8")),"")</f>
        <v/>
      </c>
      <c r="K1536" s="48">
        <f t="shared" si="72"/>
        <v>1542</v>
      </c>
      <c r="L1536" s="114" t="str" cm="1">
        <f t="array" aca="1" ref="L1536" ca="1">IF(F1536&lt;&gt;"",INDIRECT("'"&amp;F1536&amp;"'!$F$17"),"")</f>
        <v/>
      </c>
      <c r="M1536" s="116" t="str">
        <f t="shared" ca="1" si="70"/>
        <v/>
      </c>
      <c r="O1536" s="49" t="str">
        <f t="shared" ca="1" si="71"/>
        <v/>
      </c>
      <c r="P1536" s="38" t="str">
        <f>IF(E1536&lt;&gt;"",RANK(E1536,$E$3:$E$2298)+COUNTIF($E$3:E1536,E1536)-1,"")</f>
        <v/>
      </c>
    </row>
    <row r="1537" spans="4:16" x14ac:dyDescent="0.25">
      <c r="D1537" s="36" t="str" cm="1">
        <f t="array" aca="1" ref="D1537" ca="1">IFERROR(IF(INDIRECT("'"&amp;F1537&amp;"'!$C$5")&gt;0,DATE(YEAR(Dashboard!$AL$2),Dashboard!$AU$4,INDIRECT("'"&amp;F1537&amp;"'!$C$5")),""),"")</f>
        <v/>
      </c>
      <c r="G1537" s="38" t="str" cm="1">
        <f t="array" aca="1" ref="G1537" ca="1">IF(F1537="",
    "",
    IFERROR(
        IF(INDIRECT("'"&amp;F1537&amp;"'!$B$2")="Credit Limit",
            "Credit Accounts",
            IF(INDIRECT("'"&amp;F1537&amp;"'!$E$2")="Location",
                "Cash Accounts",
                IF(INDIRECT("'"&amp;F1537&amp;"'!$B$2")="Amount",
                    "Investments",
                    "Bill Accounts"
                )
            )
        ),
    "")
)</f>
        <v/>
      </c>
      <c r="I1537" s="46" t="str" cm="1">
        <f t="array" aca="1" ref="I1537" ca="1">IF(F1537&lt;&gt;"",IF(OR(G1537="Bill Accounts",G1537="Investments", G1537="Cash Accounts"),INDIRECT("'"&amp;F1537&amp;"'!$C$10"),INDIRECT("'"&amp;F1537&amp;"'!$C$8")),"")</f>
        <v/>
      </c>
      <c r="K1537" s="48">
        <f t="shared" si="72"/>
        <v>1543</v>
      </c>
      <c r="L1537" s="114" t="str" cm="1">
        <f t="array" aca="1" ref="L1537" ca="1">IF(F1537&lt;&gt;"",INDIRECT("'"&amp;F1537&amp;"'!$F$17"),"")</f>
        <v/>
      </c>
      <c r="M1537" s="116" t="str">
        <f t="shared" ca="1" si="70"/>
        <v/>
      </c>
      <c r="O1537" s="49" t="str">
        <f t="shared" ca="1" si="71"/>
        <v/>
      </c>
      <c r="P1537" s="38" t="str">
        <f>IF(E1537&lt;&gt;"",RANK(E1537,$E$3:$E$2298)+COUNTIF($E$3:E1537,E1537)-1,"")</f>
        <v/>
      </c>
    </row>
    <row r="1538" spans="4:16" x14ac:dyDescent="0.25">
      <c r="D1538" s="36" t="str" cm="1">
        <f t="array" aca="1" ref="D1538" ca="1">IFERROR(IF(INDIRECT("'"&amp;F1538&amp;"'!$C$5")&gt;0,DATE(YEAR(Dashboard!$AL$2),Dashboard!$AU$4,INDIRECT("'"&amp;F1538&amp;"'!$C$5")),""),"")</f>
        <v/>
      </c>
      <c r="G1538" s="38" t="str" cm="1">
        <f t="array" aca="1" ref="G1538" ca="1">IF(F1538="",
    "",
    IFERROR(
        IF(INDIRECT("'"&amp;F1538&amp;"'!$B$2")="Credit Limit",
            "Credit Accounts",
            IF(INDIRECT("'"&amp;F1538&amp;"'!$E$2")="Location",
                "Cash Accounts",
                IF(INDIRECT("'"&amp;F1538&amp;"'!$B$2")="Amount",
                    "Investments",
                    "Bill Accounts"
                )
            )
        ),
    "")
)</f>
        <v/>
      </c>
      <c r="I1538" s="46" t="str" cm="1">
        <f t="array" aca="1" ref="I1538" ca="1">IF(F1538&lt;&gt;"",IF(OR(G1538="Bill Accounts",G1538="Investments", G1538="Cash Accounts"),INDIRECT("'"&amp;F1538&amp;"'!$C$10"),INDIRECT("'"&amp;F1538&amp;"'!$C$8")),"")</f>
        <v/>
      </c>
      <c r="K1538" s="48">
        <f t="shared" si="72"/>
        <v>1544</v>
      </c>
      <c r="L1538" s="114" t="str" cm="1">
        <f t="array" aca="1" ref="L1538" ca="1">IF(F1538&lt;&gt;"",INDIRECT("'"&amp;F1538&amp;"'!$F$17"),"")</f>
        <v/>
      </c>
      <c r="M1538" s="116" t="str">
        <f t="shared" ca="1" si="70"/>
        <v/>
      </c>
      <c r="O1538" s="49" t="str">
        <f t="shared" ca="1" si="71"/>
        <v/>
      </c>
      <c r="P1538" s="38" t="str">
        <f>IF(E1538&lt;&gt;"",RANK(E1538,$E$3:$E$2298)+COUNTIF($E$3:E1538,E1538)-1,"")</f>
        <v/>
      </c>
    </row>
    <row r="1539" spans="4:16" x14ac:dyDescent="0.25">
      <c r="D1539" s="36" t="str" cm="1">
        <f t="array" aca="1" ref="D1539" ca="1">IFERROR(IF(INDIRECT("'"&amp;F1539&amp;"'!$C$5")&gt;0,DATE(YEAR(Dashboard!$AL$2),Dashboard!$AU$4,INDIRECT("'"&amp;F1539&amp;"'!$C$5")),""),"")</f>
        <v/>
      </c>
      <c r="G1539" s="38" t="str" cm="1">
        <f t="array" aca="1" ref="G1539" ca="1">IF(F1539="",
    "",
    IFERROR(
        IF(INDIRECT("'"&amp;F1539&amp;"'!$B$2")="Credit Limit",
            "Credit Accounts",
            IF(INDIRECT("'"&amp;F1539&amp;"'!$E$2")="Location",
                "Cash Accounts",
                IF(INDIRECT("'"&amp;F1539&amp;"'!$B$2")="Amount",
                    "Investments",
                    "Bill Accounts"
                )
            )
        ),
    "")
)</f>
        <v/>
      </c>
      <c r="I1539" s="46" t="str" cm="1">
        <f t="array" aca="1" ref="I1539" ca="1">IF(F1539&lt;&gt;"",IF(OR(G1539="Bill Accounts",G1539="Investments", G1539="Cash Accounts"),INDIRECT("'"&amp;F1539&amp;"'!$C$10"),INDIRECT("'"&amp;F1539&amp;"'!$C$8")),"")</f>
        <v/>
      </c>
      <c r="K1539" s="48">
        <f t="shared" si="72"/>
        <v>1545</v>
      </c>
      <c r="L1539" s="114" t="str" cm="1">
        <f t="array" aca="1" ref="L1539" ca="1">IF(F1539&lt;&gt;"",INDIRECT("'"&amp;F1539&amp;"'!$F$17"),"")</f>
        <v/>
      </c>
      <c r="M1539" s="116" t="str">
        <f t="shared" ca="1" si="70"/>
        <v/>
      </c>
      <c r="O1539" s="49" t="str">
        <f t="shared" ca="1" si="71"/>
        <v/>
      </c>
      <c r="P1539" s="38" t="str">
        <f>IF(E1539&lt;&gt;"",RANK(E1539,$E$3:$E$2298)+COUNTIF($E$3:E1539,E1539)-1,"")</f>
        <v/>
      </c>
    </row>
    <row r="1540" spans="4:16" x14ac:dyDescent="0.25">
      <c r="D1540" s="36" t="str" cm="1">
        <f t="array" aca="1" ref="D1540" ca="1">IFERROR(IF(INDIRECT("'"&amp;F1540&amp;"'!$C$5")&gt;0,DATE(YEAR(Dashboard!$AL$2),Dashboard!$AU$4,INDIRECT("'"&amp;F1540&amp;"'!$C$5")),""),"")</f>
        <v/>
      </c>
      <c r="G1540" s="38" t="str" cm="1">
        <f t="array" aca="1" ref="G1540" ca="1">IF(F1540="",
    "",
    IFERROR(
        IF(INDIRECT("'"&amp;F1540&amp;"'!$B$2")="Credit Limit",
            "Credit Accounts",
            IF(INDIRECT("'"&amp;F1540&amp;"'!$E$2")="Location",
                "Cash Accounts",
                IF(INDIRECT("'"&amp;F1540&amp;"'!$B$2")="Amount",
                    "Investments",
                    "Bill Accounts"
                )
            )
        ),
    "")
)</f>
        <v/>
      </c>
      <c r="I1540" s="46" t="str" cm="1">
        <f t="array" aca="1" ref="I1540" ca="1">IF(F1540&lt;&gt;"",IF(OR(G1540="Bill Accounts",G1540="Investments", G1540="Cash Accounts"),INDIRECT("'"&amp;F1540&amp;"'!$C$10"),INDIRECT("'"&amp;F1540&amp;"'!$C$8")),"")</f>
        <v/>
      </c>
      <c r="K1540" s="48">
        <f t="shared" si="72"/>
        <v>1546</v>
      </c>
      <c r="L1540" s="114" t="str" cm="1">
        <f t="array" aca="1" ref="L1540" ca="1">IF(F1540&lt;&gt;"",INDIRECT("'"&amp;F1540&amp;"'!$F$17"),"")</f>
        <v/>
      </c>
      <c r="M1540" s="116" t="str">
        <f t="shared" ref="M1540:M1603" ca="1" si="73">IF(G1540="Credit Accounts",EDATE(TODAY(),INDIRECT("'"&amp;F1540&amp;"'!$C$14")),"")</f>
        <v/>
      </c>
      <c r="O1540" s="49" t="str">
        <f t="shared" ref="O1540:O1603" ca="1" si="74">IF(D1540&lt;&gt;"",DAY(D1540),"")</f>
        <v/>
      </c>
      <c r="P1540" s="38" t="str">
        <f>IF(E1540&lt;&gt;"",RANK(E1540,$E$3:$E$2298)+COUNTIF($E$3:E1540,E1540)-1,"")</f>
        <v/>
      </c>
    </row>
    <row r="1541" spans="4:16" x14ac:dyDescent="0.25">
      <c r="D1541" s="36" t="str" cm="1">
        <f t="array" aca="1" ref="D1541" ca="1">IFERROR(IF(INDIRECT("'"&amp;F1541&amp;"'!$C$5")&gt;0,DATE(YEAR(Dashboard!$AL$2),Dashboard!$AU$4,INDIRECT("'"&amp;F1541&amp;"'!$C$5")),""),"")</f>
        <v/>
      </c>
      <c r="G1541" s="38" t="str" cm="1">
        <f t="array" aca="1" ref="G1541" ca="1">IF(F1541="",
    "",
    IFERROR(
        IF(INDIRECT("'"&amp;F1541&amp;"'!$B$2")="Credit Limit",
            "Credit Accounts",
            IF(INDIRECT("'"&amp;F1541&amp;"'!$E$2")="Location",
                "Cash Accounts",
                IF(INDIRECT("'"&amp;F1541&amp;"'!$B$2")="Amount",
                    "Investments",
                    "Bill Accounts"
                )
            )
        ),
    "")
)</f>
        <v/>
      </c>
      <c r="I1541" s="46" t="str" cm="1">
        <f t="array" aca="1" ref="I1541" ca="1">IF(F1541&lt;&gt;"",IF(OR(G1541="Bill Accounts",G1541="Investments", G1541="Cash Accounts"),INDIRECT("'"&amp;F1541&amp;"'!$C$10"),INDIRECT("'"&amp;F1541&amp;"'!$C$8")),"")</f>
        <v/>
      </c>
      <c r="K1541" s="48">
        <f t="shared" si="72"/>
        <v>1547</v>
      </c>
      <c r="L1541" s="114" t="str" cm="1">
        <f t="array" aca="1" ref="L1541" ca="1">IF(F1541&lt;&gt;"",INDIRECT("'"&amp;F1541&amp;"'!$F$17"),"")</f>
        <v/>
      </c>
      <c r="M1541" s="116" t="str">
        <f t="shared" ca="1" si="73"/>
        <v/>
      </c>
      <c r="O1541" s="49" t="str">
        <f t="shared" ca="1" si="74"/>
        <v/>
      </c>
      <c r="P1541" s="38" t="str">
        <f>IF(E1541&lt;&gt;"",RANK(E1541,$E$3:$E$2298)+COUNTIF($E$3:E1541,E1541)-1,"")</f>
        <v/>
      </c>
    </row>
    <row r="1542" spans="4:16" x14ac:dyDescent="0.25">
      <c r="D1542" s="36" t="str" cm="1">
        <f t="array" aca="1" ref="D1542" ca="1">IFERROR(IF(INDIRECT("'"&amp;F1542&amp;"'!$C$5")&gt;0,DATE(YEAR(Dashboard!$AL$2),Dashboard!$AU$4,INDIRECT("'"&amp;F1542&amp;"'!$C$5")),""),"")</f>
        <v/>
      </c>
      <c r="G1542" s="38" t="str" cm="1">
        <f t="array" aca="1" ref="G1542" ca="1">IF(F1542="",
    "",
    IFERROR(
        IF(INDIRECT("'"&amp;F1542&amp;"'!$B$2")="Credit Limit",
            "Credit Accounts",
            IF(INDIRECT("'"&amp;F1542&amp;"'!$E$2")="Location",
                "Cash Accounts",
                IF(INDIRECT("'"&amp;F1542&amp;"'!$B$2")="Amount",
                    "Investments",
                    "Bill Accounts"
                )
            )
        ),
    "")
)</f>
        <v/>
      </c>
      <c r="I1542" s="46" t="str" cm="1">
        <f t="array" aca="1" ref="I1542" ca="1">IF(F1542&lt;&gt;"",IF(OR(G1542="Bill Accounts",G1542="Investments", G1542="Cash Accounts"),INDIRECT("'"&amp;F1542&amp;"'!$C$10"),INDIRECT("'"&amp;F1542&amp;"'!$C$8")),"")</f>
        <v/>
      </c>
      <c r="K1542" s="48">
        <f t="shared" si="72"/>
        <v>1548</v>
      </c>
      <c r="L1542" s="114" t="str" cm="1">
        <f t="array" aca="1" ref="L1542" ca="1">IF(F1542&lt;&gt;"",INDIRECT("'"&amp;F1542&amp;"'!$F$17"),"")</f>
        <v/>
      </c>
      <c r="M1542" s="116" t="str">
        <f t="shared" ca="1" si="73"/>
        <v/>
      </c>
      <c r="O1542" s="49" t="str">
        <f t="shared" ca="1" si="74"/>
        <v/>
      </c>
      <c r="P1542" s="38" t="str">
        <f>IF(E1542&lt;&gt;"",RANK(E1542,$E$3:$E$2298)+COUNTIF($E$3:E1542,E1542)-1,"")</f>
        <v/>
      </c>
    </row>
    <row r="1543" spans="4:16" x14ac:dyDescent="0.25">
      <c r="D1543" s="36" t="str" cm="1">
        <f t="array" aca="1" ref="D1543" ca="1">IFERROR(IF(INDIRECT("'"&amp;F1543&amp;"'!$C$5")&gt;0,DATE(YEAR(Dashboard!$AL$2),Dashboard!$AU$4,INDIRECT("'"&amp;F1543&amp;"'!$C$5")),""),"")</f>
        <v/>
      </c>
      <c r="G1543" s="38" t="str" cm="1">
        <f t="array" aca="1" ref="G1543" ca="1">IF(F1543="",
    "",
    IFERROR(
        IF(INDIRECT("'"&amp;F1543&amp;"'!$B$2")="Credit Limit",
            "Credit Accounts",
            IF(INDIRECT("'"&amp;F1543&amp;"'!$E$2")="Location",
                "Cash Accounts",
                IF(INDIRECT("'"&amp;F1543&amp;"'!$B$2")="Amount",
                    "Investments",
                    "Bill Accounts"
                )
            )
        ),
    "")
)</f>
        <v/>
      </c>
      <c r="I1543" s="46" t="str" cm="1">
        <f t="array" aca="1" ref="I1543" ca="1">IF(F1543&lt;&gt;"",IF(OR(G1543="Bill Accounts",G1543="Investments", G1543="Cash Accounts"),INDIRECT("'"&amp;F1543&amp;"'!$C$10"),INDIRECT("'"&amp;F1543&amp;"'!$C$8")),"")</f>
        <v/>
      </c>
      <c r="K1543" s="48">
        <f t="shared" si="72"/>
        <v>1549</v>
      </c>
      <c r="L1543" s="114" t="str" cm="1">
        <f t="array" aca="1" ref="L1543" ca="1">IF(F1543&lt;&gt;"",INDIRECT("'"&amp;F1543&amp;"'!$F$17"),"")</f>
        <v/>
      </c>
      <c r="M1543" s="116" t="str">
        <f t="shared" ca="1" si="73"/>
        <v/>
      </c>
      <c r="O1543" s="49" t="str">
        <f t="shared" ca="1" si="74"/>
        <v/>
      </c>
      <c r="P1543" s="38" t="str">
        <f>IF(E1543&lt;&gt;"",RANK(E1543,$E$3:$E$2298)+COUNTIF($E$3:E1543,E1543)-1,"")</f>
        <v/>
      </c>
    </row>
    <row r="1544" spans="4:16" x14ac:dyDescent="0.25">
      <c r="D1544" s="36" t="str" cm="1">
        <f t="array" aca="1" ref="D1544" ca="1">IFERROR(IF(INDIRECT("'"&amp;F1544&amp;"'!$C$5")&gt;0,DATE(YEAR(Dashboard!$AL$2),Dashboard!$AU$4,INDIRECT("'"&amp;F1544&amp;"'!$C$5")),""),"")</f>
        <v/>
      </c>
      <c r="G1544" s="38" t="str" cm="1">
        <f t="array" aca="1" ref="G1544" ca="1">IF(F1544="",
    "",
    IFERROR(
        IF(INDIRECT("'"&amp;F1544&amp;"'!$B$2")="Credit Limit",
            "Credit Accounts",
            IF(INDIRECT("'"&amp;F1544&amp;"'!$E$2")="Location",
                "Cash Accounts",
                IF(INDIRECT("'"&amp;F1544&amp;"'!$B$2")="Amount",
                    "Investments",
                    "Bill Accounts"
                )
            )
        ),
    "")
)</f>
        <v/>
      </c>
      <c r="I1544" s="46" t="str" cm="1">
        <f t="array" aca="1" ref="I1544" ca="1">IF(F1544&lt;&gt;"",IF(OR(G1544="Bill Accounts",G1544="Investments", G1544="Cash Accounts"),INDIRECT("'"&amp;F1544&amp;"'!$C$10"),INDIRECT("'"&amp;F1544&amp;"'!$C$8")),"")</f>
        <v/>
      </c>
      <c r="K1544" s="48">
        <f t="shared" ref="K1544:K1607" si="75">SUM(K1543+1)</f>
        <v>1550</v>
      </c>
      <c r="L1544" s="114" t="str" cm="1">
        <f t="array" aca="1" ref="L1544" ca="1">IF(F1544&lt;&gt;"",INDIRECT("'"&amp;F1544&amp;"'!$F$17"),"")</f>
        <v/>
      </c>
      <c r="M1544" s="116" t="str">
        <f t="shared" ca="1" si="73"/>
        <v/>
      </c>
      <c r="O1544" s="49" t="str">
        <f t="shared" ca="1" si="74"/>
        <v/>
      </c>
      <c r="P1544" s="38" t="str">
        <f>IF(E1544&lt;&gt;"",RANK(E1544,$E$3:$E$2298)+COUNTIF($E$3:E1544,E1544)-1,"")</f>
        <v/>
      </c>
    </row>
    <row r="1545" spans="4:16" x14ac:dyDescent="0.25">
      <c r="D1545" s="36" t="str" cm="1">
        <f t="array" aca="1" ref="D1545" ca="1">IFERROR(IF(INDIRECT("'"&amp;F1545&amp;"'!$C$5")&gt;0,DATE(YEAR(Dashboard!$AL$2),Dashboard!$AU$4,INDIRECT("'"&amp;F1545&amp;"'!$C$5")),""),"")</f>
        <v/>
      </c>
      <c r="G1545" s="38" t="str" cm="1">
        <f t="array" aca="1" ref="G1545" ca="1">IF(F1545="",
    "",
    IFERROR(
        IF(INDIRECT("'"&amp;F1545&amp;"'!$B$2")="Credit Limit",
            "Credit Accounts",
            IF(INDIRECT("'"&amp;F1545&amp;"'!$E$2")="Location",
                "Cash Accounts",
                IF(INDIRECT("'"&amp;F1545&amp;"'!$B$2")="Amount",
                    "Investments",
                    "Bill Accounts"
                )
            )
        ),
    "")
)</f>
        <v/>
      </c>
      <c r="I1545" s="46" t="str" cm="1">
        <f t="array" aca="1" ref="I1545" ca="1">IF(F1545&lt;&gt;"",IF(OR(G1545="Bill Accounts",G1545="Investments", G1545="Cash Accounts"),INDIRECT("'"&amp;F1545&amp;"'!$C$10"),INDIRECT("'"&amp;F1545&amp;"'!$C$8")),"")</f>
        <v/>
      </c>
      <c r="K1545" s="48">
        <f t="shared" si="75"/>
        <v>1551</v>
      </c>
      <c r="L1545" s="114" t="str" cm="1">
        <f t="array" aca="1" ref="L1545" ca="1">IF(F1545&lt;&gt;"",INDIRECT("'"&amp;F1545&amp;"'!$F$17"),"")</f>
        <v/>
      </c>
      <c r="M1545" s="116" t="str">
        <f t="shared" ca="1" si="73"/>
        <v/>
      </c>
      <c r="O1545" s="49" t="str">
        <f t="shared" ca="1" si="74"/>
        <v/>
      </c>
      <c r="P1545" s="38" t="str">
        <f>IF(E1545&lt;&gt;"",RANK(E1545,$E$3:$E$2298)+COUNTIF($E$3:E1545,E1545)-1,"")</f>
        <v/>
      </c>
    </row>
    <row r="1546" spans="4:16" x14ac:dyDescent="0.25">
      <c r="D1546" s="36" t="str" cm="1">
        <f t="array" aca="1" ref="D1546" ca="1">IFERROR(IF(INDIRECT("'"&amp;F1546&amp;"'!$C$5")&gt;0,DATE(YEAR(Dashboard!$AL$2),Dashboard!$AU$4,INDIRECT("'"&amp;F1546&amp;"'!$C$5")),""),"")</f>
        <v/>
      </c>
      <c r="G1546" s="38" t="str" cm="1">
        <f t="array" aca="1" ref="G1546" ca="1">IF(F1546="",
    "",
    IFERROR(
        IF(INDIRECT("'"&amp;F1546&amp;"'!$B$2")="Credit Limit",
            "Credit Accounts",
            IF(INDIRECT("'"&amp;F1546&amp;"'!$E$2")="Location",
                "Cash Accounts",
                IF(INDIRECT("'"&amp;F1546&amp;"'!$B$2")="Amount",
                    "Investments",
                    "Bill Accounts"
                )
            )
        ),
    "")
)</f>
        <v/>
      </c>
      <c r="I1546" s="46" t="str" cm="1">
        <f t="array" aca="1" ref="I1546" ca="1">IF(F1546&lt;&gt;"",IF(OR(G1546="Bill Accounts",G1546="Investments", G1546="Cash Accounts"),INDIRECT("'"&amp;F1546&amp;"'!$C$10"),INDIRECT("'"&amp;F1546&amp;"'!$C$8")),"")</f>
        <v/>
      </c>
      <c r="K1546" s="48">
        <f t="shared" si="75"/>
        <v>1552</v>
      </c>
      <c r="L1546" s="114" t="str" cm="1">
        <f t="array" aca="1" ref="L1546" ca="1">IF(F1546&lt;&gt;"",INDIRECT("'"&amp;F1546&amp;"'!$F$17"),"")</f>
        <v/>
      </c>
      <c r="M1546" s="116" t="str">
        <f t="shared" ca="1" si="73"/>
        <v/>
      </c>
      <c r="O1546" s="49" t="str">
        <f t="shared" ca="1" si="74"/>
        <v/>
      </c>
      <c r="P1546" s="38" t="str">
        <f>IF(E1546&lt;&gt;"",RANK(E1546,$E$3:$E$2298)+COUNTIF($E$3:E1546,E1546)-1,"")</f>
        <v/>
      </c>
    </row>
    <row r="1547" spans="4:16" x14ac:dyDescent="0.25">
      <c r="D1547" s="36" t="str" cm="1">
        <f t="array" aca="1" ref="D1547" ca="1">IFERROR(IF(INDIRECT("'"&amp;F1547&amp;"'!$C$5")&gt;0,DATE(YEAR(Dashboard!$AL$2),Dashboard!$AU$4,INDIRECT("'"&amp;F1547&amp;"'!$C$5")),""),"")</f>
        <v/>
      </c>
      <c r="G1547" s="38" t="str" cm="1">
        <f t="array" aca="1" ref="G1547" ca="1">IF(F1547="",
    "",
    IFERROR(
        IF(INDIRECT("'"&amp;F1547&amp;"'!$B$2")="Credit Limit",
            "Credit Accounts",
            IF(INDIRECT("'"&amp;F1547&amp;"'!$E$2")="Location",
                "Cash Accounts",
                IF(INDIRECT("'"&amp;F1547&amp;"'!$B$2")="Amount",
                    "Investments",
                    "Bill Accounts"
                )
            )
        ),
    "")
)</f>
        <v/>
      </c>
      <c r="I1547" s="46" t="str" cm="1">
        <f t="array" aca="1" ref="I1547" ca="1">IF(F1547&lt;&gt;"",IF(OR(G1547="Bill Accounts",G1547="Investments", G1547="Cash Accounts"),INDIRECT("'"&amp;F1547&amp;"'!$C$10"),INDIRECT("'"&amp;F1547&amp;"'!$C$8")),"")</f>
        <v/>
      </c>
      <c r="K1547" s="48">
        <f t="shared" si="75"/>
        <v>1553</v>
      </c>
      <c r="L1547" s="114" t="str" cm="1">
        <f t="array" aca="1" ref="L1547" ca="1">IF(F1547&lt;&gt;"",INDIRECT("'"&amp;F1547&amp;"'!$F$17"),"")</f>
        <v/>
      </c>
      <c r="M1547" s="116" t="str">
        <f t="shared" ca="1" si="73"/>
        <v/>
      </c>
      <c r="O1547" s="49" t="str">
        <f t="shared" ca="1" si="74"/>
        <v/>
      </c>
      <c r="P1547" s="38" t="str">
        <f>IF(E1547&lt;&gt;"",RANK(E1547,$E$3:$E$2298)+COUNTIF($E$3:E1547,E1547)-1,"")</f>
        <v/>
      </c>
    </row>
    <row r="1548" spans="4:16" x14ac:dyDescent="0.25">
      <c r="D1548" s="36" t="str" cm="1">
        <f t="array" aca="1" ref="D1548" ca="1">IFERROR(IF(INDIRECT("'"&amp;F1548&amp;"'!$C$5")&gt;0,DATE(YEAR(Dashboard!$AL$2),Dashboard!$AU$4,INDIRECT("'"&amp;F1548&amp;"'!$C$5")),""),"")</f>
        <v/>
      </c>
      <c r="G1548" s="38" t="str" cm="1">
        <f t="array" aca="1" ref="G1548" ca="1">IF(F1548="",
    "",
    IFERROR(
        IF(INDIRECT("'"&amp;F1548&amp;"'!$B$2")="Credit Limit",
            "Credit Accounts",
            IF(INDIRECT("'"&amp;F1548&amp;"'!$E$2")="Location",
                "Cash Accounts",
                IF(INDIRECT("'"&amp;F1548&amp;"'!$B$2")="Amount",
                    "Investments",
                    "Bill Accounts"
                )
            )
        ),
    "")
)</f>
        <v/>
      </c>
      <c r="I1548" s="46" t="str" cm="1">
        <f t="array" aca="1" ref="I1548" ca="1">IF(F1548&lt;&gt;"",IF(OR(G1548="Bill Accounts",G1548="Investments", G1548="Cash Accounts"),INDIRECT("'"&amp;F1548&amp;"'!$C$10"),INDIRECT("'"&amp;F1548&amp;"'!$C$8")),"")</f>
        <v/>
      </c>
      <c r="K1548" s="48">
        <f t="shared" si="75"/>
        <v>1554</v>
      </c>
      <c r="L1548" s="114" t="str" cm="1">
        <f t="array" aca="1" ref="L1548" ca="1">IF(F1548&lt;&gt;"",INDIRECT("'"&amp;F1548&amp;"'!$F$17"),"")</f>
        <v/>
      </c>
      <c r="M1548" s="116" t="str">
        <f t="shared" ca="1" si="73"/>
        <v/>
      </c>
      <c r="O1548" s="49" t="str">
        <f t="shared" ca="1" si="74"/>
        <v/>
      </c>
      <c r="P1548" s="38" t="str">
        <f>IF(E1548&lt;&gt;"",RANK(E1548,$E$3:$E$2298)+COUNTIF($E$3:E1548,E1548)-1,"")</f>
        <v/>
      </c>
    </row>
    <row r="1549" spans="4:16" x14ac:dyDescent="0.25">
      <c r="D1549" s="36" t="str" cm="1">
        <f t="array" aca="1" ref="D1549" ca="1">IFERROR(IF(INDIRECT("'"&amp;F1549&amp;"'!$C$5")&gt;0,DATE(YEAR(Dashboard!$AL$2),Dashboard!$AU$4,INDIRECT("'"&amp;F1549&amp;"'!$C$5")),""),"")</f>
        <v/>
      </c>
      <c r="G1549" s="38" t="str" cm="1">
        <f t="array" aca="1" ref="G1549" ca="1">IF(F1549="",
    "",
    IFERROR(
        IF(INDIRECT("'"&amp;F1549&amp;"'!$B$2")="Credit Limit",
            "Credit Accounts",
            IF(INDIRECT("'"&amp;F1549&amp;"'!$E$2")="Location",
                "Cash Accounts",
                IF(INDIRECT("'"&amp;F1549&amp;"'!$B$2")="Amount",
                    "Investments",
                    "Bill Accounts"
                )
            )
        ),
    "")
)</f>
        <v/>
      </c>
      <c r="I1549" s="46" t="str" cm="1">
        <f t="array" aca="1" ref="I1549" ca="1">IF(F1549&lt;&gt;"",IF(OR(G1549="Bill Accounts",G1549="Investments", G1549="Cash Accounts"),INDIRECT("'"&amp;F1549&amp;"'!$C$10"),INDIRECT("'"&amp;F1549&amp;"'!$C$8")),"")</f>
        <v/>
      </c>
      <c r="K1549" s="48">
        <f t="shared" si="75"/>
        <v>1555</v>
      </c>
      <c r="L1549" s="114" t="str" cm="1">
        <f t="array" aca="1" ref="L1549" ca="1">IF(F1549&lt;&gt;"",INDIRECT("'"&amp;F1549&amp;"'!$F$17"),"")</f>
        <v/>
      </c>
      <c r="M1549" s="116" t="str">
        <f t="shared" ca="1" si="73"/>
        <v/>
      </c>
      <c r="O1549" s="49" t="str">
        <f t="shared" ca="1" si="74"/>
        <v/>
      </c>
      <c r="P1549" s="38" t="str">
        <f>IF(E1549&lt;&gt;"",RANK(E1549,$E$3:$E$2298)+COUNTIF($E$3:E1549,E1549)-1,"")</f>
        <v/>
      </c>
    </row>
    <row r="1550" spans="4:16" x14ac:dyDescent="0.25">
      <c r="D1550" s="36" t="str" cm="1">
        <f t="array" aca="1" ref="D1550" ca="1">IFERROR(IF(INDIRECT("'"&amp;F1550&amp;"'!$C$5")&gt;0,DATE(YEAR(Dashboard!$AL$2),Dashboard!$AU$4,INDIRECT("'"&amp;F1550&amp;"'!$C$5")),""),"")</f>
        <v/>
      </c>
      <c r="G1550" s="38" t="str" cm="1">
        <f t="array" aca="1" ref="G1550" ca="1">IF(F1550="",
    "",
    IFERROR(
        IF(INDIRECT("'"&amp;F1550&amp;"'!$B$2")="Credit Limit",
            "Credit Accounts",
            IF(INDIRECT("'"&amp;F1550&amp;"'!$E$2")="Location",
                "Cash Accounts",
                IF(INDIRECT("'"&amp;F1550&amp;"'!$B$2")="Amount",
                    "Investments",
                    "Bill Accounts"
                )
            )
        ),
    "")
)</f>
        <v/>
      </c>
      <c r="I1550" s="46" t="str" cm="1">
        <f t="array" aca="1" ref="I1550" ca="1">IF(F1550&lt;&gt;"",IF(OR(G1550="Bill Accounts",G1550="Investments", G1550="Cash Accounts"),INDIRECT("'"&amp;F1550&amp;"'!$C$10"),INDIRECT("'"&amp;F1550&amp;"'!$C$8")),"")</f>
        <v/>
      </c>
      <c r="K1550" s="48">
        <f t="shared" si="75"/>
        <v>1556</v>
      </c>
      <c r="L1550" s="114" t="str" cm="1">
        <f t="array" aca="1" ref="L1550" ca="1">IF(F1550&lt;&gt;"",INDIRECT("'"&amp;F1550&amp;"'!$F$17"),"")</f>
        <v/>
      </c>
      <c r="M1550" s="116" t="str">
        <f t="shared" ca="1" si="73"/>
        <v/>
      </c>
      <c r="O1550" s="49" t="str">
        <f t="shared" ca="1" si="74"/>
        <v/>
      </c>
      <c r="P1550" s="38" t="str">
        <f>IF(E1550&lt;&gt;"",RANK(E1550,$E$3:$E$2298)+COUNTIF($E$3:E1550,E1550)-1,"")</f>
        <v/>
      </c>
    </row>
    <row r="1551" spans="4:16" x14ac:dyDescent="0.25">
      <c r="D1551" s="36" t="str" cm="1">
        <f t="array" aca="1" ref="D1551" ca="1">IFERROR(IF(INDIRECT("'"&amp;F1551&amp;"'!$C$5")&gt;0,DATE(YEAR(Dashboard!$AL$2),Dashboard!$AU$4,INDIRECT("'"&amp;F1551&amp;"'!$C$5")),""),"")</f>
        <v/>
      </c>
      <c r="G1551" s="38" t="str" cm="1">
        <f t="array" aca="1" ref="G1551" ca="1">IF(F1551="",
    "",
    IFERROR(
        IF(INDIRECT("'"&amp;F1551&amp;"'!$B$2")="Credit Limit",
            "Credit Accounts",
            IF(INDIRECT("'"&amp;F1551&amp;"'!$E$2")="Location",
                "Cash Accounts",
                IF(INDIRECT("'"&amp;F1551&amp;"'!$B$2")="Amount",
                    "Investments",
                    "Bill Accounts"
                )
            )
        ),
    "")
)</f>
        <v/>
      </c>
      <c r="I1551" s="46" t="str" cm="1">
        <f t="array" aca="1" ref="I1551" ca="1">IF(F1551&lt;&gt;"",IF(OR(G1551="Bill Accounts",G1551="Investments", G1551="Cash Accounts"),INDIRECT("'"&amp;F1551&amp;"'!$C$10"),INDIRECT("'"&amp;F1551&amp;"'!$C$8")),"")</f>
        <v/>
      </c>
      <c r="K1551" s="48">
        <f t="shared" si="75"/>
        <v>1557</v>
      </c>
      <c r="L1551" s="114" t="str" cm="1">
        <f t="array" aca="1" ref="L1551" ca="1">IF(F1551&lt;&gt;"",INDIRECT("'"&amp;F1551&amp;"'!$F$17"),"")</f>
        <v/>
      </c>
      <c r="M1551" s="116" t="str">
        <f t="shared" ca="1" si="73"/>
        <v/>
      </c>
      <c r="O1551" s="49" t="str">
        <f t="shared" ca="1" si="74"/>
        <v/>
      </c>
      <c r="P1551" s="38" t="str">
        <f>IF(E1551&lt;&gt;"",RANK(E1551,$E$3:$E$2298)+COUNTIF($E$3:E1551,E1551)-1,"")</f>
        <v/>
      </c>
    </row>
    <row r="1552" spans="4:16" x14ac:dyDescent="0.25">
      <c r="D1552" s="36" t="str" cm="1">
        <f t="array" aca="1" ref="D1552" ca="1">IFERROR(IF(INDIRECT("'"&amp;F1552&amp;"'!$C$5")&gt;0,DATE(YEAR(Dashboard!$AL$2),Dashboard!$AU$4,INDIRECT("'"&amp;F1552&amp;"'!$C$5")),""),"")</f>
        <v/>
      </c>
      <c r="G1552" s="38" t="str" cm="1">
        <f t="array" aca="1" ref="G1552" ca="1">IF(F1552="",
    "",
    IFERROR(
        IF(INDIRECT("'"&amp;F1552&amp;"'!$B$2")="Credit Limit",
            "Credit Accounts",
            IF(INDIRECT("'"&amp;F1552&amp;"'!$E$2")="Location",
                "Cash Accounts",
                IF(INDIRECT("'"&amp;F1552&amp;"'!$B$2")="Amount",
                    "Investments",
                    "Bill Accounts"
                )
            )
        ),
    "")
)</f>
        <v/>
      </c>
      <c r="I1552" s="46" t="str" cm="1">
        <f t="array" aca="1" ref="I1552" ca="1">IF(F1552&lt;&gt;"",IF(OR(G1552="Bill Accounts",G1552="Investments", G1552="Cash Accounts"),INDIRECT("'"&amp;F1552&amp;"'!$C$10"),INDIRECT("'"&amp;F1552&amp;"'!$C$8")),"")</f>
        <v/>
      </c>
      <c r="K1552" s="48">
        <f t="shared" si="75"/>
        <v>1558</v>
      </c>
      <c r="L1552" s="114" t="str" cm="1">
        <f t="array" aca="1" ref="L1552" ca="1">IF(F1552&lt;&gt;"",INDIRECT("'"&amp;F1552&amp;"'!$F$17"),"")</f>
        <v/>
      </c>
      <c r="M1552" s="116" t="str">
        <f t="shared" ca="1" si="73"/>
        <v/>
      </c>
      <c r="O1552" s="49" t="str">
        <f t="shared" ca="1" si="74"/>
        <v/>
      </c>
      <c r="P1552" s="38" t="str">
        <f>IF(E1552&lt;&gt;"",RANK(E1552,$E$3:$E$2298)+COUNTIF($E$3:E1552,E1552)-1,"")</f>
        <v/>
      </c>
    </row>
    <row r="1553" spans="4:16" x14ac:dyDescent="0.25">
      <c r="D1553" s="36" t="str" cm="1">
        <f t="array" aca="1" ref="D1553" ca="1">IFERROR(IF(INDIRECT("'"&amp;F1553&amp;"'!$C$5")&gt;0,DATE(YEAR(Dashboard!$AL$2),Dashboard!$AU$4,INDIRECT("'"&amp;F1553&amp;"'!$C$5")),""),"")</f>
        <v/>
      </c>
      <c r="G1553" s="38" t="str" cm="1">
        <f t="array" aca="1" ref="G1553" ca="1">IF(F1553="",
    "",
    IFERROR(
        IF(INDIRECT("'"&amp;F1553&amp;"'!$B$2")="Credit Limit",
            "Credit Accounts",
            IF(INDIRECT("'"&amp;F1553&amp;"'!$E$2")="Location",
                "Cash Accounts",
                IF(INDIRECT("'"&amp;F1553&amp;"'!$B$2")="Amount",
                    "Investments",
                    "Bill Accounts"
                )
            )
        ),
    "")
)</f>
        <v/>
      </c>
      <c r="I1553" s="46" t="str" cm="1">
        <f t="array" aca="1" ref="I1553" ca="1">IF(F1553&lt;&gt;"",IF(OR(G1553="Bill Accounts",G1553="Investments", G1553="Cash Accounts"),INDIRECT("'"&amp;F1553&amp;"'!$C$10"),INDIRECT("'"&amp;F1553&amp;"'!$C$8")),"")</f>
        <v/>
      </c>
      <c r="K1553" s="48">
        <f t="shared" si="75"/>
        <v>1559</v>
      </c>
      <c r="L1553" s="114" t="str" cm="1">
        <f t="array" aca="1" ref="L1553" ca="1">IF(F1553&lt;&gt;"",INDIRECT("'"&amp;F1553&amp;"'!$F$17"),"")</f>
        <v/>
      </c>
      <c r="M1553" s="116" t="str">
        <f t="shared" ca="1" si="73"/>
        <v/>
      </c>
      <c r="O1553" s="49" t="str">
        <f t="shared" ca="1" si="74"/>
        <v/>
      </c>
      <c r="P1553" s="38" t="str">
        <f>IF(E1553&lt;&gt;"",RANK(E1553,$E$3:$E$2298)+COUNTIF($E$3:E1553,E1553)-1,"")</f>
        <v/>
      </c>
    </row>
    <row r="1554" spans="4:16" x14ac:dyDescent="0.25">
      <c r="D1554" s="36" t="str" cm="1">
        <f t="array" aca="1" ref="D1554" ca="1">IFERROR(IF(INDIRECT("'"&amp;F1554&amp;"'!$C$5")&gt;0,DATE(YEAR(Dashboard!$AL$2),Dashboard!$AU$4,INDIRECT("'"&amp;F1554&amp;"'!$C$5")),""),"")</f>
        <v/>
      </c>
      <c r="G1554" s="38" t="str" cm="1">
        <f t="array" aca="1" ref="G1554" ca="1">IF(F1554="",
    "",
    IFERROR(
        IF(INDIRECT("'"&amp;F1554&amp;"'!$B$2")="Credit Limit",
            "Credit Accounts",
            IF(INDIRECT("'"&amp;F1554&amp;"'!$E$2")="Location",
                "Cash Accounts",
                IF(INDIRECT("'"&amp;F1554&amp;"'!$B$2")="Amount",
                    "Investments",
                    "Bill Accounts"
                )
            )
        ),
    "")
)</f>
        <v/>
      </c>
      <c r="I1554" s="46" t="str" cm="1">
        <f t="array" aca="1" ref="I1554" ca="1">IF(F1554&lt;&gt;"",IF(OR(G1554="Bill Accounts",G1554="Investments", G1554="Cash Accounts"),INDIRECT("'"&amp;F1554&amp;"'!$C$10"),INDIRECT("'"&amp;F1554&amp;"'!$C$8")),"")</f>
        <v/>
      </c>
      <c r="K1554" s="48">
        <f t="shared" si="75"/>
        <v>1560</v>
      </c>
      <c r="L1554" s="114" t="str" cm="1">
        <f t="array" aca="1" ref="L1554" ca="1">IF(F1554&lt;&gt;"",INDIRECT("'"&amp;F1554&amp;"'!$F$17"),"")</f>
        <v/>
      </c>
      <c r="M1554" s="116" t="str">
        <f t="shared" ca="1" si="73"/>
        <v/>
      </c>
      <c r="O1554" s="49" t="str">
        <f t="shared" ca="1" si="74"/>
        <v/>
      </c>
      <c r="P1554" s="38" t="str">
        <f>IF(E1554&lt;&gt;"",RANK(E1554,$E$3:$E$2298)+COUNTIF($E$3:E1554,E1554)-1,"")</f>
        <v/>
      </c>
    </row>
    <row r="1555" spans="4:16" x14ac:dyDescent="0.25">
      <c r="D1555" s="36" t="str" cm="1">
        <f t="array" aca="1" ref="D1555" ca="1">IFERROR(IF(INDIRECT("'"&amp;F1555&amp;"'!$C$5")&gt;0,DATE(YEAR(Dashboard!$AL$2),Dashboard!$AU$4,INDIRECT("'"&amp;F1555&amp;"'!$C$5")),""),"")</f>
        <v/>
      </c>
      <c r="G1555" s="38" t="str" cm="1">
        <f t="array" aca="1" ref="G1555" ca="1">IF(F1555="",
    "",
    IFERROR(
        IF(INDIRECT("'"&amp;F1555&amp;"'!$B$2")="Credit Limit",
            "Credit Accounts",
            IF(INDIRECT("'"&amp;F1555&amp;"'!$E$2")="Location",
                "Cash Accounts",
                IF(INDIRECT("'"&amp;F1555&amp;"'!$B$2")="Amount",
                    "Investments",
                    "Bill Accounts"
                )
            )
        ),
    "")
)</f>
        <v/>
      </c>
      <c r="I1555" s="46" t="str" cm="1">
        <f t="array" aca="1" ref="I1555" ca="1">IF(F1555&lt;&gt;"",IF(OR(G1555="Bill Accounts",G1555="Investments", G1555="Cash Accounts"),INDIRECT("'"&amp;F1555&amp;"'!$C$10"),INDIRECT("'"&amp;F1555&amp;"'!$C$8")),"")</f>
        <v/>
      </c>
      <c r="K1555" s="48">
        <f t="shared" si="75"/>
        <v>1561</v>
      </c>
      <c r="L1555" s="114" t="str" cm="1">
        <f t="array" aca="1" ref="L1555" ca="1">IF(F1555&lt;&gt;"",INDIRECT("'"&amp;F1555&amp;"'!$F$17"),"")</f>
        <v/>
      </c>
      <c r="M1555" s="116" t="str">
        <f t="shared" ca="1" si="73"/>
        <v/>
      </c>
      <c r="O1555" s="49" t="str">
        <f t="shared" ca="1" si="74"/>
        <v/>
      </c>
      <c r="P1555" s="38" t="str">
        <f>IF(E1555&lt;&gt;"",RANK(E1555,$E$3:$E$2298)+COUNTIF($E$3:E1555,E1555)-1,"")</f>
        <v/>
      </c>
    </row>
    <row r="1556" spans="4:16" x14ac:dyDescent="0.25">
      <c r="D1556" s="36" t="str" cm="1">
        <f t="array" aca="1" ref="D1556" ca="1">IFERROR(IF(INDIRECT("'"&amp;F1556&amp;"'!$C$5")&gt;0,DATE(YEAR(Dashboard!$AL$2),Dashboard!$AU$4,INDIRECT("'"&amp;F1556&amp;"'!$C$5")),""),"")</f>
        <v/>
      </c>
      <c r="G1556" s="38" t="str" cm="1">
        <f t="array" aca="1" ref="G1556" ca="1">IF(F1556="",
    "",
    IFERROR(
        IF(INDIRECT("'"&amp;F1556&amp;"'!$B$2")="Credit Limit",
            "Credit Accounts",
            IF(INDIRECT("'"&amp;F1556&amp;"'!$E$2")="Location",
                "Cash Accounts",
                IF(INDIRECT("'"&amp;F1556&amp;"'!$B$2")="Amount",
                    "Investments",
                    "Bill Accounts"
                )
            )
        ),
    "")
)</f>
        <v/>
      </c>
      <c r="I1556" s="46" t="str" cm="1">
        <f t="array" aca="1" ref="I1556" ca="1">IF(F1556&lt;&gt;"",IF(OR(G1556="Bill Accounts",G1556="Investments", G1556="Cash Accounts"),INDIRECT("'"&amp;F1556&amp;"'!$C$10"),INDIRECT("'"&amp;F1556&amp;"'!$C$8")),"")</f>
        <v/>
      </c>
      <c r="K1556" s="48">
        <f t="shared" si="75"/>
        <v>1562</v>
      </c>
      <c r="L1556" s="114" t="str" cm="1">
        <f t="array" aca="1" ref="L1556" ca="1">IF(F1556&lt;&gt;"",INDIRECT("'"&amp;F1556&amp;"'!$F$17"),"")</f>
        <v/>
      </c>
      <c r="M1556" s="116" t="str">
        <f t="shared" ca="1" si="73"/>
        <v/>
      </c>
      <c r="O1556" s="49" t="str">
        <f t="shared" ca="1" si="74"/>
        <v/>
      </c>
      <c r="P1556" s="38" t="str">
        <f>IF(E1556&lt;&gt;"",RANK(E1556,$E$3:$E$2298)+COUNTIF($E$3:E1556,E1556)-1,"")</f>
        <v/>
      </c>
    </row>
    <row r="1557" spans="4:16" x14ac:dyDescent="0.25">
      <c r="D1557" s="36" t="str" cm="1">
        <f t="array" aca="1" ref="D1557" ca="1">IFERROR(IF(INDIRECT("'"&amp;F1557&amp;"'!$C$5")&gt;0,DATE(YEAR(Dashboard!$AL$2),Dashboard!$AU$4,INDIRECT("'"&amp;F1557&amp;"'!$C$5")),""),"")</f>
        <v/>
      </c>
      <c r="G1557" s="38" t="str" cm="1">
        <f t="array" aca="1" ref="G1557" ca="1">IF(F1557="",
    "",
    IFERROR(
        IF(INDIRECT("'"&amp;F1557&amp;"'!$B$2")="Credit Limit",
            "Credit Accounts",
            IF(INDIRECT("'"&amp;F1557&amp;"'!$E$2")="Location",
                "Cash Accounts",
                IF(INDIRECT("'"&amp;F1557&amp;"'!$B$2")="Amount",
                    "Investments",
                    "Bill Accounts"
                )
            )
        ),
    "")
)</f>
        <v/>
      </c>
      <c r="I1557" s="46" t="str" cm="1">
        <f t="array" aca="1" ref="I1557" ca="1">IF(F1557&lt;&gt;"",IF(OR(G1557="Bill Accounts",G1557="Investments", G1557="Cash Accounts"),INDIRECT("'"&amp;F1557&amp;"'!$C$10"),INDIRECT("'"&amp;F1557&amp;"'!$C$8")),"")</f>
        <v/>
      </c>
      <c r="K1557" s="48">
        <f t="shared" si="75"/>
        <v>1563</v>
      </c>
      <c r="L1557" s="114" t="str" cm="1">
        <f t="array" aca="1" ref="L1557" ca="1">IF(F1557&lt;&gt;"",INDIRECT("'"&amp;F1557&amp;"'!$F$17"),"")</f>
        <v/>
      </c>
      <c r="M1557" s="116" t="str">
        <f t="shared" ca="1" si="73"/>
        <v/>
      </c>
      <c r="O1557" s="49" t="str">
        <f t="shared" ca="1" si="74"/>
        <v/>
      </c>
      <c r="P1557" s="38" t="str">
        <f>IF(E1557&lt;&gt;"",RANK(E1557,$E$3:$E$2298)+COUNTIF($E$3:E1557,E1557)-1,"")</f>
        <v/>
      </c>
    </row>
    <row r="1558" spans="4:16" x14ac:dyDescent="0.25">
      <c r="D1558" s="36" t="str" cm="1">
        <f t="array" aca="1" ref="D1558" ca="1">IFERROR(IF(INDIRECT("'"&amp;F1558&amp;"'!$C$5")&gt;0,DATE(YEAR(Dashboard!$AL$2),Dashboard!$AU$4,INDIRECT("'"&amp;F1558&amp;"'!$C$5")),""),"")</f>
        <v/>
      </c>
      <c r="G1558" s="38" t="str" cm="1">
        <f t="array" aca="1" ref="G1558" ca="1">IF(F1558="",
    "",
    IFERROR(
        IF(INDIRECT("'"&amp;F1558&amp;"'!$B$2")="Credit Limit",
            "Credit Accounts",
            IF(INDIRECT("'"&amp;F1558&amp;"'!$E$2")="Location",
                "Cash Accounts",
                IF(INDIRECT("'"&amp;F1558&amp;"'!$B$2")="Amount",
                    "Investments",
                    "Bill Accounts"
                )
            )
        ),
    "")
)</f>
        <v/>
      </c>
      <c r="I1558" s="46" t="str" cm="1">
        <f t="array" aca="1" ref="I1558" ca="1">IF(F1558&lt;&gt;"",IF(OR(G1558="Bill Accounts",G1558="Investments", G1558="Cash Accounts"),INDIRECT("'"&amp;F1558&amp;"'!$C$10"),INDIRECT("'"&amp;F1558&amp;"'!$C$8")),"")</f>
        <v/>
      </c>
      <c r="K1558" s="48">
        <f t="shared" si="75"/>
        <v>1564</v>
      </c>
      <c r="L1558" s="114" t="str" cm="1">
        <f t="array" aca="1" ref="L1558" ca="1">IF(F1558&lt;&gt;"",INDIRECT("'"&amp;F1558&amp;"'!$F$17"),"")</f>
        <v/>
      </c>
      <c r="M1558" s="116" t="str">
        <f t="shared" ca="1" si="73"/>
        <v/>
      </c>
      <c r="O1558" s="49" t="str">
        <f t="shared" ca="1" si="74"/>
        <v/>
      </c>
      <c r="P1558" s="38" t="str">
        <f>IF(E1558&lt;&gt;"",RANK(E1558,$E$3:$E$2298)+COUNTIF($E$3:E1558,E1558)-1,"")</f>
        <v/>
      </c>
    </row>
    <row r="1559" spans="4:16" x14ac:dyDescent="0.25">
      <c r="D1559" s="36" t="str" cm="1">
        <f t="array" aca="1" ref="D1559" ca="1">IFERROR(IF(INDIRECT("'"&amp;F1559&amp;"'!$C$5")&gt;0,DATE(YEAR(Dashboard!$AL$2),Dashboard!$AU$4,INDIRECT("'"&amp;F1559&amp;"'!$C$5")),""),"")</f>
        <v/>
      </c>
      <c r="G1559" s="38" t="str" cm="1">
        <f t="array" aca="1" ref="G1559" ca="1">IF(F1559="",
    "",
    IFERROR(
        IF(INDIRECT("'"&amp;F1559&amp;"'!$B$2")="Credit Limit",
            "Credit Accounts",
            IF(INDIRECT("'"&amp;F1559&amp;"'!$E$2")="Location",
                "Cash Accounts",
                IF(INDIRECT("'"&amp;F1559&amp;"'!$B$2")="Amount",
                    "Investments",
                    "Bill Accounts"
                )
            )
        ),
    "")
)</f>
        <v/>
      </c>
      <c r="I1559" s="46" t="str" cm="1">
        <f t="array" aca="1" ref="I1559" ca="1">IF(F1559&lt;&gt;"",IF(OR(G1559="Bill Accounts",G1559="Investments", G1559="Cash Accounts"),INDIRECT("'"&amp;F1559&amp;"'!$C$10"),INDIRECT("'"&amp;F1559&amp;"'!$C$8")),"")</f>
        <v/>
      </c>
      <c r="K1559" s="48">
        <f t="shared" si="75"/>
        <v>1565</v>
      </c>
      <c r="L1559" s="114" t="str" cm="1">
        <f t="array" aca="1" ref="L1559" ca="1">IF(F1559&lt;&gt;"",INDIRECT("'"&amp;F1559&amp;"'!$F$17"),"")</f>
        <v/>
      </c>
      <c r="M1559" s="116" t="str">
        <f t="shared" ca="1" si="73"/>
        <v/>
      </c>
      <c r="O1559" s="49" t="str">
        <f t="shared" ca="1" si="74"/>
        <v/>
      </c>
      <c r="P1559" s="38" t="str">
        <f>IF(E1559&lt;&gt;"",RANK(E1559,$E$3:$E$2298)+COUNTIF($E$3:E1559,E1559)-1,"")</f>
        <v/>
      </c>
    </row>
    <row r="1560" spans="4:16" x14ac:dyDescent="0.25">
      <c r="D1560" s="36" t="str" cm="1">
        <f t="array" aca="1" ref="D1560" ca="1">IFERROR(IF(INDIRECT("'"&amp;F1560&amp;"'!$C$5")&gt;0,DATE(YEAR(Dashboard!$AL$2),Dashboard!$AU$4,INDIRECT("'"&amp;F1560&amp;"'!$C$5")),""),"")</f>
        <v/>
      </c>
      <c r="G1560" s="38" t="str" cm="1">
        <f t="array" aca="1" ref="G1560" ca="1">IF(F1560="",
    "",
    IFERROR(
        IF(INDIRECT("'"&amp;F1560&amp;"'!$B$2")="Credit Limit",
            "Credit Accounts",
            IF(INDIRECT("'"&amp;F1560&amp;"'!$E$2")="Location",
                "Cash Accounts",
                IF(INDIRECT("'"&amp;F1560&amp;"'!$B$2")="Amount",
                    "Investments",
                    "Bill Accounts"
                )
            )
        ),
    "")
)</f>
        <v/>
      </c>
      <c r="I1560" s="46" t="str" cm="1">
        <f t="array" aca="1" ref="I1560" ca="1">IF(F1560&lt;&gt;"",IF(OR(G1560="Bill Accounts",G1560="Investments", G1560="Cash Accounts"),INDIRECT("'"&amp;F1560&amp;"'!$C$10"),INDIRECT("'"&amp;F1560&amp;"'!$C$8")),"")</f>
        <v/>
      </c>
      <c r="K1560" s="48">
        <f t="shared" si="75"/>
        <v>1566</v>
      </c>
      <c r="L1560" s="114" t="str" cm="1">
        <f t="array" aca="1" ref="L1560" ca="1">IF(F1560&lt;&gt;"",INDIRECT("'"&amp;F1560&amp;"'!$F$17"),"")</f>
        <v/>
      </c>
      <c r="M1560" s="116" t="str">
        <f t="shared" ca="1" si="73"/>
        <v/>
      </c>
      <c r="O1560" s="49" t="str">
        <f t="shared" ca="1" si="74"/>
        <v/>
      </c>
      <c r="P1560" s="38" t="str">
        <f>IF(E1560&lt;&gt;"",RANK(E1560,$E$3:$E$2298)+COUNTIF($E$3:E1560,E1560)-1,"")</f>
        <v/>
      </c>
    </row>
    <row r="1561" spans="4:16" x14ac:dyDescent="0.25">
      <c r="D1561" s="36" t="str" cm="1">
        <f t="array" aca="1" ref="D1561" ca="1">IFERROR(IF(INDIRECT("'"&amp;F1561&amp;"'!$C$5")&gt;0,DATE(YEAR(Dashboard!$AL$2),Dashboard!$AU$4,INDIRECT("'"&amp;F1561&amp;"'!$C$5")),""),"")</f>
        <v/>
      </c>
      <c r="G1561" s="38" t="str" cm="1">
        <f t="array" aca="1" ref="G1561" ca="1">IF(F1561="",
    "",
    IFERROR(
        IF(INDIRECT("'"&amp;F1561&amp;"'!$B$2")="Credit Limit",
            "Credit Accounts",
            IF(INDIRECT("'"&amp;F1561&amp;"'!$E$2")="Location",
                "Cash Accounts",
                IF(INDIRECT("'"&amp;F1561&amp;"'!$B$2")="Amount",
                    "Investments",
                    "Bill Accounts"
                )
            )
        ),
    "")
)</f>
        <v/>
      </c>
      <c r="I1561" s="46" t="str" cm="1">
        <f t="array" aca="1" ref="I1561" ca="1">IF(F1561&lt;&gt;"",IF(OR(G1561="Bill Accounts",G1561="Investments", G1561="Cash Accounts"),INDIRECT("'"&amp;F1561&amp;"'!$C$10"),INDIRECT("'"&amp;F1561&amp;"'!$C$8")),"")</f>
        <v/>
      </c>
      <c r="K1561" s="48">
        <f t="shared" si="75"/>
        <v>1567</v>
      </c>
      <c r="L1561" s="114" t="str" cm="1">
        <f t="array" aca="1" ref="L1561" ca="1">IF(F1561&lt;&gt;"",INDIRECT("'"&amp;F1561&amp;"'!$F$17"),"")</f>
        <v/>
      </c>
      <c r="M1561" s="116" t="str">
        <f t="shared" ca="1" si="73"/>
        <v/>
      </c>
      <c r="O1561" s="49" t="str">
        <f t="shared" ca="1" si="74"/>
        <v/>
      </c>
      <c r="P1561" s="38" t="str">
        <f>IF(E1561&lt;&gt;"",RANK(E1561,$E$3:$E$2298)+COUNTIF($E$3:E1561,E1561)-1,"")</f>
        <v/>
      </c>
    </row>
    <row r="1562" spans="4:16" x14ac:dyDescent="0.25">
      <c r="D1562" s="36" t="str" cm="1">
        <f t="array" aca="1" ref="D1562" ca="1">IFERROR(IF(INDIRECT("'"&amp;F1562&amp;"'!$C$5")&gt;0,DATE(YEAR(Dashboard!$AL$2),Dashboard!$AU$4,INDIRECT("'"&amp;F1562&amp;"'!$C$5")),""),"")</f>
        <v/>
      </c>
      <c r="G1562" s="38" t="str" cm="1">
        <f t="array" aca="1" ref="G1562" ca="1">IF(F1562="",
    "",
    IFERROR(
        IF(INDIRECT("'"&amp;F1562&amp;"'!$B$2")="Credit Limit",
            "Credit Accounts",
            IF(INDIRECT("'"&amp;F1562&amp;"'!$E$2")="Location",
                "Cash Accounts",
                IF(INDIRECT("'"&amp;F1562&amp;"'!$B$2")="Amount",
                    "Investments",
                    "Bill Accounts"
                )
            )
        ),
    "")
)</f>
        <v/>
      </c>
      <c r="I1562" s="46" t="str" cm="1">
        <f t="array" aca="1" ref="I1562" ca="1">IF(F1562&lt;&gt;"",IF(OR(G1562="Bill Accounts",G1562="Investments", G1562="Cash Accounts"),INDIRECT("'"&amp;F1562&amp;"'!$C$10"),INDIRECT("'"&amp;F1562&amp;"'!$C$8")),"")</f>
        <v/>
      </c>
      <c r="K1562" s="48">
        <f t="shared" si="75"/>
        <v>1568</v>
      </c>
      <c r="L1562" s="114" t="str" cm="1">
        <f t="array" aca="1" ref="L1562" ca="1">IF(F1562&lt;&gt;"",INDIRECT("'"&amp;F1562&amp;"'!$F$17"),"")</f>
        <v/>
      </c>
      <c r="M1562" s="116" t="str">
        <f t="shared" ca="1" si="73"/>
        <v/>
      </c>
      <c r="O1562" s="49" t="str">
        <f t="shared" ca="1" si="74"/>
        <v/>
      </c>
      <c r="P1562" s="38" t="str">
        <f>IF(E1562&lt;&gt;"",RANK(E1562,$E$3:$E$2298)+COUNTIF($E$3:E1562,E1562)-1,"")</f>
        <v/>
      </c>
    </row>
    <row r="1563" spans="4:16" x14ac:dyDescent="0.25">
      <c r="D1563" s="36" t="str" cm="1">
        <f t="array" aca="1" ref="D1563" ca="1">IFERROR(IF(INDIRECT("'"&amp;F1563&amp;"'!$C$5")&gt;0,DATE(YEAR(Dashboard!$AL$2),Dashboard!$AU$4,INDIRECT("'"&amp;F1563&amp;"'!$C$5")),""),"")</f>
        <v/>
      </c>
      <c r="G1563" s="38" t="str" cm="1">
        <f t="array" aca="1" ref="G1563" ca="1">IF(F1563="",
    "",
    IFERROR(
        IF(INDIRECT("'"&amp;F1563&amp;"'!$B$2")="Credit Limit",
            "Credit Accounts",
            IF(INDIRECT("'"&amp;F1563&amp;"'!$E$2")="Location",
                "Cash Accounts",
                IF(INDIRECT("'"&amp;F1563&amp;"'!$B$2")="Amount",
                    "Investments",
                    "Bill Accounts"
                )
            )
        ),
    "")
)</f>
        <v/>
      </c>
      <c r="I1563" s="46" t="str" cm="1">
        <f t="array" aca="1" ref="I1563" ca="1">IF(F1563&lt;&gt;"",IF(OR(G1563="Bill Accounts",G1563="Investments", G1563="Cash Accounts"),INDIRECT("'"&amp;F1563&amp;"'!$C$10"),INDIRECT("'"&amp;F1563&amp;"'!$C$8")),"")</f>
        <v/>
      </c>
      <c r="K1563" s="48">
        <f t="shared" si="75"/>
        <v>1569</v>
      </c>
      <c r="L1563" s="114" t="str" cm="1">
        <f t="array" aca="1" ref="L1563" ca="1">IF(F1563&lt;&gt;"",INDIRECT("'"&amp;F1563&amp;"'!$F$17"),"")</f>
        <v/>
      </c>
      <c r="M1563" s="116" t="str">
        <f t="shared" ca="1" si="73"/>
        <v/>
      </c>
      <c r="O1563" s="49" t="str">
        <f t="shared" ca="1" si="74"/>
        <v/>
      </c>
      <c r="P1563" s="38" t="str">
        <f>IF(E1563&lt;&gt;"",RANK(E1563,$E$3:$E$2298)+COUNTIF($E$3:E1563,E1563)-1,"")</f>
        <v/>
      </c>
    </row>
    <row r="1564" spans="4:16" x14ac:dyDescent="0.25">
      <c r="D1564" s="36" t="str" cm="1">
        <f t="array" aca="1" ref="D1564" ca="1">IFERROR(IF(INDIRECT("'"&amp;F1564&amp;"'!$C$5")&gt;0,DATE(YEAR(Dashboard!$AL$2),Dashboard!$AU$4,INDIRECT("'"&amp;F1564&amp;"'!$C$5")),""),"")</f>
        <v/>
      </c>
      <c r="G1564" s="38" t="str" cm="1">
        <f t="array" aca="1" ref="G1564" ca="1">IF(F1564="",
    "",
    IFERROR(
        IF(INDIRECT("'"&amp;F1564&amp;"'!$B$2")="Credit Limit",
            "Credit Accounts",
            IF(INDIRECT("'"&amp;F1564&amp;"'!$E$2")="Location",
                "Cash Accounts",
                IF(INDIRECT("'"&amp;F1564&amp;"'!$B$2")="Amount",
                    "Investments",
                    "Bill Accounts"
                )
            )
        ),
    "")
)</f>
        <v/>
      </c>
      <c r="I1564" s="46" t="str" cm="1">
        <f t="array" aca="1" ref="I1564" ca="1">IF(F1564&lt;&gt;"",IF(OR(G1564="Bill Accounts",G1564="Investments", G1564="Cash Accounts"),INDIRECT("'"&amp;F1564&amp;"'!$C$10"),INDIRECT("'"&amp;F1564&amp;"'!$C$8")),"")</f>
        <v/>
      </c>
      <c r="K1564" s="48">
        <f t="shared" si="75"/>
        <v>1570</v>
      </c>
      <c r="L1564" s="114" t="str" cm="1">
        <f t="array" aca="1" ref="L1564" ca="1">IF(F1564&lt;&gt;"",INDIRECT("'"&amp;F1564&amp;"'!$F$17"),"")</f>
        <v/>
      </c>
      <c r="M1564" s="116" t="str">
        <f t="shared" ca="1" si="73"/>
        <v/>
      </c>
      <c r="O1564" s="49" t="str">
        <f t="shared" ca="1" si="74"/>
        <v/>
      </c>
      <c r="P1564" s="38" t="str">
        <f>IF(E1564&lt;&gt;"",RANK(E1564,$E$3:$E$2298)+COUNTIF($E$3:E1564,E1564)-1,"")</f>
        <v/>
      </c>
    </row>
    <row r="1565" spans="4:16" x14ac:dyDescent="0.25">
      <c r="D1565" s="36" t="str" cm="1">
        <f t="array" aca="1" ref="D1565" ca="1">IFERROR(IF(INDIRECT("'"&amp;F1565&amp;"'!$C$5")&gt;0,DATE(YEAR(Dashboard!$AL$2),Dashboard!$AU$4,INDIRECT("'"&amp;F1565&amp;"'!$C$5")),""),"")</f>
        <v/>
      </c>
      <c r="G1565" s="38" t="str" cm="1">
        <f t="array" aca="1" ref="G1565" ca="1">IF(F1565="",
    "",
    IFERROR(
        IF(INDIRECT("'"&amp;F1565&amp;"'!$B$2")="Credit Limit",
            "Credit Accounts",
            IF(INDIRECT("'"&amp;F1565&amp;"'!$E$2")="Location",
                "Cash Accounts",
                IF(INDIRECT("'"&amp;F1565&amp;"'!$B$2")="Amount",
                    "Investments",
                    "Bill Accounts"
                )
            )
        ),
    "")
)</f>
        <v/>
      </c>
      <c r="I1565" s="46" t="str" cm="1">
        <f t="array" aca="1" ref="I1565" ca="1">IF(F1565&lt;&gt;"",IF(OR(G1565="Bill Accounts",G1565="Investments", G1565="Cash Accounts"),INDIRECT("'"&amp;F1565&amp;"'!$C$10"),INDIRECT("'"&amp;F1565&amp;"'!$C$8")),"")</f>
        <v/>
      </c>
      <c r="K1565" s="48">
        <f t="shared" si="75"/>
        <v>1571</v>
      </c>
      <c r="L1565" s="114" t="str" cm="1">
        <f t="array" aca="1" ref="L1565" ca="1">IF(F1565&lt;&gt;"",INDIRECT("'"&amp;F1565&amp;"'!$F$17"),"")</f>
        <v/>
      </c>
      <c r="M1565" s="116" t="str">
        <f t="shared" ca="1" si="73"/>
        <v/>
      </c>
      <c r="O1565" s="49" t="str">
        <f t="shared" ca="1" si="74"/>
        <v/>
      </c>
      <c r="P1565" s="38" t="str">
        <f>IF(E1565&lt;&gt;"",RANK(E1565,$E$3:$E$2298)+COUNTIF($E$3:E1565,E1565)-1,"")</f>
        <v/>
      </c>
    </row>
    <row r="1566" spans="4:16" x14ac:dyDescent="0.25">
      <c r="D1566" s="36" t="str" cm="1">
        <f t="array" aca="1" ref="D1566" ca="1">IFERROR(IF(INDIRECT("'"&amp;F1566&amp;"'!$C$5")&gt;0,DATE(YEAR(Dashboard!$AL$2),Dashboard!$AU$4,INDIRECT("'"&amp;F1566&amp;"'!$C$5")),""),"")</f>
        <v/>
      </c>
      <c r="G1566" s="38" t="str" cm="1">
        <f t="array" aca="1" ref="G1566" ca="1">IF(F1566="",
    "",
    IFERROR(
        IF(INDIRECT("'"&amp;F1566&amp;"'!$B$2")="Credit Limit",
            "Credit Accounts",
            IF(INDIRECT("'"&amp;F1566&amp;"'!$E$2")="Location",
                "Cash Accounts",
                IF(INDIRECT("'"&amp;F1566&amp;"'!$B$2")="Amount",
                    "Investments",
                    "Bill Accounts"
                )
            )
        ),
    "")
)</f>
        <v/>
      </c>
      <c r="I1566" s="46" t="str" cm="1">
        <f t="array" aca="1" ref="I1566" ca="1">IF(F1566&lt;&gt;"",IF(OR(G1566="Bill Accounts",G1566="Investments", G1566="Cash Accounts"),INDIRECT("'"&amp;F1566&amp;"'!$C$10"),INDIRECT("'"&amp;F1566&amp;"'!$C$8")),"")</f>
        <v/>
      </c>
      <c r="K1566" s="48">
        <f t="shared" si="75"/>
        <v>1572</v>
      </c>
      <c r="L1566" s="114" t="str" cm="1">
        <f t="array" aca="1" ref="L1566" ca="1">IF(F1566&lt;&gt;"",INDIRECT("'"&amp;F1566&amp;"'!$F$17"),"")</f>
        <v/>
      </c>
      <c r="M1566" s="116" t="str">
        <f t="shared" ca="1" si="73"/>
        <v/>
      </c>
      <c r="O1566" s="49" t="str">
        <f t="shared" ca="1" si="74"/>
        <v/>
      </c>
      <c r="P1566" s="38" t="str">
        <f>IF(E1566&lt;&gt;"",RANK(E1566,$E$3:$E$2298)+COUNTIF($E$3:E1566,E1566)-1,"")</f>
        <v/>
      </c>
    </row>
    <row r="1567" spans="4:16" x14ac:dyDescent="0.25">
      <c r="D1567" s="36" t="str" cm="1">
        <f t="array" aca="1" ref="D1567" ca="1">IFERROR(IF(INDIRECT("'"&amp;F1567&amp;"'!$C$5")&gt;0,DATE(YEAR(Dashboard!$AL$2),Dashboard!$AU$4,INDIRECT("'"&amp;F1567&amp;"'!$C$5")),""),"")</f>
        <v/>
      </c>
      <c r="G1567" s="38" t="str" cm="1">
        <f t="array" aca="1" ref="G1567" ca="1">IF(F1567="",
    "",
    IFERROR(
        IF(INDIRECT("'"&amp;F1567&amp;"'!$B$2")="Credit Limit",
            "Credit Accounts",
            IF(INDIRECT("'"&amp;F1567&amp;"'!$E$2")="Location",
                "Cash Accounts",
                IF(INDIRECT("'"&amp;F1567&amp;"'!$B$2")="Amount",
                    "Investments",
                    "Bill Accounts"
                )
            )
        ),
    "")
)</f>
        <v/>
      </c>
      <c r="I1567" s="46" t="str" cm="1">
        <f t="array" aca="1" ref="I1567" ca="1">IF(F1567&lt;&gt;"",IF(OR(G1567="Bill Accounts",G1567="Investments", G1567="Cash Accounts"),INDIRECT("'"&amp;F1567&amp;"'!$C$10"),INDIRECT("'"&amp;F1567&amp;"'!$C$8")),"")</f>
        <v/>
      </c>
      <c r="K1567" s="48">
        <f t="shared" si="75"/>
        <v>1573</v>
      </c>
      <c r="L1567" s="114" t="str" cm="1">
        <f t="array" aca="1" ref="L1567" ca="1">IF(F1567&lt;&gt;"",INDIRECT("'"&amp;F1567&amp;"'!$F$17"),"")</f>
        <v/>
      </c>
      <c r="M1567" s="116" t="str">
        <f t="shared" ca="1" si="73"/>
        <v/>
      </c>
      <c r="O1567" s="49" t="str">
        <f t="shared" ca="1" si="74"/>
        <v/>
      </c>
      <c r="P1567" s="38" t="str">
        <f>IF(E1567&lt;&gt;"",RANK(E1567,$E$3:$E$2298)+COUNTIF($E$3:E1567,E1567)-1,"")</f>
        <v/>
      </c>
    </row>
    <row r="1568" spans="4:16" x14ac:dyDescent="0.25">
      <c r="D1568" s="36" t="str" cm="1">
        <f t="array" aca="1" ref="D1568" ca="1">IFERROR(IF(INDIRECT("'"&amp;F1568&amp;"'!$C$5")&gt;0,DATE(YEAR(Dashboard!$AL$2),Dashboard!$AU$4,INDIRECT("'"&amp;F1568&amp;"'!$C$5")),""),"")</f>
        <v/>
      </c>
      <c r="G1568" s="38" t="str" cm="1">
        <f t="array" aca="1" ref="G1568" ca="1">IF(F1568="",
    "",
    IFERROR(
        IF(INDIRECT("'"&amp;F1568&amp;"'!$B$2")="Credit Limit",
            "Credit Accounts",
            IF(INDIRECT("'"&amp;F1568&amp;"'!$E$2")="Location",
                "Cash Accounts",
                IF(INDIRECT("'"&amp;F1568&amp;"'!$B$2")="Amount",
                    "Investments",
                    "Bill Accounts"
                )
            )
        ),
    "")
)</f>
        <v/>
      </c>
      <c r="I1568" s="46" t="str" cm="1">
        <f t="array" aca="1" ref="I1568" ca="1">IF(F1568&lt;&gt;"",IF(OR(G1568="Bill Accounts",G1568="Investments", G1568="Cash Accounts"),INDIRECT("'"&amp;F1568&amp;"'!$C$10"),INDIRECT("'"&amp;F1568&amp;"'!$C$8")),"")</f>
        <v/>
      </c>
      <c r="K1568" s="48">
        <f t="shared" si="75"/>
        <v>1574</v>
      </c>
      <c r="L1568" s="114" t="str" cm="1">
        <f t="array" aca="1" ref="L1568" ca="1">IF(F1568&lt;&gt;"",INDIRECT("'"&amp;F1568&amp;"'!$F$17"),"")</f>
        <v/>
      </c>
      <c r="M1568" s="116" t="str">
        <f t="shared" ca="1" si="73"/>
        <v/>
      </c>
      <c r="O1568" s="49" t="str">
        <f t="shared" ca="1" si="74"/>
        <v/>
      </c>
      <c r="P1568" s="38" t="str">
        <f>IF(E1568&lt;&gt;"",RANK(E1568,$E$3:$E$2298)+COUNTIF($E$3:E1568,E1568)-1,"")</f>
        <v/>
      </c>
    </row>
    <row r="1569" spans="4:16" x14ac:dyDescent="0.25">
      <c r="D1569" s="36" t="str" cm="1">
        <f t="array" aca="1" ref="D1569" ca="1">IFERROR(IF(INDIRECT("'"&amp;F1569&amp;"'!$C$5")&gt;0,DATE(YEAR(Dashboard!$AL$2),Dashboard!$AU$4,INDIRECT("'"&amp;F1569&amp;"'!$C$5")),""),"")</f>
        <v/>
      </c>
      <c r="G1569" s="38" t="str" cm="1">
        <f t="array" aca="1" ref="G1569" ca="1">IF(F1569="",
    "",
    IFERROR(
        IF(INDIRECT("'"&amp;F1569&amp;"'!$B$2")="Credit Limit",
            "Credit Accounts",
            IF(INDIRECT("'"&amp;F1569&amp;"'!$E$2")="Location",
                "Cash Accounts",
                IF(INDIRECT("'"&amp;F1569&amp;"'!$B$2")="Amount",
                    "Investments",
                    "Bill Accounts"
                )
            )
        ),
    "")
)</f>
        <v/>
      </c>
      <c r="I1569" s="46" t="str" cm="1">
        <f t="array" aca="1" ref="I1569" ca="1">IF(F1569&lt;&gt;"",IF(OR(G1569="Bill Accounts",G1569="Investments", G1569="Cash Accounts"),INDIRECT("'"&amp;F1569&amp;"'!$C$10"),INDIRECT("'"&amp;F1569&amp;"'!$C$8")),"")</f>
        <v/>
      </c>
      <c r="K1569" s="48">
        <f t="shared" si="75"/>
        <v>1575</v>
      </c>
      <c r="L1569" s="114" t="str" cm="1">
        <f t="array" aca="1" ref="L1569" ca="1">IF(F1569&lt;&gt;"",INDIRECT("'"&amp;F1569&amp;"'!$F$17"),"")</f>
        <v/>
      </c>
      <c r="M1569" s="116" t="str">
        <f t="shared" ca="1" si="73"/>
        <v/>
      </c>
      <c r="O1569" s="49" t="str">
        <f t="shared" ca="1" si="74"/>
        <v/>
      </c>
      <c r="P1569" s="38" t="str">
        <f>IF(E1569&lt;&gt;"",RANK(E1569,$E$3:$E$2298)+COUNTIF($E$3:E1569,E1569)-1,"")</f>
        <v/>
      </c>
    </row>
    <row r="1570" spans="4:16" x14ac:dyDescent="0.25">
      <c r="D1570" s="36" t="str" cm="1">
        <f t="array" aca="1" ref="D1570" ca="1">IFERROR(IF(INDIRECT("'"&amp;F1570&amp;"'!$C$5")&gt;0,DATE(YEAR(Dashboard!$AL$2),Dashboard!$AU$4,INDIRECT("'"&amp;F1570&amp;"'!$C$5")),""),"")</f>
        <v/>
      </c>
      <c r="G1570" s="38" t="str" cm="1">
        <f t="array" aca="1" ref="G1570" ca="1">IF(F1570="",
    "",
    IFERROR(
        IF(INDIRECT("'"&amp;F1570&amp;"'!$B$2")="Credit Limit",
            "Credit Accounts",
            IF(INDIRECT("'"&amp;F1570&amp;"'!$E$2")="Location",
                "Cash Accounts",
                IF(INDIRECT("'"&amp;F1570&amp;"'!$B$2")="Amount",
                    "Investments",
                    "Bill Accounts"
                )
            )
        ),
    "")
)</f>
        <v/>
      </c>
      <c r="I1570" s="46" t="str" cm="1">
        <f t="array" aca="1" ref="I1570" ca="1">IF(F1570&lt;&gt;"",IF(OR(G1570="Bill Accounts",G1570="Investments", G1570="Cash Accounts"),INDIRECT("'"&amp;F1570&amp;"'!$C$10"),INDIRECT("'"&amp;F1570&amp;"'!$C$8")),"")</f>
        <v/>
      </c>
      <c r="K1570" s="48">
        <f t="shared" si="75"/>
        <v>1576</v>
      </c>
      <c r="L1570" s="114" t="str" cm="1">
        <f t="array" aca="1" ref="L1570" ca="1">IF(F1570&lt;&gt;"",INDIRECT("'"&amp;F1570&amp;"'!$F$17"),"")</f>
        <v/>
      </c>
      <c r="M1570" s="116" t="str">
        <f t="shared" ca="1" si="73"/>
        <v/>
      </c>
      <c r="O1570" s="49" t="str">
        <f t="shared" ca="1" si="74"/>
        <v/>
      </c>
      <c r="P1570" s="38" t="str">
        <f>IF(E1570&lt;&gt;"",RANK(E1570,$E$3:$E$2298)+COUNTIF($E$3:E1570,E1570)-1,"")</f>
        <v/>
      </c>
    </row>
    <row r="1571" spans="4:16" x14ac:dyDescent="0.25">
      <c r="D1571" s="36" t="str" cm="1">
        <f t="array" aca="1" ref="D1571" ca="1">IFERROR(IF(INDIRECT("'"&amp;F1571&amp;"'!$C$5")&gt;0,DATE(YEAR(Dashboard!$AL$2),Dashboard!$AU$4,INDIRECT("'"&amp;F1571&amp;"'!$C$5")),""),"")</f>
        <v/>
      </c>
      <c r="G1571" s="38" t="str" cm="1">
        <f t="array" aca="1" ref="G1571" ca="1">IF(F1571="",
    "",
    IFERROR(
        IF(INDIRECT("'"&amp;F1571&amp;"'!$B$2")="Credit Limit",
            "Credit Accounts",
            IF(INDIRECT("'"&amp;F1571&amp;"'!$E$2")="Location",
                "Cash Accounts",
                IF(INDIRECT("'"&amp;F1571&amp;"'!$B$2")="Amount",
                    "Investments",
                    "Bill Accounts"
                )
            )
        ),
    "")
)</f>
        <v/>
      </c>
      <c r="I1571" s="46" t="str" cm="1">
        <f t="array" aca="1" ref="I1571" ca="1">IF(F1571&lt;&gt;"",IF(OR(G1571="Bill Accounts",G1571="Investments", G1571="Cash Accounts"),INDIRECT("'"&amp;F1571&amp;"'!$C$10"),INDIRECT("'"&amp;F1571&amp;"'!$C$8")),"")</f>
        <v/>
      </c>
      <c r="K1571" s="48">
        <f t="shared" si="75"/>
        <v>1577</v>
      </c>
      <c r="L1571" s="114" t="str" cm="1">
        <f t="array" aca="1" ref="L1571" ca="1">IF(F1571&lt;&gt;"",INDIRECT("'"&amp;F1571&amp;"'!$F$17"),"")</f>
        <v/>
      </c>
      <c r="M1571" s="116" t="str">
        <f t="shared" ca="1" si="73"/>
        <v/>
      </c>
      <c r="O1571" s="49" t="str">
        <f t="shared" ca="1" si="74"/>
        <v/>
      </c>
      <c r="P1571" s="38" t="str">
        <f>IF(E1571&lt;&gt;"",RANK(E1571,$E$3:$E$2298)+COUNTIF($E$3:E1571,E1571)-1,"")</f>
        <v/>
      </c>
    </row>
    <row r="1572" spans="4:16" x14ac:dyDescent="0.25">
      <c r="D1572" s="36" t="str" cm="1">
        <f t="array" aca="1" ref="D1572" ca="1">IFERROR(IF(INDIRECT("'"&amp;F1572&amp;"'!$C$5")&gt;0,DATE(YEAR(Dashboard!$AL$2),Dashboard!$AU$4,INDIRECT("'"&amp;F1572&amp;"'!$C$5")),""),"")</f>
        <v/>
      </c>
      <c r="G1572" s="38" t="str" cm="1">
        <f t="array" aca="1" ref="G1572" ca="1">IF(F1572="",
    "",
    IFERROR(
        IF(INDIRECT("'"&amp;F1572&amp;"'!$B$2")="Credit Limit",
            "Credit Accounts",
            IF(INDIRECT("'"&amp;F1572&amp;"'!$E$2")="Location",
                "Cash Accounts",
                IF(INDIRECT("'"&amp;F1572&amp;"'!$B$2")="Amount",
                    "Investments",
                    "Bill Accounts"
                )
            )
        ),
    "")
)</f>
        <v/>
      </c>
      <c r="I1572" s="46" t="str" cm="1">
        <f t="array" aca="1" ref="I1572" ca="1">IF(F1572&lt;&gt;"",IF(OR(G1572="Bill Accounts",G1572="Investments", G1572="Cash Accounts"),INDIRECT("'"&amp;F1572&amp;"'!$C$10"),INDIRECT("'"&amp;F1572&amp;"'!$C$8")),"")</f>
        <v/>
      </c>
      <c r="K1572" s="48">
        <f t="shared" si="75"/>
        <v>1578</v>
      </c>
      <c r="L1572" s="114" t="str" cm="1">
        <f t="array" aca="1" ref="L1572" ca="1">IF(F1572&lt;&gt;"",INDIRECT("'"&amp;F1572&amp;"'!$F$17"),"")</f>
        <v/>
      </c>
      <c r="M1572" s="116" t="str">
        <f t="shared" ca="1" si="73"/>
        <v/>
      </c>
      <c r="O1572" s="49" t="str">
        <f t="shared" ca="1" si="74"/>
        <v/>
      </c>
      <c r="P1572" s="38" t="str">
        <f>IF(E1572&lt;&gt;"",RANK(E1572,$E$3:$E$2298)+COUNTIF($E$3:E1572,E1572)-1,"")</f>
        <v/>
      </c>
    </row>
    <row r="1573" spans="4:16" x14ac:dyDescent="0.25">
      <c r="D1573" s="36" t="str" cm="1">
        <f t="array" aca="1" ref="D1573" ca="1">IFERROR(IF(INDIRECT("'"&amp;F1573&amp;"'!$C$5")&gt;0,DATE(YEAR(Dashboard!$AL$2),Dashboard!$AU$4,INDIRECT("'"&amp;F1573&amp;"'!$C$5")),""),"")</f>
        <v/>
      </c>
      <c r="G1573" s="38" t="str" cm="1">
        <f t="array" aca="1" ref="G1573" ca="1">IF(F1573="",
    "",
    IFERROR(
        IF(INDIRECT("'"&amp;F1573&amp;"'!$B$2")="Credit Limit",
            "Credit Accounts",
            IF(INDIRECT("'"&amp;F1573&amp;"'!$E$2")="Location",
                "Cash Accounts",
                IF(INDIRECT("'"&amp;F1573&amp;"'!$B$2")="Amount",
                    "Investments",
                    "Bill Accounts"
                )
            )
        ),
    "")
)</f>
        <v/>
      </c>
      <c r="I1573" s="46" t="str" cm="1">
        <f t="array" aca="1" ref="I1573" ca="1">IF(F1573&lt;&gt;"",IF(OR(G1573="Bill Accounts",G1573="Investments", G1573="Cash Accounts"),INDIRECT("'"&amp;F1573&amp;"'!$C$10"),INDIRECT("'"&amp;F1573&amp;"'!$C$8")),"")</f>
        <v/>
      </c>
      <c r="K1573" s="48">
        <f t="shared" si="75"/>
        <v>1579</v>
      </c>
      <c r="L1573" s="114" t="str" cm="1">
        <f t="array" aca="1" ref="L1573" ca="1">IF(F1573&lt;&gt;"",INDIRECT("'"&amp;F1573&amp;"'!$F$17"),"")</f>
        <v/>
      </c>
      <c r="M1573" s="116" t="str">
        <f t="shared" ca="1" si="73"/>
        <v/>
      </c>
      <c r="O1573" s="49" t="str">
        <f t="shared" ca="1" si="74"/>
        <v/>
      </c>
      <c r="P1573" s="38" t="str">
        <f>IF(E1573&lt;&gt;"",RANK(E1573,$E$3:$E$2298)+COUNTIF($E$3:E1573,E1573)-1,"")</f>
        <v/>
      </c>
    </row>
    <row r="1574" spans="4:16" x14ac:dyDescent="0.25">
      <c r="D1574" s="36" t="str" cm="1">
        <f t="array" aca="1" ref="D1574" ca="1">IFERROR(IF(INDIRECT("'"&amp;F1574&amp;"'!$C$5")&gt;0,DATE(YEAR(Dashboard!$AL$2),Dashboard!$AU$4,INDIRECT("'"&amp;F1574&amp;"'!$C$5")),""),"")</f>
        <v/>
      </c>
      <c r="G1574" s="38" t="str" cm="1">
        <f t="array" aca="1" ref="G1574" ca="1">IF(F1574="",
    "",
    IFERROR(
        IF(INDIRECT("'"&amp;F1574&amp;"'!$B$2")="Credit Limit",
            "Credit Accounts",
            IF(INDIRECT("'"&amp;F1574&amp;"'!$E$2")="Location",
                "Cash Accounts",
                IF(INDIRECT("'"&amp;F1574&amp;"'!$B$2")="Amount",
                    "Investments",
                    "Bill Accounts"
                )
            )
        ),
    "")
)</f>
        <v/>
      </c>
      <c r="I1574" s="46" t="str" cm="1">
        <f t="array" aca="1" ref="I1574" ca="1">IF(F1574&lt;&gt;"",IF(OR(G1574="Bill Accounts",G1574="Investments", G1574="Cash Accounts"),INDIRECT("'"&amp;F1574&amp;"'!$C$10"),INDIRECT("'"&amp;F1574&amp;"'!$C$8")),"")</f>
        <v/>
      </c>
      <c r="K1574" s="48">
        <f t="shared" si="75"/>
        <v>1580</v>
      </c>
      <c r="L1574" s="114" t="str" cm="1">
        <f t="array" aca="1" ref="L1574" ca="1">IF(F1574&lt;&gt;"",INDIRECT("'"&amp;F1574&amp;"'!$F$17"),"")</f>
        <v/>
      </c>
      <c r="M1574" s="116" t="str">
        <f t="shared" ca="1" si="73"/>
        <v/>
      </c>
      <c r="O1574" s="49" t="str">
        <f t="shared" ca="1" si="74"/>
        <v/>
      </c>
      <c r="P1574" s="38" t="str">
        <f>IF(E1574&lt;&gt;"",RANK(E1574,$E$3:$E$2298)+COUNTIF($E$3:E1574,E1574)-1,"")</f>
        <v/>
      </c>
    </row>
    <row r="1575" spans="4:16" x14ac:dyDescent="0.25">
      <c r="D1575" s="36" t="str" cm="1">
        <f t="array" aca="1" ref="D1575" ca="1">IFERROR(IF(INDIRECT("'"&amp;F1575&amp;"'!$C$5")&gt;0,DATE(YEAR(Dashboard!$AL$2),Dashboard!$AU$4,INDIRECT("'"&amp;F1575&amp;"'!$C$5")),""),"")</f>
        <v/>
      </c>
      <c r="G1575" s="38" t="str" cm="1">
        <f t="array" aca="1" ref="G1575" ca="1">IF(F1575="",
    "",
    IFERROR(
        IF(INDIRECT("'"&amp;F1575&amp;"'!$B$2")="Credit Limit",
            "Credit Accounts",
            IF(INDIRECT("'"&amp;F1575&amp;"'!$E$2")="Location",
                "Cash Accounts",
                IF(INDIRECT("'"&amp;F1575&amp;"'!$B$2")="Amount",
                    "Investments",
                    "Bill Accounts"
                )
            )
        ),
    "")
)</f>
        <v/>
      </c>
      <c r="I1575" s="46" t="str" cm="1">
        <f t="array" aca="1" ref="I1575" ca="1">IF(F1575&lt;&gt;"",IF(OR(G1575="Bill Accounts",G1575="Investments", G1575="Cash Accounts"),INDIRECT("'"&amp;F1575&amp;"'!$C$10"),INDIRECT("'"&amp;F1575&amp;"'!$C$8")),"")</f>
        <v/>
      </c>
      <c r="K1575" s="48">
        <f t="shared" si="75"/>
        <v>1581</v>
      </c>
      <c r="L1575" s="114" t="str" cm="1">
        <f t="array" aca="1" ref="L1575" ca="1">IF(F1575&lt;&gt;"",INDIRECT("'"&amp;F1575&amp;"'!$F$17"),"")</f>
        <v/>
      </c>
      <c r="M1575" s="116" t="str">
        <f t="shared" ca="1" si="73"/>
        <v/>
      </c>
      <c r="O1575" s="49" t="str">
        <f t="shared" ca="1" si="74"/>
        <v/>
      </c>
      <c r="P1575" s="38" t="str">
        <f>IF(E1575&lt;&gt;"",RANK(E1575,$E$3:$E$2298)+COUNTIF($E$3:E1575,E1575)-1,"")</f>
        <v/>
      </c>
    </row>
    <row r="1576" spans="4:16" x14ac:dyDescent="0.25">
      <c r="D1576" s="36" t="str" cm="1">
        <f t="array" aca="1" ref="D1576" ca="1">IFERROR(IF(INDIRECT("'"&amp;F1576&amp;"'!$C$5")&gt;0,DATE(YEAR(Dashboard!$AL$2),Dashboard!$AU$4,INDIRECT("'"&amp;F1576&amp;"'!$C$5")),""),"")</f>
        <v/>
      </c>
      <c r="G1576" s="38" t="str" cm="1">
        <f t="array" aca="1" ref="G1576" ca="1">IF(F1576="",
    "",
    IFERROR(
        IF(INDIRECT("'"&amp;F1576&amp;"'!$B$2")="Credit Limit",
            "Credit Accounts",
            IF(INDIRECT("'"&amp;F1576&amp;"'!$E$2")="Location",
                "Cash Accounts",
                IF(INDIRECT("'"&amp;F1576&amp;"'!$B$2")="Amount",
                    "Investments",
                    "Bill Accounts"
                )
            )
        ),
    "")
)</f>
        <v/>
      </c>
      <c r="I1576" s="46" t="str" cm="1">
        <f t="array" aca="1" ref="I1576" ca="1">IF(F1576&lt;&gt;"",IF(OR(G1576="Bill Accounts",G1576="Investments", G1576="Cash Accounts"),INDIRECT("'"&amp;F1576&amp;"'!$C$10"),INDIRECT("'"&amp;F1576&amp;"'!$C$8")),"")</f>
        <v/>
      </c>
      <c r="K1576" s="48">
        <f t="shared" si="75"/>
        <v>1582</v>
      </c>
      <c r="L1576" s="114" t="str" cm="1">
        <f t="array" aca="1" ref="L1576" ca="1">IF(F1576&lt;&gt;"",INDIRECT("'"&amp;F1576&amp;"'!$F$17"),"")</f>
        <v/>
      </c>
      <c r="M1576" s="116" t="str">
        <f t="shared" ca="1" si="73"/>
        <v/>
      </c>
      <c r="O1576" s="49" t="str">
        <f t="shared" ca="1" si="74"/>
        <v/>
      </c>
      <c r="P1576" s="38" t="str">
        <f>IF(E1576&lt;&gt;"",RANK(E1576,$E$3:$E$2298)+COUNTIF($E$3:E1576,E1576)-1,"")</f>
        <v/>
      </c>
    </row>
    <row r="1577" spans="4:16" x14ac:dyDescent="0.25">
      <c r="D1577" s="36" t="str" cm="1">
        <f t="array" aca="1" ref="D1577" ca="1">IFERROR(IF(INDIRECT("'"&amp;F1577&amp;"'!$C$5")&gt;0,DATE(YEAR(Dashboard!$AL$2),Dashboard!$AU$4,INDIRECT("'"&amp;F1577&amp;"'!$C$5")),""),"")</f>
        <v/>
      </c>
      <c r="G1577" s="38" t="str" cm="1">
        <f t="array" aca="1" ref="G1577" ca="1">IF(F1577="",
    "",
    IFERROR(
        IF(INDIRECT("'"&amp;F1577&amp;"'!$B$2")="Credit Limit",
            "Credit Accounts",
            IF(INDIRECT("'"&amp;F1577&amp;"'!$E$2")="Location",
                "Cash Accounts",
                IF(INDIRECT("'"&amp;F1577&amp;"'!$B$2")="Amount",
                    "Investments",
                    "Bill Accounts"
                )
            )
        ),
    "")
)</f>
        <v/>
      </c>
      <c r="I1577" s="46" t="str" cm="1">
        <f t="array" aca="1" ref="I1577" ca="1">IF(F1577&lt;&gt;"",IF(OR(G1577="Bill Accounts",G1577="Investments", G1577="Cash Accounts"),INDIRECT("'"&amp;F1577&amp;"'!$C$10"),INDIRECT("'"&amp;F1577&amp;"'!$C$8")),"")</f>
        <v/>
      </c>
      <c r="K1577" s="48">
        <f t="shared" si="75"/>
        <v>1583</v>
      </c>
      <c r="L1577" s="114" t="str" cm="1">
        <f t="array" aca="1" ref="L1577" ca="1">IF(F1577&lt;&gt;"",INDIRECT("'"&amp;F1577&amp;"'!$F$17"),"")</f>
        <v/>
      </c>
      <c r="M1577" s="116" t="str">
        <f t="shared" ca="1" si="73"/>
        <v/>
      </c>
      <c r="O1577" s="49" t="str">
        <f t="shared" ca="1" si="74"/>
        <v/>
      </c>
      <c r="P1577" s="38" t="str">
        <f>IF(E1577&lt;&gt;"",RANK(E1577,$E$3:$E$2298)+COUNTIF($E$3:E1577,E1577)-1,"")</f>
        <v/>
      </c>
    </row>
    <row r="1578" spans="4:16" x14ac:dyDescent="0.25">
      <c r="D1578" s="36" t="str" cm="1">
        <f t="array" aca="1" ref="D1578" ca="1">IFERROR(IF(INDIRECT("'"&amp;F1578&amp;"'!$C$5")&gt;0,DATE(YEAR(Dashboard!$AL$2),Dashboard!$AU$4,INDIRECT("'"&amp;F1578&amp;"'!$C$5")),""),"")</f>
        <v/>
      </c>
      <c r="G1578" s="38" t="str" cm="1">
        <f t="array" aca="1" ref="G1578" ca="1">IF(F1578="",
    "",
    IFERROR(
        IF(INDIRECT("'"&amp;F1578&amp;"'!$B$2")="Credit Limit",
            "Credit Accounts",
            IF(INDIRECT("'"&amp;F1578&amp;"'!$E$2")="Location",
                "Cash Accounts",
                IF(INDIRECT("'"&amp;F1578&amp;"'!$B$2")="Amount",
                    "Investments",
                    "Bill Accounts"
                )
            )
        ),
    "")
)</f>
        <v/>
      </c>
      <c r="I1578" s="46" t="str" cm="1">
        <f t="array" aca="1" ref="I1578" ca="1">IF(F1578&lt;&gt;"",IF(OR(G1578="Bill Accounts",G1578="Investments", G1578="Cash Accounts"),INDIRECT("'"&amp;F1578&amp;"'!$C$10"),INDIRECT("'"&amp;F1578&amp;"'!$C$8")),"")</f>
        <v/>
      </c>
      <c r="K1578" s="48">
        <f t="shared" si="75"/>
        <v>1584</v>
      </c>
      <c r="L1578" s="114" t="str" cm="1">
        <f t="array" aca="1" ref="L1578" ca="1">IF(F1578&lt;&gt;"",INDIRECT("'"&amp;F1578&amp;"'!$F$17"),"")</f>
        <v/>
      </c>
      <c r="M1578" s="116" t="str">
        <f t="shared" ca="1" si="73"/>
        <v/>
      </c>
      <c r="O1578" s="49" t="str">
        <f t="shared" ca="1" si="74"/>
        <v/>
      </c>
      <c r="P1578" s="38" t="str">
        <f>IF(E1578&lt;&gt;"",RANK(E1578,$E$3:$E$2298)+COUNTIF($E$3:E1578,E1578)-1,"")</f>
        <v/>
      </c>
    </row>
    <row r="1579" spans="4:16" x14ac:dyDescent="0.25">
      <c r="D1579" s="36" t="str" cm="1">
        <f t="array" aca="1" ref="D1579" ca="1">IFERROR(IF(INDIRECT("'"&amp;F1579&amp;"'!$C$5")&gt;0,DATE(YEAR(Dashboard!$AL$2),Dashboard!$AU$4,INDIRECT("'"&amp;F1579&amp;"'!$C$5")),""),"")</f>
        <v/>
      </c>
      <c r="G1579" s="38" t="str" cm="1">
        <f t="array" aca="1" ref="G1579" ca="1">IF(F1579="",
    "",
    IFERROR(
        IF(INDIRECT("'"&amp;F1579&amp;"'!$B$2")="Credit Limit",
            "Credit Accounts",
            IF(INDIRECT("'"&amp;F1579&amp;"'!$E$2")="Location",
                "Cash Accounts",
                IF(INDIRECT("'"&amp;F1579&amp;"'!$B$2")="Amount",
                    "Investments",
                    "Bill Accounts"
                )
            )
        ),
    "")
)</f>
        <v/>
      </c>
      <c r="I1579" s="46" t="str" cm="1">
        <f t="array" aca="1" ref="I1579" ca="1">IF(F1579&lt;&gt;"",IF(OR(G1579="Bill Accounts",G1579="Investments", G1579="Cash Accounts"),INDIRECT("'"&amp;F1579&amp;"'!$C$10"),INDIRECT("'"&amp;F1579&amp;"'!$C$8")),"")</f>
        <v/>
      </c>
      <c r="K1579" s="48">
        <f t="shared" si="75"/>
        <v>1585</v>
      </c>
      <c r="L1579" s="114" t="str" cm="1">
        <f t="array" aca="1" ref="L1579" ca="1">IF(F1579&lt;&gt;"",INDIRECT("'"&amp;F1579&amp;"'!$F$17"),"")</f>
        <v/>
      </c>
      <c r="M1579" s="116" t="str">
        <f t="shared" ca="1" si="73"/>
        <v/>
      </c>
      <c r="O1579" s="49" t="str">
        <f t="shared" ca="1" si="74"/>
        <v/>
      </c>
      <c r="P1579" s="38" t="str">
        <f>IF(E1579&lt;&gt;"",RANK(E1579,$E$3:$E$2298)+COUNTIF($E$3:E1579,E1579)-1,"")</f>
        <v/>
      </c>
    </row>
    <row r="1580" spans="4:16" x14ac:dyDescent="0.25">
      <c r="D1580" s="36" t="str" cm="1">
        <f t="array" aca="1" ref="D1580" ca="1">IFERROR(IF(INDIRECT("'"&amp;F1580&amp;"'!$C$5")&gt;0,DATE(YEAR(Dashboard!$AL$2),Dashboard!$AU$4,INDIRECT("'"&amp;F1580&amp;"'!$C$5")),""),"")</f>
        <v/>
      </c>
      <c r="G1580" s="38" t="str" cm="1">
        <f t="array" aca="1" ref="G1580" ca="1">IF(F1580="",
    "",
    IFERROR(
        IF(INDIRECT("'"&amp;F1580&amp;"'!$B$2")="Credit Limit",
            "Credit Accounts",
            IF(INDIRECT("'"&amp;F1580&amp;"'!$E$2")="Location",
                "Cash Accounts",
                IF(INDIRECT("'"&amp;F1580&amp;"'!$B$2")="Amount",
                    "Investments",
                    "Bill Accounts"
                )
            )
        ),
    "")
)</f>
        <v/>
      </c>
      <c r="I1580" s="46" t="str" cm="1">
        <f t="array" aca="1" ref="I1580" ca="1">IF(F1580&lt;&gt;"",IF(OR(G1580="Bill Accounts",G1580="Investments", G1580="Cash Accounts"),INDIRECT("'"&amp;F1580&amp;"'!$C$10"),INDIRECT("'"&amp;F1580&amp;"'!$C$8")),"")</f>
        <v/>
      </c>
      <c r="K1580" s="48">
        <f t="shared" si="75"/>
        <v>1586</v>
      </c>
      <c r="L1580" s="114" t="str" cm="1">
        <f t="array" aca="1" ref="L1580" ca="1">IF(F1580&lt;&gt;"",INDIRECT("'"&amp;F1580&amp;"'!$F$17"),"")</f>
        <v/>
      </c>
      <c r="M1580" s="116" t="str">
        <f t="shared" ca="1" si="73"/>
        <v/>
      </c>
      <c r="O1580" s="49" t="str">
        <f t="shared" ca="1" si="74"/>
        <v/>
      </c>
      <c r="P1580" s="38" t="str">
        <f>IF(E1580&lt;&gt;"",RANK(E1580,$E$3:$E$2298)+COUNTIF($E$3:E1580,E1580)-1,"")</f>
        <v/>
      </c>
    </row>
    <row r="1581" spans="4:16" x14ac:dyDescent="0.25">
      <c r="D1581" s="36" t="str" cm="1">
        <f t="array" aca="1" ref="D1581" ca="1">IFERROR(IF(INDIRECT("'"&amp;F1581&amp;"'!$C$5")&gt;0,DATE(YEAR(Dashboard!$AL$2),Dashboard!$AU$4,INDIRECT("'"&amp;F1581&amp;"'!$C$5")),""),"")</f>
        <v/>
      </c>
      <c r="G1581" s="38" t="str" cm="1">
        <f t="array" aca="1" ref="G1581" ca="1">IF(F1581="",
    "",
    IFERROR(
        IF(INDIRECT("'"&amp;F1581&amp;"'!$B$2")="Credit Limit",
            "Credit Accounts",
            IF(INDIRECT("'"&amp;F1581&amp;"'!$E$2")="Location",
                "Cash Accounts",
                IF(INDIRECT("'"&amp;F1581&amp;"'!$B$2")="Amount",
                    "Investments",
                    "Bill Accounts"
                )
            )
        ),
    "")
)</f>
        <v/>
      </c>
      <c r="I1581" s="46" t="str" cm="1">
        <f t="array" aca="1" ref="I1581" ca="1">IF(F1581&lt;&gt;"",IF(OR(G1581="Bill Accounts",G1581="Investments", G1581="Cash Accounts"),INDIRECT("'"&amp;F1581&amp;"'!$C$10"),INDIRECT("'"&amp;F1581&amp;"'!$C$8")),"")</f>
        <v/>
      </c>
      <c r="K1581" s="48">
        <f t="shared" si="75"/>
        <v>1587</v>
      </c>
      <c r="L1581" s="114" t="str" cm="1">
        <f t="array" aca="1" ref="L1581" ca="1">IF(F1581&lt;&gt;"",INDIRECT("'"&amp;F1581&amp;"'!$F$17"),"")</f>
        <v/>
      </c>
      <c r="M1581" s="116" t="str">
        <f t="shared" ca="1" si="73"/>
        <v/>
      </c>
      <c r="O1581" s="49" t="str">
        <f t="shared" ca="1" si="74"/>
        <v/>
      </c>
      <c r="P1581" s="38" t="str">
        <f>IF(E1581&lt;&gt;"",RANK(E1581,$E$3:$E$2298)+COUNTIF($E$3:E1581,E1581)-1,"")</f>
        <v/>
      </c>
    </row>
    <row r="1582" spans="4:16" x14ac:dyDescent="0.25">
      <c r="D1582" s="36" t="str" cm="1">
        <f t="array" aca="1" ref="D1582" ca="1">IFERROR(IF(INDIRECT("'"&amp;F1582&amp;"'!$C$5")&gt;0,DATE(YEAR(Dashboard!$AL$2),Dashboard!$AU$4,INDIRECT("'"&amp;F1582&amp;"'!$C$5")),""),"")</f>
        <v/>
      </c>
      <c r="G1582" s="38" t="str" cm="1">
        <f t="array" aca="1" ref="G1582" ca="1">IF(F1582="",
    "",
    IFERROR(
        IF(INDIRECT("'"&amp;F1582&amp;"'!$B$2")="Credit Limit",
            "Credit Accounts",
            IF(INDIRECT("'"&amp;F1582&amp;"'!$E$2")="Location",
                "Cash Accounts",
                IF(INDIRECT("'"&amp;F1582&amp;"'!$B$2")="Amount",
                    "Investments",
                    "Bill Accounts"
                )
            )
        ),
    "")
)</f>
        <v/>
      </c>
      <c r="I1582" s="46" t="str" cm="1">
        <f t="array" aca="1" ref="I1582" ca="1">IF(F1582&lt;&gt;"",IF(OR(G1582="Bill Accounts",G1582="Investments", G1582="Cash Accounts"),INDIRECT("'"&amp;F1582&amp;"'!$C$10"),INDIRECT("'"&amp;F1582&amp;"'!$C$8")),"")</f>
        <v/>
      </c>
      <c r="K1582" s="48">
        <f t="shared" si="75"/>
        <v>1588</v>
      </c>
      <c r="L1582" s="114" t="str" cm="1">
        <f t="array" aca="1" ref="L1582" ca="1">IF(F1582&lt;&gt;"",INDIRECT("'"&amp;F1582&amp;"'!$F$17"),"")</f>
        <v/>
      </c>
      <c r="M1582" s="116" t="str">
        <f t="shared" ca="1" si="73"/>
        <v/>
      </c>
      <c r="O1582" s="49" t="str">
        <f t="shared" ca="1" si="74"/>
        <v/>
      </c>
      <c r="P1582" s="38" t="str">
        <f>IF(E1582&lt;&gt;"",RANK(E1582,$E$3:$E$2298)+COUNTIF($E$3:E1582,E1582)-1,"")</f>
        <v/>
      </c>
    </row>
    <row r="1583" spans="4:16" x14ac:dyDescent="0.25">
      <c r="D1583" s="36" t="str" cm="1">
        <f t="array" aca="1" ref="D1583" ca="1">IFERROR(IF(INDIRECT("'"&amp;F1583&amp;"'!$C$5")&gt;0,DATE(YEAR(Dashboard!$AL$2),Dashboard!$AU$4,INDIRECT("'"&amp;F1583&amp;"'!$C$5")),""),"")</f>
        <v/>
      </c>
      <c r="G1583" s="38" t="str" cm="1">
        <f t="array" aca="1" ref="G1583" ca="1">IF(F1583="",
    "",
    IFERROR(
        IF(INDIRECT("'"&amp;F1583&amp;"'!$B$2")="Credit Limit",
            "Credit Accounts",
            IF(INDIRECT("'"&amp;F1583&amp;"'!$E$2")="Location",
                "Cash Accounts",
                IF(INDIRECT("'"&amp;F1583&amp;"'!$B$2")="Amount",
                    "Investments",
                    "Bill Accounts"
                )
            )
        ),
    "")
)</f>
        <v/>
      </c>
      <c r="I1583" s="46" t="str" cm="1">
        <f t="array" aca="1" ref="I1583" ca="1">IF(F1583&lt;&gt;"",IF(OR(G1583="Bill Accounts",G1583="Investments", G1583="Cash Accounts"),INDIRECT("'"&amp;F1583&amp;"'!$C$10"),INDIRECT("'"&amp;F1583&amp;"'!$C$8")),"")</f>
        <v/>
      </c>
      <c r="K1583" s="48">
        <f t="shared" si="75"/>
        <v>1589</v>
      </c>
      <c r="L1583" s="114" t="str" cm="1">
        <f t="array" aca="1" ref="L1583" ca="1">IF(F1583&lt;&gt;"",INDIRECT("'"&amp;F1583&amp;"'!$F$17"),"")</f>
        <v/>
      </c>
      <c r="M1583" s="116" t="str">
        <f t="shared" ca="1" si="73"/>
        <v/>
      </c>
      <c r="O1583" s="49" t="str">
        <f t="shared" ca="1" si="74"/>
        <v/>
      </c>
      <c r="P1583" s="38" t="str">
        <f>IF(E1583&lt;&gt;"",RANK(E1583,$E$3:$E$2298)+COUNTIF($E$3:E1583,E1583)-1,"")</f>
        <v/>
      </c>
    </row>
    <row r="1584" spans="4:16" x14ac:dyDescent="0.25">
      <c r="D1584" s="36" t="str" cm="1">
        <f t="array" aca="1" ref="D1584" ca="1">IFERROR(IF(INDIRECT("'"&amp;F1584&amp;"'!$C$5")&gt;0,DATE(YEAR(Dashboard!$AL$2),Dashboard!$AU$4,INDIRECT("'"&amp;F1584&amp;"'!$C$5")),""),"")</f>
        <v/>
      </c>
      <c r="G1584" s="38" t="str" cm="1">
        <f t="array" aca="1" ref="G1584" ca="1">IF(F1584="",
    "",
    IFERROR(
        IF(INDIRECT("'"&amp;F1584&amp;"'!$B$2")="Credit Limit",
            "Credit Accounts",
            IF(INDIRECT("'"&amp;F1584&amp;"'!$E$2")="Location",
                "Cash Accounts",
                IF(INDIRECT("'"&amp;F1584&amp;"'!$B$2")="Amount",
                    "Investments",
                    "Bill Accounts"
                )
            )
        ),
    "")
)</f>
        <v/>
      </c>
      <c r="I1584" s="46" t="str" cm="1">
        <f t="array" aca="1" ref="I1584" ca="1">IF(F1584&lt;&gt;"",IF(OR(G1584="Bill Accounts",G1584="Investments", G1584="Cash Accounts"),INDIRECT("'"&amp;F1584&amp;"'!$C$10"),INDIRECT("'"&amp;F1584&amp;"'!$C$8")),"")</f>
        <v/>
      </c>
      <c r="K1584" s="48">
        <f t="shared" si="75"/>
        <v>1590</v>
      </c>
      <c r="L1584" s="114" t="str" cm="1">
        <f t="array" aca="1" ref="L1584" ca="1">IF(F1584&lt;&gt;"",INDIRECT("'"&amp;F1584&amp;"'!$F$17"),"")</f>
        <v/>
      </c>
      <c r="M1584" s="116" t="str">
        <f t="shared" ca="1" si="73"/>
        <v/>
      </c>
      <c r="O1584" s="49" t="str">
        <f t="shared" ca="1" si="74"/>
        <v/>
      </c>
      <c r="P1584" s="38" t="str">
        <f>IF(E1584&lt;&gt;"",RANK(E1584,$E$3:$E$2298)+COUNTIF($E$3:E1584,E1584)-1,"")</f>
        <v/>
      </c>
    </row>
    <row r="1585" spans="4:16" x14ac:dyDescent="0.25">
      <c r="D1585" s="36" t="str" cm="1">
        <f t="array" aca="1" ref="D1585" ca="1">IFERROR(IF(INDIRECT("'"&amp;F1585&amp;"'!$C$5")&gt;0,DATE(YEAR(Dashboard!$AL$2),Dashboard!$AU$4,INDIRECT("'"&amp;F1585&amp;"'!$C$5")),""),"")</f>
        <v/>
      </c>
      <c r="G1585" s="38" t="str" cm="1">
        <f t="array" aca="1" ref="G1585" ca="1">IF(F1585="",
    "",
    IFERROR(
        IF(INDIRECT("'"&amp;F1585&amp;"'!$B$2")="Credit Limit",
            "Credit Accounts",
            IF(INDIRECT("'"&amp;F1585&amp;"'!$E$2")="Location",
                "Cash Accounts",
                IF(INDIRECT("'"&amp;F1585&amp;"'!$B$2")="Amount",
                    "Investments",
                    "Bill Accounts"
                )
            )
        ),
    "")
)</f>
        <v/>
      </c>
      <c r="I1585" s="46" t="str" cm="1">
        <f t="array" aca="1" ref="I1585" ca="1">IF(F1585&lt;&gt;"",IF(OR(G1585="Bill Accounts",G1585="Investments", G1585="Cash Accounts"),INDIRECT("'"&amp;F1585&amp;"'!$C$10"),INDIRECT("'"&amp;F1585&amp;"'!$C$8")),"")</f>
        <v/>
      </c>
      <c r="K1585" s="48">
        <f t="shared" si="75"/>
        <v>1591</v>
      </c>
      <c r="L1585" s="114" t="str" cm="1">
        <f t="array" aca="1" ref="L1585" ca="1">IF(F1585&lt;&gt;"",INDIRECT("'"&amp;F1585&amp;"'!$F$17"),"")</f>
        <v/>
      </c>
      <c r="M1585" s="116" t="str">
        <f t="shared" ca="1" si="73"/>
        <v/>
      </c>
      <c r="O1585" s="49" t="str">
        <f t="shared" ca="1" si="74"/>
        <v/>
      </c>
      <c r="P1585" s="38" t="str">
        <f>IF(E1585&lt;&gt;"",RANK(E1585,$E$3:$E$2298)+COUNTIF($E$3:E1585,E1585)-1,"")</f>
        <v/>
      </c>
    </row>
    <row r="1586" spans="4:16" x14ac:dyDescent="0.25">
      <c r="D1586" s="36" t="str" cm="1">
        <f t="array" aca="1" ref="D1586" ca="1">IFERROR(IF(INDIRECT("'"&amp;F1586&amp;"'!$C$5")&gt;0,DATE(YEAR(Dashboard!$AL$2),Dashboard!$AU$4,INDIRECT("'"&amp;F1586&amp;"'!$C$5")),""),"")</f>
        <v/>
      </c>
      <c r="G1586" s="38" t="str" cm="1">
        <f t="array" aca="1" ref="G1586" ca="1">IF(F1586="",
    "",
    IFERROR(
        IF(INDIRECT("'"&amp;F1586&amp;"'!$B$2")="Credit Limit",
            "Credit Accounts",
            IF(INDIRECT("'"&amp;F1586&amp;"'!$E$2")="Location",
                "Cash Accounts",
                IF(INDIRECT("'"&amp;F1586&amp;"'!$B$2")="Amount",
                    "Investments",
                    "Bill Accounts"
                )
            )
        ),
    "")
)</f>
        <v/>
      </c>
      <c r="I1586" s="46" t="str" cm="1">
        <f t="array" aca="1" ref="I1586" ca="1">IF(F1586&lt;&gt;"",IF(OR(G1586="Bill Accounts",G1586="Investments", G1586="Cash Accounts"),INDIRECT("'"&amp;F1586&amp;"'!$C$10"),INDIRECT("'"&amp;F1586&amp;"'!$C$8")),"")</f>
        <v/>
      </c>
      <c r="K1586" s="48">
        <f t="shared" si="75"/>
        <v>1592</v>
      </c>
      <c r="L1586" s="114" t="str" cm="1">
        <f t="array" aca="1" ref="L1586" ca="1">IF(F1586&lt;&gt;"",INDIRECT("'"&amp;F1586&amp;"'!$F$17"),"")</f>
        <v/>
      </c>
      <c r="M1586" s="116" t="str">
        <f t="shared" ca="1" si="73"/>
        <v/>
      </c>
      <c r="O1586" s="49" t="str">
        <f t="shared" ca="1" si="74"/>
        <v/>
      </c>
      <c r="P1586" s="38" t="str">
        <f>IF(E1586&lt;&gt;"",RANK(E1586,$E$3:$E$2298)+COUNTIF($E$3:E1586,E1586)-1,"")</f>
        <v/>
      </c>
    </row>
    <row r="1587" spans="4:16" x14ac:dyDescent="0.25">
      <c r="D1587" s="36" t="str" cm="1">
        <f t="array" aca="1" ref="D1587" ca="1">IFERROR(IF(INDIRECT("'"&amp;F1587&amp;"'!$C$5")&gt;0,DATE(YEAR(Dashboard!$AL$2),Dashboard!$AU$4,INDIRECT("'"&amp;F1587&amp;"'!$C$5")),""),"")</f>
        <v/>
      </c>
      <c r="G1587" s="38" t="str" cm="1">
        <f t="array" aca="1" ref="G1587" ca="1">IF(F1587="",
    "",
    IFERROR(
        IF(INDIRECT("'"&amp;F1587&amp;"'!$B$2")="Credit Limit",
            "Credit Accounts",
            IF(INDIRECT("'"&amp;F1587&amp;"'!$E$2")="Location",
                "Cash Accounts",
                IF(INDIRECT("'"&amp;F1587&amp;"'!$B$2")="Amount",
                    "Investments",
                    "Bill Accounts"
                )
            )
        ),
    "")
)</f>
        <v/>
      </c>
      <c r="I1587" s="46" t="str" cm="1">
        <f t="array" aca="1" ref="I1587" ca="1">IF(F1587&lt;&gt;"",IF(OR(G1587="Bill Accounts",G1587="Investments", G1587="Cash Accounts"),INDIRECT("'"&amp;F1587&amp;"'!$C$10"),INDIRECT("'"&amp;F1587&amp;"'!$C$8")),"")</f>
        <v/>
      </c>
      <c r="K1587" s="48">
        <f t="shared" si="75"/>
        <v>1593</v>
      </c>
      <c r="L1587" s="114" t="str" cm="1">
        <f t="array" aca="1" ref="L1587" ca="1">IF(F1587&lt;&gt;"",INDIRECT("'"&amp;F1587&amp;"'!$F$17"),"")</f>
        <v/>
      </c>
      <c r="M1587" s="116" t="str">
        <f t="shared" ca="1" si="73"/>
        <v/>
      </c>
      <c r="O1587" s="49" t="str">
        <f t="shared" ca="1" si="74"/>
        <v/>
      </c>
      <c r="P1587" s="38" t="str">
        <f>IF(E1587&lt;&gt;"",RANK(E1587,$E$3:$E$2298)+COUNTIF($E$3:E1587,E1587)-1,"")</f>
        <v/>
      </c>
    </row>
    <row r="1588" spans="4:16" x14ac:dyDescent="0.25">
      <c r="D1588" s="36" t="str" cm="1">
        <f t="array" aca="1" ref="D1588" ca="1">IFERROR(IF(INDIRECT("'"&amp;F1588&amp;"'!$C$5")&gt;0,DATE(YEAR(Dashboard!$AL$2),Dashboard!$AU$4,INDIRECT("'"&amp;F1588&amp;"'!$C$5")),""),"")</f>
        <v/>
      </c>
      <c r="G1588" s="38" t="str" cm="1">
        <f t="array" aca="1" ref="G1588" ca="1">IF(F1588="",
    "",
    IFERROR(
        IF(INDIRECT("'"&amp;F1588&amp;"'!$B$2")="Credit Limit",
            "Credit Accounts",
            IF(INDIRECT("'"&amp;F1588&amp;"'!$E$2")="Location",
                "Cash Accounts",
                IF(INDIRECT("'"&amp;F1588&amp;"'!$B$2")="Amount",
                    "Investments",
                    "Bill Accounts"
                )
            )
        ),
    "")
)</f>
        <v/>
      </c>
      <c r="I1588" s="46" t="str" cm="1">
        <f t="array" aca="1" ref="I1588" ca="1">IF(F1588&lt;&gt;"",IF(OR(G1588="Bill Accounts",G1588="Investments", G1588="Cash Accounts"),INDIRECT("'"&amp;F1588&amp;"'!$C$10"),INDIRECT("'"&amp;F1588&amp;"'!$C$8")),"")</f>
        <v/>
      </c>
      <c r="K1588" s="48">
        <f t="shared" si="75"/>
        <v>1594</v>
      </c>
      <c r="L1588" s="114" t="str" cm="1">
        <f t="array" aca="1" ref="L1588" ca="1">IF(F1588&lt;&gt;"",INDIRECT("'"&amp;F1588&amp;"'!$F$17"),"")</f>
        <v/>
      </c>
      <c r="M1588" s="116" t="str">
        <f t="shared" ca="1" si="73"/>
        <v/>
      </c>
      <c r="O1588" s="49" t="str">
        <f t="shared" ca="1" si="74"/>
        <v/>
      </c>
      <c r="P1588" s="38" t="str">
        <f>IF(E1588&lt;&gt;"",RANK(E1588,$E$3:$E$2298)+COUNTIF($E$3:E1588,E1588)-1,"")</f>
        <v/>
      </c>
    </row>
    <row r="1589" spans="4:16" x14ac:dyDescent="0.25">
      <c r="D1589" s="36" t="str" cm="1">
        <f t="array" aca="1" ref="D1589" ca="1">IFERROR(IF(INDIRECT("'"&amp;F1589&amp;"'!$C$5")&gt;0,DATE(YEAR(Dashboard!$AL$2),Dashboard!$AU$4,INDIRECT("'"&amp;F1589&amp;"'!$C$5")),""),"")</f>
        <v/>
      </c>
      <c r="G1589" s="38" t="str" cm="1">
        <f t="array" aca="1" ref="G1589" ca="1">IF(F1589="",
    "",
    IFERROR(
        IF(INDIRECT("'"&amp;F1589&amp;"'!$B$2")="Credit Limit",
            "Credit Accounts",
            IF(INDIRECT("'"&amp;F1589&amp;"'!$E$2")="Location",
                "Cash Accounts",
                IF(INDIRECT("'"&amp;F1589&amp;"'!$B$2")="Amount",
                    "Investments",
                    "Bill Accounts"
                )
            )
        ),
    "")
)</f>
        <v/>
      </c>
      <c r="I1589" s="46" t="str" cm="1">
        <f t="array" aca="1" ref="I1589" ca="1">IF(F1589&lt;&gt;"",IF(OR(G1589="Bill Accounts",G1589="Investments", G1589="Cash Accounts"),INDIRECT("'"&amp;F1589&amp;"'!$C$10"),INDIRECT("'"&amp;F1589&amp;"'!$C$8")),"")</f>
        <v/>
      </c>
      <c r="K1589" s="48">
        <f t="shared" si="75"/>
        <v>1595</v>
      </c>
      <c r="L1589" s="114" t="str" cm="1">
        <f t="array" aca="1" ref="L1589" ca="1">IF(F1589&lt;&gt;"",INDIRECT("'"&amp;F1589&amp;"'!$F$17"),"")</f>
        <v/>
      </c>
      <c r="M1589" s="116" t="str">
        <f t="shared" ca="1" si="73"/>
        <v/>
      </c>
      <c r="O1589" s="49" t="str">
        <f t="shared" ca="1" si="74"/>
        <v/>
      </c>
      <c r="P1589" s="38" t="str">
        <f>IF(E1589&lt;&gt;"",RANK(E1589,$E$3:$E$2298)+COUNTIF($E$3:E1589,E1589)-1,"")</f>
        <v/>
      </c>
    </row>
    <row r="1590" spans="4:16" x14ac:dyDescent="0.25">
      <c r="D1590" s="36" t="str" cm="1">
        <f t="array" aca="1" ref="D1590" ca="1">IFERROR(IF(INDIRECT("'"&amp;F1590&amp;"'!$C$5")&gt;0,DATE(YEAR(Dashboard!$AL$2),Dashboard!$AU$4,INDIRECT("'"&amp;F1590&amp;"'!$C$5")),""),"")</f>
        <v/>
      </c>
      <c r="G1590" s="38" t="str" cm="1">
        <f t="array" aca="1" ref="G1590" ca="1">IF(F1590="",
    "",
    IFERROR(
        IF(INDIRECT("'"&amp;F1590&amp;"'!$B$2")="Credit Limit",
            "Credit Accounts",
            IF(INDIRECT("'"&amp;F1590&amp;"'!$E$2")="Location",
                "Cash Accounts",
                IF(INDIRECT("'"&amp;F1590&amp;"'!$B$2")="Amount",
                    "Investments",
                    "Bill Accounts"
                )
            )
        ),
    "")
)</f>
        <v/>
      </c>
      <c r="I1590" s="46" t="str" cm="1">
        <f t="array" aca="1" ref="I1590" ca="1">IF(F1590&lt;&gt;"",IF(OR(G1590="Bill Accounts",G1590="Investments", G1590="Cash Accounts"),INDIRECT("'"&amp;F1590&amp;"'!$C$10"),INDIRECT("'"&amp;F1590&amp;"'!$C$8")),"")</f>
        <v/>
      </c>
      <c r="K1590" s="48">
        <f t="shared" si="75"/>
        <v>1596</v>
      </c>
      <c r="L1590" s="114" t="str" cm="1">
        <f t="array" aca="1" ref="L1590" ca="1">IF(F1590&lt;&gt;"",INDIRECT("'"&amp;F1590&amp;"'!$F$17"),"")</f>
        <v/>
      </c>
      <c r="M1590" s="116" t="str">
        <f t="shared" ca="1" si="73"/>
        <v/>
      </c>
      <c r="O1590" s="49" t="str">
        <f t="shared" ca="1" si="74"/>
        <v/>
      </c>
      <c r="P1590" s="38" t="str">
        <f>IF(E1590&lt;&gt;"",RANK(E1590,$E$3:$E$2298)+COUNTIF($E$3:E1590,E1590)-1,"")</f>
        <v/>
      </c>
    </row>
    <row r="1591" spans="4:16" x14ac:dyDescent="0.25">
      <c r="D1591" s="36" t="str" cm="1">
        <f t="array" aca="1" ref="D1591" ca="1">IFERROR(IF(INDIRECT("'"&amp;F1591&amp;"'!$C$5")&gt;0,DATE(YEAR(Dashboard!$AL$2),Dashboard!$AU$4,INDIRECT("'"&amp;F1591&amp;"'!$C$5")),""),"")</f>
        <v/>
      </c>
      <c r="G1591" s="38" t="str" cm="1">
        <f t="array" aca="1" ref="G1591" ca="1">IF(F1591="",
    "",
    IFERROR(
        IF(INDIRECT("'"&amp;F1591&amp;"'!$B$2")="Credit Limit",
            "Credit Accounts",
            IF(INDIRECT("'"&amp;F1591&amp;"'!$E$2")="Location",
                "Cash Accounts",
                IF(INDIRECT("'"&amp;F1591&amp;"'!$B$2")="Amount",
                    "Investments",
                    "Bill Accounts"
                )
            )
        ),
    "")
)</f>
        <v/>
      </c>
      <c r="I1591" s="46" t="str" cm="1">
        <f t="array" aca="1" ref="I1591" ca="1">IF(F1591&lt;&gt;"",IF(OR(G1591="Bill Accounts",G1591="Investments", G1591="Cash Accounts"),INDIRECT("'"&amp;F1591&amp;"'!$C$10"),INDIRECT("'"&amp;F1591&amp;"'!$C$8")),"")</f>
        <v/>
      </c>
      <c r="K1591" s="48">
        <f t="shared" si="75"/>
        <v>1597</v>
      </c>
      <c r="L1591" s="114" t="str" cm="1">
        <f t="array" aca="1" ref="L1591" ca="1">IF(F1591&lt;&gt;"",INDIRECT("'"&amp;F1591&amp;"'!$F$17"),"")</f>
        <v/>
      </c>
      <c r="M1591" s="116" t="str">
        <f t="shared" ca="1" si="73"/>
        <v/>
      </c>
      <c r="O1591" s="49" t="str">
        <f t="shared" ca="1" si="74"/>
        <v/>
      </c>
      <c r="P1591" s="38" t="str">
        <f>IF(E1591&lt;&gt;"",RANK(E1591,$E$3:$E$2298)+COUNTIF($E$3:E1591,E1591)-1,"")</f>
        <v/>
      </c>
    </row>
    <row r="1592" spans="4:16" x14ac:dyDescent="0.25">
      <c r="D1592" s="36" t="str" cm="1">
        <f t="array" aca="1" ref="D1592" ca="1">IFERROR(IF(INDIRECT("'"&amp;F1592&amp;"'!$C$5")&gt;0,DATE(YEAR(Dashboard!$AL$2),Dashboard!$AU$4,INDIRECT("'"&amp;F1592&amp;"'!$C$5")),""),"")</f>
        <v/>
      </c>
      <c r="G1592" s="38" t="str" cm="1">
        <f t="array" aca="1" ref="G1592" ca="1">IF(F1592="",
    "",
    IFERROR(
        IF(INDIRECT("'"&amp;F1592&amp;"'!$B$2")="Credit Limit",
            "Credit Accounts",
            IF(INDIRECT("'"&amp;F1592&amp;"'!$E$2")="Location",
                "Cash Accounts",
                IF(INDIRECT("'"&amp;F1592&amp;"'!$B$2")="Amount",
                    "Investments",
                    "Bill Accounts"
                )
            )
        ),
    "")
)</f>
        <v/>
      </c>
      <c r="I1592" s="46" t="str" cm="1">
        <f t="array" aca="1" ref="I1592" ca="1">IF(F1592&lt;&gt;"",IF(OR(G1592="Bill Accounts",G1592="Investments", G1592="Cash Accounts"),INDIRECT("'"&amp;F1592&amp;"'!$C$10"),INDIRECT("'"&amp;F1592&amp;"'!$C$8")),"")</f>
        <v/>
      </c>
      <c r="K1592" s="48">
        <f t="shared" si="75"/>
        <v>1598</v>
      </c>
      <c r="L1592" s="114" t="str" cm="1">
        <f t="array" aca="1" ref="L1592" ca="1">IF(F1592&lt;&gt;"",INDIRECT("'"&amp;F1592&amp;"'!$F$17"),"")</f>
        <v/>
      </c>
      <c r="M1592" s="116" t="str">
        <f t="shared" ca="1" si="73"/>
        <v/>
      </c>
      <c r="O1592" s="49" t="str">
        <f t="shared" ca="1" si="74"/>
        <v/>
      </c>
      <c r="P1592" s="38" t="str">
        <f>IF(E1592&lt;&gt;"",RANK(E1592,$E$3:$E$2298)+COUNTIF($E$3:E1592,E1592)-1,"")</f>
        <v/>
      </c>
    </row>
    <row r="1593" spans="4:16" x14ac:dyDescent="0.25">
      <c r="D1593" s="36" t="str" cm="1">
        <f t="array" aca="1" ref="D1593" ca="1">IFERROR(IF(INDIRECT("'"&amp;F1593&amp;"'!$C$5")&gt;0,DATE(YEAR(Dashboard!$AL$2),Dashboard!$AU$4,INDIRECT("'"&amp;F1593&amp;"'!$C$5")),""),"")</f>
        <v/>
      </c>
      <c r="G1593" s="38" t="str" cm="1">
        <f t="array" aca="1" ref="G1593" ca="1">IF(F1593="",
    "",
    IFERROR(
        IF(INDIRECT("'"&amp;F1593&amp;"'!$B$2")="Credit Limit",
            "Credit Accounts",
            IF(INDIRECT("'"&amp;F1593&amp;"'!$E$2")="Location",
                "Cash Accounts",
                IF(INDIRECT("'"&amp;F1593&amp;"'!$B$2")="Amount",
                    "Investments",
                    "Bill Accounts"
                )
            )
        ),
    "")
)</f>
        <v/>
      </c>
      <c r="I1593" s="46" t="str" cm="1">
        <f t="array" aca="1" ref="I1593" ca="1">IF(F1593&lt;&gt;"",IF(OR(G1593="Bill Accounts",G1593="Investments", G1593="Cash Accounts"),INDIRECT("'"&amp;F1593&amp;"'!$C$10"),INDIRECT("'"&amp;F1593&amp;"'!$C$8")),"")</f>
        <v/>
      </c>
      <c r="K1593" s="48">
        <f t="shared" si="75"/>
        <v>1599</v>
      </c>
      <c r="L1593" s="114" t="str" cm="1">
        <f t="array" aca="1" ref="L1593" ca="1">IF(F1593&lt;&gt;"",INDIRECT("'"&amp;F1593&amp;"'!$F$17"),"")</f>
        <v/>
      </c>
      <c r="M1593" s="116" t="str">
        <f t="shared" ca="1" si="73"/>
        <v/>
      </c>
      <c r="O1593" s="49" t="str">
        <f t="shared" ca="1" si="74"/>
        <v/>
      </c>
      <c r="P1593" s="38" t="str">
        <f>IF(E1593&lt;&gt;"",RANK(E1593,$E$3:$E$2298)+COUNTIF($E$3:E1593,E1593)-1,"")</f>
        <v/>
      </c>
    </row>
    <row r="1594" spans="4:16" x14ac:dyDescent="0.25">
      <c r="D1594" s="36" t="str" cm="1">
        <f t="array" aca="1" ref="D1594" ca="1">IFERROR(IF(INDIRECT("'"&amp;F1594&amp;"'!$C$5")&gt;0,DATE(YEAR(Dashboard!$AL$2),Dashboard!$AU$4,INDIRECT("'"&amp;F1594&amp;"'!$C$5")),""),"")</f>
        <v/>
      </c>
      <c r="G1594" s="38" t="str" cm="1">
        <f t="array" aca="1" ref="G1594" ca="1">IF(F1594="",
    "",
    IFERROR(
        IF(INDIRECT("'"&amp;F1594&amp;"'!$B$2")="Credit Limit",
            "Credit Accounts",
            IF(INDIRECT("'"&amp;F1594&amp;"'!$E$2")="Location",
                "Cash Accounts",
                IF(INDIRECT("'"&amp;F1594&amp;"'!$B$2")="Amount",
                    "Investments",
                    "Bill Accounts"
                )
            )
        ),
    "")
)</f>
        <v/>
      </c>
      <c r="I1594" s="46" t="str" cm="1">
        <f t="array" aca="1" ref="I1594" ca="1">IF(F1594&lt;&gt;"",IF(OR(G1594="Bill Accounts",G1594="Investments", G1594="Cash Accounts"),INDIRECT("'"&amp;F1594&amp;"'!$C$10"),INDIRECT("'"&amp;F1594&amp;"'!$C$8")),"")</f>
        <v/>
      </c>
      <c r="K1594" s="48">
        <f t="shared" si="75"/>
        <v>1600</v>
      </c>
      <c r="L1594" s="114" t="str" cm="1">
        <f t="array" aca="1" ref="L1594" ca="1">IF(F1594&lt;&gt;"",INDIRECT("'"&amp;F1594&amp;"'!$F$17"),"")</f>
        <v/>
      </c>
      <c r="M1594" s="116" t="str">
        <f t="shared" ca="1" si="73"/>
        <v/>
      </c>
      <c r="O1594" s="49" t="str">
        <f t="shared" ca="1" si="74"/>
        <v/>
      </c>
      <c r="P1594" s="38" t="str">
        <f>IF(E1594&lt;&gt;"",RANK(E1594,$E$3:$E$2298)+COUNTIF($E$3:E1594,E1594)-1,"")</f>
        <v/>
      </c>
    </row>
    <row r="1595" spans="4:16" x14ac:dyDescent="0.25">
      <c r="D1595" s="36" t="str" cm="1">
        <f t="array" aca="1" ref="D1595" ca="1">IFERROR(IF(INDIRECT("'"&amp;F1595&amp;"'!$C$5")&gt;0,DATE(YEAR(Dashboard!$AL$2),Dashboard!$AU$4,INDIRECT("'"&amp;F1595&amp;"'!$C$5")),""),"")</f>
        <v/>
      </c>
      <c r="G1595" s="38" t="str" cm="1">
        <f t="array" aca="1" ref="G1595" ca="1">IF(F1595="",
    "",
    IFERROR(
        IF(INDIRECT("'"&amp;F1595&amp;"'!$B$2")="Credit Limit",
            "Credit Accounts",
            IF(INDIRECT("'"&amp;F1595&amp;"'!$E$2")="Location",
                "Cash Accounts",
                IF(INDIRECT("'"&amp;F1595&amp;"'!$B$2")="Amount",
                    "Investments",
                    "Bill Accounts"
                )
            )
        ),
    "")
)</f>
        <v/>
      </c>
      <c r="I1595" s="46" t="str" cm="1">
        <f t="array" aca="1" ref="I1595" ca="1">IF(F1595&lt;&gt;"",IF(OR(G1595="Bill Accounts",G1595="Investments", G1595="Cash Accounts"),INDIRECT("'"&amp;F1595&amp;"'!$C$10"),INDIRECT("'"&amp;F1595&amp;"'!$C$8")),"")</f>
        <v/>
      </c>
      <c r="K1595" s="48">
        <f t="shared" si="75"/>
        <v>1601</v>
      </c>
      <c r="L1595" s="114" t="str" cm="1">
        <f t="array" aca="1" ref="L1595" ca="1">IF(F1595&lt;&gt;"",INDIRECT("'"&amp;F1595&amp;"'!$F$17"),"")</f>
        <v/>
      </c>
      <c r="M1595" s="116" t="str">
        <f t="shared" ca="1" si="73"/>
        <v/>
      </c>
      <c r="O1595" s="49" t="str">
        <f t="shared" ca="1" si="74"/>
        <v/>
      </c>
      <c r="P1595" s="38" t="str">
        <f>IF(E1595&lt;&gt;"",RANK(E1595,$E$3:$E$2298)+COUNTIF($E$3:E1595,E1595)-1,"")</f>
        <v/>
      </c>
    </row>
    <row r="1596" spans="4:16" x14ac:dyDescent="0.25">
      <c r="D1596" s="36" t="str" cm="1">
        <f t="array" aca="1" ref="D1596" ca="1">IFERROR(IF(INDIRECT("'"&amp;F1596&amp;"'!$C$5")&gt;0,DATE(YEAR(Dashboard!$AL$2),Dashboard!$AU$4,INDIRECT("'"&amp;F1596&amp;"'!$C$5")),""),"")</f>
        <v/>
      </c>
      <c r="G1596" s="38" t="str" cm="1">
        <f t="array" aca="1" ref="G1596" ca="1">IF(F1596="",
    "",
    IFERROR(
        IF(INDIRECT("'"&amp;F1596&amp;"'!$B$2")="Credit Limit",
            "Credit Accounts",
            IF(INDIRECT("'"&amp;F1596&amp;"'!$E$2")="Location",
                "Cash Accounts",
                IF(INDIRECT("'"&amp;F1596&amp;"'!$B$2")="Amount",
                    "Investments",
                    "Bill Accounts"
                )
            )
        ),
    "")
)</f>
        <v/>
      </c>
      <c r="I1596" s="46" t="str" cm="1">
        <f t="array" aca="1" ref="I1596" ca="1">IF(F1596&lt;&gt;"",IF(OR(G1596="Bill Accounts",G1596="Investments", G1596="Cash Accounts"),INDIRECT("'"&amp;F1596&amp;"'!$C$10"),INDIRECT("'"&amp;F1596&amp;"'!$C$8")),"")</f>
        <v/>
      </c>
      <c r="K1596" s="48">
        <f t="shared" si="75"/>
        <v>1602</v>
      </c>
      <c r="L1596" s="114" t="str" cm="1">
        <f t="array" aca="1" ref="L1596" ca="1">IF(F1596&lt;&gt;"",INDIRECT("'"&amp;F1596&amp;"'!$F$17"),"")</f>
        <v/>
      </c>
      <c r="M1596" s="116" t="str">
        <f t="shared" ca="1" si="73"/>
        <v/>
      </c>
      <c r="O1596" s="49" t="str">
        <f t="shared" ca="1" si="74"/>
        <v/>
      </c>
      <c r="P1596" s="38" t="str">
        <f>IF(E1596&lt;&gt;"",RANK(E1596,$E$3:$E$2298)+COUNTIF($E$3:E1596,E1596)-1,"")</f>
        <v/>
      </c>
    </row>
    <row r="1597" spans="4:16" x14ac:dyDescent="0.25">
      <c r="D1597" s="36" t="str" cm="1">
        <f t="array" aca="1" ref="D1597" ca="1">IFERROR(IF(INDIRECT("'"&amp;F1597&amp;"'!$C$5")&gt;0,DATE(YEAR(Dashboard!$AL$2),Dashboard!$AU$4,INDIRECT("'"&amp;F1597&amp;"'!$C$5")),""),"")</f>
        <v/>
      </c>
      <c r="G1597" s="38" t="str" cm="1">
        <f t="array" aca="1" ref="G1597" ca="1">IF(F1597="",
    "",
    IFERROR(
        IF(INDIRECT("'"&amp;F1597&amp;"'!$B$2")="Credit Limit",
            "Credit Accounts",
            IF(INDIRECT("'"&amp;F1597&amp;"'!$E$2")="Location",
                "Cash Accounts",
                IF(INDIRECT("'"&amp;F1597&amp;"'!$B$2")="Amount",
                    "Investments",
                    "Bill Accounts"
                )
            )
        ),
    "")
)</f>
        <v/>
      </c>
      <c r="I1597" s="46" t="str" cm="1">
        <f t="array" aca="1" ref="I1597" ca="1">IF(F1597&lt;&gt;"",IF(OR(G1597="Bill Accounts",G1597="Investments", G1597="Cash Accounts"),INDIRECT("'"&amp;F1597&amp;"'!$C$10"),INDIRECT("'"&amp;F1597&amp;"'!$C$8")),"")</f>
        <v/>
      </c>
      <c r="K1597" s="48">
        <f t="shared" si="75"/>
        <v>1603</v>
      </c>
      <c r="L1597" s="114" t="str" cm="1">
        <f t="array" aca="1" ref="L1597" ca="1">IF(F1597&lt;&gt;"",INDIRECT("'"&amp;F1597&amp;"'!$F$17"),"")</f>
        <v/>
      </c>
      <c r="M1597" s="116" t="str">
        <f t="shared" ca="1" si="73"/>
        <v/>
      </c>
      <c r="O1597" s="49" t="str">
        <f t="shared" ca="1" si="74"/>
        <v/>
      </c>
      <c r="P1597" s="38" t="str">
        <f>IF(E1597&lt;&gt;"",RANK(E1597,$E$3:$E$2298)+COUNTIF($E$3:E1597,E1597)-1,"")</f>
        <v/>
      </c>
    </row>
    <row r="1598" spans="4:16" x14ac:dyDescent="0.25">
      <c r="D1598" s="36" t="str" cm="1">
        <f t="array" aca="1" ref="D1598" ca="1">IFERROR(IF(INDIRECT("'"&amp;F1598&amp;"'!$C$5")&gt;0,DATE(YEAR(Dashboard!$AL$2),Dashboard!$AU$4,INDIRECT("'"&amp;F1598&amp;"'!$C$5")),""),"")</f>
        <v/>
      </c>
      <c r="G1598" s="38" t="str" cm="1">
        <f t="array" aca="1" ref="G1598" ca="1">IF(F1598="",
    "",
    IFERROR(
        IF(INDIRECT("'"&amp;F1598&amp;"'!$B$2")="Credit Limit",
            "Credit Accounts",
            IF(INDIRECT("'"&amp;F1598&amp;"'!$E$2")="Location",
                "Cash Accounts",
                IF(INDIRECT("'"&amp;F1598&amp;"'!$B$2")="Amount",
                    "Investments",
                    "Bill Accounts"
                )
            )
        ),
    "")
)</f>
        <v/>
      </c>
      <c r="I1598" s="46" t="str" cm="1">
        <f t="array" aca="1" ref="I1598" ca="1">IF(F1598&lt;&gt;"",IF(OR(G1598="Bill Accounts",G1598="Investments", G1598="Cash Accounts"),INDIRECT("'"&amp;F1598&amp;"'!$C$10"),INDIRECT("'"&amp;F1598&amp;"'!$C$8")),"")</f>
        <v/>
      </c>
      <c r="K1598" s="48">
        <f t="shared" si="75"/>
        <v>1604</v>
      </c>
      <c r="L1598" s="114" t="str" cm="1">
        <f t="array" aca="1" ref="L1598" ca="1">IF(F1598&lt;&gt;"",INDIRECT("'"&amp;F1598&amp;"'!$F$17"),"")</f>
        <v/>
      </c>
      <c r="M1598" s="116" t="str">
        <f t="shared" ca="1" si="73"/>
        <v/>
      </c>
      <c r="O1598" s="49" t="str">
        <f t="shared" ca="1" si="74"/>
        <v/>
      </c>
      <c r="P1598" s="38" t="str">
        <f>IF(E1598&lt;&gt;"",RANK(E1598,$E$3:$E$2298)+COUNTIF($E$3:E1598,E1598)-1,"")</f>
        <v/>
      </c>
    </row>
    <row r="1599" spans="4:16" x14ac:dyDescent="0.25">
      <c r="D1599" s="36" t="str" cm="1">
        <f t="array" aca="1" ref="D1599" ca="1">IFERROR(IF(INDIRECT("'"&amp;F1599&amp;"'!$C$5")&gt;0,DATE(YEAR(Dashboard!$AL$2),Dashboard!$AU$4,INDIRECT("'"&amp;F1599&amp;"'!$C$5")),""),"")</f>
        <v/>
      </c>
      <c r="G1599" s="38" t="str" cm="1">
        <f t="array" aca="1" ref="G1599" ca="1">IF(F1599="",
    "",
    IFERROR(
        IF(INDIRECT("'"&amp;F1599&amp;"'!$B$2")="Credit Limit",
            "Credit Accounts",
            IF(INDIRECT("'"&amp;F1599&amp;"'!$E$2")="Location",
                "Cash Accounts",
                IF(INDIRECT("'"&amp;F1599&amp;"'!$B$2")="Amount",
                    "Investments",
                    "Bill Accounts"
                )
            )
        ),
    "")
)</f>
        <v/>
      </c>
      <c r="I1599" s="46" t="str" cm="1">
        <f t="array" aca="1" ref="I1599" ca="1">IF(F1599&lt;&gt;"",IF(OR(G1599="Bill Accounts",G1599="Investments", G1599="Cash Accounts"),INDIRECT("'"&amp;F1599&amp;"'!$C$10"),INDIRECT("'"&amp;F1599&amp;"'!$C$8")),"")</f>
        <v/>
      </c>
      <c r="K1599" s="48">
        <f t="shared" si="75"/>
        <v>1605</v>
      </c>
      <c r="L1599" s="114" t="str" cm="1">
        <f t="array" aca="1" ref="L1599" ca="1">IF(F1599&lt;&gt;"",INDIRECT("'"&amp;F1599&amp;"'!$F$17"),"")</f>
        <v/>
      </c>
      <c r="M1599" s="116" t="str">
        <f t="shared" ca="1" si="73"/>
        <v/>
      </c>
      <c r="O1599" s="49" t="str">
        <f t="shared" ca="1" si="74"/>
        <v/>
      </c>
      <c r="P1599" s="38" t="str">
        <f>IF(E1599&lt;&gt;"",RANK(E1599,$E$3:$E$2298)+COUNTIF($E$3:E1599,E1599)-1,"")</f>
        <v/>
      </c>
    </row>
    <row r="1600" spans="4:16" x14ac:dyDescent="0.25">
      <c r="D1600" s="36" t="str" cm="1">
        <f t="array" aca="1" ref="D1600" ca="1">IFERROR(IF(INDIRECT("'"&amp;F1600&amp;"'!$C$5")&gt;0,DATE(YEAR(Dashboard!$AL$2),Dashboard!$AU$4,INDIRECT("'"&amp;F1600&amp;"'!$C$5")),""),"")</f>
        <v/>
      </c>
      <c r="G1600" s="38" t="str" cm="1">
        <f t="array" aca="1" ref="G1600" ca="1">IF(F1600="",
    "",
    IFERROR(
        IF(INDIRECT("'"&amp;F1600&amp;"'!$B$2")="Credit Limit",
            "Credit Accounts",
            IF(INDIRECT("'"&amp;F1600&amp;"'!$E$2")="Location",
                "Cash Accounts",
                IF(INDIRECT("'"&amp;F1600&amp;"'!$B$2")="Amount",
                    "Investments",
                    "Bill Accounts"
                )
            )
        ),
    "")
)</f>
        <v/>
      </c>
      <c r="I1600" s="46" t="str" cm="1">
        <f t="array" aca="1" ref="I1600" ca="1">IF(F1600&lt;&gt;"",IF(OR(G1600="Bill Accounts",G1600="Investments", G1600="Cash Accounts"),INDIRECT("'"&amp;F1600&amp;"'!$C$10"),INDIRECT("'"&amp;F1600&amp;"'!$C$8")),"")</f>
        <v/>
      </c>
      <c r="K1600" s="48">
        <f t="shared" si="75"/>
        <v>1606</v>
      </c>
      <c r="L1600" s="114" t="str" cm="1">
        <f t="array" aca="1" ref="L1600" ca="1">IF(F1600&lt;&gt;"",INDIRECT("'"&amp;F1600&amp;"'!$F$17"),"")</f>
        <v/>
      </c>
      <c r="M1600" s="116" t="str">
        <f t="shared" ca="1" si="73"/>
        <v/>
      </c>
      <c r="O1600" s="49" t="str">
        <f t="shared" ca="1" si="74"/>
        <v/>
      </c>
      <c r="P1600" s="38" t="str">
        <f>IF(E1600&lt;&gt;"",RANK(E1600,$E$3:$E$2298)+COUNTIF($E$3:E1600,E1600)-1,"")</f>
        <v/>
      </c>
    </row>
    <row r="1601" spans="4:16" x14ac:dyDescent="0.25">
      <c r="D1601" s="36" t="str" cm="1">
        <f t="array" aca="1" ref="D1601" ca="1">IFERROR(IF(INDIRECT("'"&amp;F1601&amp;"'!$C$5")&gt;0,DATE(YEAR(Dashboard!$AL$2),Dashboard!$AU$4,INDIRECT("'"&amp;F1601&amp;"'!$C$5")),""),"")</f>
        <v/>
      </c>
      <c r="G1601" s="38" t="str" cm="1">
        <f t="array" aca="1" ref="G1601" ca="1">IF(F1601="",
    "",
    IFERROR(
        IF(INDIRECT("'"&amp;F1601&amp;"'!$B$2")="Credit Limit",
            "Credit Accounts",
            IF(INDIRECT("'"&amp;F1601&amp;"'!$E$2")="Location",
                "Cash Accounts",
                IF(INDIRECT("'"&amp;F1601&amp;"'!$B$2")="Amount",
                    "Investments",
                    "Bill Accounts"
                )
            )
        ),
    "")
)</f>
        <v/>
      </c>
      <c r="I1601" s="46" t="str" cm="1">
        <f t="array" aca="1" ref="I1601" ca="1">IF(F1601&lt;&gt;"",IF(OR(G1601="Bill Accounts",G1601="Investments", G1601="Cash Accounts"),INDIRECT("'"&amp;F1601&amp;"'!$C$10"),INDIRECT("'"&amp;F1601&amp;"'!$C$8")),"")</f>
        <v/>
      </c>
      <c r="K1601" s="48">
        <f t="shared" si="75"/>
        <v>1607</v>
      </c>
      <c r="L1601" s="114" t="str" cm="1">
        <f t="array" aca="1" ref="L1601" ca="1">IF(F1601&lt;&gt;"",INDIRECT("'"&amp;F1601&amp;"'!$F$17"),"")</f>
        <v/>
      </c>
      <c r="M1601" s="116" t="str">
        <f t="shared" ca="1" si="73"/>
        <v/>
      </c>
      <c r="O1601" s="49" t="str">
        <f t="shared" ca="1" si="74"/>
        <v/>
      </c>
      <c r="P1601" s="38" t="str">
        <f>IF(E1601&lt;&gt;"",RANK(E1601,$E$3:$E$2298)+COUNTIF($E$3:E1601,E1601)-1,"")</f>
        <v/>
      </c>
    </row>
    <row r="1602" spans="4:16" x14ac:dyDescent="0.25">
      <c r="D1602" s="36" t="str" cm="1">
        <f t="array" aca="1" ref="D1602" ca="1">IFERROR(IF(INDIRECT("'"&amp;F1602&amp;"'!$C$5")&gt;0,DATE(YEAR(Dashboard!$AL$2),Dashboard!$AU$4,INDIRECT("'"&amp;F1602&amp;"'!$C$5")),""),"")</f>
        <v/>
      </c>
      <c r="G1602" s="38" t="str" cm="1">
        <f t="array" aca="1" ref="G1602" ca="1">IF(F1602="",
    "",
    IFERROR(
        IF(INDIRECT("'"&amp;F1602&amp;"'!$B$2")="Credit Limit",
            "Credit Accounts",
            IF(INDIRECT("'"&amp;F1602&amp;"'!$E$2")="Location",
                "Cash Accounts",
                IF(INDIRECT("'"&amp;F1602&amp;"'!$B$2")="Amount",
                    "Investments",
                    "Bill Accounts"
                )
            )
        ),
    "")
)</f>
        <v/>
      </c>
      <c r="I1602" s="46" t="str" cm="1">
        <f t="array" aca="1" ref="I1602" ca="1">IF(F1602&lt;&gt;"",IF(OR(G1602="Bill Accounts",G1602="Investments", G1602="Cash Accounts"),INDIRECT("'"&amp;F1602&amp;"'!$C$10"),INDIRECT("'"&amp;F1602&amp;"'!$C$8")),"")</f>
        <v/>
      </c>
      <c r="K1602" s="48">
        <f t="shared" si="75"/>
        <v>1608</v>
      </c>
      <c r="L1602" s="114" t="str" cm="1">
        <f t="array" aca="1" ref="L1602" ca="1">IF(F1602&lt;&gt;"",INDIRECT("'"&amp;F1602&amp;"'!$F$17"),"")</f>
        <v/>
      </c>
      <c r="M1602" s="116" t="str">
        <f t="shared" ca="1" si="73"/>
        <v/>
      </c>
      <c r="O1602" s="49" t="str">
        <f t="shared" ca="1" si="74"/>
        <v/>
      </c>
      <c r="P1602" s="38" t="str">
        <f>IF(E1602&lt;&gt;"",RANK(E1602,$E$3:$E$2298)+COUNTIF($E$3:E1602,E1602)-1,"")</f>
        <v/>
      </c>
    </row>
    <row r="1603" spans="4:16" x14ac:dyDescent="0.25">
      <c r="D1603" s="36" t="str" cm="1">
        <f t="array" aca="1" ref="D1603" ca="1">IFERROR(IF(INDIRECT("'"&amp;F1603&amp;"'!$C$5")&gt;0,DATE(YEAR(Dashboard!$AL$2),Dashboard!$AU$4,INDIRECT("'"&amp;F1603&amp;"'!$C$5")),""),"")</f>
        <v/>
      </c>
      <c r="G1603" s="38" t="str" cm="1">
        <f t="array" aca="1" ref="G1603" ca="1">IF(F1603="",
    "",
    IFERROR(
        IF(INDIRECT("'"&amp;F1603&amp;"'!$B$2")="Credit Limit",
            "Credit Accounts",
            IF(INDIRECT("'"&amp;F1603&amp;"'!$E$2")="Location",
                "Cash Accounts",
                IF(INDIRECT("'"&amp;F1603&amp;"'!$B$2")="Amount",
                    "Investments",
                    "Bill Accounts"
                )
            )
        ),
    "")
)</f>
        <v/>
      </c>
      <c r="I1603" s="46" t="str" cm="1">
        <f t="array" aca="1" ref="I1603" ca="1">IF(F1603&lt;&gt;"",IF(OR(G1603="Bill Accounts",G1603="Investments", G1603="Cash Accounts"),INDIRECT("'"&amp;F1603&amp;"'!$C$10"),INDIRECT("'"&amp;F1603&amp;"'!$C$8")),"")</f>
        <v/>
      </c>
      <c r="K1603" s="48">
        <f t="shared" si="75"/>
        <v>1609</v>
      </c>
      <c r="L1603" s="114" t="str" cm="1">
        <f t="array" aca="1" ref="L1603" ca="1">IF(F1603&lt;&gt;"",INDIRECT("'"&amp;F1603&amp;"'!$F$17"),"")</f>
        <v/>
      </c>
      <c r="M1603" s="116" t="str">
        <f t="shared" ca="1" si="73"/>
        <v/>
      </c>
      <c r="O1603" s="49" t="str">
        <f t="shared" ca="1" si="74"/>
        <v/>
      </c>
      <c r="P1603" s="38" t="str">
        <f>IF(E1603&lt;&gt;"",RANK(E1603,$E$3:$E$2298)+COUNTIF($E$3:E1603,E1603)-1,"")</f>
        <v/>
      </c>
    </row>
    <row r="1604" spans="4:16" x14ac:dyDescent="0.25">
      <c r="D1604" s="36" t="str" cm="1">
        <f t="array" aca="1" ref="D1604" ca="1">IFERROR(IF(INDIRECT("'"&amp;F1604&amp;"'!$C$5")&gt;0,DATE(YEAR(Dashboard!$AL$2),Dashboard!$AU$4,INDIRECT("'"&amp;F1604&amp;"'!$C$5")),""),"")</f>
        <v/>
      </c>
      <c r="G1604" s="38" t="str" cm="1">
        <f t="array" aca="1" ref="G1604" ca="1">IF(F1604="",
    "",
    IFERROR(
        IF(INDIRECT("'"&amp;F1604&amp;"'!$B$2")="Credit Limit",
            "Credit Accounts",
            IF(INDIRECT("'"&amp;F1604&amp;"'!$E$2")="Location",
                "Cash Accounts",
                IF(INDIRECT("'"&amp;F1604&amp;"'!$B$2")="Amount",
                    "Investments",
                    "Bill Accounts"
                )
            )
        ),
    "")
)</f>
        <v/>
      </c>
      <c r="I1604" s="46" t="str" cm="1">
        <f t="array" aca="1" ref="I1604" ca="1">IF(F1604&lt;&gt;"",IF(OR(G1604="Bill Accounts",G1604="Investments", G1604="Cash Accounts"),INDIRECT("'"&amp;F1604&amp;"'!$C$10"),INDIRECT("'"&amp;F1604&amp;"'!$C$8")),"")</f>
        <v/>
      </c>
      <c r="K1604" s="48">
        <f t="shared" si="75"/>
        <v>1610</v>
      </c>
      <c r="L1604" s="114" t="str" cm="1">
        <f t="array" aca="1" ref="L1604" ca="1">IF(F1604&lt;&gt;"",INDIRECT("'"&amp;F1604&amp;"'!$F$17"),"")</f>
        <v/>
      </c>
      <c r="M1604" s="116" t="str">
        <f t="shared" ref="M1604:M1667" ca="1" si="76">IF(G1604="Credit Accounts",EDATE(TODAY(),INDIRECT("'"&amp;F1604&amp;"'!$C$14")),"")</f>
        <v/>
      </c>
      <c r="O1604" s="49" t="str">
        <f t="shared" ref="O1604:O1667" ca="1" si="77">IF(D1604&lt;&gt;"",DAY(D1604),"")</f>
        <v/>
      </c>
      <c r="P1604" s="38" t="str">
        <f>IF(E1604&lt;&gt;"",RANK(E1604,$E$3:$E$2298)+COUNTIF($E$3:E1604,E1604)-1,"")</f>
        <v/>
      </c>
    </row>
    <row r="1605" spans="4:16" x14ac:dyDescent="0.25">
      <c r="D1605" s="36" t="str" cm="1">
        <f t="array" aca="1" ref="D1605" ca="1">IFERROR(IF(INDIRECT("'"&amp;F1605&amp;"'!$C$5")&gt;0,DATE(YEAR(Dashboard!$AL$2),Dashboard!$AU$4,INDIRECT("'"&amp;F1605&amp;"'!$C$5")),""),"")</f>
        <v/>
      </c>
      <c r="G1605" s="38" t="str" cm="1">
        <f t="array" aca="1" ref="G1605" ca="1">IF(F1605="",
    "",
    IFERROR(
        IF(INDIRECT("'"&amp;F1605&amp;"'!$B$2")="Credit Limit",
            "Credit Accounts",
            IF(INDIRECT("'"&amp;F1605&amp;"'!$E$2")="Location",
                "Cash Accounts",
                IF(INDIRECT("'"&amp;F1605&amp;"'!$B$2")="Amount",
                    "Investments",
                    "Bill Accounts"
                )
            )
        ),
    "")
)</f>
        <v/>
      </c>
      <c r="I1605" s="46" t="str" cm="1">
        <f t="array" aca="1" ref="I1605" ca="1">IF(F1605&lt;&gt;"",IF(OR(G1605="Bill Accounts",G1605="Investments", G1605="Cash Accounts"),INDIRECT("'"&amp;F1605&amp;"'!$C$10"),INDIRECT("'"&amp;F1605&amp;"'!$C$8")),"")</f>
        <v/>
      </c>
      <c r="K1605" s="48">
        <f t="shared" si="75"/>
        <v>1611</v>
      </c>
      <c r="L1605" s="114" t="str" cm="1">
        <f t="array" aca="1" ref="L1605" ca="1">IF(F1605&lt;&gt;"",INDIRECT("'"&amp;F1605&amp;"'!$F$17"),"")</f>
        <v/>
      </c>
      <c r="M1605" s="116" t="str">
        <f t="shared" ca="1" si="76"/>
        <v/>
      </c>
      <c r="O1605" s="49" t="str">
        <f t="shared" ca="1" si="77"/>
        <v/>
      </c>
      <c r="P1605" s="38" t="str">
        <f>IF(E1605&lt;&gt;"",RANK(E1605,$E$3:$E$2298)+COUNTIF($E$3:E1605,E1605)-1,"")</f>
        <v/>
      </c>
    </row>
    <row r="1606" spans="4:16" x14ac:dyDescent="0.25">
      <c r="D1606" s="36" t="str" cm="1">
        <f t="array" aca="1" ref="D1606" ca="1">IFERROR(IF(INDIRECT("'"&amp;F1606&amp;"'!$C$5")&gt;0,DATE(YEAR(Dashboard!$AL$2),Dashboard!$AU$4,INDIRECT("'"&amp;F1606&amp;"'!$C$5")),""),"")</f>
        <v/>
      </c>
      <c r="G1606" s="38" t="str" cm="1">
        <f t="array" aca="1" ref="G1606" ca="1">IF(F1606="",
    "",
    IFERROR(
        IF(INDIRECT("'"&amp;F1606&amp;"'!$B$2")="Credit Limit",
            "Credit Accounts",
            IF(INDIRECT("'"&amp;F1606&amp;"'!$E$2")="Location",
                "Cash Accounts",
                IF(INDIRECT("'"&amp;F1606&amp;"'!$B$2")="Amount",
                    "Investments",
                    "Bill Accounts"
                )
            )
        ),
    "")
)</f>
        <v/>
      </c>
      <c r="I1606" s="46" t="str" cm="1">
        <f t="array" aca="1" ref="I1606" ca="1">IF(F1606&lt;&gt;"",IF(OR(G1606="Bill Accounts",G1606="Investments", G1606="Cash Accounts"),INDIRECT("'"&amp;F1606&amp;"'!$C$10"),INDIRECT("'"&amp;F1606&amp;"'!$C$8")),"")</f>
        <v/>
      </c>
      <c r="K1606" s="48">
        <f t="shared" si="75"/>
        <v>1612</v>
      </c>
      <c r="L1606" s="114" t="str" cm="1">
        <f t="array" aca="1" ref="L1606" ca="1">IF(F1606&lt;&gt;"",INDIRECT("'"&amp;F1606&amp;"'!$F$17"),"")</f>
        <v/>
      </c>
      <c r="M1606" s="116" t="str">
        <f t="shared" ca="1" si="76"/>
        <v/>
      </c>
      <c r="O1606" s="49" t="str">
        <f t="shared" ca="1" si="77"/>
        <v/>
      </c>
      <c r="P1606" s="38" t="str">
        <f>IF(E1606&lt;&gt;"",RANK(E1606,$E$3:$E$2298)+COUNTIF($E$3:E1606,E1606)-1,"")</f>
        <v/>
      </c>
    </row>
    <row r="1607" spans="4:16" x14ac:dyDescent="0.25">
      <c r="D1607" s="36" t="str" cm="1">
        <f t="array" aca="1" ref="D1607" ca="1">IFERROR(IF(INDIRECT("'"&amp;F1607&amp;"'!$C$5")&gt;0,DATE(YEAR(Dashboard!$AL$2),Dashboard!$AU$4,INDIRECT("'"&amp;F1607&amp;"'!$C$5")),""),"")</f>
        <v/>
      </c>
      <c r="G1607" s="38" t="str" cm="1">
        <f t="array" aca="1" ref="G1607" ca="1">IF(F1607="",
    "",
    IFERROR(
        IF(INDIRECT("'"&amp;F1607&amp;"'!$B$2")="Credit Limit",
            "Credit Accounts",
            IF(INDIRECT("'"&amp;F1607&amp;"'!$E$2")="Location",
                "Cash Accounts",
                IF(INDIRECT("'"&amp;F1607&amp;"'!$B$2")="Amount",
                    "Investments",
                    "Bill Accounts"
                )
            )
        ),
    "")
)</f>
        <v/>
      </c>
      <c r="I1607" s="46" t="str" cm="1">
        <f t="array" aca="1" ref="I1607" ca="1">IF(F1607&lt;&gt;"",IF(OR(G1607="Bill Accounts",G1607="Investments", G1607="Cash Accounts"),INDIRECT("'"&amp;F1607&amp;"'!$C$10"),INDIRECT("'"&amp;F1607&amp;"'!$C$8")),"")</f>
        <v/>
      </c>
      <c r="K1607" s="48">
        <f t="shared" si="75"/>
        <v>1613</v>
      </c>
      <c r="L1607" s="114" t="str" cm="1">
        <f t="array" aca="1" ref="L1607" ca="1">IF(F1607&lt;&gt;"",INDIRECT("'"&amp;F1607&amp;"'!$F$17"),"")</f>
        <v/>
      </c>
      <c r="M1607" s="116" t="str">
        <f t="shared" ca="1" si="76"/>
        <v/>
      </c>
      <c r="O1607" s="49" t="str">
        <f t="shared" ca="1" si="77"/>
        <v/>
      </c>
      <c r="P1607" s="38" t="str">
        <f>IF(E1607&lt;&gt;"",RANK(E1607,$E$3:$E$2298)+COUNTIF($E$3:E1607,E1607)-1,"")</f>
        <v/>
      </c>
    </row>
    <row r="1608" spans="4:16" x14ac:dyDescent="0.25">
      <c r="D1608" s="36" t="str" cm="1">
        <f t="array" aca="1" ref="D1608" ca="1">IFERROR(IF(INDIRECT("'"&amp;F1608&amp;"'!$C$5")&gt;0,DATE(YEAR(Dashboard!$AL$2),Dashboard!$AU$4,INDIRECT("'"&amp;F1608&amp;"'!$C$5")),""),"")</f>
        <v/>
      </c>
      <c r="G1608" s="38" t="str" cm="1">
        <f t="array" aca="1" ref="G1608" ca="1">IF(F1608="",
    "",
    IFERROR(
        IF(INDIRECT("'"&amp;F1608&amp;"'!$B$2")="Credit Limit",
            "Credit Accounts",
            IF(INDIRECT("'"&amp;F1608&amp;"'!$E$2")="Location",
                "Cash Accounts",
                IF(INDIRECT("'"&amp;F1608&amp;"'!$B$2")="Amount",
                    "Investments",
                    "Bill Accounts"
                )
            )
        ),
    "")
)</f>
        <v/>
      </c>
      <c r="I1608" s="46" t="str" cm="1">
        <f t="array" aca="1" ref="I1608" ca="1">IF(F1608&lt;&gt;"",IF(OR(G1608="Bill Accounts",G1608="Investments", G1608="Cash Accounts"),INDIRECT("'"&amp;F1608&amp;"'!$C$10"),INDIRECT("'"&amp;F1608&amp;"'!$C$8")),"")</f>
        <v/>
      </c>
      <c r="K1608" s="48">
        <f t="shared" ref="K1608:K1671" si="78">SUM(K1607+1)</f>
        <v>1614</v>
      </c>
      <c r="L1608" s="114" t="str" cm="1">
        <f t="array" aca="1" ref="L1608" ca="1">IF(F1608&lt;&gt;"",INDIRECT("'"&amp;F1608&amp;"'!$F$17"),"")</f>
        <v/>
      </c>
      <c r="M1608" s="116" t="str">
        <f t="shared" ca="1" si="76"/>
        <v/>
      </c>
      <c r="O1608" s="49" t="str">
        <f t="shared" ca="1" si="77"/>
        <v/>
      </c>
      <c r="P1608" s="38" t="str">
        <f>IF(E1608&lt;&gt;"",RANK(E1608,$E$3:$E$2298)+COUNTIF($E$3:E1608,E1608)-1,"")</f>
        <v/>
      </c>
    </row>
    <row r="1609" spans="4:16" x14ac:dyDescent="0.25">
      <c r="D1609" s="36" t="str" cm="1">
        <f t="array" aca="1" ref="D1609" ca="1">IFERROR(IF(INDIRECT("'"&amp;F1609&amp;"'!$C$5")&gt;0,DATE(YEAR(Dashboard!$AL$2),Dashboard!$AU$4,INDIRECT("'"&amp;F1609&amp;"'!$C$5")),""),"")</f>
        <v/>
      </c>
      <c r="G1609" s="38" t="str" cm="1">
        <f t="array" aca="1" ref="G1609" ca="1">IF(F1609="",
    "",
    IFERROR(
        IF(INDIRECT("'"&amp;F1609&amp;"'!$B$2")="Credit Limit",
            "Credit Accounts",
            IF(INDIRECT("'"&amp;F1609&amp;"'!$E$2")="Location",
                "Cash Accounts",
                IF(INDIRECT("'"&amp;F1609&amp;"'!$B$2")="Amount",
                    "Investments",
                    "Bill Accounts"
                )
            )
        ),
    "")
)</f>
        <v/>
      </c>
      <c r="I1609" s="46" t="str" cm="1">
        <f t="array" aca="1" ref="I1609" ca="1">IF(F1609&lt;&gt;"",IF(OR(G1609="Bill Accounts",G1609="Investments", G1609="Cash Accounts"),INDIRECT("'"&amp;F1609&amp;"'!$C$10"),INDIRECT("'"&amp;F1609&amp;"'!$C$8")),"")</f>
        <v/>
      </c>
      <c r="K1609" s="48">
        <f t="shared" si="78"/>
        <v>1615</v>
      </c>
      <c r="L1609" s="114" t="str" cm="1">
        <f t="array" aca="1" ref="L1609" ca="1">IF(F1609&lt;&gt;"",INDIRECT("'"&amp;F1609&amp;"'!$F$17"),"")</f>
        <v/>
      </c>
      <c r="M1609" s="116" t="str">
        <f t="shared" ca="1" si="76"/>
        <v/>
      </c>
      <c r="O1609" s="49" t="str">
        <f t="shared" ca="1" si="77"/>
        <v/>
      </c>
      <c r="P1609" s="38" t="str">
        <f>IF(E1609&lt;&gt;"",RANK(E1609,$E$3:$E$2298)+COUNTIF($E$3:E1609,E1609)-1,"")</f>
        <v/>
      </c>
    </row>
    <row r="1610" spans="4:16" x14ac:dyDescent="0.25">
      <c r="D1610" s="36" t="str" cm="1">
        <f t="array" aca="1" ref="D1610" ca="1">IFERROR(IF(INDIRECT("'"&amp;F1610&amp;"'!$C$5")&gt;0,DATE(YEAR(Dashboard!$AL$2),Dashboard!$AU$4,INDIRECT("'"&amp;F1610&amp;"'!$C$5")),""),"")</f>
        <v/>
      </c>
      <c r="G1610" s="38" t="str" cm="1">
        <f t="array" aca="1" ref="G1610" ca="1">IF(F1610="",
    "",
    IFERROR(
        IF(INDIRECT("'"&amp;F1610&amp;"'!$B$2")="Credit Limit",
            "Credit Accounts",
            IF(INDIRECT("'"&amp;F1610&amp;"'!$E$2")="Location",
                "Cash Accounts",
                IF(INDIRECT("'"&amp;F1610&amp;"'!$B$2")="Amount",
                    "Investments",
                    "Bill Accounts"
                )
            )
        ),
    "")
)</f>
        <v/>
      </c>
      <c r="I1610" s="46" t="str" cm="1">
        <f t="array" aca="1" ref="I1610" ca="1">IF(F1610&lt;&gt;"",IF(OR(G1610="Bill Accounts",G1610="Investments", G1610="Cash Accounts"),INDIRECT("'"&amp;F1610&amp;"'!$C$10"),INDIRECT("'"&amp;F1610&amp;"'!$C$8")),"")</f>
        <v/>
      </c>
      <c r="K1610" s="48">
        <f t="shared" si="78"/>
        <v>1616</v>
      </c>
      <c r="L1610" s="114" t="str" cm="1">
        <f t="array" aca="1" ref="L1610" ca="1">IF(F1610&lt;&gt;"",INDIRECT("'"&amp;F1610&amp;"'!$F$17"),"")</f>
        <v/>
      </c>
      <c r="M1610" s="116" t="str">
        <f t="shared" ca="1" si="76"/>
        <v/>
      </c>
      <c r="O1610" s="49" t="str">
        <f t="shared" ca="1" si="77"/>
        <v/>
      </c>
      <c r="P1610" s="38" t="str">
        <f>IF(E1610&lt;&gt;"",RANK(E1610,$E$3:$E$2298)+COUNTIF($E$3:E1610,E1610)-1,"")</f>
        <v/>
      </c>
    </row>
    <row r="1611" spans="4:16" x14ac:dyDescent="0.25">
      <c r="D1611" s="36" t="str" cm="1">
        <f t="array" aca="1" ref="D1611" ca="1">IFERROR(IF(INDIRECT("'"&amp;F1611&amp;"'!$C$5")&gt;0,DATE(YEAR(Dashboard!$AL$2),Dashboard!$AU$4,INDIRECT("'"&amp;F1611&amp;"'!$C$5")),""),"")</f>
        <v/>
      </c>
      <c r="G1611" s="38" t="str" cm="1">
        <f t="array" aca="1" ref="G1611" ca="1">IF(F1611="",
    "",
    IFERROR(
        IF(INDIRECT("'"&amp;F1611&amp;"'!$B$2")="Credit Limit",
            "Credit Accounts",
            IF(INDIRECT("'"&amp;F1611&amp;"'!$E$2")="Location",
                "Cash Accounts",
                IF(INDIRECT("'"&amp;F1611&amp;"'!$B$2")="Amount",
                    "Investments",
                    "Bill Accounts"
                )
            )
        ),
    "")
)</f>
        <v/>
      </c>
      <c r="I1611" s="46" t="str" cm="1">
        <f t="array" aca="1" ref="I1611" ca="1">IF(F1611&lt;&gt;"",IF(OR(G1611="Bill Accounts",G1611="Investments", G1611="Cash Accounts"),INDIRECT("'"&amp;F1611&amp;"'!$C$10"),INDIRECT("'"&amp;F1611&amp;"'!$C$8")),"")</f>
        <v/>
      </c>
      <c r="K1611" s="48">
        <f t="shared" si="78"/>
        <v>1617</v>
      </c>
      <c r="L1611" s="114" t="str" cm="1">
        <f t="array" aca="1" ref="L1611" ca="1">IF(F1611&lt;&gt;"",INDIRECT("'"&amp;F1611&amp;"'!$F$17"),"")</f>
        <v/>
      </c>
      <c r="M1611" s="116" t="str">
        <f t="shared" ca="1" si="76"/>
        <v/>
      </c>
      <c r="O1611" s="49" t="str">
        <f t="shared" ca="1" si="77"/>
        <v/>
      </c>
      <c r="P1611" s="38" t="str">
        <f>IF(E1611&lt;&gt;"",RANK(E1611,$E$3:$E$2298)+COUNTIF($E$3:E1611,E1611)-1,"")</f>
        <v/>
      </c>
    </row>
    <row r="1612" spans="4:16" x14ac:dyDescent="0.25">
      <c r="D1612" s="36" t="str" cm="1">
        <f t="array" aca="1" ref="D1612" ca="1">IFERROR(IF(INDIRECT("'"&amp;F1612&amp;"'!$C$5")&gt;0,DATE(YEAR(Dashboard!$AL$2),Dashboard!$AU$4,INDIRECT("'"&amp;F1612&amp;"'!$C$5")),""),"")</f>
        <v/>
      </c>
      <c r="G1612" s="38" t="str" cm="1">
        <f t="array" aca="1" ref="G1612" ca="1">IF(F1612="",
    "",
    IFERROR(
        IF(INDIRECT("'"&amp;F1612&amp;"'!$B$2")="Credit Limit",
            "Credit Accounts",
            IF(INDIRECT("'"&amp;F1612&amp;"'!$E$2")="Location",
                "Cash Accounts",
                IF(INDIRECT("'"&amp;F1612&amp;"'!$B$2")="Amount",
                    "Investments",
                    "Bill Accounts"
                )
            )
        ),
    "")
)</f>
        <v/>
      </c>
      <c r="I1612" s="46" t="str" cm="1">
        <f t="array" aca="1" ref="I1612" ca="1">IF(F1612&lt;&gt;"",IF(OR(G1612="Bill Accounts",G1612="Investments", G1612="Cash Accounts"),INDIRECT("'"&amp;F1612&amp;"'!$C$10"),INDIRECT("'"&amp;F1612&amp;"'!$C$8")),"")</f>
        <v/>
      </c>
      <c r="K1612" s="48">
        <f t="shared" si="78"/>
        <v>1618</v>
      </c>
      <c r="L1612" s="114" t="str" cm="1">
        <f t="array" aca="1" ref="L1612" ca="1">IF(F1612&lt;&gt;"",INDIRECT("'"&amp;F1612&amp;"'!$F$17"),"")</f>
        <v/>
      </c>
      <c r="M1612" s="116" t="str">
        <f t="shared" ca="1" si="76"/>
        <v/>
      </c>
      <c r="O1612" s="49" t="str">
        <f t="shared" ca="1" si="77"/>
        <v/>
      </c>
      <c r="P1612" s="38" t="str">
        <f>IF(E1612&lt;&gt;"",RANK(E1612,$E$3:$E$2298)+COUNTIF($E$3:E1612,E1612)-1,"")</f>
        <v/>
      </c>
    </row>
    <row r="1613" spans="4:16" x14ac:dyDescent="0.25">
      <c r="D1613" s="36" t="str" cm="1">
        <f t="array" aca="1" ref="D1613" ca="1">IFERROR(IF(INDIRECT("'"&amp;F1613&amp;"'!$C$5")&gt;0,DATE(YEAR(Dashboard!$AL$2),Dashboard!$AU$4,INDIRECT("'"&amp;F1613&amp;"'!$C$5")),""),"")</f>
        <v/>
      </c>
      <c r="G1613" s="38" t="str" cm="1">
        <f t="array" aca="1" ref="G1613" ca="1">IF(F1613="",
    "",
    IFERROR(
        IF(INDIRECT("'"&amp;F1613&amp;"'!$B$2")="Credit Limit",
            "Credit Accounts",
            IF(INDIRECT("'"&amp;F1613&amp;"'!$E$2")="Location",
                "Cash Accounts",
                IF(INDIRECT("'"&amp;F1613&amp;"'!$B$2")="Amount",
                    "Investments",
                    "Bill Accounts"
                )
            )
        ),
    "")
)</f>
        <v/>
      </c>
      <c r="I1613" s="46" t="str" cm="1">
        <f t="array" aca="1" ref="I1613" ca="1">IF(F1613&lt;&gt;"",IF(OR(G1613="Bill Accounts",G1613="Investments", G1613="Cash Accounts"),INDIRECT("'"&amp;F1613&amp;"'!$C$10"),INDIRECT("'"&amp;F1613&amp;"'!$C$8")),"")</f>
        <v/>
      </c>
      <c r="K1613" s="48">
        <f t="shared" si="78"/>
        <v>1619</v>
      </c>
      <c r="L1613" s="114" t="str" cm="1">
        <f t="array" aca="1" ref="L1613" ca="1">IF(F1613&lt;&gt;"",INDIRECT("'"&amp;F1613&amp;"'!$F$17"),"")</f>
        <v/>
      </c>
      <c r="M1613" s="116" t="str">
        <f t="shared" ca="1" si="76"/>
        <v/>
      </c>
      <c r="O1613" s="49" t="str">
        <f t="shared" ca="1" si="77"/>
        <v/>
      </c>
      <c r="P1613" s="38" t="str">
        <f>IF(E1613&lt;&gt;"",RANK(E1613,$E$3:$E$2298)+COUNTIF($E$3:E1613,E1613)-1,"")</f>
        <v/>
      </c>
    </row>
    <row r="1614" spans="4:16" x14ac:dyDescent="0.25">
      <c r="D1614" s="36" t="str" cm="1">
        <f t="array" aca="1" ref="D1614" ca="1">IFERROR(IF(INDIRECT("'"&amp;F1614&amp;"'!$C$5")&gt;0,DATE(YEAR(Dashboard!$AL$2),Dashboard!$AU$4,INDIRECT("'"&amp;F1614&amp;"'!$C$5")),""),"")</f>
        <v/>
      </c>
      <c r="G1614" s="38" t="str" cm="1">
        <f t="array" aca="1" ref="G1614" ca="1">IF(F1614="",
    "",
    IFERROR(
        IF(INDIRECT("'"&amp;F1614&amp;"'!$B$2")="Credit Limit",
            "Credit Accounts",
            IF(INDIRECT("'"&amp;F1614&amp;"'!$E$2")="Location",
                "Cash Accounts",
                IF(INDIRECT("'"&amp;F1614&amp;"'!$B$2")="Amount",
                    "Investments",
                    "Bill Accounts"
                )
            )
        ),
    "")
)</f>
        <v/>
      </c>
      <c r="I1614" s="46" t="str" cm="1">
        <f t="array" aca="1" ref="I1614" ca="1">IF(F1614&lt;&gt;"",IF(OR(G1614="Bill Accounts",G1614="Investments", G1614="Cash Accounts"),INDIRECT("'"&amp;F1614&amp;"'!$C$10"),INDIRECT("'"&amp;F1614&amp;"'!$C$8")),"")</f>
        <v/>
      </c>
      <c r="K1614" s="48">
        <f t="shared" si="78"/>
        <v>1620</v>
      </c>
      <c r="L1614" s="114" t="str" cm="1">
        <f t="array" aca="1" ref="L1614" ca="1">IF(F1614&lt;&gt;"",INDIRECT("'"&amp;F1614&amp;"'!$F$17"),"")</f>
        <v/>
      </c>
      <c r="M1614" s="116" t="str">
        <f t="shared" ca="1" si="76"/>
        <v/>
      </c>
      <c r="O1614" s="49" t="str">
        <f t="shared" ca="1" si="77"/>
        <v/>
      </c>
      <c r="P1614" s="38" t="str">
        <f>IF(E1614&lt;&gt;"",RANK(E1614,$E$3:$E$2298)+COUNTIF($E$3:E1614,E1614)-1,"")</f>
        <v/>
      </c>
    </row>
    <row r="1615" spans="4:16" x14ac:dyDescent="0.25">
      <c r="D1615" s="36" t="str" cm="1">
        <f t="array" aca="1" ref="D1615" ca="1">IFERROR(IF(INDIRECT("'"&amp;F1615&amp;"'!$C$5")&gt;0,DATE(YEAR(Dashboard!$AL$2),Dashboard!$AU$4,INDIRECT("'"&amp;F1615&amp;"'!$C$5")),""),"")</f>
        <v/>
      </c>
      <c r="G1615" s="38" t="str" cm="1">
        <f t="array" aca="1" ref="G1615" ca="1">IF(F1615="",
    "",
    IFERROR(
        IF(INDIRECT("'"&amp;F1615&amp;"'!$B$2")="Credit Limit",
            "Credit Accounts",
            IF(INDIRECT("'"&amp;F1615&amp;"'!$E$2")="Location",
                "Cash Accounts",
                IF(INDIRECT("'"&amp;F1615&amp;"'!$B$2")="Amount",
                    "Investments",
                    "Bill Accounts"
                )
            )
        ),
    "")
)</f>
        <v/>
      </c>
      <c r="I1615" s="46" t="str" cm="1">
        <f t="array" aca="1" ref="I1615" ca="1">IF(F1615&lt;&gt;"",IF(OR(G1615="Bill Accounts",G1615="Investments", G1615="Cash Accounts"),INDIRECT("'"&amp;F1615&amp;"'!$C$10"),INDIRECT("'"&amp;F1615&amp;"'!$C$8")),"")</f>
        <v/>
      </c>
      <c r="K1615" s="48">
        <f t="shared" si="78"/>
        <v>1621</v>
      </c>
      <c r="L1615" s="114" t="str" cm="1">
        <f t="array" aca="1" ref="L1615" ca="1">IF(F1615&lt;&gt;"",INDIRECT("'"&amp;F1615&amp;"'!$F$17"),"")</f>
        <v/>
      </c>
      <c r="M1615" s="116" t="str">
        <f t="shared" ca="1" si="76"/>
        <v/>
      </c>
      <c r="O1615" s="49" t="str">
        <f t="shared" ca="1" si="77"/>
        <v/>
      </c>
      <c r="P1615" s="38" t="str">
        <f>IF(E1615&lt;&gt;"",RANK(E1615,$E$3:$E$2298)+COUNTIF($E$3:E1615,E1615)-1,"")</f>
        <v/>
      </c>
    </row>
    <row r="1616" spans="4:16" x14ac:dyDescent="0.25">
      <c r="D1616" s="36" t="str" cm="1">
        <f t="array" aca="1" ref="D1616" ca="1">IFERROR(IF(INDIRECT("'"&amp;F1616&amp;"'!$C$5")&gt;0,DATE(YEAR(Dashboard!$AL$2),Dashboard!$AU$4,INDIRECT("'"&amp;F1616&amp;"'!$C$5")),""),"")</f>
        <v/>
      </c>
      <c r="G1616" s="38" t="str" cm="1">
        <f t="array" aca="1" ref="G1616" ca="1">IF(F1616="",
    "",
    IFERROR(
        IF(INDIRECT("'"&amp;F1616&amp;"'!$B$2")="Credit Limit",
            "Credit Accounts",
            IF(INDIRECT("'"&amp;F1616&amp;"'!$E$2")="Location",
                "Cash Accounts",
                IF(INDIRECT("'"&amp;F1616&amp;"'!$B$2")="Amount",
                    "Investments",
                    "Bill Accounts"
                )
            )
        ),
    "")
)</f>
        <v/>
      </c>
      <c r="I1616" s="46" t="str" cm="1">
        <f t="array" aca="1" ref="I1616" ca="1">IF(F1616&lt;&gt;"",IF(OR(G1616="Bill Accounts",G1616="Investments", G1616="Cash Accounts"),INDIRECT("'"&amp;F1616&amp;"'!$C$10"),INDIRECT("'"&amp;F1616&amp;"'!$C$8")),"")</f>
        <v/>
      </c>
      <c r="K1616" s="48">
        <f t="shared" si="78"/>
        <v>1622</v>
      </c>
      <c r="L1616" s="114" t="str" cm="1">
        <f t="array" aca="1" ref="L1616" ca="1">IF(F1616&lt;&gt;"",INDIRECT("'"&amp;F1616&amp;"'!$F$17"),"")</f>
        <v/>
      </c>
      <c r="M1616" s="116" t="str">
        <f t="shared" ca="1" si="76"/>
        <v/>
      </c>
      <c r="O1616" s="49" t="str">
        <f t="shared" ca="1" si="77"/>
        <v/>
      </c>
      <c r="P1616" s="38" t="str">
        <f>IF(E1616&lt;&gt;"",RANK(E1616,$E$3:$E$2298)+COUNTIF($E$3:E1616,E1616)-1,"")</f>
        <v/>
      </c>
    </row>
    <row r="1617" spans="4:16" x14ac:dyDescent="0.25">
      <c r="D1617" s="36" t="str" cm="1">
        <f t="array" aca="1" ref="D1617" ca="1">IFERROR(IF(INDIRECT("'"&amp;F1617&amp;"'!$C$5")&gt;0,DATE(YEAR(Dashboard!$AL$2),Dashboard!$AU$4,INDIRECT("'"&amp;F1617&amp;"'!$C$5")),""),"")</f>
        <v/>
      </c>
      <c r="G1617" s="38" t="str" cm="1">
        <f t="array" aca="1" ref="G1617" ca="1">IF(F1617="",
    "",
    IFERROR(
        IF(INDIRECT("'"&amp;F1617&amp;"'!$B$2")="Credit Limit",
            "Credit Accounts",
            IF(INDIRECT("'"&amp;F1617&amp;"'!$E$2")="Location",
                "Cash Accounts",
                IF(INDIRECT("'"&amp;F1617&amp;"'!$B$2")="Amount",
                    "Investments",
                    "Bill Accounts"
                )
            )
        ),
    "")
)</f>
        <v/>
      </c>
      <c r="I1617" s="46" t="str" cm="1">
        <f t="array" aca="1" ref="I1617" ca="1">IF(F1617&lt;&gt;"",IF(OR(G1617="Bill Accounts",G1617="Investments", G1617="Cash Accounts"),INDIRECT("'"&amp;F1617&amp;"'!$C$10"),INDIRECT("'"&amp;F1617&amp;"'!$C$8")),"")</f>
        <v/>
      </c>
      <c r="K1617" s="48">
        <f t="shared" si="78"/>
        <v>1623</v>
      </c>
      <c r="L1617" s="114" t="str" cm="1">
        <f t="array" aca="1" ref="L1617" ca="1">IF(F1617&lt;&gt;"",INDIRECT("'"&amp;F1617&amp;"'!$F$17"),"")</f>
        <v/>
      </c>
      <c r="M1617" s="116" t="str">
        <f t="shared" ca="1" si="76"/>
        <v/>
      </c>
      <c r="O1617" s="49" t="str">
        <f t="shared" ca="1" si="77"/>
        <v/>
      </c>
      <c r="P1617" s="38" t="str">
        <f>IF(E1617&lt;&gt;"",RANK(E1617,$E$3:$E$2298)+COUNTIF($E$3:E1617,E1617)-1,"")</f>
        <v/>
      </c>
    </row>
    <row r="1618" spans="4:16" x14ac:dyDescent="0.25">
      <c r="D1618" s="36" t="str" cm="1">
        <f t="array" aca="1" ref="D1618" ca="1">IFERROR(IF(INDIRECT("'"&amp;F1618&amp;"'!$C$5")&gt;0,DATE(YEAR(Dashboard!$AL$2),Dashboard!$AU$4,INDIRECT("'"&amp;F1618&amp;"'!$C$5")),""),"")</f>
        <v/>
      </c>
      <c r="G1618" s="38" t="str" cm="1">
        <f t="array" aca="1" ref="G1618" ca="1">IF(F1618="",
    "",
    IFERROR(
        IF(INDIRECT("'"&amp;F1618&amp;"'!$B$2")="Credit Limit",
            "Credit Accounts",
            IF(INDIRECT("'"&amp;F1618&amp;"'!$E$2")="Location",
                "Cash Accounts",
                IF(INDIRECT("'"&amp;F1618&amp;"'!$B$2")="Amount",
                    "Investments",
                    "Bill Accounts"
                )
            )
        ),
    "")
)</f>
        <v/>
      </c>
      <c r="I1618" s="46" t="str" cm="1">
        <f t="array" aca="1" ref="I1618" ca="1">IF(F1618&lt;&gt;"",IF(OR(G1618="Bill Accounts",G1618="Investments", G1618="Cash Accounts"),INDIRECT("'"&amp;F1618&amp;"'!$C$10"),INDIRECT("'"&amp;F1618&amp;"'!$C$8")),"")</f>
        <v/>
      </c>
      <c r="K1618" s="48">
        <f t="shared" si="78"/>
        <v>1624</v>
      </c>
      <c r="L1618" s="114" t="str" cm="1">
        <f t="array" aca="1" ref="L1618" ca="1">IF(F1618&lt;&gt;"",INDIRECT("'"&amp;F1618&amp;"'!$F$17"),"")</f>
        <v/>
      </c>
      <c r="M1618" s="116" t="str">
        <f t="shared" ca="1" si="76"/>
        <v/>
      </c>
      <c r="O1618" s="49" t="str">
        <f t="shared" ca="1" si="77"/>
        <v/>
      </c>
      <c r="P1618" s="38" t="str">
        <f>IF(E1618&lt;&gt;"",RANK(E1618,$E$3:$E$2298)+COUNTIF($E$3:E1618,E1618)-1,"")</f>
        <v/>
      </c>
    </row>
    <row r="1619" spans="4:16" x14ac:dyDescent="0.25">
      <c r="D1619" s="36" t="str" cm="1">
        <f t="array" aca="1" ref="D1619" ca="1">IFERROR(IF(INDIRECT("'"&amp;F1619&amp;"'!$C$5")&gt;0,DATE(YEAR(Dashboard!$AL$2),Dashboard!$AU$4,INDIRECT("'"&amp;F1619&amp;"'!$C$5")),""),"")</f>
        <v/>
      </c>
      <c r="G1619" s="38" t="str" cm="1">
        <f t="array" aca="1" ref="G1619" ca="1">IF(F1619="",
    "",
    IFERROR(
        IF(INDIRECT("'"&amp;F1619&amp;"'!$B$2")="Credit Limit",
            "Credit Accounts",
            IF(INDIRECT("'"&amp;F1619&amp;"'!$E$2")="Location",
                "Cash Accounts",
                IF(INDIRECT("'"&amp;F1619&amp;"'!$B$2")="Amount",
                    "Investments",
                    "Bill Accounts"
                )
            )
        ),
    "")
)</f>
        <v/>
      </c>
      <c r="I1619" s="46" t="str" cm="1">
        <f t="array" aca="1" ref="I1619" ca="1">IF(F1619&lt;&gt;"",IF(OR(G1619="Bill Accounts",G1619="Investments", G1619="Cash Accounts"),INDIRECT("'"&amp;F1619&amp;"'!$C$10"),INDIRECT("'"&amp;F1619&amp;"'!$C$8")),"")</f>
        <v/>
      </c>
      <c r="K1619" s="48">
        <f t="shared" si="78"/>
        <v>1625</v>
      </c>
      <c r="L1619" s="114" t="str" cm="1">
        <f t="array" aca="1" ref="L1619" ca="1">IF(F1619&lt;&gt;"",INDIRECT("'"&amp;F1619&amp;"'!$F$17"),"")</f>
        <v/>
      </c>
      <c r="M1619" s="116" t="str">
        <f t="shared" ca="1" si="76"/>
        <v/>
      </c>
      <c r="O1619" s="49" t="str">
        <f t="shared" ca="1" si="77"/>
        <v/>
      </c>
      <c r="P1619" s="38" t="str">
        <f>IF(E1619&lt;&gt;"",RANK(E1619,$E$3:$E$2298)+COUNTIF($E$3:E1619,E1619)-1,"")</f>
        <v/>
      </c>
    </row>
    <row r="1620" spans="4:16" x14ac:dyDescent="0.25">
      <c r="D1620" s="36" t="str" cm="1">
        <f t="array" aca="1" ref="D1620" ca="1">IFERROR(IF(INDIRECT("'"&amp;F1620&amp;"'!$C$5")&gt;0,DATE(YEAR(Dashboard!$AL$2),Dashboard!$AU$4,INDIRECT("'"&amp;F1620&amp;"'!$C$5")),""),"")</f>
        <v/>
      </c>
      <c r="G1620" s="38" t="str" cm="1">
        <f t="array" aca="1" ref="G1620" ca="1">IF(F1620="",
    "",
    IFERROR(
        IF(INDIRECT("'"&amp;F1620&amp;"'!$B$2")="Credit Limit",
            "Credit Accounts",
            IF(INDIRECT("'"&amp;F1620&amp;"'!$E$2")="Location",
                "Cash Accounts",
                IF(INDIRECT("'"&amp;F1620&amp;"'!$B$2")="Amount",
                    "Investments",
                    "Bill Accounts"
                )
            )
        ),
    "")
)</f>
        <v/>
      </c>
      <c r="I1620" s="46" t="str" cm="1">
        <f t="array" aca="1" ref="I1620" ca="1">IF(F1620&lt;&gt;"",IF(OR(G1620="Bill Accounts",G1620="Investments", G1620="Cash Accounts"),INDIRECT("'"&amp;F1620&amp;"'!$C$10"),INDIRECT("'"&amp;F1620&amp;"'!$C$8")),"")</f>
        <v/>
      </c>
      <c r="K1620" s="48">
        <f t="shared" si="78"/>
        <v>1626</v>
      </c>
      <c r="L1620" s="114" t="str" cm="1">
        <f t="array" aca="1" ref="L1620" ca="1">IF(F1620&lt;&gt;"",INDIRECT("'"&amp;F1620&amp;"'!$F$17"),"")</f>
        <v/>
      </c>
      <c r="M1620" s="116" t="str">
        <f t="shared" ca="1" si="76"/>
        <v/>
      </c>
      <c r="O1620" s="49" t="str">
        <f t="shared" ca="1" si="77"/>
        <v/>
      </c>
      <c r="P1620" s="38" t="str">
        <f>IF(E1620&lt;&gt;"",RANK(E1620,$E$3:$E$2298)+COUNTIF($E$3:E1620,E1620)-1,"")</f>
        <v/>
      </c>
    </row>
    <row r="1621" spans="4:16" x14ac:dyDescent="0.25">
      <c r="D1621" s="36" t="str" cm="1">
        <f t="array" aca="1" ref="D1621" ca="1">IFERROR(IF(INDIRECT("'"&amp;F1621&amp;"'!$C$5")&gt;0,DATE(YEAR(Dashboard!$AL$2),Dashboard!$AU$4,INDIRECT("'"&amp;F1621&amp;"'!$C$5")),""),"")</f>
        <v/>
      </c>
      <c r="G1621" s="38" t="str" cm="1">
        <f t="array" aca="1" ref="G1621" ca="1">IF(F1621="",
    "",
    IFERROR(
        IF(INDIRECT("'"&amp;F1621&amp;"'!$B$2")="Credit Limit",
            "Credit Accounts",
            IF(INDIRECT("'"&amp;F1621&amp;"'!$E$2")="Location",
                "Cash Accounts",
                IF(INDIRECT("'"&amp;F1621&amp;"'!$B$2")="Amount",
                    "Investments",
                    "Bill Accounts"
                )
            )
        ),
    "")
)</f>
        <v/>
      </c>
      <c r="I1621" s="46" t="str" cm="1">
        <f t="array" aca="1" ref="I1621" ca="1">IF(F1621&lt;&gt;"",IF(OR(G1621="Bill Accounts",G1621="Investments", G1621="Cash Accounts"),INDIRECT("'"&amp;F1621&amp;"'!$C$10"),INDIRECT("'"&amp;F1621&amp;"'!$C$8")),"")</f>
        <v/>
      </c>
      <c r="K1621" s="48">
        <f t="shared" si="78"/>
        <v>1627</v>
      </c>
      <c r="L1621" s="114" t="str" cm="1">
        <f t="array" aca="1" ref="L1621" ca="1">IF(F1621&lt;&gt;"",INDIRECT("'"&amp;F1621&amp;"'!$F$17"),"")</f>
        <v/>
      </c>
      <c r="M1621" s="116" t="str">
        <f t="shared" ca="1" si="76"/>
        <v/>
      </c>
      <c r="O1621" s="49" t="str">
        <f t="shared" ca="1" si="77"/>
        <v/>
      </c>
      <c r="P1621" s="38" t="str">
        <f>IF(E1621&lt;&gt;"",RANK(E1621,$E$3:$E$2298)+COUNTIF($E$3:E1621,E1621)-1,"")</f>
        <v/>
      </c>
    </row>
    <row r="1622" spans="4:16" x14ac:dyDescent="0.25">
      <c r="D1622" s="36" t="str" cm="1">
        <f t="array" aca="1" ref="D1622" ca="1">IFERROR(IF(INDIRECT("'"&amp;F1622&amp;"'!$C$5")&gt;0,DATE(YEAR(Dashboard!$AL$2),Dashboard!$AU$4,INDIRECT("'"&amp;F1622&amp;"'!$C$5")),""),"")</f>
        <v/>
      </c>
      <c r="G1622" s="38" t="str" cm="1">
        <f t="array" aca="1" ref="G1622" ca="1">IF(F1622="",
    "",
    IFERROR(
        IF(INDIRECT("'"&amp;F1622&amp;"'!$B$2")="Credit Limit",
            "Credit Accounts",
            IF(INDIRECT("'"&amp;F1622&amp;"'!$E$2")="Location",
                "Cash Accounts",
                IF(INDIRECT("'"&amp;F1622&amp;"'!$B$2")="Amount",
                    "Investments",
                    "Bill Accounts"
                )
            )
        ),
    "")
)</f>
        <v/>
      </c>
      <c r="I1622" s="46" t="str" cm="1">
        <f t="array" aca="1" ref="I1622" ca="1">IF(F1622&lt;&gt;"",IF(OR(G1622="Bill Accounts",G1622="Investments", G1622="Cash Accounts"),INDIRECT("'"&amp;F1622&amp;"'!$C$10"),INDIRECT("'"&amp;F1622&amp;"'!$C$8")),"")</f>
        <v/>
      </c>
      <c r="K1622" s="48">
        <f t="shared" si="78"/>
        <v>1628</v>
      </c>
      <c r="L1622" s="114" t="str" cm="1">
        <f t="array" aca="1" ref="L1622" ca="1">IF(F1622&lt;&gt;"",INDIRECT("'"&amp;F1622&amp;"'!$F$17"),"")</f>
        <v/>
      </c>
      <c r="M1622" s="116" t="str">
        <f t="shared" ca="1" si="76"/>
        <v/>
      </c>
      <c r="O1622" s="49" t="str">
        <f t="shared" ca="1" si="77"/>
        <v/>
      </c>
      <c r="P1622" s="38" t="str">
        <f>IF(E1622&lt;&gt;"",RANK(E1622,$E$3:$E$2298)+COUNTIF($E$3:E1622,E1622)-1,"")</f>
        <v/>
      </c>
    </row>
    <row r="1623" spans="4:16" x14ac:dyDescent="0.25">
      <c r="D1623" s="36" t="str" cm="1">
        <f t="array" aca="1" ref="D1623" ca="1">IFERROR(IF(INDIRECT("'"&amp;F1623&amp;"'!$C$5")&gt;0,DATE(YEAR(Dashboard!$AL$2),Dashboard!$AU$4,INDIRECT("'"&amp;F1623&amp;"'!$C$5")),""),"")</f>
        <v/>
      </c>
      <c r="G1623" s="38" t="str" cm="1">
        <f t="array" aca="1" ref="G1623" ca="1">IF(F1623="",
    "",
    IFERROR(
        IF(INDIRECT("'"&amp;F1623&amp;"'!$B$2")="Credit Limit",
            "Credit Accounts",
            IF(INDIRECT("'"&amp;F1623&amp;"'!$E$2")="Location",
                "Cash Accounts",
                IF(INDIRECT("'"&amp;F1623&amp;"'!$B$2")="Amount",
                    "Investments",
                    "Bill Accounts"
                )
            )
        ),
    "")
)</f>
        <v/>
      </c>
      <c r="I1623" s="46" t="str" cm="1">
        <f t="array" aca="1" ref="I1623" ca="1">IF(F1623&lt;&gt;"",IF(OR(G1623="Bill Accounts",G1623="Investments", G1623="Cash Accounts"),INDIRECT("'"&amp;F1623&amp;"'!$C$10"),INDIRECT("'"&amp;F1623&amp;"'!$C$8")),"")</f>
        <v/>
      </c>
      <c r="K1623" s="48">
        <f t="shared" si="78"/>
        <v>1629</v>
      </c>
      <c r="L1623" s="114" t="str" cm="1">
        <f t="array" aca="1" ref="L1623" ca="1">IF(F1623&lt;&gt;"",INDIRECT("'"&amp;F1623&amp;"'!$F$17"),"")</f>
        <v/>
      </c>
      <c r="M1623" s="116" t="str">
        <f t="shared" ca="1" si="76"/>
        <v/>
      </c>
      <c r="O1623" s="49" t="str">
        <f t="shared" ca="1" si="77"/>
        <v/>
      </c>
      <c r="P1623" s="38" t="str">
        <f>IF(E1623&lt;&gt;"",RANK(E1623,$E$3:$E$2298)+COUNTIF($E$3:E1623,E1623)-1,"")</f>
        <v/>
      </c>
    </row>
    <row r="1624" spans="4:16" x14ac:dyDescent="0.25">
      <c r="D1624" s="36" t="str" cm="1">
        <f t="array" aca="1" ref="D1624" ca="1">IFERROR(IF(INDIRECT("'"&amp;F1624&amp;"'!$C$5")&gt;0,DATE(YEAR(Dashboard!$AL$2),Dashboard!$AU$4,INDIRECT("'"&amp;F1624&amp;"'!$C$5")),""),"")</f>
        <v/>
      </c>
      <c r="G1624" s="38" t="str" cm="1">
        <f t="array" aca="1" ref="G1624" ca="1">IF(F1624="",
    "",
    IFERROR(
        IF(INDIRECT("'"&amp;F1624&amp;"'!$B$2")="Credit Limit",
            "Credit Accounts",
            IF(INDIRECT("'"&amp;F1624&amp;"'!$E$2")="Location",
                "Cash Accounts",
                IF(INDIRECT("'"&amp;F1624&amp;"'!$B$2")="Amount",
                    "Investments",
                    "Bill Accounts"
                )
            )
        ),
    "")
)</f>
        <v/>
      </c>
      <c r="I1624" s="46" t="str" cm="1">
        <f t="array" aca="1" ref="I1624" ca="1">IF(F1624&lt;&gt;"",IF(OR(G1624="Bill Accounts",G1624="Investments", G1624="Cash Accounts"),INDIRECT("'"&amp;F1624&amp;"'!$C$10"),INDIRECT("'"&amp;F1624&amp;"'!$C$8")),"")</f>
        <v/>
      </c>
      <c r="K1624" s="48">
        <f t="shared" si="78"/>
        <v>1630</v>
      </c>
      <c r="L1624" s="114" t="str" cm="1">
        <f t="array" aca="1" ref="L1624" ca="1">IF(F1624&lt;&gt;"",INDIRECT("'"&amp;F1624&amp;"'!$F$17"),"")</f>
        <v/>
      </c>
      <c r="M1624" s="116" t="str">
        <f t="shared" ca="1" si="76"/>
        <v/>
      </c>
      <c r="O1624" s="49" t="str">
        <f t="shared" ca="1" si="77"/>
        <v/>
      </c>
      <c r="P1624" s="38" t="str">
        <f>IF(E1624&lt;&gt;"",RANK(E1624,$E$3:$E$2298)+COUNTIF($E$3:E1624,E1624)-1,"")</f>
        <v/>
      </c>
    </row>
    <row r="1625" spans="4:16" x14ac:dyDescent="0.25">
      <c r="D1625" s="36" t="str" cm="1">
        <f t="array" aca="1" ref="D1625" ca="1">IFERROR(IF(INDIRECT("'"&amp;F1625&amp;"'!$C$5")&gt;0,DATE(YEAR(Dashboard!$AL$2),Dashboard!$AU$4,INDIRECT("'"&amp;F1625&amp;"'!$C$5")),""),"")</f>
        <v/>
      </c>
      <c r="G1625" s="38" t="str" cm="1">
        <f t="array" aca="1" ref="G1625" ca="1">IF(F1625="",
    "",
    IFERROR(
        IF(INDIRECT("'"&amp;F1625&amp;"'!$B$2")="Credit Limit",
            "Credit Accounts",
            IF(INDIRECT("'"&amp;F1625&amp;"'!$E$2")="Location",
                "Cash Accounts",
                IF(INDIRECT("'"&amp;F1625&amp;"'!$B$2")="Amount",
                    "Investments",
                    "Bill Accounts"
                )
            )
        ),
    "")
)</f>
        <v/>
      </c>
      <c r="I1625" s="46" t="str" cm="1">
        <f t="array" aca="1" ref="I1625" ca="1">IF(F1625&lt;&gt;"",IF(OR(G1625="Bill Accounts",G1625="Investments", G1625="Cash Accounts"),INDIRECT("'"&amp;F1625&amp;"'!$C$10"),INDIRECT("'"&amp;F1625&amp;"'!$C$8")),"")</f>
        <v/>
      </c>
      <c r="K1625" s="48">
        <f t="shared" si="78"/>
        <v>1631</v>
      </c>
      <c r="L1625" s="114" t="str" cm="1">
        <f t="array" aca="1" ref="L1625" ca="1">IF(F1625&lt;&gt;"",INDIRECT("'"&amp;F1625&amp;"'!$F$17"),"")</f>
        <v/>
      </c>
      <c r="M1625" s="116" t="str">
        <f t="shared" ca="1" si="76"/>
        <v/>
      </c>
      <c r="O1625" s="49" t="str">
        <f t="shared" ca="1" si="77"/>
        <v/>
      </c>
      <c r="P1625" s="38" t="str">
        <f>IF(E1625&lt;&gt;"",RANK(E1625,$E$3:$E$2298)+COUNTIF($E$3:E1625,E1625)-1,"")</f>
        <v/>
      </c>
    </row>
    <row r="1626" spans="4:16" x14ac:dyDescent="0.25">
      <c r="D1626" s="36" t="str" cm="1">
        <f t="array" aca="1" ref="D1626" ca="1">IFERROR(IF(INDIRECT("'"&amp;F1626&amp;"'!$C$5")&gt;0,DATE(YEAR(Dashboard!$AL$2),Dashboard!$AU$4,INDIRECT("'"&amp;F1626&amp;"'!$C$5")),""),"")</f>
        <v/>
      </c>
      <c r="G1626" s="38" t="str" cm="1">
        <f t="array" aca="1" ref="G1626" ca="1">IF(F1626="",
    "",
    IFERROR(
        IF(INDIRECT("'"&amp;F1626&amp;"'!$B$2")="Credit Limit",
            "Credit Accounts",
            IF(INDIRECT("'"&amp;F1626&amp;"'!$E$2")="Location",
                "Cash Accounts",
                IF(INDIRECT("'"&amp;F1626&amp;"'!$B$2")="Amount",
                    "Investments",
                    "Bill Accounts"
                )
            )
        ),
    "")
)</f>
        <v/>
      </c>
      <c r="I1626" s="46" t="str" cm="1">
        <f t="array" aca="1" ref="I1626" ca="1">IF(F1626&lt;&gt;"",IF(OR(G1626="Bill Accounts",G1626="Investments", G1626="Cash Accounts"),INDIRECT("'"&amp;F1626&amp;"'!$C$10"),INDIRECT("'"&amp;F1626&amp;"'!$C$8")),"")</f>
        <v/>
      </c>
      <c r="K1626" s="48">
        <f t="shared" si="78"/>
        <v>1632</v>
      </c>
      <c r="L1626" s="114" t="str" cm="1">
        <f t="array" aca="1" ref="L1626" ca="1">IF(F1626&lt;&gt;"",INDIRECT("'"&amp;F1626&amp;"'!$F$17"),"")</f>
        <v/>
      </c>
      <c r="M1626" s="116" t="str">
        <f t="shared" ca="1" si="76"/>
        <v/>
      </c>
      <c r="O1626" s="49" t="str">
        <f t="shared" ca="1" si="77"/>
        <v/>
      </c>
      <c r="P1626" s="38" t="str">
        <f>IF(E1626&lt;&gt;"",RANK(E1626,$E$3:$E$2298)+COUNTIF($E$3:E1626,E1626)-1,"")</f>
        <v/>
      </c>
    </row>
    <row r="1627" spans="4:16" x14ac:dyDescent="0.25">
      <c r="D1627" s="36" t="str" cm="1">
        <f t="array" aca="1" ref="D1627" ca="1">IFERROR(IF(INDIRECT("'"&amp;F1627&amp;"'!$C$5")&gt;0,DATE(YEAR(Dashboard!$AL$2),Dashboard!$AU$4,INDIRECT("'"&amp;F1627&amp;"'!$C$5")),""),"")</f>
        <v/>
      </c>
      <c r="G1627" s="38" t="str" cm="1">
        <f t="array" aca="1" ref="G1627" ca="1">IF(F1627="",
    "",
    IFERROR(
        IF(INDIRECT("'"&amp;F1627&amp;"'!$B$2")="Credit Limit",
            "Credit Accounts",
            IF(INDIRECT("'"&amp;F1627&amp;"'!$E$2")="Location",
                "Cash Accounts",
                IF(INDIRECT("'"&amp;F1627&amp;"'!$B$2")="Amount",
                    "Investments",
                    "Bill Accounts"
                )
            )
        ),
    "")
)</f>
        <v/>
      </c>
      <c r="I1627" s="46" t="str" cm="1">
        <f t="array" aca="1" ref="I1627" ca="1">IF(F1627&lt;&gt;"",IF(OR(G1627="Bill Accounts",G1627="Investments", G1627="Cash Accounts"),INDIRECT("'"&amp;F1627&amp;"'!$C$10"),INDIRECT("'"&amp;F1627&amp;"'!$C$8")),"")</f>
        <v/>
      </c>
      <c r="K1627" s="48">
        <f t="shared" si="78"/>
        <v>1633</v>
      </c>
      <c r="L1627" s="114" t="str" cm="1">
        <f t="array" aca="1" ref="L1627" ca="1">IF(F1627&lt;&gt;"",INDIRECT("'"&amp;F1627&amp;"'!$F$17"),"")</f>
        <v/>
      </c>
      <c r="M1627" s="116" t="str">
        <f t="shared" ca="1" si="76"/>
        <v/>
      </c>
      <c r="O1627" s="49" t="str">
        <f t="shared" ca="1" si="77"/>
        <v/>
      </c>
      <c r="P1627" s="38" t="str">
        <f>IF(E1627&lt;&gt;"",RANK(E1627,$E$3:$E$2298)+COUNTIF($E$3:E1627,E1627)-1,"")</f>
        <v/>
      </c>
    </row>
    <row r="1628" spans="4:16" x14ac:dyDescent="0.25">
      <c r="D1628" s="36" t="str" cm="1">
        <f t="array" aca="1" ref="D1628" ca="1">IFERROR(IF(INDIRECT("'"&amp;F1628&amp;"'!$C$5")&gt;0,DATE(YEAR(Dashboard!$AL$2),Dashboard!$AU$4,INDIRECT("'"&amp;F1628&amp;"'!$C$5")),""),"")</f>
        <v/>
      </c>
      <c r="G1628" s="38" t="str" cm="1">
        <f t="array" aca="1" ref="G1628" ca="1">IF(F1628="",
    "",
    IFERROR(
        IF(INDIRECT("'"&amp;F1628&amp;"'!$B$2")="Credit Limit",
            "Credit Accounts",
            IF(INDIRECT("'"&amp;F1628&amp;"'!$E$2")="Location",
                "Cash Accounts",
                IF(INDIRECT("'"&amp;F1628&amp;"'!$B$2")="Amount",
                    "Investments",
                    "Bill Accounts"
                )
            )
        ),
    "")
)</f>
        <v/>
      </c>
      <c r="I1628" s="46" t="str" cm="1">
        <f t="array" aca="1" ref="I1628" ca="1">IF(F1628&lt;&gt;"",IF(OR(G1628="Bill Accounts",G1628="Investments", G1628="Cash Accounts"),INDIRECT("'"&amp;F1628&amp;"'!$C$10"),INDIRECT("'"&amp;F1628&amp;"'!$C$8")),"")</f>
        <v/>
      </c>
      <c r="K1628" s="48">
        <f t="shared" si="78"/>
        <v>1634</v>
      </c>
      <c r="L1628" s="114" t="str" cm="1">
        <f t="array" aca="1" ref="L1628" ca="1">IF(F1628&lt;&gt;"",INDIRECT("'"&amp;F1628&amp;"'!$F$17"),"")</f>
        <v/>
      </c>
      <c r="M1628" s="116" t="str">
        <f t="shared" ca="1" si="76"/>
        <v/>
      </c>
      <c r="O1628" s="49" t="str">
        <f t="shared" ca="1" si="77"/>
        <v/>
      </c>
      <c r="P1628" s="38" t="str">
        <f>IF(E1628&lt;&gt;"",RANK(E1628,$E$3:$E$2298)+COUNTIF($E$3:E1628,E1628)-1,"")</f>
        <v/>
      </c>
    </row>
    <row r="1629" spans="4:16" x14ac:dyDescent="0.25">
      <c r="D1629" s="36" t="str" cm="1">
        <f t="array" aca="1" ref="D1629" ca="1">IFERROR(IF(INDIRECT("'"&amp;F1629&amp;"'!$C$5")&gt;0,DATE(YEAR(Dashboard!$AL$2),Dashboard!$AU$4,INDIRECT("'"&amp;F1629&amp;"'!$C$5")),""),"")</f>
        <v/>
      </c>
      <c r="G1629" s="38" t="str" cm="1">
        <f t="array" aca="1" ref="G1629" ca="1">IF(F1629="",
    "",
    IFERROR(
        IF(INDIRECT("'"&amp;F1629&amp;"'!$B$2")="Credit Limit",
            "Credit Accounts",
            IF(INDIRECT("'"&amp;F1629&amp;"'!$E$2")="Location",
                "Cash Accounts",
                IF(INDIRECT("'"&amp;F1629&amp;"'!$B$2")="Amount",
                    "Investments",
                    "Bill Accounts"
                )
            )
        ),
    "")
)</f>
        <v/>
      </c>
      <c r="I1629" s="46" t="str" cm="1">
        <f t="array" aca="1" ref="I1629" ca="1">IF(F1629&lt;&gt;"",IF(OR(G1629="Bill Accounts",G1629="Investments", G1629="Cash Accounts"),INDIRECT("'"&amp;F1629&amp;"'!$C$10"),INDIRECT("'"&amp;F1629&amp;"'!$C$8")),"")</f>
        <v/>
      </c>
      <c r="K1629" s="48">
        <f t="shared" si="78"/>
        <v>1635</v>
      </c>
      <c r="L1629" s="114" t="str" cm="1">
        <f t="array" aca="1" ref="L1629" ca="1">IF(F1629&lt;&gt;"",INDIRECT("'"&amp;F1629&amp;"'!$F$17"),"")</f>
        <v/>
      </c>
      <c r="M1629" s="116" t="str">
        <f t="shared" ca="1" si="76"/>
        <v/>
      </c>
      <c r="O1629" s="49" t="str">
        <f t="shared" ca="1" si="77"/>
        <v/>
      </c>
      <c r="P1629" s="38" t="str">
        <f>IF(E1629&lt;&gt;"",RANK(E1629,$E$3:$E$2298)+COUNTIF($E$3:E1629,E1629)-1,"")</f>
        <v/>
      </c>
    </row>
    <row r="1630" spans="4:16" x14ac:dyDescent="0.25">
      <c r="D1630" s="36" t="str" cm="1">
        <f t="array" aca="1" ref="D1630" ca="1">IFERROR(IF(INDIRECT("'"&amp;F1630&amp;"'!$C$5")&gt;0,DATE(YEAR(Dashboard!$AL$2),Dashboard!$AU$4,INDIRECT("'"&amp;F1630&amp;"'!$C$5")),""),"")</f>
        <v/>
      </c>
      <c r="G1630" s="38" t="str" cm="1">
        <f t="array" aca="1" ref="G1630" ca="1">IF(F1630="",
    "",
    IFERROR(
        IF(INDIRECT("'"&amp;F1630&amp;"'!$B$2")="Credit Limit",
            "Credit Accounts",
            IF(INDIRECT("'"&amp;F1630&amp;"'!$E$2")="Location",
                "Cash Accounts",
                IF(INDIRECT("'"&amp;F1630&amp;"'!$B$2")="Amount",
                    "Investments",
                    "Bill Accounts"
                )
            )
        ),
    "")
)</f>
        <v/>
      </c>
      <c r="I1630" s="46" t="str" cm="1">
        <f t="array" aca="1" ref="I1630" ca="1">IF(F1630&lt;&gt;"",IF(OR(G1630="Bill Accounts",G1630="Investments", G1630="Cash Accounts"),INDIRECT("'"&amp;F1630&amp;"'!$C$10"),INDIRECT("'"&amp;F1630&amp;"'!$C$8")),"")</f>
        <v/>
      </c>
      <c r="K1630" s="48">
        <f t="shared" si="78"/>
        <v>1636</v>
      </c>
      <c r="L1630" s="114" t="str" cm="1">
        <f t="array" aca="1" ref="L1630" ca="1">IF(F1630&lt;&gt;"",INDIRECT("'"&amp;F1630&amp;"'!$F$17"),"")</f>
        <v/>
      </c>
      <c r="M1630" s="116" t="str">
        <f t="shared" ca="1" si="76"/>
        <v/>
      </c>
      <c r="O1630" s="49" t="str">
        <f t="shared" ca="1" si="77"/>
        <v/>
      </c>
      <c r="P1630" s="38" t="str">
        <f>IF(E1630&lt;&gt;"",RANK(E1630,$E$3:$E$2298)+COUNTIF($E$3:E1630,E1630)-1,"")</f>
        <v/>
      </c>
    </row>
    <row r="1631" spans="4:16" x14ac:dyDescent="0.25">
      <c r="D1631" s="36" t="str" cm="1">
        <f t="array" aca="1" ref="D1631" ca="1">IFERROR(IF(INDIRECT("'"&amp;F1631&amp;"'!$C$5")&gt;0,DATE(YEAR(Dashboard!$AL$2),Dashboard!$AU$4,INDIRECT("'"&amp;F1631&amp;"'!$C$5")),""),"")</f>
        <v/>
      </c>
      <c r="G1631" s="38" t="str" cm="1">
        <f t="array" aca="1" ref="G1631" ca="1">IF(F1631="",
    "",
    IFERROR(
        IF(INDIRECT("'"&amp;F1631&amp;"'!$B$2")="Credit Limit",
            "Credit Accounts",
            IF(INDIRECT("'"&amp;F1631&amp;"'!$E$2")="Location",
                "Cash Accounts",
                IF(INDIRECT("'"&amp;F1631&amp;"'!$B$2")="Amount",
                    "Investments",
                    "Bill Accounts"
                )
            )
        ),
    "")
)</f>
        <v/>
      </c>
      <c r="I1631" s="46" t="str" cm="1">
        <f t="array" aca="1" ref="I1631" ca="1">IF(F1631&lt;&gt;"",IF(OR(G1631="Bill Accounts",G1631="Investments", G1631="Cash Accounts"),INDIRECT("'"&amp;F1631&amp;"'!$C$10"),INDIRECT("'"&amp;F1631&amp;"'!$C$8")),"")</f>
        <v/>
      </c>
      <c r="K1631" s="48">
        <f t="shared" si="78"/>
        <v>1637</v>
      </c>
      <c r="L1631" s="114" t="str" cm="1">
        <f t="array" aca="1" ref="L1631" ca="1">IF(F1631&lt;&gt;"",INDIRECT("'"&amp;F1631&amp;"'!$F$17"),"")</f>
        <v/>
      </c>
      <c r="M1631" s="116" t="str">
        <f t="shared" ca="1" si="76"/>
        <v/>
      </c>
      <c r="O1631" s="49" t="str">
        <f t="shared" ca="1" si="77"/>
        <v/>
      </c>
      <c r="P1631" s="38" t="str">
        <f>IF(E1631&lt;&gt;"",RANK(E1631,$E$3:$E$2298)+COUNTIF($E$3:E1631,E1631)-1,"")</f>
        <v/>
      </c>
    </row>
    <row r="1632" spans="4:16" x14ac:dyDescent="0.25">
      <c r="D1632" s="36" t="str" cm="1">
        <f t="array" aca="1" ref="D1632" ca="1">IFERROR(IF(INDIRECT("'"&amp;F1632&amp;"'!$C$5")&gt;0,DATE(YEAR(Dashboard!$AL$2),Dashboard!$AU$4,INDIRECT("'"&amp;F1632&amp;"'!$C$5")),""),"")</f>
        <v/>
      </c>
      <c r="G1632" s="38" t="str" cm="1">
        <f t="array" aca="1" ref="G1632" ca="1">IF(F1632="",
    "",
    IFERROR(
        IF(INDIRECT("'"&amp;F1632&amp;"'!$B$2")="Credit Limit",
            "Credit Accounts",
            IF(INDIRECT("'"&amp;F1632&amp;"'!$E$2")="Location",
                "Cash Accounts",
                IF(INDIRECT("'"&amp;F1632&amp;"'!$B$2")="Amount",
                    "Investments",
                    "Bill Accounts"
                )
            )
        ),
    "")
)</f>
        <v/>
      </c>
      <c r="I1632" s="46" t="str" cm="1">
        <f t="array" aca="1" ref="I1632" ca="1">IF(F1632&lt;&gt;"",IF(OR(G1632="Bill Accounts",G1632="Investments", G1632="Cash Accounts"),INDIRECT("'"&amp;F1632&amp;"'!$C$10"),INDIRECT("'"&amp;F1632&amp;"'!$C$8")),"")</f>
        <v/>
      </c>
      <c r="K1632" s="48">
        <f t="shared" si="78"/>
        <v>1638</v>
      </c>
      <c r="L1632" s="114" t="str" cm="1">
        <f t="array" aca="1" ref="L1632" ca="1">IF(F1632&lt;&gt;"",INDIRECT("'"&amp;F1632&amp;"'!$F$17"),"")</f>
        <v/>
      </c>
      <c r="M1632" s="116" t="str">
        <f t="shared" ca="1" si="76"/>
        <v/>
      </c>
      <c r="O1632" s="49" t="str">
        <f t="shared" ca="1" si="77"/>
        <v/>
      </c>
      <c r="P1632" s="38" t="str">
        <f>IF(E1632&lt;&gt;"",RANK(E1632,$E$3:$E$2298)+COUNTIF($E$3:E1632,E1632)-1,"")</f>
        <v/>
      </c>
    </row>
    <row r="1633" spans="4:16" x14ac:dyDescent="0.25">
      <c r="D1633" s="36" t="str" cm="1">
        <f t="array" aca="1" ref="D1633" ca="1">IFERROR(IF(INDIRECT("'"&amp;F1633&amp;"'!$C$5")&gt;0,DATE(YEAR(Dashboard!$AL$2),Dashboard!$AU$4,INDIRECT("'"&amp;F1633&amp;"'!$C$5")),""),"")</f>
        <v/>
      </c>
      <c r="G1633" s="38" t="str" cm="1">
        <f t="array" aca="1" ref="G1633" ca="1">IF(F1633="",
    "",
    IFERROR(
        IF(INDIRECT("'"&amp;F1633&amp;"'!$B$2")="Credit Limit",
            "Credit Accounts",
            IF(INDIRECT("'"&amp;F1633&amp;"'!$E$2")="Location",
                "Cash Accounts",
                IF(INDIRECT("'"&amp;F1633&amp;"'!$B$2")="Amount",
                    "Investments",
                    "Bill Accounts"
                )
            )
        ),
    "")
)</f>
        <v/>
      </c>
      <c r="I1633" s="46" t="str" cm="1">
        <f t="array" aca="1" ref="I1633" ca="1">IF(F1633&lt;&gt;"",IF(OR(G1633="Bill Accounts",G1633="Investments", G1633="Cash Accounts"),INDIRECT("'"&amp;F1633&amp;"'!$C$10"),INDIRECT("'"&amp;F1633&amp;"'!$C$8")),"")</f>
        <v/>
      </c>
      <c r="K1633" s="48">
        <f t="shared" si="78"/>
        <v>1639</v>
      </c>
      <c r="L1633" s="114" t="str" cm="1">
        <f t="array" aca="1" ref="L1633" ca="1">IF(F1633&lt;&gt;"",INDIRECT("'"&amp;F1633&amp;"'!$F$17"),"")</f>
        <v/>
      </c>
      <c r="M1633" s="116" t="str">
        <f t="shared" ca="1" si="76"/>
        <v/>
      </c>
      <c r="O1633" s="49" t="str">
        <f t="shared" ca="1" si="77"/>
        <v/>
      </c>
      <c r="P1633" s="38" t="str">
        <f>IF(E1633&lt;&gt;"",RANK(E1633,$E$3:$E$2298)+COUNTIF($E$3:E1633,E1633)-1,"")</f>
        <v/>
      </c>
    </row>
    <row r="1634" spans="4:16" x14ac:dyDescent="0.25">
      <c r="D1634" s="36" t="str" cm="1">
        <f t="array" aca="1" ref="D1634" ca="1">IFERROR(IF(INDIRECT("'"&amp;F1634&amp;"'!$C$5")&gt;0,DATE(YEAR(Dashboard!$AL$2),Dashboard!$AU$4,INDIRECT("'"&amp;F1634&amp;"'!$C$5")),""),"")</f>
        <v/>
      </c>
      <c r="G1634" s="38" t="str" cm="1">
        <f t="array" aca="1" ref="G1634" ca="1">IF(F1634="",
    "",
    IFERROR(
        IF(INDIRECT("'"&amp;F1634&amp;"'!$B$2")="Credit Limit",
            "Credit Accounts",
            IF(INDIRECT("'"&amp;F1634&amp;"'!$E$2")="Location",
                "Cash Accounts",
                IF(INDIRECT("'"&amp;F1634&amp;"'!$B$2")="Amount",
                    "Investments",
                    "Bill Accounts"
                )
            )
        ),
    "")
)</f>
        <v/>
      </c>
      <c r="I1634" s="46" t="str" cm="1">
        <f t="array" aca="1" ref="I1634" ca="1">IF(F1634&lt;&gt;"",IF(OR(G1634="Bill Accounts",G1634="Investments", G1634="Cash Accounts"),INDIRECT("'"&amp;F1634&amp;"'!$C$10"),INDIRECT("'"&amp;F1634&amp;"'!$C$8")),"")</f>
        <v/>
      </c>
      <c r="K1634" s="48">
        <f t="shared" si="78"/>
        <v>1640</v>
      </c>
      <c r="L1634" s="114" t="str" cm="1">
        <f t="array" aca="1" ref="L1634" ca="1">IF(F1634&lt;&gt;"",INDIRECT("'"&amp;F1634&amp;"'!$F$17"),"")</f>
        <v/>
      </c>
      <c r="M1634" s="116" t="str">
        <f t="shared" ca="1" si="76"/>
        <v/>
      </c>
      <c r="O1634" s="49" t="str">
        <f t="shared" ca="1" si="77"/>
        <v/>
      </c>
      <c r="P1634" s="38" t="str">
        <f>IF(E1634&lt;&gt;"",RANK(E1634,$E$3:$E$2298)+COUNTIF($E$3:E1634,E1634)-1,"")</f>
        <v/>
      </c>
    </row>
    <row r="1635" spans="4:16" x14ac:dyDescent="0.25">
      <c r="D1635" s="36" t="str" cm="1">
        <f t="array" aca="1" ref="D1635" ca="1">IFERROR(IF(INDIRECT("'"&amp;F1635&amp;"'!$C$5")&gt;0,DATE(YEAR(Dashboard!$AL$2),Dashboard!$AU$4,INDIRECT("'"&amp;F1635&amp;"'!$C$5")),""),"")</f>
        <v/>
      </c>
      <c r="G1635" s="38" t="str" cm="1">
        <f t="array" aca="1" ref="G1635" ca="1">IF(F1635="",
    "",
    IFERROR(
        IF(INDIRECT("'"&amp;F1635&amp;"'!$B$2")="Credit Limit",
            "Credit Accounts",
            IF(INDIRECT("'"&amp;F1635&amp;"'!$E$2")="Location",
                "Cash Accounts",
                IF(INDIRECT("'"&amp;F1635&amp;"'!$B$2")="Amount",
                    "Investments",
                    "Bill Accounts"
                )
            )
        ),
    "")
)</f>
        <v/>
      </c>
      <c r="I1635" s="46" t="str" cm="1">
        <f t="array" aca="1" ref="I1635" ca="1">IF(F1635&lt;&gt;"",IF(OR(G1635="Bill Accounts",G1635="Investments", G1635="Cash Accounts"),INDIRECT("'"&amp;F1635&amp;"'!$C$10"),INDIRECT("'"&amp;F1635&amp;"'!$C$8")),"")</f>
        <v/>
      </c>
      <c r="K1635" s="48">
        <f t="shared" si="78"/>
        <v>1641</v>
      </c>
      <c r="L1635" s="114" t="str" cm="1">
        <f t="array" aca="1" ref="L1635" ca="1">IF(F1635&lt;&gt;"",INDIRECT("'"&amp;F1635&amp;"'!$F$17"),"")</f>
        <v/>
      </c>
      <c r="M1635" s="116" t="str">
        <f t="shared" ca="1" si="76"/>
        <v/>
      </c>
      <c r="O1635" s="49" t="str">
        <f t="shared" ca="1" si="77"/>
        <v/>
      </c>
      <c r="P1635" s="38" t="str">
        <f>IF(E1635&lt;&gt;"",RANK(E1635,$E$3:$E$2298)+COUNTIF($E$3:E1635,E1635)-1,"")</f>
        <v/>
      </c>
    </row>
    <row r="1636" spans="4:16" x14ac:dyDescent="0.25">
      <c r="D1636" s="36" t="str" cm="1">
        <f t="array" aca="1" ref="D1636" ca="1">IFERROR(IF(INDIRECT("'"&amp;F1636&amp;"'!$C$5")&gt;0,DATE(YEAR(Dashboard!$AL$2),Dashboard!$AU$4,INDIRECT("'"&amp;F1636&amp;"'!$C$5")),""),"")</f>
        <v/>
      </c>
      <c r="G1636" s="38" t="str" cm="1">
        <f t="array" aca="1" ref="G1636" ca="1">IF(F1636="",
    "",
    IFERROR(
        IF(INDIRECT("'"&amp;F1636&amp;"'!$B$2")="Credit Limit",
            "Credit Accounts",
            IF(INDIRECT("'"&amp;F1636&amp;"'!$E$2")="Location",
                "Cash Accounts",
                IF(INDIRECT("'"&amp;F1636&amp;"'!$B$2")="Amount",
                    "Investments",
                    "Bill Accounts"
                )
            )
        ),
    "")
)</f>
        <v/>
      </c>
      <c r="I1636" s="46" t="str" cm="1">
        <f t="array" aca="1" ref="I1636" ca="1">IF(F1636&lt;&gt;"",IF(OR(G1636="Bill Accounts",G1636="Investments", G1636="Cash Accounts"),INDIRECT("'"&amp;F1636&amp;"'!$C$10"),INDIRECT("'"&amp;F1636&amp;"'!$C$8")),"")</f>
        <v/>
      </c>
      <c r="K1636" s="48">
        <f t="shared" si="78"/>
        <v>1642</v>
      </c>
      <c r="L1636" s="114" t="str" cm="1">
        <f t="array" aca="1" ref="L1636" ca="1">IF(F1636&lt;&gt;"",INDIRECT("'"&amp;F1636&amp;"'!$F$17"),"")</f>
        <v/>
      </c>
      <c r="M1636" s="116" t="str">
        <f t="shared" ca="1" si="76"/>
        <v/>
      </c>
      <c r="O1636" s="49" t="str">
        <f t="shared" ca="1" si="77"/>
        <v/>
      </c>
      <c r="P1636" s="38" t="str">
        <f>IF(E1636&lt;&gt;"",RANK(E1636,$E$3:$E$2298)+COUNTIF($E$3:E1636,E1636)-1,"")</f>
        <v/>
      </c>
    </row>
    <row r="1637" spans="4:16" x14ac:dyDescent="0.25">
      <c r="D1637" s="36" t="str" cm="1">
        <f t="array" aca="1" ref="D1637" ca="1">IFERROR(IF(INDIRECT("'"&amp;F1637&amp;"'!$C$5")&gt;0,DATE(YEAR(Dashboard!$AL$2),Dashboard!$AU$4,INDIRECT("'"&amp;F1637&amp;"'!$C$5")),""),"")</f>
        <v/>
      </c>
      <c r="G1637" s="38" t="str" cm="1">
        <f t="array" aca="1" ref="G1637" ca="1">IF(F1637="",
    "",
    IFERROR(
        IF(INDIRECT("'"&amp;F1637&amp;"'!$B$2")="Credit Limit",
            "Credit Accounts",
            IF(INDIRECT("'"&amp;F1637&amp;"'!$E$2")="Location",
                "Cash Accounts",
                IF(INDIRECT("'"&amp;F1637&amp;"'!$B$2")="Amount",
                    "Investments",
                    "Bill Accounts"
                )
            )
        ),
    "")
)</f>
        <v/>
      </c>
      <c r="I1637" s="46" t="str" cm="1">
        <f t="array" aca="1" ref="I1637" ca="1">IF(F1637&lt;&gt;"",IF(OR(G1637="Bill Accounts",G1637="Investments", G1637="Cash Accounts"),INDIRECT("'"&amp;F1637&amp;"'!$C$10"),INDIRECT("'"&amp;F1637&amp;"'!$C$8")),"")</f>
        <v/>
      </c>
      <c r="K1637" s="48">
        <f t="shared" si="78"/>
        <v>1643</v>
      </c>
      <c r="L1637" s="114" t="str" cm="1">
        <f t="array" aca="1" ref="L1637" ca="1">IF(F1637&lt;&gt;"",INDIRECT("'"&amp;F1637&amp;"'!$F$17"),"")</f>
        <v/>
      </c>
      <c r="M1637" s="116" t="str">
        <f t="shared" ca="1" si="76"/>
        <v/>
      </c>
      <c r="O1637" s="49" t="str">
        <f t="shared" ca="1" si="77"/>
        <v/>
      </c>
      <c r="P1637" s="38" t="str">
        <f>IF(E1637&lt;&gt;"",RANK(E1637,$E$3:$E$2298)+COUNTIF($E$3:E1637,E1637)-1,"")</f>
        <v/>
      </c>
    </row>
    <row r="1638" spans="4:16" x14ac:dyDescent="0.25">
      <c r="D1638" s="36" t="str" cm="1">
        <f t="array" aca="1" ref="D1638" ca="1">IFERROR(IF(INDIRECT("'"&amp;F1638&amp;"'!$C$5")&gt;0,DATE(YEAR(Dashboard!$AL$2),Dashboard!$AU$4,INDIRECT("'"&amp;F1638&amp;"'!$C$5")),""),"")</f>
        <v/>
      </c>
      <c r="G1638" s="38" t="str" cm="1">
        <f t="array" aca="1" ref="G1638" ca="1">IF(F1638="",
    "",
    IFERROR(
        IF(INDIRECT("'"&amp;F1638&amp;"'!$B$2")="Credit Limit",
            "Credit Accounts",
            IF(INDIRECT("'"&amp;F1638&amp;"'!$E$2")="Location",
                "Cash Accounts",
                IF(INDIRECT("'"&amp;F1638&amp;"'!$B$2")="Amount",
                    "Investments",
                    "Bill Accounts"
                )
            )
        ),
    "")
)</f>
        <v/>
      </c>
      <c r="I1638" s="46" t="str" cm="1">
        <f t="array" aca="1" ref="I1638" ca="1">IF(F1638&lt;&gt;"",IF(OR(G1638="Bill Accounts",G1638="Investments", G1638="Cash Accounts"),INDIRECT("'"&amp;F1638&amp;"'!$C$10"),INDIRECT("'"&amp;F1638&amp;"'!$C$8")),"")</f>
        <v/>
      </c>
      <c r="K1638" s="48">
        <f t="shared" si="78"/>
        <v>1644</v>
      </c>
      <c r="L1638" s="114" t="str" cm="1">
        <f t="array" aca="1" ref="L1638" ca="1">IF(F1638&lt;&gt;"",INDIRECT("'"&amp;F1638&amp;"'!$F$17"),"")</f>
        <v/>
      </c>
      <c r="M1638" s="116" t="str">
        <f t="shared" ca="1" si="76"/>
        <v/>
      </c>
      <c r="O1638" s="49" t="str">
        <f t="shared" ca="1" si="77"/>
        <v/>
      </c>
      <c r="P1638" s="38" t="str">
        <f>IF(E1638&lt;&gt;"",RANK(E1638,$E$3:$E$2298)+COUNTIF($E$3:E1638,E1638)-1,"")</f>
        <v/>
      </c>
    </row>
    <row r="1639" spans="4:16" x14ac:dyDescent="0.25">
      <c r="D1639" s="36" t="str" cm="1">
        <f t="array" aca="1" ref="D1639" ca="1">IFERROR(IF(INDIRECT("'"&amp;F1639&amp;"'!$C$5")&gt;0,DATE(YEAR(Dashboard!$AL$2),Dashboard!$AU$4,INDIRECT("'"&amp;F1639&amp;"'!$C$5")),""),"")</f>
        <v/>
      </c>
      <c r="G1639" s="38" t="str" cm="1">
        <f t="array" aca="1" ref="G1639" ca="1">IF(F1639="",
    "",
    IFERROR(
        IF(INDIRECT("'"&amp;F1639&amp;"'!$B$2")="Credit Limit",
            "Credit Accounts",
            IF(INDIRECT("'"&amp;F1639&amp;"'!$E$2")="Location",
                "Cash Accounts",
                IF(INDIRECT("'"&amp;F1639&amp;"'!$B$2")="Amount",
                    "Investments",
                    "Bill Accounts"
                )
            )
        ),
    "")
)</f>
        <v/>
      </c>
      <c r="I1639" s="46" t="str" cm="1">
        <f t="array" aca="1" ref="I1639" ca="1">IF(F1639&lt;&gt;"",IF(OR(G1639="Bill Accounts",G1639="Investments", G1639="Cash Accounts"),INDIRECT("'"&amp;F1639&amp;"'!$C$10"),INDIRECT("'"&amp;F1639&amp;"'!$C$8")),"")</f>
        <v/>
      </c>
      <c r="K1639" s="48">
        <f t="shared" si="78"/>
        <v>1645</v>
      </c>
      <c r="L1639" s="114" t="str" cm="1">
        <f t="array" aca="1" ref="L1639" ca="1">IF(F1639&lt;&gt;"",INDIRECT("'"&amp;F1639&amp;"'!$F$17"),"")</f>
        <v/>
      </c>
      <c r="M1639" s="116" t="str">
        <f t="shared" ca="1" si="76"/>
        <v/>
      </c>
      <c r="O1639" s="49" t="str">
        <f t="shared" ca="1" si="77"/>
        <v/>
      </c>
      <c r="P1639" s="38" t="str">
        <f>IF(E1639&lt;&gt;"",RANK(E1639,$E$3:$E$2298)+COUNTIF($E$3:E1639,E1639)-1,"")</f>
        <v/>
      </c>
    </row>
    <row r="1640" spans="4:16" x14ac:dyDescent="0.25">
      <c r="D1640" s="36" t="str" cm="1">
        <f t="array" aca="1" ref="D1640" ca="1">IFERROR(IF(INDIRECT("'"&amp;F1640&amp;"'!$C$5")&gt;0,DATE(YEAR(Dashboard!$AL$2),Dashboard!$AU$4,INDIRECT("'"&amp;F1640&amp;"'!$C$5")),""),"")</f>
        <v/>
      </c>
      <c r="G1640" s="38" t="str" cm="1">
        <f t="array" aca="1" ref="G1640" ca="1">IF(F1640="",
    "",
    IFERROR(
        IF(INDIRECT("'"&amp;F1640&amp;"'!$B$2")="Credit Limit",
            "Credit Accounts",
            IF(INDIRECT("'"&amp;F1640&amp;"'!$E$2")="Location",
                "Cash Accounts",
                IF(INDIRECT("'"&amp;F1640&amp;"'!$B$2")="Amount",
                    "Investments",
                    "Bill Accounts"
                )
            )
        ),
    "")
)</f>
        <v/>
      </c>
      <c r="I1640" s="46" t="str" cm="1">
        <f t="array" aca="1" ref="I1640" ca="1">IF(F1640&lt;&gt;"",IF(OR(G1640="Bill Accounts",G1640="Investments", G1640="Cash Accounts"),INDIRECT("'"&amp;F1640&amp;"'!$C$10"),INDIRECT("'"&amp;F1640&amp;"'!$C$8")),"")</f>
        <v/>
      </c>
      <c r="K1640" s="48">
        <f t="shared" si="78"/>
        <v>1646</v>
      </c>
      <c r="L1640" s="114" t="str" cm="1">
        <f t="array" aca="1" ref="L1640" ca="1">IF(F1640&lt;&gt;"",INDIRECT("'"&amp;F1640&amp;"'!$F$17"),"")</f>
        <v/>
      </c>
      <c r="M1640" s="116" t="str">
        <f t="shared" ca="1" si="76"/>
        <v/>
      </c>
      <c r="O1640" s="49" t="str">
        <f t="shared" ca="1" si="77"/>
        <v/>
      </c>
      <c r="P1640" s="38" t="str">
        <f>IF(E1640&lt;&gt;"",RANK(E1640,$E$3:$E$2298)+COUNTIF($E$3:E1640,E1640)-1,"")</f>
        <v/>
      </c>
    </row>
    <row r="1641" spans="4:16" x14ac:dyDescent="0.25">
      <c r="D1641" s="36" t="str" cm="1">
        <f t="array" aca="1" ref="D1641" ca="1">IFERROR(IF(INDIRECT("'"&amp;F1641&amp;"'!$C$5")&gt;0,DATE(YEAR(Dashboard!$AL$2),Dashboard!$AU$4,INDIRECT("'"&amp;F1641&amp;"'!$C$5")),""),"")</f>
        <v/>
      </c>
      <c r="G1641" s="38" t="str" cm="1">
        <f t="array" aca="1" ref="G1641" ca="1">IF(F1641="",
    "",
    IFERROR(
        IF(INDIRECT("'"&amp;F1641&amp;"'!$B$2")="Credit Limit",
            "Credit Accounts",
            IF(INDIRECT("'"&amp;F1641&amp;"'!$E$2")="Location",
                "Cash Accounts",
                IF(INDIRECT("'"&amp;F1641&amp;"'!$B$2")="Amount",
                    "Investments",
                    "Bill Accounts"
                )
            )
        ),
    "")
)</f>
        <v/>
      </c>
      <c r="I1641" s="46" t="str" cm="1">
        <f t="array" aca="1" ref="I1641" ca="1">IF(F1641&lt;&gt;"",IF(OR(G1641="Bill Accounts",G1641="Investments", G1641="Cash Accounts"),INDIRECT("'"&amp;F1641&amp;"'!$C$10"),INDIRECT("'"&amp;F1641&amp;"'!$C$8")),"")</f>
        <v/>
      </c>
      <c r="K1641" s="48">
        <f t="shared" si="78"/>
        <v>1647</v>
      </c>
      <c r="L1641" s="114" t="str" cm="1">
        <f t="array" aca="1" ref="L1641" ca="1">IF(F1641&lt;&gt;"",INDIRECT("'"&amp;F1641&amp;"'!$F$17"),"")</f>
        <v/>
      </c>
      <c r="M1641" s="116" t="str">
        <f t="shared" ca="1" si="76"/>
        <v/>
      </c>
      <c r="O1641" s="49" t="str">
        <f t="shared" ca="1" si="77"/>
        <v/>
      </c>
      <c r="P1641" s="38" t="str">
        <f>IF(E1641&lt;&gt;"",RANK(E1641,$E$3:$E$2298)+COUNTIF($E$3:E1641,E1641)-1,"")</f>
        <v/>
      </c>
    </row>
    <row r="1642" spans="4:16" x14ac:dyDescent="0.25">
      <c r="D1642" s="36" t="str" cm="1">
        <f t="array" aca="1" ref="D1642" ca="1">IFERROR(IF(INDIRECT("'"&amp;F1642&amp;"'!$C$5")&gt;0,DATE(YEAR(Dashboard!$AL$2),Dashboard!$AU$4,INDIRECT("'"&amp;F1642&amp;"'!$C$5")),""),"")</f>
        <v/>
      </c>
      <c r="G1642" s="38" t="str" cm="1">
        <f t="array" aca="1" ref="G1642" ca="1">IF(F1642="",
    "",
    IFERROR(
        IF(INDIRECT("'"&amp;F1642&amp;"'!$B$2")="Credit Limit",
            "Credit Accounts",
            IF(INDIRECT("'"&amp;F1642&amp;"'!$E$2")="Location",
                "Cash Accounts",
                IF(INDIRECT("'"&amp;F1642&amp;"'!$B$2")="Amount",
                    "Investments",
                    "Bill Accounts"
                )
            )
        ),
    "")
)</f>
        <v/>
      </c>
      <c r="I1642" s="46" t="str" cm="1">
        <f t="array" aca="1" ref="I1642" ca="1">IF(F1642&lt;&gt;"",IF(OR(G1642="Bill Accounts",G1642="Investments", G1642="Cash Accounts"),INDIRECT("'"&amp;F1642&amp;"'!$C$10"),INDIRECT("'"&amp;F1642&amp;"'!$C$8")),"")</f>
        <v/>
      </c>
      <c r="K1642" s="48">
        <f t="shared" si="78"/>
        <v>1648</v>
      </c>
      <c r="L1642" s="114" t="str" cm="1">
        <f t="array" aca="1" ref="L1642" ca="1">IF(F1642&lt;&gt;"",INDIRECT("'"&amp;F1642&amp;"'!$F$17"),"")</f>
        <v/>
      </c>
      <c r="M1642" s="116" t="str">
        <f t="shared" ca="1" si="76"/>
        <v/>
      </c>
      <c r="O1642" s="49" t="str">
        <f t="shared" ca="1" si="77"/>
        <v/>
      </c>
      <c r="P1642" s="38" t="str">
        <f>IF(E1642&lt;&gt;"",RANK(E1642,$E$3:$E$2298)+COUNTIF($E$3:E1642,E1642)-1,"")</f>
        <v/>
      </c>
    </row>
    <row r="1643" spans="4:16" x14ac:dyDescent="0.25">
      <c r="D1643" s="36" t="str" cm="1">
        <f t="array" aca="1" ref="D1643" ca="1">IFERROR(IF(INDIRECT("'"&amp;F1643&amp;"'!$C$5")&gt;0,DATE(YEAR(Dashboard!$AL$2),Dashboard!$AU$4,INDIRECT("'"&amp;F1643&amp;"'!$C$5")),""),"")</f>
        <v/>
      </c>
      <c r="G1643" s="38" t="str" cm="1">
        <f t="array" aca="1" ref="G1643" ca="1">IF(F1643="",
    "",
    IFERROR(
        IF(INDIRECT("'"&amp;F1643&amp;"'!$B$2")="Credit Limit",
            "Credit Accounts",
            IF(INDIRECT("'"&amp;F1643&amp;"'!$E$2")="Location",
                "Cash Accounts",
                IF(INDIRECT("'"&amp;F1643&amp;"'!$B$2")="Amount",
                    "Investments",
                    "Bill Accounts"
                )
            )
        ),
    "")
)</f>
        <v/>
      </c>
      <c r="I1643" s="46" t="str" cm="1">
        <f t="array" aca="1" ref="I1643" ca="1">IF(F1643&lt;&gt;"",IF(OR(G1643="Bill Accounts",G1643="Investments", G1643="Cash Accounts"),INDIRECT("'"&amp;F1643&amp;"'!$C$10"),INDIRECT("'"&amp;F1643&amp;"'!$C$8")),"")</f>
        <v/>
      </c>
      <c r="K1643" s="48">
        <f t="shared" si="78"/>
        <v>1649</v>
      </c>
      <c r="L1643" s="114" t="str" cm="1">
        <f t="array" aca="1" ref="L1643" ca="1">IF(F1643&lt;&gt;"",INDIRECT("'"&amp;F1643&amp;"'!$F$17"),"")</f>
        <v/>
      </c>
      <c r="M1643" s="116" t="str">
        <f t="shared" ca="1" si="76"/>
        <v/>
      </c>
      <c r="O1643" s="49" t="str">
        <f t="shared" ca="1" si="77"/>
        <v/>
      </c>
      <c r="P1643" s="38" t="str">
        <f>IF(E1643&lt;&gt;"",RANK(E1643,$E$3:$E$2298)+COUNTIF($E$3:E1643,E1643)-1,"")</f>
        <v/>
      </c>
    </row>
    <row r="1644" spans="4:16" x14ac:dyDescent="0.25">
      <c r="D1644" s="36" t="str" cm="1">
        <f t="array" aca="1" ref="D1644" ca="1">IFERROR(IF(INDIRECT("'"&amp;F1644&amp;"'!$C$5")&gt;0,DATE(YEAR(Dashboard!$AL$2),Dashboard!$AU$4,INDIRECT("'"&amp;F1644&amp;"'!$C$5")),""),"")</f>
        <v/>
      </c>
      <c r="G1644" s="38" t="str" cm="1">
        <f t="array" aca="1" ref="G1644" ca="1">IF(F1644="",
    "",
    IFERROR(
        IF(INDIRECT("'"&amp;F1644&amp;"'!$B$2")="Credit Limit",
            "Credit Accounts",
            IF(INDIRECT("'"&amp;F1644&amp;"'!$E$2")="Location",
                "Cash Accounts",
                IF(INDIRECT("'"&amp;F1644&amp;"'!$B$2")="Amount",
                    "Investments",
                    "Bill Accounts"
                )
            )
        ),
    "")
)</f>
        <v/>
      </c>
      <c r="I1644" s="46" t="str" cm="1">
        <f t="array" aca="1" ref="I1644" ca="1">IF(F1644&lt;&gt;"",IF(OR(G1644="Bill Accounts",G1644="Investments", G1644="Cash Accounts"),INDIRECT("'"&amp;F1644&amp;"'!$C$10"),INDIRECT("'"&amp;F1644&amp;"'!$C$8")),"")</f>
        <v/>
      </c>
      <c r="K1644" s="48">
        <f t="shared" si="78"/>
        <v>1650</v>
      </c>
      <c r="L1644" s="114" t="str" cm="1">
        <f t="array" aca="1" ref="L1644" ca="1">IF(F1644&lt;&gt;"",INDIRECT("'"&amp;F1644&amp;"'!$F$17"),"")</f>
        <v/>
      </c>
      <c r="M1644" s="116" t="str">
        <f t="shared" ca="1" si="76"/>
        <v/>
      </c>
      <c r="O1644" s="49" t="str">
        <f t="shared" ca="1" si="77"/>
        <v/>
      </c>
      <c r="P1644" s="38" t="str">
        <f>IF(E1644&lt;&gt;"",RANK(E1644,$E$3:$E$2298)+COUNTIF($E$3:E1644,E1644)-1,"")</f>
        <v/>
      </c>
    </row>
    <row r="1645" spans="4:16" x14ac:dyDescent="0.25">
      <c r="D1645" s="36" t="str" cm="1">
        <f t="array" aca="1" ref="D1645" ca="1">IFERROR(IF(INDIRECT("'"&amp;F1645&amp;"'!$C$5")&gt;0,DATE(YEAR(Dashboard!$AL$2),Dashboard!$AU$4,INDIRECT("'"&amp;F1645&amp;"'!$C$5")),""),"")</f>
        <v/>
      </c>
      <c r="G1645" s="38" t="str" cm="1">
        <f t="array" aca="1" ref="G1645" ca="1">IF(F1645="",
    "",
    IFERROR(
        IF(INDIRECT("'"&amp;F1645&amp;"'!$B$2")="Credit Limit",
            "Credit Accounts",
            IF(INDIRECT("'"&amp;F1645&amp;"'!$E$2")="Location",
                "Cash Accounts",
                IF(INDIRECT("'"&amp;F1645&amp;"'!$B$2")="Amount",
                    "Investments",
                    "Bill Accounts"
                )
            )
        ),
    "")
)</f>
        <v/>
      </c>
      <c r="I1645" s="46" t="str" cm="1">
        <f t="array" aca="1" ref="I1645" ca="1">IF(F1645&lt;&gt;"",IF(OR(G1645="Bill Accounts",G1645="Investments", G1645="Cash Accounts"),INDIRECT("'"&amp;F1645&amp;"'!$C$10"),INDIRECT("'"&amp;F1645&amp;"'!$C$8")),"")</f>
        <v/>
      </c>
      <c r="K1645" s="48">
        <f t="shared" si="78"/>
        <v>1651</v>
      </c>
      <c r="L1645" s="114" t="str" cm="1">
        <f t="array" aca="1" ref="L1645" ca="1">IF(F1645&lt;&gt;"",INDIRECT("'"&amp;F1645&amp;"'!$F$17"),"")</f>
        <v/>
      </c>
      <c r="M1645" s="116" t="str">
        <f t="shared" ca="1" si="76"/>
        <v/>
      </c>
      <c r="O1645" s="49" t="str">
        <f t="shared" ca="1" si="77"/>
        <v/>
      </c>
      <c r="P1645" s="38" t="str">
        <f>IF(E1645&lt;&gt;"",RANK(E1645,$E$3:$E$2298)+COUNTIF($E$3:E1645,E1645)-1,"")</f>
        <v/>
      </c>
    </row>
    <row r="1646" spans="4:16" x14ac:dyDescent="0.25">
      <c r="D1646" s="36" t="str" cm="1">
        <f t="array" aca="1" ref="D1646" ca="1">IFERROR(IF(INDIRECT("'"&amp;F1646&amp;"'!$C$5")&gt;0,DATE(YEAR(Dashboard!$AL$2),Dashboard!$AU$4,INDIRECT("'"&amp;F1646&amp;"'!$C$5")),""),"")</f>
        <v/>
      </c>
      <c r="G1646" s="38" t="str" cm="1">
        <f t="array" aca="1" ref="G1646" ca="1">IF(F1646="",
    "",
    IFERROR(
        IF(INDIRECT("'"&amp;F1646&amp;"'!$B$2")="Credit Limit",
            "Credit Accounts",
            IF(INDIRECT("'"&amp;F1646&amp;"'!$E$2")="Location",
                "Cash Accounts",
                IF(INDIRECT("'"&amp;F1646&amp;"'!$B$2")="Amount",
                    "Investments",
                    "Bill Accounts"
                )
            )
        ),
    "")
)</f>
        <v/>
      </c>
      <c r="I1646" s="46" t="str" cm="1">
        <f t="array" aca="1" ref="I1646" ca="1">IF(F1646&lt;&gt;"",IF(OR(G1646="Bill Accounts",G1646="Investments", G1646="Cash Accounts"),INDIRECT("'"&amp;F1646&amp;"'!$C$10"),INDIRECT("'"&amp;F1646&amp;"'!$C$8")),"")</f>
        <v/>
      </c>
      <c r="K1646" s="48">
        <f t="shared" si="78"/>
        <v>1652</v>
      </c>
      <c r="L1646" s="114" t="str" cm="1">
        <f t="array" aca="1" ref="L1646" ca="1">IF(F1646&lt;&gt;"",INDIRECT("'"&amp;F1646&amp;"'!$F$17"),"")</f>
        <v/>
      </c>
      <c r="M1646" s="116" t="str">
        <f t="shared" ca="1" si="76"/>
        <v/>
      </c>
      <c r="O1646" s="49" t="str">
        <f t="shared" ca="1" si="77"/>
        <v/>
      </c>
      <c r="P1646" s="38" t="str">
        <f>IF(E1646&lt;&gt;"",RANK(E1646,$E$3:$E$2298)+COUNTIF($E$3:E1646,E1646)-1,"")</f>
        <v/>
      </c>
    </row>
    <row r="1647" spans="4:16" x14ac:dyDescent="0.25">
      <c r="D1647" s="36" t="str" cm="1">
        <f t="array" aca="1" ref="D1647" ca="1">IFERROR(IF(INDIRECT("'"&amp;F1647&amp;"'!$C$5")&gt;0,DATE(YEAR(Dashboard!$AL$2),Dashboard!$AU$4,INDIRECT("'"&amp;F1647&amp;"'!$C$5")),""),"")</f>
        <v/>
      </c>
      <c r="G1647" s="38" t="str" cm="1">
        <f t="array" aca="1" ref="G1647" ca="1">IF(F1647="",
    "",
    IFERROR(
        IF(INDIRECT("'"&amp;F1647&amp;"'!$B$2")="Credit Limit",
            "Credit Accounts",
            IF(INDIRECT("'"&amp;F1647&amp;"'!$E$2")="Location",
                "Cash Accounts",
                IF(INDIRECT("'"&amp;F1647&amp;"'!$B$2")="Amount",
                    "Investments",
                    "Bill Accounts"
                )
            )
        ),
    "")
)</f>
        <v/>
      </c>
      <c r="I1647" s="46" t="str" cm="1">
        <f t="array" aca="1" ref="I1647" ca="1">IF(F1647&lt;&gt;"",IF(OR(G1647="Bill Accounts",G1647="Investments", G1647="Cash Accounts"),INDIRECT("'"&amp;F1647&amp;"'!$C$10"),INDIRECT("'"&amp;F1647&amp;"'!$C$8")),"")</f>
        <v/>
      </c>
      <c r="K1647" s="48">
        <f t="shared" si="78"/>
        <v>1653</v>
      </c>
      <c r="L1647" s="114" t="str" cm="1">
        <f t="array" aca="1" ref="L1647" ca="1">IF(F1647&lt;&gt;"",INDIRECT("'"&amp;F1647&amp;"'!$F$17"),"")</f>
        <v/>
      </c>
      <c r="M1647" s="116" t="str">
        <f t="shared" ca="1" si="76"/>
        <v/>
      </c>
      <c r="O1647" s="49" t="str">
        <f t="shared" ca="1" si="77"/>
        <v/>
      </c>
      <c r="P1647" s="38" t="str">
        <f>IF(E1647&lt;&gt;"",RANK(E1647,$E$3:$E$2298)+COUNTIF($E$3:E1647,E1647)-1,"")</f>
        <v/>
      </c>
    </row>
    <row r="1648" spans="4:16" x14ac:dyDescent="0.25">
      <c r="D1648" s="36" t="str" cm="1">
        <f t="array" aca="1" ref="D1648" ca="1">IFERROR(IF(INDIRECT("'"&amp;F1648&amp;"'!$C$5")&gt;0,DATE(YEAR(Dashboard!$AL$2),Dashboard!$AU$4,INDIRECT("'"&amp;F1648&amp;"'!$C$5")),""),"")</f>
        <v/>
      </c>
      <c r="G1648" s="38" t="str" cm="1">
        <f t="array" aca="1" ref="G1648" ca="1">IF(F1648="",
    "",
    IFERROR(
        IF(INDIRECT("'"&amp;F1648&amp;"'!$B$2")="Credit Limit",
            "Credit Accounts",
            IF(INDIRECT("'"&amp;F1648&amp;"'!$E$2")="Location",
                "Cash Accounts",
                IF(INDIRECT("'"&amp;F1648&amp;"'!$B$2")="Amount",
                    "Investments",
                    "Bill Accounts"
                )
            )
        ),
    "")
)</f>
        <v/>
      </c>
      <c r="I1648" s="46" t="str" cm="1">
        <f t="array" aca="1" ref="I1648" ca="1">IF(F1648&lt;&gt;"",IF(OR(G1648="Bill Accounts",G1648="Investments", G1648="Cash Accounts"),INDIRECT("'"&amp;F1648&amp;"'!$C$10"),INDIRECT("'"&amp;F1648&amp;"'!$C$8")),"")</f>
        <v/>
      </c>
      <c r="K1648" s="48">
        <f t="shared" si="78"/>
        <v>1654</v>
      </c>
      <c r="L1648" s="114" t="str" cm="1">
        <f t="array" aca="1" ref="L1648" ca="1">IF(F1648&lt;&gt;"",INDIRECT("'"&amp;F1648&amp;"'!$F$17"),"")</f>
        <v/>
      </c>
      <c r="M1648" s="116" t="str">
        <f t="shared" ca="1" si="76"/>
        <v/>
      </c>
      <c r="O1648" s="49" t="str">
        <f t="shared" ca="1" si="77"/>
        <v/>
      </c>
      <c r="P1648" s="38" t="str">
        <f>IF(E1648&lt;&gt;"",RANK(E1648,$E$3:$E$2298)+COUNTIF($E$3:E1648,E1648)-1,"")</f>
        <v/>
      </c>
    </row>
    <row r="1649" spans="4:16" x14ac:dyDescent="0.25">
      <c r="D1649" s="36" t="str" cm="1">
        <f t="array" aca="1" ref="D1649" ca="1">IFERROR(IF(INDIRECT("'"&amp;F1649&amp;"'!$C$5")&gt;0,DATE(YEAR(Dashboard!$AL$2),Dashboard!$AU$4,INDIRECT("'"&amp;F1649&amp;"'!$C$5")),""),"")</f>
        <v/>
      </c>
      <c r="G1649" s="38" t="str" cm="1">
        <f t="array" aca="1" ref="G1649" ca="1">IF(F1649="",
    "",
    IFERROR(
        IF(INDIRECT("'"&amp;F1649&amp;"'!$B$2")="Credit Limit",
            "Credit Accounts",
            IF(INDIRECT("'"&amp;F1649&amp;"'!$E$2")="Location",
                "Cash Accounts",
                IF(INDIRECT("'"&amp;F1649&amp;"'!$B$2")="Amount",
                    "Investments",
                    "Bill Accounts"
                )
            )
        ),
    "")
)</f>
        <v/>
      </c>
      <c r="I1649" s="46" t="str" cm="1">
        <f t="array" aca="1" ref="I1649" ca="1">IF(F1649&lt;&gt;"",IF(OR(G1649="Bill Accounts",G1649="Investments", G1649="Cash Accounts"),INDIRECT("'"&amp;F1649&amp;"'!$C$10"),INDIRECT("'"&amp;F1649&amp;"'!$C$8")),"")</f>
        <v/>
      </c>
      <c r="K1649" s="48">
        <f t="shared" si="78"/>
        <v>1655</v>
      </c>
      <c r="L1649" s="114" t="str" cm="1">
        <f t="array" aca="1" ref="L1649" ca="1">IF(F1649&lt;&gt;"",INDIRECT("'"&amp;F1649&amp;"'!$F$17"),"")</f>
        <v/>
      </c>
      <c r="M1649" s="116" t="str">
        <f t="shared" ca="1" si="76"/>
        <v/>
      </c>
      <c r="O1649" s="49" t="str">
        <f t="shared" ca="1" si="77"/>
        <v/>
      </c>
      <c r="P1649" s="38" t="str">
        <f>IF(E1649&lt;&gt;"",RANK(E1649,$E$3:$E$2298)+COUNTIF($E$3:E1649,E1649)-1,"")</f>
        <v/>
      </c>
    </row>
    <row r="1650" spans="4:16" x14ac:dyDescent="0.25">
      <c r="D1650" s="36" t="str" cm="1">
        <f t="array" aca="1" ref="D1650" ca="1">IFERROR(IF(INDIRECT("'"&amp;F1650&amp;"'!$C$5")&gt;0,DATE(YEAR(Dashboard!$AL$2),Dashboard!$AU$4,INDIRECT("'"&amp;F1650&amp;"'!$C$5")),""),"")</f>
        <v/>
      </c>
      <c r="G1650" s="38" t="str" cm="1">
        <f t="array" aca="1" ref="G1650" ca="1">IF(F1650="",
    "",
    IFERROR(
        IF(INDIRECT("'"&amp;F1650&amp;"'!$B$2")="Credit Limit",
            "Credit Accounts",
            IF(INDIRECT("'"&amp;F1650&amp;"'!$E$2")="Location",
                "Cash Accounts",
                IF(INDIRECT("'"&amp;F1650&amp;"'!$B$2")="Amount",
                    "Investments",
                    "Bill Accounts"
                )
            )
        ),
    "")
)</f>
        <v/>
      </c>
      <c r="I1650" s="46" t="str" cm="1">
        <f t="array" aca="1" ref="I1650" ca="1">IF(F1650&lt;&gt;"",IF(OR(G1650="Bill Accounts",G1650="Investments", G1650="Cash Accounts"),INDIRECT("'"&amp;F1650&amp;"'!$C$10"),INDIRECT("'"&amp;F1650&amp;"'!$C$8")),"")</f>
        <v/>
      </c>
      <c r="K1650" s="48">
        <f t="shared" si="78"/>
        <v>1656</v>
      </c>
      <c r="L1650" s="114" t="str" cm="1">
        <f t="array" aca="1" ref="L1650" ca="1">IF(F1650&lt;&gt;"",INDIRECT("'"&amp;F1650&amp;"'!$F$17"),"")</f>
        <v/>
      </c>
      <c r="M1650" s="116" t="str">
        <f t="shared" ca="1" si="76"/>
        <v/>
      </c>
      <c r="O1650" s="49" t="str">
        <f t="shared" ca="1" si="77"/>
        <v/>
      </c>
      <c r="P1650" s="38" t="str">
        <f>IF(E1650&lt;&gt;"",RANK(E1650,$E$3:$E$2298)+COUNTIF($E$3:E1650,E1650)-1,"")</f>
        <v/>
      </c>
    </row>
    <row r="1651" spans="4:16" x14ac:dyDescent="0.25">
      <c r="D1651" s="36" t="str" cm="1">
        <f t="array" aca="1" ref="D1651" ca="1">IFERROR(IF(INDIRECT("'"&amp;F1651&amp;"'!$C$5")&gt;0,DATE(YEAR(Dashboard!$AL$2),Dashboard!$AU$4,INDIRECT("'"&amp;F1651&amp;"'!$C$5")),""),"")</f>
        <v/>
      </c>
      <c r="G1651" s="38" t="str" cm="1">
        <f t="array" aca="1" ref="G1651" ca="1">IF(F1651="",
    "",
    IFERROR(
        IF(INDIRECT("'"&amp;F1651&amp;"'!$B$2")="Credit Limit",
            "Credit Accounts",
            IF(INDIRECT("'"&amp;F1651&amp;"'!$E$2")="Location",
                "Cash Accounts",
                IF(INDIRECT("'"&amp;F1651&amp;"'!$B$2")="Amount",
                    "Investments",
                    "Bill Accounts"
                )
            )
        ),
    "")
)</f>
        <v/>
      </c>
      <c r="I1651" s="46" t="str" cm="1">
        <f t="array" aca="1" ref="I1651" ca="1">IF(F1651&lt;&gt;"",IF(OR(G1651="Bill Accounts",G1651="Investments", G1651="Cash Accounts"),INDIRECT("'"&amp;F1651&amp;"'!$C$10"),INDIRECT("'"&amp;F1651&amp;"'!$C$8")),"")</f>
        <v/>
      </c>
      <c r="K1651" s="48">
        <f t="shared" si="78"/>
        <v>1657</v>
      </c>
      <c r="L1651" s="114" t="str" cm="1">
        <f t="array" aca="1" ref="L1651" ca="1">IF(F1651&lt;&gt;"",INDIRECT("'"&amp;F1651&amp;"'!$F$17"),"")</f>
        <v/>
      </c>
      <c r="M1651" s="116" t="str">
        <f t="shared" ca="1" si="76"/>
        <v/>
      </c>
      <c r="O1651" s="49" t="str">
        <f t="shared" ca="1" si="77"/>
        <v/>
      </c>
      <c r="P1651" s="38" t="str">
        <f>IF(E1651&lt;&gt;"",RANK(E1651,$E$3:$E$2298)+COUNTIF($E$3:E1651,E1651)-1,"")</f>
        <v/>
      </c>
    </row>
    <row r="1652" spans="4:16" x14ac:dyDescent="0.25">
      <c r="D1652" s="36" t="str" cm="1">
        <f t="array" aca="1" ref="D1652" ca="1">IFERROR(IF(INDIRECT("'"&amp;F1652&amp;"'!$C$5")&gt;0,DATE(YEAR(Dashboard!$AL$2),Dashboard!$AU$4,INDIRECT("'"&amp;F1652&amp;"'!$C$5")),""),"")</f>
        <v/>
      </c>
      <c r="G1652" s="38" t="str" cm="1">
        <f t="array" aca="1" ref="G1652" ca="1">IF(F1652="",
    "",
    IFERROR(
        IF(INDIRECT("'"&amp;F1652&amp;"'!$B$2")="Credit Limit",
            "Credit Accounts",
            IF(INDIRECT("'"&amp;F1652&amp;"'!$E$2")="Location",
                "Cash Accounts",
                IF(INDIRECT("'"&amp;F1652&amp;"'!$B$2")="Amount",
                    "Investments",
                    "Bill Accounts"
                )
            )
        ),
    "")
)</f>
        <v/>
      </c>
      <c r="I1652" s="46" t="str" cm="1">
        <f t="array" aca="1" ref="I1652" ca="1">IF(F1652&lt;&gt;"",IF(OR(G1652="Bill Accounts",G1652="Investments", G1652="Cash Accounts"),INDIRECT("'"&amp;F1652&amp;"'!$C$10"),INDIRECT("'"&amp;F1652&amp;"'!$C$8")),"")</f>
        <v/>
      </c>
      <c r="K1652" s="48">
        <f t="shared" si="78"/>
        <v>1658</v>
      </c>
      <c r="L1652" s="114" t="str" cm="1">
        <f t="array" aca="1" ref="L1652" ca="1">IF(F1652&lt;&gt;"",INDIRECT("'"&amp;F1652&amp;"'!$F$17"),"")</f>
        <v/>
      </c>
      <c r="M1652" s="116" t="str">
        <f t="shared" ca="1" si="76"/>
        <v/>
      </c>
      <c r="O1652" s="49" t="str">
        <f t="shared" ca="1" si="77"/>
        <v/>
      </c>
      <c r="P1652" s="38" t="str">
        <f>IF(E1652&lt;&gt;"",RANK(E1652,$E$3:$E$2298)+COUNTIF($E$3:E1652,E1652)-1,"")</f>
        <v/>
      </c>
    </row>
    <row r="1653" spans="4:16" x14ac:dyDescent="0.25">
      <c r="D1653" s="36" t="str" cm="1">
        <f t="array" aca="1" ref="D1653" ca="1">IFERROR(IF(INDIRECT("'"&amp;F1653&amp;"'!$C$5")&gt;0,DATE(YEAR(Dashboard!$AL$2),Dashboard!$AU$4,INDIRECT("'"&amp;F1653&amp;"'!$C$5")),""),"")</f>
        <v/>
      </c>
      <c r="G1653" s="38" t="str" cm="1">
        <f t="array" aca="1" ref="G1653" ca="1">IF(F1653="",
    "",
    IFERROR(
        IF(INDIRECT("'"&amp;F1653&amp;"'!$B$2")="Credit Limit",
            "Credit Accounts",
            IF(INDIRECT("'"&amp;F1653&amp;"'!$E$2")="Location",
                "Cash Accounts",
                IF(INDIRECT("'"&amp;F1653&amp;"'!$B$2")="Amount",
                    "Investments",
                    "Bill Accounts"
                )
            )
        ),
    "")
)</f>
        <v/>
      </c>
      <c r="I1653" s="46" t="str" cm="1">
        <f t="array" aca="1" ref="I1653" ca="1">IF(F1653&lt;&gt;"",IF(OR(G1653="Bill Accounts",G1653="Investments", G1653="Cash Accounts"),INDIRECT("'"&amp;F1653&amp;"'!$C$10"),INDIRECT("'"&amp;F1653&amp;"'!$C$8")),"")</f>
        <v/>
      </c>
      <c r="K1653" s="48">
        <f t="shared" si="78"/>
        <v>1659</v>
      </c>
      <c r="L1653" s="114" t="str" cm="1">
        <f t="array" aca="1" ref="L1653" ca="1">IF(F1653&lt;&gt;"",INDIRECT("'"&amp;F1653&amp;"'!$F$17"),"")</f>
        <v/>
      </c>
      <c r="M1653" s="116" t="str">
        <f t="shared" ca="1" si="76"/>
        <v/>
      </c>
      <c r="O1653" s="49" t="str">
        <f t="shared" ca="1" si="77"/>
        <v/>
      </c>
      <c r="P1653" s="38" t="str">
        <f>IF(E1653&lt;&gt;"",RANK(E1653,$E$3:$E$2298)+COUNTIF($E$3:E1653,E1653)-1,"")</f>
        <v/>
      </c>
    </row>
    <row r="1654" spans="4:16" x14ac:dyDescent="0.25">
      <c r="D1654" s="36" t="str" cm="1">
        <f t="array" aca="1" ref="D1654" ca="1">IFERROR(IF(INDIRECT("'"&amp;F1654&amp;"'!$C$5")&gt;0,DATE(YEAR(Dashboard!$AL$2),Dashboard!$AU$4,INDIRECT("'"&amp;F1654&amp;"'!$C$5")),""),"")</f>
        <v/>
      </c>
      <c r="G1654" s="38" t="str" cm="1">
        <f t="array" aca="1" ref="G1654" ca="1">IF(F1654="",
    "",
    IFERROR(
        IF(INDIRECT("'"&amp;F1654&amp;"'!$B$2")="Credit Limit",
            "Credit Accounts",
            IF(INDIRECT("'"&amp;F1654&amp;"'!$E$2")="Location",
                "Cash Accounts",
                IF(INDIRECT("'"&amp;F1654&amp;"'!$B$2")="Amount",
                    "Investments",
                    "Bill Accounts"
                )
            )
        ),
    "")
)</f>
        <v/>
      </c>
      <c r="I1654" s="46" t="str" cm="1">
        <f t="array" aca="1" ref="I1654" ca="1">IF(F1654&lt;&gt;"",IF(OR(G1654="Bill Accounts",G1654="Investments", G1654="Cash Accounts"),INDIRECT("'"&amp;F1654&amp;"'!$C$10"),INDIRECT("'"&amp;F1654&amp;"'!$C$8")),"")</f>
        <v/>
      </c>
      <c r="K1654" s="48">
        <f t="shared" si="78"/>
        <v>1660</v>
      </c>
      <c r="L1654" s="114" t="str" cm="1">
        <f t="array" aca="1" ref="L1654" ca="1">IF(F1654&lt;&gt;"",INDIRECT("'"&amp;F1654&amp;"'!$F$17"),"")</f>
        <v/>
      </c>
      <c r="M1654" s="116" t="str">
        <f t="shared" ca="1" si="76"/>
        <v/>
      </c>
      <c r="O1654" s="49" t="str">
        <f t="shared" ca="1" si="77"/>
        <v/>
      </c>
      <c r="P1654" s="38" t="str">
        <f>IF(E1654&lt;&gt;"",RANK(E1654,$E$3:$E$2298)+COUNTIF($E$3:E1654,E1654)-1,"")</f>
        <v/>
      </c>
    </row>
    <row r="1655" spans="4:16" x14ac:dyDescent="0.25">
      <c r="D1655" s="36" t="str" cm="1">
        <f t="array" aca="1" ref="D1655" ca="1">IFERROR(IF(INDIRECT("'"&amp;F1655&amp;"'!$C$5")&gt;0,DATE(YEAR(Dashboard!$AL$2),Dashboard!$AU$4,INDIRECT("'"&amp;F1655&amp;"'!$C$5")),""),"")</f>
        <v/>
      </c>
      <c r="G1655" s="38" t="str" cm="1">
        <f t="array" aca="1" ref="G1655" ca="1">IF(F1655="",
    "",
    IFERROR(
        IF(INDIRECT("'"&amp;F1655&amp;"'!$B$2")="Credit Limit",
            "Credit Accounts",
            IF(INDIRECT("'"&amp;F1655&amp;"'!$E$2")="Location",
                "Cash Accounts",
                IF(INDIRECT("'"&amp;F1655&amp;"'!$B$2")="Amount",
                    "Investments",
                    "Bill Accounts"
                )
            )
        ),
    "")
)</f>
        <v/>
      </c>
      <c r="I1655" s="46" t="str" cm="1">
        <f t="array" aca="1" ref="I1655" ca="1">IF(F1655&lt;&gt;"",IF(OR(G1655="Bill Accounts",G1655="Investments", G1655="Cash Accounts"),INDIRECT("'"&amp;F1655&amp;"'!$C$10"),INDIRECT("'"&amp;F1655&amp;"'!$C$8")),"")</f>
        <v/>
      </c>
      <c r="K1655" s="48">
        <f t="shared" si="78"/>
        <v>1661</v>
      </c>
      <c r="L1655" s="114" t="str" cm="1">
        <f t="array" aca="1" ref="L1655" ca="1">IF(F1655&lt;&gt;"",INDIRECT("'"&amp;F1655&amp;"'!$F$17"),"")</f>
        <v/>
      </c>
      <c r="M1655" s="116" t="str">
        <f t="shared" ca="1" si="76"/>
        <v/>
      </c>
      <c r="O1655" s="49" t="str">
        <f t="shared" ca="1" si="77"/>
        <v/>
      </c>
      <c r="P1655" s="38" t="str">
        <f>IF(E1655&lt;&gt;"",RANK(E1655,$E$3:$E$2298)+COUNTIF($E$3:E1655,E1655)-1,"")</f>
        <v/>
      </c>
    </row>
    <row r="1656" spans="4:16" x14ac:dyDescent="0.25">
      <c r="D1656" s="36" t="str" cm="1">
        <f t="array" aca="1" ref="D1656" ca="1">IFERROR(IF(INDIRECT("'"&amp;F1656&amp;"'!$C$5")&gt;0,DATE(YEAR(Dashboard!$AL$2),Dashboard!$AU$4,INDIRECT("'"&amp;F1656&amp;"'!$C$5")),""),"")</f>
        <v/>
      </c>
      <c r="G1656" s="38" t="str" cm="1">
        <f t="array" aca="1" ref="G1656" ca="1">IF(F1656="",
    "",
    IFERROR(
        IF(INDIRECT("'"&amp;F1656&amp;"'!$B$2")="Credit Limit",
            "Credit Accounts",
            IF(INDIRECT("'"&amp;F1656&amp;"'!$E$2")="Location",
                "Cash Accounts",
                IF(INDIRECT("'"&amp;F1656&amp;"'!$B$2")="Amount",
                    "Investments",
                    "Bill Accounts"
                )
            )
        ),
    "")
)</f>
        <v/>
      </c>
      <c r="I1656" s="46" t="str" cm="1">
        <f t="array" aca="1" ref="I1656" ca="1">IF(F1656&lt;&gt;"",IF(OR(G1656="Bill Accounts",G1656="Investments", G1656="Cash Accounts"),INDIRECT("'"&amp;F1656&amp;"'!$C$10"),INDIRECT("'"&amp;F1656&amp;"'!$C$8")),"")</f>
        <v/>
      </c>
      <c r="K1656" s="48">
        <f t="shared" si="78"/>
        <v>1662</v>
      </c>
      <c r="L1656" s="114" t="str" cm="1">
        <f t="array" aca="1" ref="L1656" ca="1">IF(F1656&lt;&gt;"",INDIRECT("'"&amp;F1656&amp;"'!$F$17"),"")</f>
        <v/>
      </c>
      <c r="M1656" s="116" t="str">
        <f t="shared" ca="1" si="76"/>
        <v/>
      </c>
      <c r="O1656" s="49" t="str">
        <f t="shared" ca="1" si="77"/>
        <v/>
      </c>
      <c r="P1656" s="38" t="str">
        <f>IF(E1656&lt;&gt;"",RANK(E1656,$E$3:$E$2298)+COUNTIF($E$3:E1656,E1656)-1,"")</f>
        <v/>
      </c>
    </row>
    <row r="1657" spans="4:16" x14ac:dyDescent="0.25">
      <c r="D1657" s="36" t="str" cm="1">
        <f t="array" aca="1" ref="D1657" ca="1">IFERROR(IF(INDIRECT("'"&amp;F1657&amp;"'!$C$5")&gt;0,DATE(YEAR(Dashboard!$AL$2),Dashboard!$AU$4,INDIRECT("'"&amp;F1657&amp;"'!$C$5")),""),"")</f>
        <v/>
      </c>
      <c r="G1657" s="38" t="str" cm="1">
        <f t="array" aca="1" ref="G1657" ca="1">IF(F1657="",
    "",
    IFERROR(
        IF(INDIRECT("'"&amp;F1657&amp;"'!$B$2")="Credit Limit",
            "Credit Accounts",
            IF(INDIRECT("'"&amp;F1657&amp;"'!$E$2")="Location",
                "Cash Accounts",
                IF(INDIRECT("'"&amp;F1657&amp;"'!$B$2")="Amount",
                    "Investments",
                    "Bill Accounts"
                )
            )
        ),
    "")
)</f>
        <v/>
      </c>
      <c r="I1657" s="46" t="str" cm="1">
        <f t="array" aca="1" ref="I1657" ca="1">IF(F1657&lt;&gt;"",IF(OR(G1657="Bill Accounts",G1657="Investments", G1657="Cash Accounts"),INDIRECT("'"&amp;F1657&amp;"'!$C$10"),INDIRECT("'"&amp;F1657&amp;"'!$C$8")),"")</f>
        <v/>
      </c>
      <c r="K1657" s="48">
        <f t="shared" si="78"/>
        <v>1663</v>
      </c>
      <c r="L1657" s="114" t="str" cm="1">
        <f t="array" aca="1" ref="L1657" ca="1">IF(F1657&lt;&gt;"",INDIRECT("'"&amp;F1657&amp;"'!$F$17"),"")</f>
        <v/>
      </c>
      <c r="M1657" s="116" t="str">
        <f t="shared" ca="1" si="76"/>
        <v/>
      </c>
      <c r="O1657" s="49" t="str">
        <f t="shared" ca="1" si="77"/>
        <v/>
      </c>
      <c r="P1657" s="38" t="str">
        <f>IF(E1657&lt;&gt;"",RANK(E1657,$E$3:$E$2298)+COUNTIF($E$3:E1657,E1657)-1,"")</f>
        <v/>
      </c>
    </row>
    <row r="1658" spans="4:16" x14ac:dyDescent="0.25">
      <c r="D1658" s="36" t="str" cm="1">
        <f t="array" aca="1" ref="D1658" ca="1">IFERROR(IF(INDIRECT("'"&amp;F1658&amp;"'!$C$5")&gt;0,DATE(YEAR(Dashboard!$AL$2),Dashboard!$AU$4,INDIRECT("'"&amp;F1658&amp;"'!$C$5")),""),"")</f>
        <v/>
      </c>
      <c r="G1658" s="38" t="str" cm="1">
        <f t="array" aca="1" ref="G1658" ca="1">IF(F1658="",
    "",
    IFERROR(
        IF(INDIRECT("'"&amp;F1658&amp;"'!$B$2")="Credit Limit",
            "Credit Accounts",
            IF(INDIRECT("'"&amp;F1658&amp;"'!$E$2")="Location",
                "Cash Accounts",
                IF(INDIRECT("'"&amp;F1658&amp;"'!$B$2")="Amount",
                    "Investments",
                    "Bill Accounts"
                )
            )
        ),
    "")
)</f>
        <v/>
      </c>
      <c r="I1658" s="46" t="str" cm="1">
        <f t="array" aca="1" ref="I1658" ca="1">IF(F1658&lt;&gt;"",IF(OR(G1658="Bill Accounts",G1658="Investments", G1658="Cash Accounts"),INDIRECT("'"&amp;F1658&amp;"'!$C$10"),INDIRECT("'"&amp;F1658&amp;"'!$C$8")),"")</f>
        <v/>
      </c>
      <c r="K1658" s="48">
        <f t="shared" si="78"/>
        <v>1664</v>
      </c>
      <c r="L1658" s="114" t="str" cm="1">
        <f t="array" aca="1" ref="L1658" ca="1">IF(F1658&lt;&gt;"",INDIRECT("'"&amp;F1658&amp;"'!$F$17"),"")</f>
        <v/>
      </c>
      <c r="M1658" s="116" t="str">
        <f t="shared" ca="1" si="76"/>
        <v/>
      </c>
      <c r="O1658" s="49" t="str">
        <f t="shared" ca="1" si="77"/>
        <v/>
      </c>
      <c r="P1658" s="38" t="str">
        <f>IF(E1658&lt;&gt;"",RANK(E1658,$E$3:$E$2298)+COUNTIF($E$3:E1658,E1658)-1,"")</f>
        <v/>
      </c>
    </row>
    <row r="1659" spans="4:16" x14ac:dyDescent="0.25">
      <c r="D1659" s="36" t="str" cm="1">
        <f t="array" aca="1" ref="D1659" ca="1">IFERROR(IF(INDIRECT("'"&amp;F1659&amp;"'!$C$5")&gt;0,DATE(YEAR(Dashboard!$AL$2),Dashboard!$AU$4,INDIRECT("'"&amp;F1659&amp;"'!$C$5")),""),"")</f>
        <v/>
      </c>
      <c r="G1659" s="38" t="str" cm="1">
        <f t="array" aca="1" ref="G1659" ca="1">IF(F1659="",
    "",
    IFERROR(
        IF(INDIRECT("'"&amp;F1659&amp;"'!$B$2")="Credit Limit",
            "Credit Accounts",
            IF(INDIRECT("'"&amp;F1659&amp;"'!$E$2")="Location",
                "Cash Accounts",
                IF(INDIRECT("'"&amp;F1659&amp;"'!$B$2")="Amount",
                    "Investments",
                    "Bill Accounts"
                )
            )
        ),
    "")
)</f>
        <v/>
      </c>
      <c r="I1659" s="46" t="str" cm="1">
        <f t="array" aca="1" ref="I1659" ca="1">IF(F1659&lt;&gt;"",IF(OR(G1659="Bill Accounts",G1659="Investments", G1659="Cash Accounts"),INDIRECT("'"&amp;F1659&amp;"'!$C$10"),INDIRECT("'"&amp;F1659&amp;"'!$C$8")),"")</f>
        <v/>
      </c>
      <c r="K1659" s="48">
        <f t="shared" si="78"/>
        <v>1665</v>
      </c>
      <c r="L1659" s="114" t="str" cm="1">
        <f t="array" aca="1" ref="L1659" ca="1">IF(F1659&lt;&gt;"",INDIRECT("'"&amp;F1659&amp;"'!$F$17"),"")</f>
        <v/>
      </c>
      <c r="M1659" s="116" t="str">
        <f t="shared" ca="1" si="76"/>
        <v/>
      </c>
      <c r="O1659" s="49" t="str">
        <f t="shared" ca="1" si="77"/>
        <v/>
      </c>
      <c r="P1659" s="38" t="str">
        <f>IF(E1659&lt;&gt;"",RANK(E1659,$E$3:$E$2298)+COUNTIF($E$3:E1659,E1659)-1,"")</f>
        <v/>
      </c>
    </row>
    <row r="1660" spans="4:16" x14ac:dyDescent="0.25">
      <c r="D1660" s="36" t="str" cm="1">
        <f t="array" aca="1" ref="D1660" ca="1">IFERROR(IF(INDIRECT("'"&amp;F1660&amp;"'!$C$5")&gt;0,DATE(YEAR(Dashboard!$AL$2),Dashboard!$AU$4,INDIRECT("'"&amp;F1660&amp;"'!$C$5")),""),"")</f>
        <v/>
      </c>
      <c r="G1660" s="38" t="str" cm="1">
        <f t="array" aca="1" ref="G1660" ca="1">IF(F1660="",
    "",
    IFERROR(
        IF(INDIRECT("'"&amp;F1660&amp;"'!$B$2")="Credit Limit",
            "Credit Accounts",
            IF(INDIRECT("'"&amp;F1660&amp;"'!$E$2")="Location",
                "Cash Accounts",
                IF(INDIRECT("'"&amp;F1660&amp;"'!$B$2")="Amount",
                    "Investments",
                    "Bill Accounts"
                )
            )
        ),
    "")
)</f>
        <v/>
      </c>
      <c r="I1660" s="46" t="str" cm="1">
        <f t="array" aca="1" ref="I1660" ca="1">IF(F1660&lt;&gt;"",IF(OR(G1660="Bill Accounts",G1660="Investments", G1660="Cash Accounts"),INDIRECT("'"&amp;F1660&amp;"'!$C$10"),INDIRECT("'"&amp;F1660&amp;"'!$C$8")),"")</f>
        <v/>
      </c>
      <c r="K1660" s="48">
        <f t="shared" si="78"/>
        <v>1666</v>
      </c>
      <c r="L1660" s="114" t="str" cm="1">
        <f t="array" aca="1" ref="L1660" ca="1">IF(F1660&lt;&gt;"",INDIRECT("'"&amp;F1660&amp;"'!$F$17"),"")</f>
        <v/>
      </c>
      <c r="M1660" s="116" t="str">
        <f t="shared" ca="1" si="76"/>
        <v/>
      </c>
      <c r="O1660" s="49" t="str">
        <f t="shared" ca="1" si="77"/>
        <v/>
      </c>
      <c r="P1660" s="38" t="str">
        <f>IF(E1660&lt;&gt;"",RANK(E1660,$E$3:$E$2298)+COUNTIF($E$3:E1660,E1660)-1,"")</f>
        <v/>
      </c>
    </row>
    <row r="1661" spans="4:16" x14ac:dyDescent="0.25">
      <c r="D1661" s="36" t="str" cm="1">
        <f t="array" aca="1" ref="D1661" ca="1">IFERROR(IF(INDIRECT("'"&amp;F1661&amp;"'!$C$5")&gt;0,DATE(YEAR(Dashboard!$AL$2),Dashboard!$AU$4,INDIRECT("'"&amp;F1661&amp;"'!$C$5")),""),"")</f>
        <v/>
      </c>
      <c r="G1661" s="38" t="str" cm="1">
        <f t="array" aca="1" ref="G1661" ca="1">IF(F1661="",
    "",
    IFERROR(
        IF(INDIRECT("'"&amp;F1661&amp;"'!$B$2")="Credit Limit",
            "Credit Accounts",
            IF(INDIRECT("'"&amp;F1661&amp;"'!$E$2")="Location",
                "Cash Accounts",
                IF(INDIRECT("'"&amp;F1661&amp;"'!$B$2")="Amount",
                    "Investments",
                    "Bill Accounts"
                )
            )
        ),
    "")
)</f>
        <v/>
      </c>
      <c r="I1661" s="46" t="str" cm="1">
        <f t="array" aca="1" ref="I1661" ca="1">IF(F1661&lt;&gt;"",IF(OR(G1661="Bill Accounts",G1661="Investments", G1661="Cash Accounts"),INDIRECT("'"&amp;F1661&amp;"'!$C$10"),INDIRECT("'"&amp;F1661&amp;"'!$C$8")),"")</f>
        <v/>
      </c>
      <c r="K1661" s="48">
        <f t="shared" si="78"/>
        <v>1667</v>
      </c>
      <c r="L1661" s="114" t="str" cm="1">
        <f t="array" aca="1" ref="L1661" ca="1">IF(F1661&lt;&gt;"",INDIRECT("'"&amp;F1661&amp;"'!$F$17"),"")</f>
        <v/>
      </c>
      <c r="M1661" s="116" t="str">
        <f t="shared" ca="1" si="76"/>
        <v/>
      </c>
      <c r="O1661" s="49" t="str">
        <f t="shared" ca="1" si="77"/>
        <v/>
      </c>
      <c r="P1661" s="38" t="str">
        <f>IF(E1661&lt;&gt;"",RANK(E1661,$E$3:$E$2298)+COUNTIF($E$3:E1661,E1661)-1,"")</f>
        <v/>
      </c>
    </row>
    <row r="1662" spans="4:16" x14ac:dyDescent="0.25">
      <c r="D1662" s="36" t="str" cm="1">
        <f t="array" aca="1" ref="D1662" ca="1">IFERROR(IF(INDIRECT("'"&amp;F1662&amp;"'!$C$5")&gt;0,DATE(YEAR(Dashboard!$AL$2),Dashboard!$AU$4,INDIRECT("'"&amp;F1662&amp;"'!$C$5")),""),"")</f>
        <v/>
      </c>
      <c r="G1662" s="38" t="str" cm="1">
        <f t="array" aca="1" ref="G1662" ca="1">IF(F1662="",
    "",
    IFERROR(
        IF(INDIRECT("'"&amp;F1662&amp;"'!$B$2")="Credit Limit",
            "Credit Accounts",
            IF(INDIRECT("'"&amp;F1662&amp;"'!$E$2")="Location",
                "Cash Accounts",
                IF(INDIRECT("'"&amp;F1662&amp;"'!$B$2")="Amount",
                    "Investments",
                    "Bill Accounts"
                )
            )
        ),
    "")
)</f>
        <v/>
      </c>
      <c r="I1662" s="46" t="str" cm="1">
        <f t="array" aca="1" ref="I1662" ca="1">IF(F1662&lt;&gt;"",IF(OR(G1662="Bill Accounts",G1662="Investments", G1662="Cash Accounts"),INDIRECT("'"&amp;F1662&amp;"'!$C$10"),INDIRECT("'"&amp;F1662&amp;"'!$C$8")),"")</f>
        <v/>
      </c>
      <c r="K1662" s="48">
        <f t="shared" si="78"/>
        <v>1668</v>
      </c>
      <c r="L1662" s="114" t="str" cm="1">
        <f t="array" aca="1" ref="L1662" ca="1">IF(F1662&lt;&gt;"",INDIRECT("'"&amp;F1662&amp;"'!$F$17"),"")</f>
        <v/>
      </c>
      <c r="M1662" s="116" t="str">
        <f t="shared" ca="1" si="76"/>
        <v/>
      </c>
      <c r="O1662" s="49" t="str">
        <f t="shared" ca="1" si="77"/>
        <v/>
      </c>
      <c r="P1662" s="38" t="str">
        <f>IF(E1662&lt;&gt;"",RANK(E1662,$E$3:$E$2298)+COUNTIF($E$3:E1662,E1662)-1,"")</f>
        <v/>
      </c>
    </row>
    <row r="1663" spans="4:16" x14ac:dyDescent="0.25">
      <c r="D1663" s="36" t="str" cm="1">
        <f t="array" aca="1" ref="D1663" ca="1">IFERROR(IF(INDIRECT("'"&amp;F1663&amp;"'!$C$5")&gt;0,DATE(YEAR(Dashboard!$AL$2),Dashboard!$AU$4,INDIRECT("'"&amp;F1663&amp;"'!$C$5")),""),"")</f>
        <v/>
      </c>
      <c r="G1663" s="38" t="str" cm="1">
        <f t="array" aca="1" ref="G1663" ca="1">IF(F1663="",
    "",
    IFERROR(
        IF(INDIRECT("'"&amp;F1663&amp;"'!$B$2")="Credit Limit",
            "Credit Accounts",
            IF(INDIRECT("'"&amp;F1663&amp;"'!$E$2")="Location",
                "Cash Accounts",
                IF(INDIRECT("'"&amp;F1663&amp;"'!$B$2")="Amount",
                    "Investments",
                    "Bill Accounts"
                )
            )
        ),
    "")
)</f>
        <v/>
      </c>
      <c r="I1663" s="46" t="str" cm="1">
        <f t="array" aca="1" ref="I1663" ca="1">IF(F1663&lt;&gt;"",IF(OR(G1663="Bill Accounts",G1663="Investments", G1663="Cash Accounts"),INDIRECT("'"&amp;F1663&amp;"'!$C$10"),INDIRECT("'"&amp;F1663&amp;"'!$C$8")),"")</f>
        <v/>
      </c>
      <c r="K1663" s="48">
        <f t="shared" si="78"/>
        <v>1669</v>
      </c>
      <c r="L1663" s="114" t="str" cm="1">
        <f t="array" aca="1" ref="L1663" ca="1">IF(F1663&lt;&gt;"",INDIRECT("'"&amp;F1663&amp;"'!$F$17"),"")</f>
        <v/>
      </c>
      <c r="M1663" s="116" t="str">
        <f t="shared" ca="1" si="76"/>
        <v/>
      </c>
      <c r="O1663" s="49" t="str">
        <f t="shared" ca="1" si="77"/>
        <v/>
      </c>
      <c r="P1663" s="38" t="str">
        <f>IF(E1663&lt;&gt;"",RANK(E1663,$E$3:$E$2298)+COUNTIF($E$3:E1663,E1663)-1,"")</f>
        <v/>
      </c>
    </row>
    <row r="1664" spans="4:16" x14ac:dyDescent="0.25">
      <c r="D1664" s="36" t="str" cm="1">
        <f t="array" aca="1" ref="D1664" ca="1">IFERROR(IF(INDIRECT("'"&amp;F1664&amp;"'!$C$5")&gt;0,DATE(YEAR(Dashboard!$AL$2),Dashboard!$AU$4,INDIRECT("'"&amp;F1664&amp;"'!$C$5")),""),"")</f>
        <v/>
      </c>
      <c r="G1664" s="38" t="str" cm="1">
        <f t="array" aca="1" ref="G1664" ca="1">IF(F1664="",
    "",
    IFERROR(
        IF(INDIRECT("'"&amp;F1664&amp;"'!$B$2")="Credit Limit",
            "Credit Accounts",
            IF(INDIRECT("'"&amp;F1664&amp;"'!$E$2")="Location",
                "Cash Accounts",
                IF(INDIRECT("'"&amp;F1664&amp;"'!$B$2")="Amount",
                    "Investments",
                    "Bill Accounts"
                )
            )
        ),
    "")
)</f>
        <v/>
      </c>
      <c r="I1664" s="46" t="str" cm="1">
        <f t="array" aca="1" ref="I1664" ca="1">IF(F1664&lt;&gt;"",IF(OR(G1664="Bill Accounts",G1664="Investments", G1664="Cash Accounts"),INDIRECT("'"&amp;F1664&amp;"'!$C$10"),INDIRECT("'"&amp;F1664&amp;"'!$C$8")),"")</f>
        <v/>
      </c>
      <c r="K1664" s="48">
        <f t="shared" si="78"/>
        <v>1670</v>
      </c>
      <c r="L1664" s="114" t="str" cm="1">
        <f t="array" aca="1" ref="L1664" ca="1">IF(F1664&lt;&gt;"",INDIRECT("'"&amp;F1664&amp;"'!$F$17"),"")</f>
        <v/>
      </c>
      <c r="M1664" s="116" t="str">
        <f t="shared" ca="1" si="76"/>
        <v/>
      </c>
      <c r="O1664" s="49" t="str">
        <f t="shared" ca="1" si="77"/>
        <v/>
      </c>
      <c r="P1664" s="38" t="str">
        <f>IF(E1664&lt;&gt;"",RANK(E1664,$E$3:$E$2298)+COUNTIF($E$3:E1664,E1664)-1,"")</f>
        <v/>
      </c>
    </row>
    <row r="1665" spans="4:16" x14ac:dyDescent="0.25">
      <c r="D1665" s="36" t="str" cm="1">
        <f t="array" aca="1" ref="D1665" ca="1">IFERROR(IF(INDIRECT("'"&amp;F1665&amp;"'!$C$5")&gt;0,DATE(YEAR(Dashboard!$AL$2),Dashboard!$AU$4,INDIRECT("'"&amp;F1665&amp;"'!$C$5")),""),"")</f>
        <v/>
      </c>
      <c r="G1665" s="38" t="str" cm="1">
        <f t="array" aca="1" ref="G1665" ca="1">IF(F1665="",
    "",
    IFERROR(
        IF(INDIRECT("'"&amp;F1665&amp;"'!$B$2")="Credit Limit",
            "Credit Accounts",
            IF(INDIRECT("'"&amp;F1665&amp;"'!$E$2")="Location",
                "Cash Accounts",
                IF(INDIRECT("'"&amp;F1665&amp;"'!$B$2")="Amount",
                    "Investments",
                    "Bill Accounts"
                )
            )
        ),
    "")
)</f>
        <v/>
      </c>
      <c r="I1665" s="46" t="str" cm="1">
        <f t="array" aca="1" ref="I1665" ca="1">IF(F1665&lt;&gt;"",IF(OR(G1665="Bill Accounts",G1665="Investments", G1665="Cash Accounts"),INDIRECT("'"&amp;F1665&amp;"'!$C$10"),INDIRECT("'"&amp;F1665&amp;"'!$C$8")),"")</f>
        <v/>
      </c>
      <c r="K1665" s="48">
        <f t="shared" si="78"/>
        <v>1671</v>
      </c>
      <c r="L1665" s="114" t="str" cm="1">
        <f t="array" aca="1" ref="L1665" ca="1">IF(F1665&lt;&gt;"",INDIRECT("'"&amp;F1665&amp;"'!$F$17"),"")</f>
        <v/>
      </c>
      <c r="M1665" s="116" t="str">
        <f t="shared" ca="1" si="76"/>
        <v/>
      </c>
      <c r="O1665" s="49" t="str">
        <f t="shared" ca="1" si="77"/>
        <v/>
      </c>
      <c r="P1665" s="38" t="str">
        <f>IF(E1665&lt;&gt;"",RANK(E1665,$E$3:$E$2298)+COUNTIF($E$3:E1665,E1665)-1,"")</f>
        <v/>
      </c>
    </row>
    <row r="1666" spans="4:16" x14ac:dyDescent="0.25">
      <c r="D1666" s="36" t="str" cm="1">
        <f t="array" aca="1" ref="D1666" ca="1">IFERROR(IF(INDIRECT("'"&amp;F1666&amp;"'!$C$5")&gt;0,DATE(YEAR(Dashboard!$AL$2),Dashboard!$AU$4,INDIRECT("'"&amp;F1666&amp;"'!$C$5")),""),"")</f>
        <v/>
      </c>
      <c r="G1666" s="38" t="str" cm="1">
        <f t="array" aca="1" ref="G1666" ca="1">IF(F1666="",
    "",
    IFERROR(
        IF(INDIRECT("'"&amp;F1666&amp;"'!$B$2")="Credit Limit",
            "Credit Accounts",
            IF(INDIRECT("'"&amp;F1666&amp;"'!$E$2")="Location",
                "Cash Accounts",
                IF(INDIRECT("'"&amp;F1666&amp;"'!$B$2")="Amount",
                    "Investments",
                    "Bill Accounts"
                )
            )
        ),
    "")
)</f>
        <v/>
      </c>
      <c r="I1666" s="46" t="str" cm="1">
        <f t="array" aca="1" ref="I1666" ca="1">IF(F1666&lt;&gt;"",IF(OR(G1666="Bill Accounts",G1666="Investments", G1666="Cash Accounts"),INDIRECT("'"&amp;F1666&amp;"'!$C$10"),INDIRECT("'"&amp;F1666&amp;"'!$C$8")),"")</f>
        <v/>
      </c>
      <c r="K1666" s="48">
        <f t="shared" si="78"/>
        <v>1672</v>
      </c>
      <c r="L1666" s="114" t="str" cm="1">
        <f t="array" aca="1" ref="L1666" ca="1">IF(F1666&lt;&gt;"",INDIRECT("'"&amp;F1666&amp;"'!$F$17"),"")</f>
        <v/>
      </c>
      <c r="M1666" s="116" t="str">
        <f t="shared" ca="1" si="76"/>
        <v/>
      </c>
      <c r="O1666" s="49" t="str">
        <f t="shared" ca="1" si="77"/>
        <v/>
      </c>
      <c r="P1666" s="38" t="str">
        <f>IF(E1666&lt;&gt;"",RANK(E1666,$E$3:$E$2298)+COUNTIF($E$3:E1666,E1666)-1,"")</f>
        <v/>
      </c>
    </row>
    <row r="1667" spans="4:16" x14ac:dyDescent="0.25">
      <c r="D1667" s="36" t="str" cm="1">
        <f t="array" aca="1" ref="D1667" ca="1">IFERROR(IF(INDIRECT("'"&amp;F1667&amp;"'!$C$5")&gt;0,DATE(YEAR(Dashboard!$AL$2),Dashboard!$AU$4,INDIRECT("'"&amp;F1667&amp;"'!$C$5")),""),"")</f>
        <v/>
      </c>
      <c r="G1667" s="38" t="str" cm="1">
        <f t="array" aca="1" ref="G1667" ca="1">IF(F1667="",
    "",
    IFERROR(
        IF(INDIRECT("'"&amp;F1667&amp;"'!$B$2")="Credit Limit",
            "Credit Accounts",
            IF(INDIRECT("'"&amp;F1667&amp;"'!$E$2")="Location",
                "Cash Accounts",
                IF(INDIRECT("'"&amp;F1667&amp;"'!$B$2")="Amount",
                    "Investments",
                    "Bill Accounts"
                )
            )
        ),
    "")
)</f>
        <v/>
      </c>
      <c r="I1667" s="46" t="str" cm="1">
        <f t="array" aca="1" ref="I1667" ca="1">IF(F1667&lt;&gt;"",IF(OR(G1667="Bill Accounts",G1667="Investments", G1667="Cash Accounts"),INDIRECT("'"&amp;F1667&amp;"'!$C$10"),INDIRECT("'"&amp;F1667&amp;"'!$C$8")),"")</f>
        <v/>
      </c>
      <c r="K1667" s="48">
        <f t="shared" si="78"/>
        <v>1673</v>
      </c>
      <c r="L1667" s="114" t="str" cm="1">
        <f t="array" aca="1" ref="L1667" ca="1">IF(F1667&lt;&gt;"",INDIRECT("'"&amp;F1667&amp;"'!$F$17"),"")</f>
        <v/>
      </c>
      <c r="M1667" s="116" t="str">
        <f t="shared" ca="1" si="76"/>
        <v/>
      </c>
      <c r="O1667" s="49" t="str">
        <f t="shared" ca="1" si="77"/>
        <v/>
      </c>
      <c r="P1667" s="38" t="str">
        <f>IF(E1667&lt;&gt;"",RANK(E1667,$E$3:$E$2298)+COUNTIF($E$3:E1667,E1667)-1,"")</f>
        <v/>
      </c>
    </row>
    <row r="1668" spans="4:16" x14ac:dyDescent="0.25">
      <c r="D1668" s="36" t="str" cm="1">
        <f t="array" aca="1" ref="D1668" ca="1">IFERROR(IF(INDIRECT("'"&amp;F1668&amp;"'!$C$5")&gt;0,DATE(YEAR(Dashboard!$AL$2),Dashboard!$AU$4,INDIRECT("'"&amp;F1668&amp;"'!$C$5")),""),"")</f>
        <v/>
      </c>
      <c r="G1668" s="38" t="str" cm="1">
        <f t="array" aca="1" ref="G1668" ca="1">IF(F1668="",
    "",
    IFERROR(
        IF(INDIRECT("'"&amp;F1668&amp;"'!$B$2")="Credit Limit",
            "Credit Accounts",
            IF(INDIRECT("'"&amp;F1668&amp;"'!$E$2")="Location",
                "Cash Accounts",
                IF(INDIRECT("'"&amp;F1668&amp;"'!$B$2")="Amount",
                    "Investments",
                    "Bill Accounts"
                )
            )
        ),
    "")
)</f>
        <v/>
      </c>
      <c r="I1668" s="46" t="str" cm="1">
        <f t="array" aca="1" ref="I1668" ca="1">IF(F1668&lt;&gt;"",IF(OR(G1668="Bill Accounts",G1668="Investments", G1668="Cash Accounts"),INDIRECT("'"&amp;F1668&amp;"'!$C$10"),INDIRECT("'"&amp;F1668&amp;"'!$C$8")),"")</f>
        <v/>
      </c>
      <c r="K1668" s="48">
        <f t="shared" si="78"/>
        <v>1674</v>
      </c>
      <c r="L1668" s="114" t="str" cm="1">
        <f t="array" aca="1" ref="L1668" ca="1">IF(F1668&lt;&gt;"",INDIRECT("'"&amp;F1668&amp;"'!$F$17"),"")</f>
        <v/>
      </c>
      <c r="M1668" s="116" t="str">
        <f t="shared" ref="M1668:M1731" ca="1" si="79">IF(G1668="Credit Accounts",EDATE(TODAY(),INDIRECT("'"&amp;F1668&amp;"'!$C$14")),"")</f>
        <v/>
      </c>
      <c r="O1668" s="49" t="str">
        <f t="shared" ref="O1668:O1731" ca="1" si="80">IF(D1668&lt;&gt;"",DAY(D1668),"")</f>
        <v/>
      </c>
      <c r="P1668" s="38" t="str">
        <f>IF(E1668&lt;&gt;"",RANK(E1668,$E$3:$E$2298)+COUNTIF($E$3:E1668,E1668)-1,"")</f>
        <v/>
      </c>
    </row>
    <row r="1669" spans="4:16" x14ac:dyDescent="0.25">
      <c r="D1669" s="36" t="str" cm="1">
        <f t="array" aca="1" ref="D1669" ca="1">IFERROR(IF(INDIRECT("'"&amp;F1669&amp;"'!$C$5")&gt;0,DATE(YEAR(Dashboard!$AL$2),Dashboard!$AU$4,INDIRECT("'"&amp;F1669&amp;"'!$C$5")),""),"")</f>
        <v/>
      </c>
      <c r="G1669" s="38" t="str" cm="1">
        <f t="array" aca="1" ref="G1669" ca="1">IF(F1669="",
    "",
    IFERROR(
        IF(INDIRECT("'"&amp;F1669&amp;"'!$B$2")="Credit Limit",
            "Credit Accounts",
            IF(INDIRECT("'"&amp;F1669&amp;"'!$E$2")="Location",
                "Cash Accounts",
                IF(INDIRECT("'"&amp;F1669&amp;"'!$B$2")="Amount",
                    "Investments",
                    "Bill Accounts"
                )
            )
        ),
    "")
)</f>
        <v/>
      </c>
      <c r="I1669" s="46" t="str" cm="1">
        <f t="array" aca="1" ref="I1669" ca="1">IF(F1669&lt;&gt;"",IF(OR(G1669="Bill Accounts",G1669="Investments", G1669="Cash Accounts"),INDIRECT("'"&amp;F1669&amp;"'!$C$10"),INDIRECT("'"&amp;F1669&amp;"'!$C$8")),"")</f>
        <v/>
      </c>
      <c r="K1669" s="48">
        <f t="shared" si="78"/>
        <v>1675</v>
      </c>
      <c r="L1669" s="114" t="str" cm="1">
        <f t="array" aca="1" ref="L1669" ca="1">IF(F1669&lt;&gt;"",INDIRECT("'"&amp;F1669&amp;"'!$F$17"),"")</f>
        <v/>
      </c>
      <c r="M1669" s="116" t="str">
        <f t="shared" ca="1" si="79"/>
        <v/>
      </c>
      <c r="O1669" s="49" t="str">
        <f t="shared" ca="1" si="80"/>
        <v/>
      </c>
      <c r="P1669" s="38" t="str">
        <f>IF(E1669&lt;&gt;"",RANK(E1669,$E$3:$E$2298)+COUNTIF($E$3:E1669,E1669)-1,"")</f>
        <v/>
      </c>
    </row>
    <row r="1670" spans="4:16" x14ac:dyDescent="0.25">
      <c r="D1670" s="36" t="str" cm="1">
        <f t="array" aca="1" ref="D1670" ca="1">IFERROR(IF(INDIRECT("'"&amp;F1670&amp;"'!$C$5")&gt;0,DATE(YEAR(Dashboard!$AL$2),Dashboard!$AU$4,INDIRECT("'"&amp;F1670&amp;"'!$C$5")),""),"")</f>
        <v/>
      </c>
      <c r="G1670" s="38" t="str" cm="1">
        <f t="array" aca="1" ref="G1670" ca="1">IF(F1670="",
    "",
    IFERROR(
        IF(INDIRECT("'"&amp;F1670&amp;"'!$B$2")="Credit Limit",
            "Credit Accounts",
            IF(INDIRECT("'"&amp;F1670&amp;"'!$E$2")="Location",
                "Cash Accounts",
                IF(INDIRECT("'"&amp;F1670&amp;"'!$B$2")="Amount",
                    "Investments",
                    "Bill Accounts"
                )
            )
        ),
    "")
)</f>
        <v/>
      </c>
      <c r="I1670" s="46" t="str" cm="1">
        <f t="array" aca="1" ref="I1670" ca="1">IF(F1670&lt;&gt;"",IF(OR(G1670="Bill Accounts",G1670="Investments", G1670="Cash Accounts"),INDIRECT("'"&amp;F1670&amp;"'!$C$10"),INDIRECT("'"&amp;F1670&amp;"'!$C$8")),"")</f>
        <v/>
      </c>
      <c r="K1670" s="48">
        <f t="shared" si="78"/>
        <v>1676</v>
      </c>
      <c r="L1670" s="114" t="str" cm="1">
        <f t="array" aca="1" ref="L1670" ca="1">IF(F1670&lt;&gt;"",INDIRECT("'"&amp;F1670&amp;"'!$F$17"),"")</f>
        <v/>
      </c>
      <c r="M1670" s="116" t="str">
        <f t="shared" ca="1" si="79"/>
        <v/>
      </c>
      <c r="O1670" s="49" t="str">
        <f t="shared" ca="1" si="80"/>
        <v/>
      </c>
      <c r="P1670" s="38" t="str">
        <f>IF(E1670&lt;&gt;"",RANK(E1670,$E$3:$E$2298)+COUNTIF($E$3:E1670,E1670)-1,"")</f>
        <v/>
      </c>
    </row>
    <row r="1671" spans="4:16" x14ac:dyDescent="0.25">
      <c r="D1671" s="36" t="str" cm="1">
        <f t="array" aca="1" ref="D1671" ca="1">IFERROR(IF(INDIRECT("'"&amp;F1671&amp;"'!$C$5")&gt;0,DATE(YEAR(Dashboard!$AL$2),Dashboard!$AU$4,INDIRECT("'"&amp;F1671&amp;"'!$C$5")),""),"")</f>
        <v/>
      </c>
      <c r="G1671" s="38" t="str" cm="1">
        <f t="array" aca="1" ref="G1671" ca="1">IF(F1671="",
    "",
    IFERROR(
        IF(INDIRECT("'"&amp;F1671&amp;"'!$B$2")="Credit Limit",
            "Credit Accounts",
            IF(INDIRECT("'"&amp;F1671&amp;"'!$E$2")="Location",
                "Cash Accounts",
                IF(INDIRECT("'"&amp;F1671&amp;"'!$B$2")="Amount",
                    "Investments",
                    "Bill Accounts"
                )
            )
        ),
    "")
)</f>
        <v/>
      </c>
      <c r="I1671" s="46" t="str" cm="1">
        <f t="array" aca="1" ref="I1671" ca="1">IF(F1671&lt;&gt;"",IF(OR(G1671="Bill Accounts",G1671="Investments", G1671="Cash Accounts"),INDIRECT("'"&amp;F1671&amp;"'!$C$10"),INDIRECT("'"&amp;F1671&amp;"'!$C$8")),"")</f>
        <v/>
      </c>
      <c r="K1671" s="48">
        <f t="shared" si="78"/>
        <v>1677</v>
      </c>
      <c r="L1671" s="114" t="str" cm="1">
        <f t="array" aca="1" ref="L1671" ca="1">IF(F1671&lt;&gt;"",INDIRECT("'"&amp;F1671&amp;"'!$F$17"),"")</f>
        <v/>
      </c>
      <c r="M1671" s="116" t="str">
        <f t="shared" ca="1" si="79"/>
        <v/>
      </c>
      <c r="O1671" s="49" t="str">
        <f t="shared" ca="1" si="80"/>
        <v/>
      </c>
      <c r="P1671" s="38" t="str">
        <f>IF(E1671&lt;&gt;"",RANK(E1671,$E$3:$E$2298)+COUNTIF($E$3:E1671,E1671)-1,"")</f>
        <v/>
      </c>
    </row>
    <row r="1672" spans="4:16" x14ac:dyDescent="0.25">
      <c r="D1672" s="36" t="str" cm="1">
        <f t="array" aca="1" ref="D1672" ca="1">IFERROR(IF(INDIRECT("'"&amp;F1672&amp;"'!$C$5")&gt;0,DATE(YEAR(Dashboard!$AL$2),Dashboard!$AU$4,INDIRECT("'"&amp;F1672&amp;"'!$C$5")),""),"")</f>
        <v/>
      </c>
      <c r="G1672" s="38" t="str" cm="1">
        <f t="array" aca="1" ref="G1672" ca="1">IF(F1672="",
    "",
    IFERROR(
        IF(INDIRECT("'"&amp;F1672&amp;"'!$B$2")="Credit Limit",
            "Credit Accounts",
            IF(INDIRECT("'"&amp;F1672&amp;"'!$E$2")="Location",
                "Cash Accounts",
                IF(INDIRECT("'"&amp;F1672&amp;"'!$B$2")="Amount",
                    "Investments",
                    "Bill Accounts"
                )
            )
        ),
    "")
)</f>
        <v/>
      </c>
      <c r="I1672" s="46" t="str" cm="1">
        <f t="array" aca="1" ref="I1672" ca="1">IF(F1672&lt;&gt;"",IF(OR(G1672="Bill Accounts",G1672="Investments", G1672="Cash Accounts"),INDIRECT("'"&amp;F1672&amp;"'!$C$10"),INDIRECT("'"&amp;F1672&amp;"'!$C$8")),"")</f>
        <v/>
      </c>
      <c r="K1672" s="48">
        <f t="shared" ref="K1672:K1735" si="81">SUM(K1671+1)</f>
        <v>1678</v>
      </c>
      <c r="L1672" s="114" t="str" cm="1">
        <f t="array" aca="1" ref="L1672" ca="1">IF(F1672&lt;&gt;"",INDIRECT("'"&amp;F1672&amp;"'!$F$17"),"")</f>
        <v/>
      </c>
      <c r="M1672" s="116" t="str">
        <f t="shared" ca="1" si="79"/>
        <v/>
      </c>
      <c r="O1672" s="49" t="str">
        <f t="shared" ca="1" si="80"/>
        <v/>
      </c>
      <c r="P1672" s="38" t="str">
        <f>IF(E1672&lt;&gt;"",RANK(E1672,$E$3:$E$2298)+COUNTIF($E$3:E1672,E1672)-1,"")</f>
        <v/>
      </c>
    </row>
    <row r="1673" spans="4:16" x14ac:dyDescent="0.25">
      <c r="D1673" s="36" t="str" cm="1">
        <f t="array" aca="1" ref="D1673" ca="1">IFERROR(IF(INDIRECT("'"&amp;F1673&amp;"'!$C$5")&gt;0,DATE(YEAR(Dashboard!$AL$2),Dashboard!$AU$4,INDIRECT("'"&amp;F1673&amp;"'!$C$5")),""),"")</f>
        <v/>
      </c>
      <c r="G1673" s="38" t="str" cm="1">
        <f t="array" aca="1" ref="G1673" ca="1">IF(F1673="",
    "",
    IFERROR(
        IF(INDIRECT("'"&amp;F1673&amp;"'!$B$2")="Credit Limit",
            "Credit Accounts",
            IF(INDIRECT("'"&amp;F1673&amp;"'!$E$2")="Location",
                "Cash Accounts",
                IF(INDIRECT("'"&amp;F1673&amp;"'!$B$2")="Amount",
                    "Investments",
                    "Bill Accounts"
                )
            )
        ),
    "")
)</f>
        <v/>
      </c>
      <c r="I1673" s="46" t="str" cm="1">
        <f t="array" aca="1" ref="I1673" ca="1">IF(F1673&lt;&gt;"",IF(OR(G1673="Bill Accounts",G1673="Investments", G1673="Cash Accounts"),INDIRECT("'"&amp;F1673&amp;"'!$C$10"),INDIRECT("'"&amp;F1673&amp;"'!$C$8")),"")</f>
        <v/>
      </c>
      <c r="K1673" s="48">
        <f t="shared" si="81"/>
        <v>1679</v>
      </c>
      <c r="L1673" s="114" t="str" cm="1">
        <f t="array" aca="1" ref="L1673" ca="1">IF(F1673&lt;&gt;"",INDIRECT("'"&amp;F1673&amp;"'!$F$17"),"")</f>
        <v/>
      </c>
      <c r="M1673" s="116" t="str">
        <f t="shared" ca="1" si="79"/>
        <v/>
      </c>
      <c r="O1673" s="49" t="str">
        <f t="shared" ca="1" si="80"/>
        <v/>
      </c>
      <c r="P1673" s="38" t="str">
        <f>IF(E1673&lt;&gt;"",RANK(E1673,$E$3:$E$2298)+COUNTIF($E$3:E1673,E1673)-1,"")</f>
        <v/>
      </c>
    </row>
    <row r="1674" spans="4:16" x14ac:dyDescent="0.25">
      <c r="D1674" s="36" t="str" cm="1">
        <f t="array" aca="1" ref="D1674" ca="1">IFERROR(IF(INDIRECT("'"&amp;F1674&amp;"'!$C$5")&gt;0,DATE(YEAR(Dashboard!$AL$2),Dashboard!$AU$4,INDIRECT("'"&amp;F1674&amp;"'!$C$5")),""),"")</f>
        <v/>
      </c>
      <c r="G1674" s="38" t="str" cm="1">
        <f t="array" aca="1" ref="G1674" ca="1">IF(F1674="",
    "",
    IFERROR(
        IF(INDIRECT("'"&amp;F1674&amp;"'!$B$2")="Credit Limit",
            "Credit Accounts",
            IF(INDIRECT("'"&amp;F1674&amp;"'!$E$2")="Location",
                "Cash Accounts",
                IF(INDIRECT("'"&amp;F1674&amp;"'!$B$2")="Amount",
                    "Investments",
                    "Bill Accounts"
                )
            )
        ),
    "")
)</f>
        <v/>
      </c>
      <c r="I1674" s="46" t="str" cm="1">
        <f t="array" aca="1" ref="I1674" ca="1">IF(F1674&lt;&gt;"",IF(OR(G1674="Bill Accounts",G1674="Investments", G1674="Cash Accounts"),INDIRECT("'"&amp;F1674&amp;"'!$C$10"),INDIRECT("'"&amp;F1674&amp;"'!$C$8")),"")</f>
        <v/>
      </c>
      <c r="K1674" s="48">
        <f t="shared" si="81"/>
        <v>1680</v>
      </c>
      <c r="L1674" s="114" t="str" cm="1">
        <f t="array" aca="1" ref="L1674" ca="1">IF(F1674&lt;&gt;"",INDIRECT("'"&amp;F1674&amp;"'!$F$17"),"")</f>
        <v/>
      </c>
      <c r="M1674" s="116" t="str">
        <f t="shared" ca="1" si="79"/>
        <v/>
      </c>
      <c r="O1674" s="49" t="str">
        <f t="shared" ca="1" si="80"/>
        <v/>
      </c>
      <c r="P1674" s="38" t="str">
        <f>IF(E1674&lt;&gt;"",RANK(E1674,$E$3:$E$2298)+COUNTIF($E$3:E1674,E1674)-1,"")</f>
        <v/>
      </c>
    </row>
    <row r="1675" spans="4:16" x14ac:dyDescent="0.25">
      <c r="D1675" s="36" t="str" cm="1">
        <f t="array" aca="1" ref="D1675" ca="1">IFERROR(IF(INDIRECT("'"&amp;F1675&amp;"'!$C$5")&gt;0,DATE(YEAR(Dashboard!$AL$2),Dashboard!$AU$4,INDIRECT("'"&amp;F1675&amp;"'!$C$5")),""),"")</f>
        <v/>
      </c>
      <c r="G1675" s="38" t="str" cm="1">
        <f t="array" aca="1" ref="G1675" ca="1">IF(F1675="",
    "",
    IFERROR(
        IF(INDIRECT("'"&amp;F1675&amp;"'!$B$2")="Credit Limit",
            "Credit Accounts",
            IF(INDIRECT("'"&amp;F1675&amp;"'!$E$2")="Location",
                "Cash Accounts",
                IF(INDIRECT("'"&amp;F1675&amp;"'!$B$2")="Amount",
                    "Investments",
                    "Bill Accounts"
                )
            )
        ),
    "")
)</f>
        <v/>
      </c>
      <c r="I1675" s="46" t="str" cm="1">
        <f t="array" aca="1" ref="I1675" ca="1">IF(F1675&lt;&gt;"",IF(OR(G1675="Bill Accounts",G1675="Investments", G1675="Cash Accounts"),INDIRECT("'"&amp;F1675&amp;"'!$C$10"),INDIRECT("'"&amp;F1675&amp;"'!$C$8")),"")</f>
        <v/>
      </c>
      <c r="K1675" s="48">
        <f t="shared" si="81"/>
        <v>1681</v>
      </c>
      <c r="L1675" s="114" t="str" cm="1">
        <f t="array" aca="1" ref="L1675" ca="1">IF(F1675&lt;&gt;"",INDIRECT("'"&amp;F1675&amp;"'!$F$17"),"")</f>
        <v/>
      </c>
      <c r="M1675" s="116" t="str">
        <f t="shared" ca="1" si="79"/>
        <v/>
      </c>
      <c r="O1675" s="49" t="str">
        <f t="shared" ca="1" si="80"/>
        <v/>
      </c>
      <c r="P1675" s="38" t="str">
        <f>IF(E1675&lt;&gt;"",RANK(E1675,$E$3:$E$2298)+COUNTIF($E$3:E1675,E1675)-1,"")</f>
        <v/>
      </c>
    </row>
    <row r="1676" spans="4:16" x14ac:dyDescent="0.25">
      <c r="D1676" s="36" t="str" cm="1">
        <f t="array" aca="1" ref="D1676" ca="1">IFERROR(IF(INDIRECT("'"&amp;F1676&amp;"'!$C$5")&gt;0,DATE(YEAR(Dashboard!$AL$2),Dashboard!$AU$4,INDIRECT("'"&amp;F1676&amp;"'!$C$5")),""),"")</f>
        <v/>
      </c>
      <c r="G1676" s="38" t="str" cm="1">
        <f t="array" aca="1" ref="G1676" ca="1">IF(F1676="",
    "",
    IFERROR(
        IF(INDIRECT("'"&amp;F1676&amp;"'!$B$2")="Credit Limit",
            "Credit Accounts",
            IF(INDIRECT("'"&amp;F1676&amp;"'!$E$2")="Location",
                "Cash Accounts",
                IF(INDIRECT("'"&amp;F1676&amp;"'!$B$2")="Amount",
                    "Investments",
                    "Bill Accounts"
                )
            )
        ),
    "")
)</f>
        <v/>
      </c>
      <c r="I1676" s="46" t="str" cm="1">
        <f t="array" aca="1" ref="I1676" ca="1">IF(F1676&lt;&gt;"",IF(OR(G1676="Bill Accounts",G1676="Investments", G1676="Cash Accounts"),INDIRECT("'"&amp;F1676&amp;"'!$C$10"),INDIRECT("'"&amp;F1676&amp;"'!$C$8")),"")</f>
        <v/>
      </c>
      <c r="K1676" s="48">
        <f t="shared" si="81"/>
        <v>1682</v>
      </c>
      <c r="L1676" s="114" t="str" cm="1">
        <f t="array" aca="1" ref="L1676" ca="1">IF(F1676&lt;&gt;"",INDIRECT("'"&amp;F1676&amp;"'!$F$17"),"")</f>
        <v/>
      </c>
      <c r="M1676" s="116" t="str">
        <f t="shared" ca="1" si="79"/>
        <v/>
      </c>
      <c r="O1676" s="49" t="str">
        <f t="shared" ca="1" si="80"/>
        <v/>
      </c>
      <c r="P1676" s="38" t="str">
        <f>IF(E1676&lt;&gt;"",RANK(E1676,$E$3:$E$2298)+COUNTIF($E$3:E1676,E1676)-1,"")</f>
        <v/>
      </c>
    </row>
    <row r="1677" spans="4:16" x14ac:dyDescent="0.25">
      <c r="D1677" s="36" t="str" cm="1">
        <f t="array" aca="1" ref="D1677" ca="1">IFERROR(IF(INDIRECT("'"&amp;F1677&amp;"'!$C$5")&gt;0,DATE(YEAR(Dashboard!$AL$2),Dashboard!$AU$4,INDIRECT("'"&amp;F1677&amp;"'!$C$5")),""),"")</f>
        <v/>
      </c>
      <c r="G1677" s="38" t="str" cm="1">
        <f t="array" aca="1" ref="G1677" ca="1">IF(F1677="",
    "",
    IFERROR(
        IF(INDIRECT("'"&amp;F1677&amp;"'!$B$2")="Credit Limit",
            "Credit Accounts",
            IF(INDIRECT("'"&amp;F1677&amp;"'!$E$2")="Location",
                "Cash Accounts",
                IF(INDIRECT("'"&amp;F1677&amp;"'!$B$2")="Amount",
                    "Investments",
                    "Bill Accounts"
                )
            )
        ),
    "")
)</f>
        <v/>
      </c>
      <c r="I1677" s="46" t="str" cm="1">
        <f t="array" aca="1" ref="I1677" ca="1">IF(F1677&lt;&gt;"",IF(OR(G1677="Bill Accounts",G1677="Investments", G1677="Cash Accounts"),INDIRECT("'"&amp;F1677&amp;"'!$C$10"),INDIRECT("'"&amp;F1677&amp;"'!$C$8")),"")</f>
        <v/>
      </c>
      <c r="K1677" s="48">
        <f t="shared" si="81"/>
        <v>1683</v>
      </c>
      <c r="L1677" s="114" t="str" cm="1">
        <f t="array" aca="1" ref="L1677" ca="1">IF(F1677&lt;&gt;"",INDIRECT("'"&amp;F1677&amp;"'!$F$17"),"")</f>
        <v/>
      </c>
      <c r="M1677" s="116" t="str">
        <f t="shared" ca="1" si="79"/>
        <v/>
      </c>
      <c r="O1677" s="49" t="str">
        <f t="shared" ca="1" si="80"/>
        <v/>
      </c>
      <c r="P1677" s="38" t="str">
        <f>IF(E1677&lt;&gt;"",RANK(E1677,$E$3:$E$2298)+COUNTIF($E$3:E1677,E1677)-1,"")</f>
        <v/>
      </c>
    </row>
    <row r="1678" spans="4:16" x14ac:dyDescent="0.25">
      <c r="D1678" s="36" t="str" cm="1">
        <f t="array" aca="1" ref="D1678" ca="1">IFERROR(IF(INDIRECT("'"&amp;F1678&amp;"'!$C$5")&gt;0,DATE(YEAR(Dashboard!$AL$2),Dashboard!$AU$4,INDIRECT("'"&amp;F1678&amp;"'!$C$5")),""),"")</f>
        <v/>
      </c>
      <c r="G1678" s="38" t="str" cm="1">
        <f t="array" aca="1" ref="G1678" ca="1">IF(F1678="",
    "",
    IFERROR(
        IF(INDIRECT("'"&amp;F1678&amp;"'!$B$2")="Credit Limit",
            "Credit Accounts",
            IF(INDIRECT("'"&amp;F1678&amp;"'!$E$2")="Location",
                "Cash Accounts",
                IF(INDIRECT("'"&amp;F1678&amp;"'!$B$2")="Amount",
                    "Investments",
                    "Bill Accounts"
                )
            )
        ),
    "")
)</f>
        <v/>
      </c>
      <c r="I1678" s="46" t="str" cm="1">
        <f t="array" aca="1" ref="I1678" ca="1">IF(F1678&lt;&gt;"",IF(OR(G1678="Bill Accounts",G1678="Investments", G1678="Cash Accounts"),INDIRECT("'"&amp;F1678&amp;"'!$C$10"),INDIRECT("'"&amp;F1678&amp;"'!$C$8")),"")</f>
        <v/>
      </c>
      <c r="K1678" s="48">
        <f t="shared" si="81"/>
        <v>1684</v>
      </c>
      <c r="L1678" s="114" t="str" cm="1">
        <f t="array" aca="1" ref="L1678" ca="1">IF(F1678&lt;&gt;"",INDIRECT("'"&amp;F1678&amp;"'!$F$17"),"")</f>
        <v/>
      </c>
      <c r="M1678" s="116" t="str">
        <f t="shared" ca="1" si="79"/>
        <v/>
      </c>
      <c r="O1678" s="49" t="str">
        <f t="shared" ca="1" si="80"/>
        <v/>
      </c>
      <c r="P1678" s="38" t="str">
        <f>IF(E1678&lt;&gt;"",RANK(E1678,$E$3:$E$2298)+COUNTIF($E$3:E1678,E1678)-1,"")</f>
        <v/>
      </c>
    </row>
    <row r="1679" spans="4:16" x14ac:dyDescent="0.25">
      <c r="D1679" s="36" t="str" cm="1">
        <f t="array" aca="1" ref="D1679" ca="1">IFERROR(IF(INDIRECT("'"&amp;F1679&amp;"'!$C$5")&gt;0,DATE(YEAR(Dashboard!$AL$2),Dashboard!$AU$4,INDIRECT("'"&amp;F1679&amp;"'!$C$5")),""),"")</f>
        <v/>
      </c>
      <c r="G1679" s="38" t="str" cm="1">
        <f t="array" aca="1" ref="G1679" ca="1">IF(F1679="",
    "",
    IFERROR(
        IF(INDIRECT("'"&amp;F1679&amp;"'!$B$2")="Credit Limit",
            "Credit Accounts",
            IF(INDIRECT("'"&amp;F1679&amp;"'!$E$2")="Location",
                "Cash Accounts",
                IF(INDIRECT("'"&amp;F1679&amp;"'!$B$2")="Amount",
                    "Investments",
                    "Bill Accounts"
                )
            )
        ),
    "")
)</f>
        <v/>
      </c>
      <c r="I1679" s="46" t="str" cm="1">
        <f t="array" aca="1" ref="I1679" ca="1">IF(F1679&lt;&gt;"",IF(OR(G1679="Bill Accounts",G1679="Investments", G1679="Cash Accounts"),INDIRECT("'"&amp;F1679&amp;"'!$C$10"),INDIRECT("'"&amp;F1679&amp;"'!$C$8")),"")</f>
        <v/>
      </c>
      <c r="K1679" s="48">
        <f t="shared" si="81"/>
        <v>1685</v>
      </c>
      <c r="L1679" s="114" t="str" cm="1">
        <f t="array" aca="1" ref="L1679" ca="1">IF(F1679&lt;&gt;"",INDIRECT("'"&amp;F1679&amp;"'!$F$17"),"")</f>
        <v/>
      </c>
      <c r="M1679" s="116" t="str">
        <f t="shared" ca="1" si="79"/>
        <v/>
      </c>
      <c r="O1679" s="49" t="str">
        <f t="shared" ca="1" si="80"/>
        <v/>
      </c>
      <c r="P1679" s="38" t="str">
        <f>IF(E1679&lt;&gt;"",RANK(E1679,$E$3:$E$2298)+COUNTIF($E$3:E1679,E1679)-1,"")</f>
        <v/>
      </c>
    </row>
    <row r="1680" spans="4:16" x14ac:dyDescent="0.25">
      <c r="D1680" s="36" t="str" cm="1">
        <f t="array" aca="1" ref="D1680" ca="1">IFERROR(IF(INDIRECT("'"&amp;F1680&amp;"'!$C$5")&gt;0,DATE(YEAR(Dashboard!$AL$2),Dashboard!$AU$4,INDIRECT("'"&amp;F1680&amp;"'!$C$5")),""),"")</f>
        <v/>
      </c>
      <c r="G1680" s="38" t="str" cm="1">
        <f t="array" aca="1" ref="G1680" ca="1">IF(F1680="",
    "",
    IFERROR(
        IF(INDIRECT("'"&amp;F1680&amp;"'!$B$2")="Credit Limit",
            "Credit Accounts",
            IF(INDIRECT("'"&amp;F1680&amp;"'!$E$2")="Location",
                "Cash Accounts",
                IF(INDIRECT("'"&amp;F1680&amp;"'!$B$2")="Amount",
                    "Investments",
                    "Bill Accounts"
                )
            )
        ),
    "")
)</f>
        <v/>
      </c>
      <c r="I1680" s="46" t="str" cm="1">
        <f t="array" aca="1" ref="I1680" ca="1">IF(F1680&lt;&gt;"",IF(OR(G1680="Bill Accounts",G1680="Investments", G1680="Cash Accounts"),INDIRECT("'"&amp;F1680&amp;"'!$C$10"),INDIRECT("'"&amp;F1680&amp;"'!$C$8")),"")</f>
        <v/>
      </c>
      <c r="K1680" s="48">
        <f t="shared" si="81"/>
        <v>1686</v>
      </c>
      <c r="L1680" s="114" t="str" cm="1">
        <f t="array" aca="1" ref="L1680" ca="1">IF(F1680&lt;&gt;"",INDIRECT("'"&amp;F1680&amp;"'!$F$17"),"")</f>
        <v/>
      </c>
      <c r="M1680" s="116" t="str">
        <f t="shared" ca="1" si="79"/>
        <v/>
      </c>
      <c r="O1680" s="49" t="str">
        <f t="shared" ca="1" si="80"/>
        <v/>
      </c>
      <c r="P1680" s="38" t="str">
        <f>IF(E1680&lt;&gt;"",RANK(E1680,$E$3:$E$2298)+COUNTIF($E$3:E1680,E1680)-1,"")</f>
        <v/>
      </c>
    </row>
    <row r="1681" spans="4:16" x14ac:dyDescent="0.25">
      <c r="D1681" s="36" t="str" cm="1">
        <f t="array" aca="1" ref="D1681" ca="1">IFERROR(IF(INDIRECT("'"&amp;F1681&amp;"'!$C$5")&gt;0,DATE(YEAR(Dashboard!$AL$2),Dashboard!$AU$4,INDIRECT("'"&amp;F1681&amp;"'!$C$5")),""),"")</f>
        <v/>
      </c>
      <c r="G1681" s="38" t="str" cm="1">
        <f t="array" aca="1" ref="G1681" ca="1">IF(F1681="",
    "",
    IFERROR(
        IF(INDIRECT("'"&amp;F1681&amp;"'!$B$2")="Credit Limit",
            "Credit Accounts",
            IF(INDIRECT("'"&amp;F1681&amp;"'!$E$2")="Location",
                "Cash Accounts",
                IF(INDIRECT("'"&amp;F1681&amp;"'!$B$2")="Amount",
                    "Investments",
                    "Bill Accounts"
                )
            )
        ),
    "")
)</f>
        <v/>
      </c>
      <c r="I1681" s="46" t="str" cm="1">
        <f t="array" aca="1" ref="I1681" ca="1">IF(F1681&lt;&gt;"",IF(OR(G1681="Bill Accounts",G1681="Investments", G1681="Cash Accounts"),INDIRECT("'"&amp;F1681&amp;"'!$C$10"),INDIRECT("'"&amp;F1681&amp;"'!$C$8")),"")</f>
        <v/>
      </c>
      <c r="K1681" s="48">
        <f t="shared" si="81"/>
        <v>1687</v>
      </c>
      <c r="L1681" s="114" t="str" cm="1">
        <f t="array" aca="1" ref="L1681" ca="1">IF(F1681&lt;&gt;"",INDIRECT("'"&amp;F1681&amp;"'!$F$17"),"")</f>
        <v/>
      </c>
      <c r="M1681" s="116" t="str">
        <f t="shared" ca="1" si="79"/>
        <v/>
      </c>
      <c r="O1681" s="49" t="str">
        <f t="shared" ca="1" si="80"/>
        <v/>
      </c>
      <c r="P1681" s="38" t="str">
        <f>IF(E1681&lt;&gt;"",RANK(E1681,$E$3:$E$2298)+COUNTIF($E$3:E1681,E1681)-1,"")</f>
        <v/>
      </c>
    </row>
    <row r="1682" spans="4:16" x14ac:dyDescent="0.25">
      <c r="D1682" s="36" t="str" cm="1">
        <f t="array" aca="1" ref="D1682" ca="1">IFERROR(IF(INDIRECT("'"&amp;F1682&amp;"'!$C$5")&gt;0,DATE(YEAR(Dashboard!$AL$2),Dashboard!$AU$4,INDIRECT("'"&amp;F1682&amp;"'!$C$5")),""),"")</f>
        <v/>
      </c>
      <c r="G1682" s="38" t="str" cm="1">
        <f t="array" aca="1" ref="G1682" ca="1">IF(F1682="",
    "",
    IFERROR(
        IF(INDIRECT("'"&amp;F1682&amp;"'!$B$2")="Credit Limit",
            "Credit Accounts",
            IF(INDIRECT("'"&amp;F1682&amp;"'!$E$2")="Location",
                "Cash Accounts",
                IF(INDIRECT("'"&amp;F1682&amp;"'!$B$2")="Amount",
                    "Investments",
                    "Bill Accounts"
                )
            )
        ),
    "")
)</f>
        <v/>
      </c>
      <c r="I1682" s="46" t="str" cm="1">
        <f t="array" aca="1" ref="I1682" ca="1">IF(F1682&lt;&gt;"",IF(OR(G1682="Bill Accounts",G1682="Investments", G1682="Cash Accounts"),INDIRECT("'"&amp;F1682&amp;"'!$C$10"),INDIRECT("'"&amp;F1682&amp;"'!$C$8")),"")</f>
        <v/>
      </c>
      <c r="K1682" s="48">
        <f t="shared" si="81"/>
        <v>1688</v>
      </c>
      <c r="L1682" s="114" t="str" cm="1">
        <f t="array" aca="1" ref="L1682" ca="1">IF(F1682&lt;&gt;"",INDIRECT("'"&amp;F1682&amp;"'!$F$17"),"")</f>
        <v/>
      </c>
      <c r="M1682" s="116" t="str">
        <f t="shared" ca="1" si="79"/>
        <v/>
      </c>
      <c r="O1682" s="49" t="str">
        <f t="shared" ca="1" si="80"/>
        <v/>
      </c>
      <c r="P1682" s="38" t="str">
        <f>IF(E1682&lt;&gt;"",RANK(E1682,$E$3:$E$2298)+COUNTIF($E$3:E1682,E1682)-1,"")</f>
        <v/>
      </c>
    </row>
    <row r="1683" spans="4:16" x14ac:dyDescent="0.25">
      <c r="D1683" s="36" t="str" cm="1">
        <f t="array" aca="1" ref="D1683" ca="1">IFERROR(IF(INDIRECT("'"&amp;F1683&amp;"'!$C$5")&gt;0,DATE(YEAR(Dashboard!$AL$2),Dashboard!$AU$4,INDIRECT("'"&amp;F1683&amp;"'!$C$5")),""),"")</f>
        <v/>
      </c>
      <c r="G1683" s="38" t="str" cm="1">
        <f t="array" aca="1" ref="G1683" ca="1">IF(F1683="",
    "",
    IFERROR(
        IF(INDIRECT("'"&amp;F1683&amp;"'!$B$2")="Credit Limit",
            "Credit Accounts",
            IF(INDIRECT("'"&amp;F1683&amp;"'!$E$2")="Location",
                "Cash Accounts",
                IF(INDIRECT("'"&amp;F1683&amp;"'!$B$2")="Amount",
                    "Investments",
                    "Bill Accounts"
                )
            )
        ),
    "")
)</f>
        <v/>
      </c>
      <c r="I1683" s="46" t="str" cm="1">
        <f t="array" aca="1" ref="I1683" ca="1">IF(F1683&lt;&gt;"",IF(OR(G1683="Bill Accounts",G1683="Investments", G1683="Cash Accounts"),INDIRECT("'"&amp;F1683&amp;"'!$C$10"),INDIRECT("'"&amp;F1683&amp;"'!$C$8")),"")</f>
        <v/>
      </c>
      <c r="K1683" s="48">
        <f t="shared" si="81"/>
        <v>1689</v>
      </c>
      <c r="L1683" s="114" t="str" cm="1">
        <f t="array" aca="1" ref="L1683" ca="1">IF(F1683&lt;&gt;"",INDIRECT("'"&amp;F1683&amp;"'!$F$17"),"")</f>
        <v/>
      </c>
      <c r="M1683" s="116" t="str">
        <f t="shared" ca="1" si="79"/>
        <v/>
      </c>
      <c r="O1683" s="49" t="str">
        <f t="shared" ca="1" si="80"/>
        <v/>
      </c>
      <c r="P1683" s="38" t="str">
        <f>IF(E1683&lt;&gt;"",RANK(E1683,$E$3:$E$2298)+COUNTIF($E$3:E1683,E1683)-1,"")</f>
        <v/>
      </c>
    </row>
    <row r="1684" spans="4:16" x14ac:dyDescent="0.25">
      <c r="D1684" s="36" t="str" cm="1">
        <f t="array" aca="1" ref="D1684" ca="1">IFERROR(IF(INDIRECT("'"&amp;F1684&amp;"'!$C$5")&gt;0,DATE(YEAR(Dashboard!$AL$2),Dashboard!$AU$4,INDIRECT("'"&amp;F1684&amp;"'!$C$5")),""),"")</f>
        <v/>
      </c>
      <c r="G1684" s="38" t="str" cm="1">
        <f t="array" aca="1" ref="G1684" ca="1">IF(F1684="",
    "",
    IFERROR(
        IF(INDIRECT("'"&amp;F1684&amp;"'!$B$2")="Credit Limit",
            "Credit Accounts",
            IF(INDIRECT("'"&amp;F1684&amp;"'!$E$2")="Location",
                "Cash Accounts",
                IF(INDIRECT("'"&amp;F1684&amp;"'!$B$2")="Amount",
                    "Investments",
                    "Bill Accounts"
                )
            )
        ),
    "")
)</f>
        <v/>
      </c>
      <c r="I1684" s="46" t="str" cm="1">
        <f t="array" aca="1" ref="I1684" ca="1">IF(F1684&lt;&gt;"",IF(OR(G1684="Bill Accounts",G1684="Investments", G1684="Cash Accounts"),INDIRECT("'"&amp;F1684&amp;"'!$C$10"),INDIRECT("'"&amp;F1684&amp;"'!$C$8")),"")</f>
        <v/>
      </c>
      <c r="K1684" s="48">
        <f t="shared" si="81"/>
        <v>1690</v>
      </c>
      <c r="L1684" s="114" t="str" cm="1">
        <f t="array" aca="1" ref="L1684" ca="1">IF(F1684&lt;&gt;"",INDIRECT("'"&amp;F1684&amp;"'!$F$17"),"")</f>
        <v/>
      </c>
      <c r="M1684" s="116" t="str">
        <f t="shared" ca="1" si="79"/>
        <v/>
      </c>
      <c r="O1684" s="49" t="str">
        <f t="shared" ca="1" si="80"/>
        <v/>
      </c>
      <c r="P1684" s="38" t="str">
        <f>IF(E1684&lt;&gt;"",RANK(E1684,$E$3:$E$2298)+COUNTIF($E$3:E1684,E1684)-1,"")</f>
        <v/>
      </c>
    </row>
    <row r="1685" spans="4:16" x14ac:dyDescent="0.25">
      <c r="D1685" s="36" t="str" cm="1">
        <f t="array" aca="1" ref="D1685" ca="1">IFERROR(IF(INDIRECT("'"&amp;F1685&amp;"'!$C$5")&gt;0,DATE(YEAR(Dashboard!$AL$2),Dashboard!$AU$4,INDIRECT("'"&amp;F1685&amp;"'!$C$5")),""),"")</f>
        <v/>
      </c>
      <c r="G1685" s="38" t="str" cm="1">
        <f t="array" aca="1" ref="G1685" ca="1">IF(F1685="",
    "",
    IFERROR(
        IF(INDIRECT("'"&amp;F1685&amp;"'!$B$2")="Credit Limit",
            "Credit Accounts",
            IF(INDIRECT("'"&amp;F1685&amp;"'!$E$2")="Location",
                "Cash Accounts",
                IF(INDIRECT("'"&amp;F1685&amp;"'!$B$2")="Amount",
                    "Investments",
                    "Bill Accounts"
                )
            )
        ),
    "")
)</f>
        <v/>
      </c>
      <c r="I1685" s="46" t="str" cm="1">
        <f t="array" aca="1" ref="I1685" ca="1">IF(F1685&lt;&gt;"",IF(OR(G1685="Bill Accounts",G1685="Investments", G1685="Cash Accounts"),INDIRECT("'"&amp;F1685&amp;"'!$C$10"),INDIRECT("'"&amp;F1685&amp;"'!$C$8")),"")</f>
        <v/>
      </c>
      <c r="K1685" s="48">
        <f t="shared" si="81"/>
        <v>1691</v>
      </c>
      <c r="L1685" s="114" t="str" cm="1">
        <f t="array" aca="1" ref="L1685" ca="1">IF(F1685&lt;&gt;"",INDIRECT("'"&amp;F1685&amp;"'!$F$17"),"")</f>
        <v/>
      </c>
      <c r="M1685" s="116" t="str">
        <f t="shared" ca="1" si="79"/>
        <v/>
      </c>
      <c r="O1685" s="49" t="str">
        <f t="shared" ca="1" si="80"/>
        <v/>
      </c>
      <c r="P1685" s="38" t="str">
        <f>IF(E1685&lt;&gt;"",RANK(E1685,$E$3:$E$2298)+COUNTIF($E$3:E1685,E1685)-1,"")</f>
        <v/>
      </c>
    </row>
    <row r="1686" spans="4:16" x14ac:dyDescent="0.25">
      <c r="D1686" s="36" t="str" cm="1">
        <f t="array" aca="1" ref="D1686" ca="1">IFERROR(IF(INDIRECT("'"&amp;F1686&amp;"'!$C$5")&gt;0,DATE(YEAR(Dashboard!$AL$2),Dashboard!$AU$4,INDIRECT("'"&amp;F1686&amp;"'!$C$5")),""),"")</f>
        <v/>
      </c>
      <c r="G1686" s="38" t="str" cm="1">
        <f t="array" aca="1" ref="G1686" ca="1">IF(F1686="",
    "",
    IFERROR(
        IF(INDIRECT("'"&amp;F1686&amp;"'!$B$2")="Credit Limit",
            "Credit Accounts",
            IF(INDIRECT("'"&amp;F1686&amp;"'!$E$2")="Location",
                "Cash Accounts",
                IF(INDIRECT("'"&amp;F1686&amp;"'!$B$2")="Amount",
                    "Investments",
                    "Bill Accounts"
                )
            )
        ),
    "")
)</f>
        <v/>
      </c>
      <c r="I1686" s="46" t="str" cm="1">
        <f t="array" aca="1" ref="I1686" ca="1">IF(F1686&lt;&gt;"",IF(OR(G1686="Bill Accounts",G1686="Investments", G1686="Cash Accounts"),INDIRECT("'"&amp;F1686&amp;"'!$C$10"),INDIRECT("'"&amp;F1686&amp;"'!$C$8")),"")</f>
        <v/>
      </c>
      <c r="K1686" s="48">
        <f t="shared" si="81"/>
        <v>1692</v>
      </c>
      <c r="L1686" s="114" t="str" cm="1">
        <f t="array" aca="1" ref="L1686" ca="1">IF(F1686&lt;&gt;"",INDIRECT("'"&amp;F1686&amp;"'!$F$17"),"")</f>
        <v/>
      </c>
      <c r="M1686" s="116" t="str">
        <f t="shared" ca="1" si="79"/>
        <v/>
      </c>
      <c r="O1686" s="49" t="str">
        <f t="shared" ca="1" si="80"/>
        <v/>
      </c>
      <c r="P1686" s="38" t="str">
        <f>IF(E1686&lt;&gt;"",RANK(E1686,$E$3:$E$2298)+COUNTIF($E$3:E1686,E1686)-1,"")</f>
        <v/>
      </c>
    </row>
    <row r="1687" spans="4:16" x14ac:dyDescent="0.25">
      <c r="D1687" s="36" t="str" cm="1">
        <f t="array" aca="1" ref="D1687" ca="1">IFERROR(IF(INDIRECT("'"&amp;F1687&amp;"'!$C$5")&gt;0,DATE(YEAR(Dashboard!$AL$2),Dashboard!$AU$4,INDIRECT("'"&amp;F1687&amp;"'!$C$5")),""),"")</f>
        <v/>
      </c>
      <c r="G1687" s="38" t="str" cm="1">
        <f t="array" aca="1" ref="G1687" ca="1">IF(F1687="",
    "",
    IFERROR(
        IF(INDIRECT("'"&amp;F1687&amp;"'!$B$2")="Credit Limit",
            "Credit Accounts",
            IF(INDIRECT("'"&amp;F1687&amp;"'!$E$2")="Location",
                "Cash Accounts",
                IF(INDIRECT("'"&amp;F1687&amp;"'!$B$2")="Amount",
                    "Investments",
                    "Bill Accounts"
                )
            )
        ),
    "")
)</f>
        <v/>
      </c>
      <c r="I1687" s="46" t="str" cm="1">
        <f t="array" aca="1" ref="I1687" ca="1">IF(F1687&lt;&gt;"",IF(OR(G1687="Bill Accounts",G1687="Investments", G1687="Cash Accounts"),INDIRECT("'"&amp;F1687&amp;"'!$C$10"),INDIRECT("'"&amp;F1687&amp;"'!$C$8")),"")</f>
        <v/>
      </c>
      <c r="K1687" s="48">
        <f t="shared" si="81"/>
        <v>1693</v>
      </c>
      <c r="L1687" s="114" t="str" cm="1">
        <f t="array" aca="1" ref="L1687" ca="1">IF(F1687&lt;&gt;"",INDIRECT("'"&amp;F1687&amp;"'!$F$17"),"")</f>
        <v/>
      </c>
      <c r="M1687" s="116" t="str">
        <f t="shared" ca="1" si="79"/>
        <v/>
      </c>
      <c r="O1687" s="49" t="str">
        <f t="shared" ca="1" si="80"/>
        <v/>
      </c>
      <c r="P1687" s="38" t="str">
        <f>IF(E1687&lt;&gt;"",RANK(E1687,$E$3:$E$2298)+COUNTIF($E$3:E1687,E1687)-1,"")</f>
        <v/>
      </c>
    </row>
    <row r="1688" spans="4:16" x14ac:dyDescent="0.25">
      <c r="D1688" s="36" t="str" cm="1">
        <f t="array" aca="1" ref="D1688" ca="1">IFERROR(IF(INDIRECT("'"&amp;F1688&amp;"'!$C$5")&gt;0,DATE(YEAR(Dashboard!$AL$2),Dashboard!$AU$4,INDIRECT("'"&amp;F1688&amp;"'!$C$5")),""),"")</f>
        <v/>
      </c>
      <c r="G1688" s="38" t="str" cm="1">
        <f t="array" aca="1" ref="G1688" ca="1">IF(F1688="",
    "",
    IFERROR(
        IF(INDIRECT("'"&amp;F1688&amp;"'!$B$2")="Credit Limit",
            "Credit Accounts",
            IF(INDIRECT("'"&amp;F1688&amp;"'!$E$2")="Location",
                "Cash Accounts",
                IF(INDIRECT("'"&amp;F1688&amp;"'!$B$2")="Amount",
                    "Investments",
                    "Bill Accounts"
                )
            )
        ),
    "")
)</f>
        <v/>
      </c>
      <c r="I1688" s="46" t="str" cm="1">
        <f t="array" aca="1" ref="I1688" ca="1">IF(F1688&lt;&gt;"",IF(OR(G1688="Bill Accounts",G1688="Investments", G1688="Cash Accounts"),INDIRECT("'"&amp;F1688&amp;"'!$C$10"),INDIRECT("'"&amp;F1688&amp;"'!$C$8")),"")</f>
        <v/>
      </c>
      <c r="K1688" s="48">
        <f t="shared" si="81"/>
        <v>1694</v>
      </c>
      <c r="L1688" s="114" t="str" cm="1">
        <f t="array" aca="1" ref="L1688" ca="1">IF(F1688&lt;&gt;"",INDIRECT("'"&amp;F1688&amp;"'!$F$17"),"")</f>
        <v/>
      </c>
      <c r="M1688" s="116" t="str">
        <f t="shared" ca="1" si="79"/>
        <v/>
      </c>
      <c r="O1688" s="49" t="str">
        <f t="shared" ca="1" si="80"/>
        <v/>
      </c>
      <c r="P1688" s="38" t="str">
        <f>IF(E1688&lt;&gt;"",RANK(E1688,$E$3:$E$2298)+COUNTIF($E$3:E1688,E1688)-1,"")</f>
        <v/>
      </c>
    </row>
    <row r="1689" spans="4:16" x14ac:dyDescent="0.25">
      <c r="D1689" s="36" t="str" cm="1">
        <f t="array" aca="1" ref="D1689" ca="1">IFERROR(IF(INDIRECT("'"&amp;F1689&amp;"'!$C$5")&gt;0,DATE(YEAR(Dashboard!$AL$2),Dashboard!$AU$4,INDIRECT("'"&amp;F1689&amp;"'!$C$5")),""),"")</f>
        <v/>
      </c>
      <c r="G1689" s="38" t="str" cm="1">
        <f t="array" aca="1" ref="G1689" ca="1">IF(F1689="",
    "",
    IFERROR(
        IF(INDIRECT("'"&amp;F1689&amp;"'!$B$2")="Credit Limit",
            "Credit Accounts",
            IF(INDIRECT("'"&amp;F1689&amp;"'!$E$2")="Location",
                "Cash Accounts",
                IF(INDIRECT("'"&amp;F1689&amp;"'!$B$2")="Amount",
                    "Investments",
                    "Bill Accounts"
                )
            )
        ),
    "")
)</f>
        <v/>
      </c>
      <c r="I1689" s="46" t="str" cm="1">
        <f t="array" aca="1" ref="I1689" ca="1">IF(F1689&lt;&gt;"",IF(OR(G1689="Bill Accounts",G1689="Investments", G1689="Cash Accounts"),INDIRECT("'"&amp;F1689&amp;"'!$C$10"),INDIRECT("'"&amp;F1689&amp;"'!$C$8")),"")</f>
        <v/>
      </c>
      <c r="K1689" s="48">
        <f t="shared" si="81"/>
        <v>1695</v>
      </c>
      <c r="L1689" s="114" t="str" cm="1">
        <f t="array" aca="1" ref="L1689" ca="1">IF(F1689&lt;&gt;"",INDIRECT("'"&amp;F1689&amp;"'!$F$17"),"")</f>
        <v/>
      </c>
      <c r="M1689" s="116" t="str">
        <f t="shared" ca="1" si="79"/>
        <v/>
      </c>
      <c r="O1689" s="49" t="str">
        <f t="shared" ca="1" si="80"/>
        <v/>
      </c>
      <c r="P1689" s="38" t="str">
        <f>IF(E1689&lt;&gt;"",RANK(E1689,$E$3:$E$2298)+COUNTIF($E$3:E1689,E1689)-1,"")</f>
        <v/>
      </c>
    </row>
    <row r="1690" spans="4:16" x14ac:dyDescent="0.25">
      <c r="D1690" s="36" t="str" cm="1">
        <f t="array" aca="1" ref="D1690" ca="1">IFERROR(IF(INDIRECT("'"&amp;F1690&amp;"'!$C$5")&gt;0,DATE(YEAR(Dashboard!$AL$2),Dashboard!$AU$4,INDIRECT("'"&amp;F1690&amp;"'!$C$5")),""),"")</f>
        <v/>
      </c>
      <c r="G1690" s="38" t="str" cm="1">
        <f t="array" aca="1" ref="G1690" ca="1">IF(F1690="",
    "",
    IFERROR(
        IF(INDIRECT("'"&amp;F1690&amp;"'!$B$2")="Credit Limit",
            "Credit Accounts",
            IF(INDIRECT("'"&amp;F1690&amp;"'!$E$2")="Location",
                "Cash Accounts",
                IF(INDIRECT("'"&amp;F1690&amp;"'!$B$2")="Amount",
                    "Investments",
                    "Bill Accounts"
                )
            )
        ),
    "")
)</f>
        <v/>
      </c>
      <c r="I1690" s="46" t="str" cm="1">
        <f t="array" aca="1" ref="I1690" ca="1">IF(F1690&lt;&gt;"",IF(OR(G1690="Bill Accounts",G1690="Investments", G1690="Cash Accounts"),INDIRECT("'"&amp;F1690&amp;"'!$C$10"),INDIRECT("'"&amp;F1690&amp;"'!$C$8")),"")</f>
        <v/>
      </c>
      <c r="K1690" s="48">
        <f t="shared" si="81"/>
        <v>1696</v>
      </c>
      <c r="L1690" s="114" t="str" cm="1">
        <f t="array" aca="1" ref="L1690" ca="1">IF(F1690&lt;&gt;"",INDIRECT("'"&amp;F1690&amp;"'!$F$17"),"")</f>
        <v/>
      </c>
      <c r="M1690" s="116" t="str">
        <f t="shared" ca="1" si="79"/>
        <v/>
      </c>
      <c r="O1690" s="49" t="str">
        <f t="shared" ca="1" si="80"/>
        <v/>
      </c>
      <c r="P1690" s="38" t="str">
        <f>IF(E1690&lt;&gt;"",RANK(E1690,$E$3:$E$2298)+COUNTIF($E$3:E1690,E1690)-1,"")</f>
        <v/>
      </c>
    </row>
    <row r="1691" spans="4:16" x14ac:dyDescent="0.25">
      <c r="D1691" s="36" t="str" cm="1">
        <f t="array" aca="1" ref="D1691" ca="1">IFERROR(IF(INDIRECT("'"&amp;F1691&amp;"'!$C$5")&gt;0,DATE(YEAR(Dashboard!$AL$2),Dashboard!$AU$4,INDIRECT("'"&amp;F1691&amp;"'!$C$5")),""),"")</f>
        <v/>
      </c>
      <c r="G1691" s="38" t="str" cm="1">
        <f t="array" aca="1" ref="G1691" ca="1">IF(F1691="",
    "",
    IFERROR(
        IF(INDIRECT("'"&amp;F1691&amp;"'!$B$2")="Credit Limit",
            "Credit Accounts",
            IF(INDIRECT("'"&amp;F1691&amp;"'!$E$2")="Location",
                "Cash Accounts",
                IF(INDIRECT("'"&amp;F1691&amp;"'!$B$2")="Amount",
                    "Investments",
                    "Bill Accounts"
                )
            )
        ),
    "")
)</f>
        <v/>
      </c>
      <c r="I1691" s="46" t="str" cm="1">
        <f t="array" aca="1" ref="I1691" ca="1">IF(F1691&lt;&gt;"",IF(OR(G1691="Bill Accounts",G1691="Investments", G1691="Cash Accounts"),INDIRECT("'"&amp;F1691&amp;"'!$C$10"),INDIRECT("'"&amp;F1691&amp;"'!$C$8")),"")</f>
        <v/>
      </c>
      <c r="K1691" s="48">
        <f t="shared" si="81"/>
        <v>1697</v>
      </c>
      <c r="L1691" s="114" t="str" cm="1">
        <f t="array" aca="1" ref="L1691" ca="1">IF(F1691&lt;&gt;"",INDIRECT("'"&amp;F1691&amp;"'!$F$17"),"")</f>
        <v/>
      </c>
      <c r="M1691" s="116" t="str">
        <f t="shared" ca="1" si="79"/>
        <v/>
      </c>
      <c r="O1691" s="49" t="str">
        <f t="shared" ca="1" si="80"/>
        <v/>
      </c>
      <c r="P1691" s="38" t="str">
        <f>IF(E1691&lt;&gt;"",RANK(E1691,$E$3:$E$2298)+COUNTIF($E$3:E1691,E1691)-1,"")</f>
        <v/>
      </c>
    </row>
    <row r="1692" spans="4:16" x14ac:dyDescent="0.25">
      <c r="D1692" s="36" t="str" cm="1">
        <f t="array" aca="1" ref="D1692" ca="1">IFERROR(IF(INDIRECT("'"&amp;F1692&amp;"'!$C$5")&gt;0,DATE(YEAR(Dashboard!$AL$2),Dashboard!$AU$4,INDIRECT("'"&amp;F1692&amp;"'!$C$5")),""),"")</f>
        <v/>
      </c>
      <c r="G1692" s="38" t="str" cm="1">
        <f t="array" aca="1" ref="G1692" ca="1">IF(F1692="",
    "",
    IFERROR(
        IF(INDIRECT("'"&amp;F1692&amp;"'!$B$2")="Credit Limit",
            "Credit Accounts",
            IF(INDIRECT("'"&amp;F1692&amp;"'!$E$2")="Location",
                "Cash Accounts",
                IF(INDIRECT("'"&amp;F1692&amp;"'!$B$2")="Amount",
                    "Investments",
                    "Bill Accounts"
                )
            )
        ),
    "")
)</f>
        <v/>
      </c>
      <c r="I1692" s="46" t="str" cm="1">
        <f t="array" aca="1" ref="I1692" ca="1">IF(F1692&lt;&gt;"",IF(OR(G1692="Bill Accounts",G1692="Investments", G1692="Cash Accounts"),INDIRECT("'"&amp;F1692&amp;"'!$C$10"),INDIRECT("'"&amp;F1692&amp;"'!$C$8")),"")</f>
        <v/>
      </c>
      <c r="K1692" s="48">
        <f t="shared" si="81"/>
        <v>1698</v>
      </c>
      <c r="L1692" s="114" t="str" cm="1">
        <f t="array" aca="1" ref="L1692" ca="1">IF(F1692&lt;&gt;"",INDIRECT("'"&amp;F1692&amp;"'!$F$17"),"")</f>
        <v/>
      </c>
      <c r="M1692" s="116" t="str">
        <f t="shared" ca="1" si="79"/>
        <v/>
      </c>
      <c r="O1692" s="49" t="str">
        <f t="shared" ca="1" si="80"/>
        <v/>
      </c>
      <c r="P1692" s="38" t="str">
        <f>IF(E1692&lt;&gt;"",RANK(E1692,$E$3:$E$2298)+COUNTIF($E$3:E1692,E1692)-1,"")</f>
        <v/>
      </c>
    </row>
    <row r="1693" spans="4:16" x14ac:dyDescent="0.25">
      <c r="D1693" s="36" t="str" cm="1">
        <f t="array" aca="1" ref="D1693" ca="1">IFERROR(IF(INDIRECT("'"&amp;F1693&amp;"'!$C$5")&gt;0,DATE(YEAR(Dashboard!$AL$2),Dashboard!$AU$4,INDIRECT("'"&amp;F1693&amp;"'!$C$5")),""),"")</f>
        <v/>
      </c>
      <c r="G1693" s="38" t="str" cm="1">
        <f t="array" aca="1" ref="G1693" ca="1">IF(F1693="",
    "",
    IFERROR(
        IF(INDIRECT("'"&amp;F1693&amp;"'!$B$2")="Credit Limit",
            "Credit Accounts",
            IF(INDIRECT("'"&amp;F1693&amp;"'!$E$2")="Location",
                "Cash Accounts",
                IF(INDIRECT("'"&amp;F1693&amp;"'!$B$2")="Amount",
                    "Investments",
                    "Bill Accounts"
                )
            )
        ),
    "")
)</f>
        <v/>
      </c>
      <c r="I1693" s="46" t="str" cm="1">
        <f t="array" aca="1" ref="I1693" ca="1">IF(F1693&lt;&gt;"",IF(OR(G1693="Bill Accounts",G1693="Investments", G1693="Cash Accounts"),INDIRECT("'"&amp;F1693&amp;"'!$C$10"),INDIRECT("'"&amp;F1693&amp;"'!$C$8")),"")</f>
        <v/>
      </c>
      <c r="K1693" s="48">
        <f t="shared" si="81"/>
        <v>1699</v>
      </c>
      <c r="L1693" s="114" t="str" cm="1">
        <f t="array" aca="1" ref="L1693" ca="1">IF(F1693&lt;&gt;"",INDIRECT("'"&amp;F1693&amp;"'!$F$17"),"")</f>
        <v/>
      </c>
      <c r="M1693" s="116" t="str">
        <f t="shared" ca="1" si="79"/>
        <v/>
      </c>
      <c r="O1693" s="49" t="str">
        <f t="shared" ca="1" si="80"/>
        <v/>
      </c>
      <c r="P1693" s="38" t="str">
        <f>IF(E1693&lt;&gt;"",RANK(E1693,$E$3:$E$2298)+COUNTIF($E$3:E1693,E1693)-1,"")</f>
        <v/>
      </c>
    </row>
    <row r="1694" spans="4:16" x14ac:dyDescent="0.25">
      <c r="D1694" s="36" t="str" cm="1">
        <f t="array" aca="1" ref="D1694" ca="1">IFERROR(IF(INDIRECT("'"&amp;F1694&amp;"'!$C$5")&gt;0,DATE(YEAR(Dashboard!$AL$2),Dashboard!$AU$4,INDIRECT("'"&amp;F1694&amp;"'!$C$5")),""),"")</f>
        <v/>
      </c>
      <c r="G1694" s="38" t="str" cm="1">
        <f t="array" aca="1" ref="G1694" ca="1">IF(F1694="",
    "",
    IFERROR(
        IF(INDIRECT("'"&amp;F1694&amp;"'!$B$2")="Credit Limit",
            "Credit Accounts",
            IF(INDIRECT("'"&amp;F1694&amp;"'!$E$2")="Location",
                "Cash Accounts",
                IF(INDIRECT("'"&amp;F1694&amp;"'!$B$2")="Amount",
                    "Investments",
                    "Bill Accounts"
                )
            )
        ),
    "")
)</f>
        <v/>
      </c>
      <c r="I1694" s="46" t="str" cm="1">
        <f t="array" aca="1" ref="I1694" ca="1">IF(F1694&lt;&gt;"",IF(OR(G1694="Bill Accounts",G1694="Investments", G1694="Cash Accounts"),INDIRECT("'"&amp;F1694&amp;"'!$C$10"),INDIRECT("'"&amp;F1694&amp;"'!$C$8")),"")</f>
        <v/>
      </c>
      <c r="K1694" s="48">
        <f t="shared" si="81"/>
        <v>1700</v>
      </c>
      <c r="L1694" s="114" t="str" cm="1">
        <f t="array" aca="1" ref="L1694" ca="1">IF(F1694&lt;&gt;"",INDIRECT("'"&amp;F1694&amp;"'!$F$17"),"")</f>
        <v/>
      </c>
      <c r="M1694" s="116" t="str">
        <f t="shared" ca="1" si="79"/>
        <v/>
      </c>
      <c r="O1694" s="49" t="str">
        <f t="shared" ca="1" si="80"/>
        <v/>
      </c>
      <c r="P1694" s="38" t="str">
        <f>IF(E1694&lt;&gt;"",RANK(E1694,$E$3:$E$2298)+COUNTIF($E$3:E1694,E1694)-1,"")</f>
        <v/>
      </c>
    </row>
    <row r="1695" spans="4:16" x14ac:dyDescent="0.25">
      <c r="D1695" s="36" t="str" cm="1">
        <f t="array" aca="1" ref="D1695" ca="1">IFERROR(IF(INDIRECT("'"&amp;F1695&amp;"'!$C$5")&gt;0,DATE(YEAR(Dashboard!$AL$2),Dashboard!$AU$4,INDIRECT("'"&amp;F1695&amp;"'!$C$5")),""),"")</f>
        <v/>
      </c>
      <c r="G1695" s="38" t="str" cm="1">
        <f t="array" aca="1" ref="G1695" ca="1">IF(F1695="",
    "",
    IFERROR(
        IF(INDIRECT("'"&amp;F1695&amp;"'!$B$2")="Credit Limit",
            "Credit Accounts",
            IF(INDIRECT("'"&amp;F1695&amp;"'!$E$2")="Location",
                "Cash Accounts",
                IF(INDIRECT("'"&amp;F1695&amp;"'!$B$2")="Amount",
                    "Investments",
                    "Bill Accounts"
                )
            )
        ),
    "")
)</f>
        <v/>
      </c>
      <c r="I1695" s="46" t="str" cm="1">
        <f t="array" aca="1" ref="I1695" ca="1">IF(F1695&lt;&gt;"",IF(OR(G1695="Bill Accounts",G1695="Investments", G1695="Cash Accounts"),INDIRECT("'"&amp;F1695&amp;"'!$C$10"),INDIRECT("'"&amp;F1695&amp;"'!$C$8")),"")</f>
        <v/>
      </c>
      <c r="K1695" s="48">
        <f t="shared" si="81"/>
        <v>1701</v>
      </c>
      <c r="L1695" s="114" t="str" cm="1">
        <f t="array" aca="1" ref="L1695" ca="1">IF(F1695&lt;&gt;"",INDIRECT("'"&amp;F1695&amp;"'!$F$17"),"")</f>
        <v/>
      </c>
      <c r="M1695" s="116" t="str">
        <f t="shared" ca="1" si="79"/>
        <v/>
      </c>
      <c r="O1695" s="49" t="str">
        <f t="shared" ca="1" si="80"/>
        <v/>
      </c>
      <c r="P1695" s="38" t="str">
        <f>IF(E1695&lt;&gt;"",RANK(E1695,$E$3:$E$2298)+COUNTIF($E$3:E1695,E1695)-1,"")</f>
        <v/>
      </c>
    </row>
    <row r="1696" spans="4:16" x14ac:dyDescent="0.25">
      <c r="D1696" s="36" t="str" cm="1">
        <f t="array" aca="1" ref="D1696" ca="1">IFERROR(IF(INDIRECT("'"&amp;F1696&amp;"'!$C$5")&gt;0,DATE(YEAR(Dashboard!$AL$2),Dashboard!$AU$4,INDIRECT("'"&amp;F1696&amp;"'!$C$5")),""),"")</f>
        <v/>
      </c>
      <c r="G1696" s="38" t="str" cm="1">
        <f t="array" aca="1" ref="G1696" ca="1">IF(F1696="",
    "",
    IFERROR(
        IF(INDIRECT("'"&amp;F1696&amp;"'!$B$2")="Credit Limit",
            "Credit Accounts",
            IF(INDIRECT("'"&amp;F1696&amp;"'!$E$2")="Location",
                "Cash Accounts",
                IF(INDIRECT("'"&amp;F1696&amp;"'!$B$2")="Amount",
                    "Investments",
                    "Bill Accounts"
                )
            )
        ),
    "")
)</f>
        <v/>
      </c>
      <c r="I1696" s="46" t="str" cm="1">
        <f t="array" aca="1" ref="I1696" ca="1">IF(F1696&lt;&gt;"",IF(OR(G1696="Bill Accounts",G1696="Investments", G1696="Cash Accounts"),INDIRECT("'"&amp;F1696&amp;"'!$C$10"),INDIRECT("'"&amp;F1696&amp;"'!$C$8")),"")</f>
        <v/>
      </c>
      <c r="K1696" s="48">
        <f t="shared" si="81"/>
        <v>1702</v>
      </c>
      <c r="L1696" s="114" t="str" cm="1">
        <f t="array" aca="1" ref="L1696" ca="1">IF(F1696&lt;&gt;"",INDIRECT("'"&amp;F1696&amp;"'!$F$17"),"")</f>
        <v/>
      </c>
      <c r="M1696" s="116" t="str">
        <f t="shared" ca="1" si="79"/>
        <v/>
      </c>
      <c r="O1696" s="49" t="str">
        <f t="shared" ca="1" si="80"/>
        <v/>
      </c>
      <c r="P1696" s="38" t="str">
        <f>IF(E1696&lt;&gt;"",RANK(E1696,$E$3:$E$2298)+COUNTIF($E$3:E1696,E1696)-1,"")</f>
        <v/>
      </c>
    </row>
    <row r="1697" spans="4:16" x14ac:dyDescent="0.25">
      <c r="D1697" s="36" t="str" cm="1">
        <f t="array" aca="1" ref="D1697" ca="1">IFERROR(IF(INDIRECT("'"&amp;F1697&amp;"'!$C$5")&gt;0,DATE(YEAR(Dashboard!$AL$2),Dashboard!$AU$4,INDIRECT("'"&amp;F1697&amp;"'!$C$5")),""),"")</f>
        <v/>
      </c>
      <c r="G1697" s="38" t="str" cm="1">
        <f t="array" aca="1" ref="G1697" ca="1">IF(F1697="",
    "",
    IFERROR(
        IF(INDIRECT("'"&amp;F1697&amp;"'!$B$2")="Credit Limit",
            "Credit Accounts",
            IF(INDIRECT("'"&amp;F1697&amp;"'!$E$2")="Location",
                "Cash Accounts",
                IF(INDIRECT("'"&amp;F1697&amp;"'!$B$2")="Amount",
                    "Investments",
                    "Bill Accounts"
                )
            )
        ),
    "")
)</f>
        <v/>
      </c>
      <c r="I1697" s="46" t="str" cm="1">
        <f t="array" aca="1" ref="I1697" ca="1">IF(F1697&lt;&gt;"",IF(OR(G1697="Bill Accounts",G1697="Investments", G1697="Cash Accounts"),INDIRECT("'"&amp;F1697&amp;"'!$C$10"),INDIRECT("'"&amp;F1697&amp;"'!$C$8")),"")</f>
        <v/>
      </c>
      <c r="K1697" s="48">
        <f t="shared" si="81"/>
        <v>1703</v>
      </c>
      <c r="L1697" s="114" t="str" cm="1">
        <f t="array" aca="1" ref="L1697" ca="1">IF(F1697&lt;&gt;"",INDIRECT("'"&amp;F1697&amp;"'!$F$17"),"")</f>
        <v/>
      </c>
      <c r="M1697" s="116" t="str">
        <f t="shared" ca="1" si="79"/>
        <v/>
      </c>
      <c r="O1697" s="49" t="str">
        <f t="shared" ca="1" si="80"/>
        <v/>
      </c>
      <c r="P1697" s="38" t="str">
        <f>IF(E1697&lt;&gt;"",RANK(E1697,$E$3:$E$2298)+COUNTIF($E$3:E1697,E1697)-1,"")</f>
        <v/>
      </c>
    </row>
    <row r="1698" spans="4:16" x14ac:dyDescent="0.25">
      <c r="D1698" s="36" t="str" cm="1">
        <f t="array" aca="1" ref="D1698" ca="1">IFERROR(IF(INDIRECT("'"&amp;F1698&amp;"'!$C$5")&gt;0,DATE(YEAR(Dashboard!$AL$2),Dashboard!$AU$4,INDIRECT("'"&amp;F1698&amp;"'!$C$5")),""),"")</f>
        <v/>
      </c>
      <c r="G1698" s="38" t="str" cm="1">
        <f t="array" aca="1" ref="G1698" ca="1">IF(F1698="",
    "",
    IFERROR(
        IF(INDIRECT("'"&amp;F1698&amp;"'!$B$2")="Credit Limit",
            "Credit Accounts",
            IF(INDIRECT("'"&amp;F1698&amp;"'!$E$2")="Location",
                "Cash Accounts",
                IF(INDIRECT("'"&amp;F1698&amp;"'!$B$2")="Amount",
                    "Investments",
                    "Bill Accounts"
                )
            )
        ),
    "")
)</f>
        <v/>
      </c>
      <c r="I1698" s="46" t="str" cm="1">
        <f t="array" aca="1" ref="I1698" ca="1">IF(F1698&lt;&gt;"",IF(OR(G1698="Bill Accounts",G1698="Investments", G1698="Cash Accounts"),INDIRECT("'"&amp;F1698&amp;"'!$C$10"),INDIRECT("'"&amp;F1698&amp;"'!$C$8")),"")</f>
        <v/>
      </c>
      <c r="K1698" s="48">
        <f t="shared" si="81"/>
        <v>1704</v>
      </c>
      <c r="L1698" s="114" t="str" cm="1">
        <f t="array" aca="1" ref="L1698" ca="1">IF(F1698&lt;&gt;"",INDIRECT("'"&amp;F1698&amp;"'!$F$17"),"")</f>
        <v/>
      </c>
      <c r="M1698" s="116" t="str">
        <f t="shared" ca="1" si="79"/>
        <v/>
      </c>
      <c r="O1698" s="49" t="str">
        <f t="shared" ca="1" si="80"/>
        <v/>
      </c>
      <c r="P1698" s="38" t="str">
        <f>IF(E1698&lt;&gt;"",RANK(E1698,$E$3:$E$2298)+COUNTIF($E$3:E1698,E1698)-1,"")</f>
        <v/>
      </c>
    </row>
    <row r="1699" spans="4:16" x14ac:dyDescent="0.25">
      <c r="D1699" s="36" t="str" cm="1">
        <f t="array" aca="1" ref="D1699" ca="1">IFERROR(IF(INDIRECT("'"&amp;F1699&amp;"'!$C$5")&gt;0,DATE(YEAR(Dashboard!$AL$2),Dashboard!$AU$4,INDIRECT("'"&amp;F1699&amp;"'!$C$5")),""),"")</f>
        <v/>
      </c>
      <c r="G1699" s="38" t="str" cm="1">
        <f t="array" aca="1" ref="G1699" ca="1">IF(F1699="",
    "",
    IFERROR(
        IF(INDIRECT("'"&amp;F1699&amp;"'!$B$2")="Credit Limit",
            "Credit Accounts",
            IF(INDIRECT("'"&amp;F1699&amp;"'!$E$2")="Location",
                "Cash Accounts",
                IF(INDIRECT("'"&amp;F1699&amp;"'!$B$2")="Amount",
                    "Investments",
                    "Bill Accounts"
                )
            )
        ),
    "")
)</f>
        <v/>
      </c>
      <c r="I1699" s="46" t="str" cm="1">
        <f t="array" aca="1" ref="I1699" ca="1">IF(F1699&lt;&gt;"",IF(OR(G1699="Bill Accounts",G1699="Investments", G1699="Cash Accounts"),INDIRECT("'"&amp;F1699&amp;"'!$C$10"),INDIRECT("'"&amp;F1699&amp;"'!$C$8")),"")</f>
        <v/>
      </c>
      <c r="K1699" s="48">
        <f t="shared" si="81"/>
        <v>1705</v>
      </c>
      <c r="L1699" s="114" t="str" cm="1">
        <f t="array" aca="1" ref="L1699" ca="1">IF(F1699&lt;&gt;"",INDIRECT("'"&amp;F1699&amp;"'!$F$17"),"")</f>
        <v/>
      </c>
      <c r="M1699" s="116" t="str">
        <f t="shared" ca="1" si="79"/>
        <v/>
      </c>
      <c r="O1699" s="49" t="str">
        <f t="shared" ca="1" si="80"/>
        <v/>
      </c>
      <c r="P1699" s="38" t="str">
        <f>IF(E1699&lt;&gt;"",RANK(E1699,$E$3:$E$2298)+COUNTIF($E$3:E1699,E1699)-1,"")</f>
        <v/>
      </c>
    </row>
    <row r="1700" spans="4:16" x14ac:dyDescent="0.25">
      <c r="D1700" s="36" t="str" cm="1">
        <f t="array" aca="1" ref="D1700" ca="1">IFERROR(IF(INDIRECT("'"&amp;F1700&amp;"'!$C$5")&gt;0,DATE(YEAR(Dashboard!$AL$2),Dashboard!$AU$4,INDIRECT("'"&amp;F1700&amp;"'!$C$5")),""),"")</f>
        <v/>
      </c>
      <c r="G1700" s="38" t="str" cm="1">
        <f t="array" aca="1" ref="G1700" ca="1">IF(F1700="",
    "",
    IFERROR(
        IF(INDIRECT("'"&amp;F1700&amp;"'!$B$2")="Credit Limit",
            "Credit Accounts",
            IF(INDIRECT("'"&amp;F1700&amp;"'!$E$2")="Location",
                "Cash Accounts",
                IF(INDIRECT("'"&amp;F1700&amp;"'!$B$2")="Amount",
                    "Investments",
                    "Bill Accounts"
                )
            )
        ),
    "")
)</f>
        <v/>
      </c>
      <c r="I1700" s="46" t="str" cm="1">
        <f t="array" aca="1" ref="I1700" ca="1">IF(F1700&lt;&gt;"",IF(OR(G1700="Bill Accounts",G1700="Investments", G1700="Cash Accounts"),INDIRECT("'"&amp;F1700&amp;"'!$C$10"),INDIRECT("'"&amp;F1700&amp;"'!$C$8")),"")</f>
        <v/>
      </c>
      <c r="K1700" s="48">
        <f t="shared" si="81"/>
        <v>1706</v>
      </c>
      <c r="L1700" s="114" t="str" cm="1">
        <f t="array" aca="1" ref="L1700" ca="1">IF(F1700&lt;&gt;"",INDIRECT("'"&amp;F1700&amp;"'!$F$17"),"")</f>
        <v/>
      </c>
      <c r="M1700" s="116" t="str">
        <f t="shared" ca="1" si="79"/>
        <v/>
      </c>
      <c r="O1700" s="49" t="str">
        <f t="shared" ca="1" si="80"/>
        <v/>
      </c>
      <c r="P1700" s="38" t="str">
        <f>IF(E1700&lt;&gt;"",RANK(E1700,$E$3:$E$2298)+COUNTIF($E$3:E1700,E1700)-1,"")</f>
        <v/>
      </c>
    </row>
    <row r="1701" spans="4:16" x14ac:dyDescent="0.25">
      <c r="D1701" s="36" t="str" cm="1">
        <f t="array" aca="1" ref="D1701" ca="1">IFERROR(IF(INDIRECT("'"&amp;F1701&amp;"'!$C$5")&gt;0,DATE(YEAR(Dashboard!$AL$2),Dashboard!$AU$4,INDIRECT("'"&amp;F1701&amp;"'!$C$5")),""),"")</f>
        <v/>
      </c>
      <c r="G1701" s="38" t="str" cm="1">
        <f t="array" aca="1" ref="G1701" ca="1">IF(F1701="",
    "",
    IFERROR(
        IF(INDIRECT("'"&amp;F1701&amp;"'!$B$2")="Credit Limit",
            "Credit Accounts",
            IF(INDIRECT("'"&amp;F1701&amp;"'!$E$2")="Location",
                "Cash Accounts",
                IF(INDIRECT("'"&amp;F1701&amp;"'!$B$2")="Amount",
                    "Investments",
                    "Bill Accounts"
                )
            )
        ),
    "")
)</f>
        <v/>
      </c>
      <c r="I1701" s="46" t="str" cm="1">
        <f t="array" aca="1" ref="I1701" ca="1">IF(F1701&lt;&gt;"",IF(OR(G1701="Bill Accounts",G1701="Investments", G1701="Cash Accounts"),INDIRECT("'"&amp;F1701&amp;"'!$C$10"),INDIRECT("'"&amp;F1701&amp;"'!$C$8")),"")</f>
        <v/>
      </c>
      <c r="K1701" s="48">
        <f t="shared" si="81"/>
        <v>1707</v>
      </c>
      <c r="L1701" s="114" t="str" cm="1">
        <f t="array" aca="1" ref="L1701" ca="1">IF(F1701&lt;&gt;"",INDIRECT("'"&amp;F1701&amp;"'!$F$17"),"")</f>
        <v/>
      </c>
      <c r="M1701" s="116" t="str">
        <f t="shared" ca="1" si="79"/>
        <v/>
      </c>
      <c r="O1701" s="49" t="str">
        <f t="shared" ca="1" si="80"/>
        <v/>
      </c>
      <c r="P1701" s="38" t="str">
        <f>IF(E1701&lt;&gt;"",RANK(E1701,$E$3:$E$2298)+COUNTIF($E$3:E1701,E1701)-1,"")</f>
        <v/>
      </c>
    </row>
    <row r="1702" spans="4:16" x14ac:dyDescent="0.25">
      <c r="D1702" s="36" t="str" cm="1">
        <f t="array" aca="1" ref="D1702" ca="1">IFERROR(IF(INDIRECT("'"&amp;F1702&amp;"'!$C$5")&gt;0,DATE(YEAR(Dashboard!$AL$2),Dashboard!$AU$4,INDIRECT("'"&amp;F1702&amp;"'!$C$5")),""),"")</f>
        <v/>
      </c>
      <c r="G1702" s="38" t="str" cm="1">
        <f t="array" aca="1" ref="G1702" ca="1">IF(F1702="",
    "",
    IFERROR(
        IF(INDIRECT("'"&amp;F1702&amp;"'!$B$2")="Credit Limit",
            "Credit Accounts",
            IF(INDIRECT("'"&amp;F1702&amp;"'!$E$2")="Location",
                "Cash Accounts",
                IF(INDIRECT("'"&amp;F1702&amp;"'!$B$2")="Amount",
                    "Investments",
                    "Bill Accounts"
                )
            )
        ),
    "")
)</f>
        <v/>
      </c>
      <c r="I1702" s="46" t="str" cm="1">
        <f t="array" aca="1" ref="I1702" ca="1">IF(F1702&lt;&gt;"",IF(OR(G1702="Bill Accounts",G1702="Investments", G1702="Cash Accounts"),INDIRECT("'"&amp;F1702&amp;"'!$C$10"),INDIRECT("'"&amp;F1702&amp;"'!$C$8")),"")</f>
        <v/>
      </c>
      <c r="K1702" s="48">
        <f t="shared" si="81"/>
        <v>1708</v>
      </c>
      <c r="L1702" s="114" t="str" cm="1">
        <f t="array" aca="1" ref="L1702" ca="1">IF(F1702&lt;&gt;"",INDIRECT("'"&amp;F1702&amp;"'!$F$17"),"")</f>
        <v/>
      </c>
      <c r="M1702" s="116" t="str">
        <f t="shared" ca="1" si="79"/>
        <v/>
      </c>
      <c r="O1702" s="49" t="str">
        <f t="shared" ca="1" si="80"/>
        <v/>
      </c>
      <c r="P1702" s="38" t="str">
        <f>IF(E1702&lt;&gt;"",RANK(E1702,$E$3:$E$2298)+COUNTIF($E$3:E1702,E1702)-1,"")</f>
        <v/>
      </c>
    </row>
    <row r="1703" spans="4:16" x14ac:dyDescent="0.25">
      <c r="D1703" s="36" t="str" cm="1">
        <f t="array" aca="1" ref="D1703" ca="1">IFERROR(IF(INDIRECT("'"&amp;F1703&amp;"'!$C$5")&gt;0,DATE(YEAR(Dashboard!$AL$2),Dashboard!$AU$4,INDIRECT("'"&amp;F1703&amp;"'!$C$5")),""),"")</f>
        <v/>
      </c>
      <c r="G1703" s="38" t="str" cm="1">
        <f t="array" aca="1" ref="G1703" ca="1">IF(F1703="",
    "",
    IFERROR(
        IF(INDIRECT("'"&amp;F1703&amp;"'!$B$2")="Credit Limit",
            "Credit Accounts",
            IF(INDIRECT("'"&amp;F1703&amp;"'!$E$2")="Location",
                "Cash Accounts",
                IF(INDIRECT("'"&amp;F1703&amp;"'!$B$2")="Amount",
                    "Investments",
                    "Bill Accounts"
                )
            )
        ),
    "")
)</f>
        <v/>
      </c>
      <c r="I1703" s="46" t="str" cm="1">
        <f t="array" aca="1" ref="I1703" ca="1">IF(F1703&lt;&gt;"",IF(OR(G1703="Bill Accounts",G1703="Investments", G1703="Cash Accounts"),INDIRECT("'"&amp;F1703&amp;"'!$C$10"),INDIRECT("'"&amp;F1703&amp;"'!$C$8")),"")</f>
        <v/>
      </c>
      <c r="K1703" s="48">
        <f t="shared" si="81"/>
        <v>1709</v>
      </c>
      <c r="L1703" s="114" t="str" cm="1">
        <f t="array" aca="1" ref="L1703" ca="1">IF(F1703&lt;&gt;"",INDIRECT("'"&amp;F1703&amp;"'!$F$17"),"")</f>
        <v/>
      </c>
      <c r="M1703" s="116" t="str">
        <f t="shared" ca="1" si="79"/>
        <v/>
      </c>
      <c r="O1703" s="49" t="str">
        <f t="shared" ca="1" si="80"/>
        <v/>
      </c>
      <c r="P1703" s="38" t="str">
        <f>IF(E1703&lt;&gt;"",RANK(E1703,$E$3:$E$2298)+COUNTIF($E$3:E1703,E1703)-1,"")</f>
        <v/>
      </c>
    </row>
    <row r="1704" spans="4:16" x14ac:dyDescent="0.25">
      <c r="D1704" s="36" t="str" cm="1">
        <f t="array" aca="1" ref="D1704" ca="1">IFERROR(IF(INDIRECT("'"&amp;F1704&amp;"'!$C$5")&gt;0,DATE(YEAR(Dashboard!$AL$2),Dashboard!$AU$4,INDIRECT("'"&amp;F1704&amp;"'!$C$5")),""),"")</f>
        <v/>
      </c>
      <c r="G1704" s="38" t="str" cm="1">
        <f t="array" aca="1" ref="G1704" ca="1">IF(F1704="",
    "",
    IFERROR(
        IF(INDIRECT("'"&amp;F1704&amp;"'!$B$2")="Credit Limit",
            "Credit Accounts",
            IF(INDIRECT("'"&amp;F1704&amp;"'!$E$2")="Location",
                "Cash Accounts",
                IF(INDIRECT("'"&amp;F1704&amp;"'!$B$2")="Amount",
                    "Investments",
                    "Bill Accounts"
                )
            )
        ),
    "")
)</f>
        <v/>
      </c>
      <c r="I1704" s="46" t="str" cm="1">
        <f t="array" aca="1" ref="I1704" ca="1">IF(F1704&lt;&gt;"",IF(OR(G1704="Bill Accounts",G1704="Investments", G1704="Cash Accounts"),INDIRECT("'"&amp;F1704&amp;"'!$C$10"),INDIRECT("'"&amp;F1704&amp;"'!$C$8")),"")</f>
        <v/>
      </c>
      <c r="K1704" s="48">
        <f t="shared" si="81"/>
        <v>1710</v>
      </c>
      <c r="L1704" s="114" t="str" cm="1">
        <f t="array" aca="1" ref="L1704" ca="1">IF(F1704&lt;&gt;"",INDIRECT("'"&amp;F1704&amp;"'!$F$17"),"")</f>
        <v/>
      </c>
      <c r="M1704" s="116" t="str">
        <f t="shared" ca="1" si="79"/>
        <v/>
      </c>
      <c r="O1704" s="49" t="str">
        <f t="shared" ca="1" si="80"/>
        <v/>
      </c>
      <c r="P1704" s="38" t="str">
        <f>IF(E1704&lt;&gt;"",RANK(E1704,$E$3:$E$2298)+COUNTIF($E$3:E1704,E1704)-1,"")</f>
        <v/>
      </c>
    </row>
    <row r="1705" spans="4:16" x14ac:dyDescent="0.25">
      <c r="D1705" s="36" t="str" cm="1">
        <f t="array" aca="1" ref="D1705" ca="1">IFERROR(IF(INDIRECT("'"&amp;F1705&amp;"'!$C$5")&gt;0,DATE(YEAR(Dashboard!$AL$2),Dashboard!$AU$4,INDIRECT("'"&amp;F1705&amp;"'!$C$5")),""),"")</f>
        <v/>
      </c>
      <c r="G1705" s="38" t="str" cm="1">
        <f t="array" aca="1" ref="G1705" ca="1">IF(F1705="",
    "",
    IFERROR(
        IF(INDIRECT("'"&amp;F1705&amp;"'!$B$2")="Credit Limit",
            "Credit Accounts",
            IF(INDIRECT("'"&amp;F1705&amp;"'!$E$2")="Location",
                "Cash Accounts",
                IF(INDIRECT("'"&amp;F1705&amp;"'!$B$2")="Amount",
                    "Investments",
                    "Bill Accounts"
                )
            )
        ),
    "")
)</f>
        <v/>
      </c>
      <c r="I1705" s="46" t="str" cm="1">
        <f t="array" aca="1" ref="I1705" ca="1">IF(F1705&lt;&gt;"",IF(OR(G1705="Bill Accounts",G1705="Investments", G1705="Cash Accounts"),INDIRECT("'"&amp;F1705&amp;"'!$C$10"),INDIRECT("'"&amp;F1705&amp;"'!$C$8")),"")</f>
        <v/>
      </c>
      <c r="K1705" s="48">
        <f t="shared" si="81"/>
        <v>1711</v>
      </c>
      <c r="L1705" s="114" t="str" cm="1">
        <f t="array" aca="1" ref="L1705" ca="1">IF(F1705&lt;&gt;"",INDIRECT("'"&amp;F1705&amp;"'!$F$17"),"")</f>
        <v/>
      </c>
      <c r="M1705" s="116" t="str">
        <f t="shared" ca="1" si="79"/>
        <v/>
      </c>
      <c r="O1705" s="49" t="str">
        <f t="shared" ca="1" si="80"/>
        <v/>
      </c>
      <c r="P1705" s="38" t="str">
        <f>IF(E1705&lt;&gt;"",RANK(E1705,$E$3:$E$2298)+COUNTIF($E$3:E1705,E1705)-1,"")</f>
        <v/>
      </c>
    </row>
    <row r="1706" spans="4:16" x14ac:dyDescent="0.25">
      <c r="D1706" s="36" t="str" cm="1">
        <f t="array" aca="1" ref="D1706" ca="1">IFERROR(IF(INDIRECT("'"&amp;F1706&amp;"'!$C$5")&gt;0,DATE(YEAR(Dashboard!$AL$2),Dashboard!$AU$4,INDIRECT("'"&amp;F1706&amp;"'!$C$5")),""),"")</f>
        <v/>
      </c>
      <c r="G1706" s="38" t="str" cm="1">
        <f t="array" aca="1" ref="G1706" ca="1">IF(F1706="",
    "",
    IFERROR(
        IF(INDIRECT("'"&amp;F1706&amp;"'!$B$2")="Credit Limit",
            "Credit Accounts",
            IF(INDIRECT("'"&amp;F1706&amp;"'!$E$2")="Location",
                "Cash Accounts",
                IF(INDIRECT("'"&amp;F1706&amp;"'!$B$2")="Amount",
                    "Investments",
                    "Bill Accounts"
                )
            )
        ),
    "")
)</f>
        <v/>
      </c>
      <c r="I1706" s="46" t="str" cm="1">
        <f t="array" aca="1" ref="I1706" ca="1">IF(F1706&lt;&gt;"",IF(OR(G1706="Bill Accounts",G1706="Investments", G1706="Cash Accounts"),INDIRECT("'"&amp;F1706&amp;"'!$C$10"),INDIRECT("'"&amp;F1706&amp;"'!$C$8")),"")</f>
        <v/>
      </c>
      <c r="K1706" s="48">
        <f t="shared" si="81"/>
        <v>1712</v>
      </c>
      <c r="L1706" s="114" t="str" cm="1">
        <f t="array" aca="1" ref="L1706" ca="1">IF(F1706&lt;&gt;"",INDIRECT("'"&amp;F1706&amp;"'!$F$17"),"")</f>
        <v/>
      </c>
      <c r="M1706" s="116" t="str">
        <f t="shared" ca="1" si="79"/>
        <v/>
      </c>
      <c r="O1706" s="49" t="str">
        <f t="shared" ca="1" si="80"/>
        <v/>
      </c>
      <c r="P1706" s="38" t="str">
        <f>IF(E1706&lt;&gt;"",RANK(E1706,$E$3:$E$2298)+COUNTIF($E$3:E1706,E1706)-1,"")</f>
        <v/>
      </c>
    </row>
    <row r="1707" spans="4:16" x14ac:dyDescent="0.25">
      <c r="D1707" s="36" t="str" cm="1">
        <f t="array" aca="1" ref="D1707" ca="1">IFERROR(IF(INDIRECT("'"&amp;F1707&amp;"'!$C$5")&gt;0,DATE(YEAR(Dashboard!$AL$2),Dashboard!$AU$4,INDIRECT("'"&amp;F1707&amp;"'!$C$5")),""),"")</f>
        <v/>
      </c>
      <c r="G1707" s="38" t="str" cm="1">
        <f t="array" aca="1" ref="G1707" ca="1">IF(F1707="",
    "",
    IFERROR(
        IF(INDIRECT("'"&amp;F1707&amp;"'!$B$2")="Credit Limit",
            "Credit Accounts",
            IF(INDIRECT("'"&amp;F1707&amp;"'!$E$2")="Location",
                "Cash Accounts",
                IF(INDIRECT("'"&amp;F1707&amp;"'!$B$2")="Amount",
                    "Investments",
                    "Bill Accounts"
                )
            )
        ),
    "")
)</f>
        <v/>
      </c>
      <c r="I1707" s="46" t="str" cm="1">
        <f t="array" aca="1" ref="I1707" ca="1">IF(F1707&lt;&gt;"",IF(OR(G1707="Bill Accounts",G1707="Investments", G1707="Cash Accounts"),INDIRECT("'"&amp;F1707&amp;"'!$C$10"),INDIRECT("'"&amp;F1707&amp;"'!$C$8")),"")</f>
        <v/>
      </c>
      <c r="K1707" s="48">
        <f t="shared" si="81"/>
        <v>1713</v>
      </c>
      <c r="L1707" s="114" t="str" cm="1">
        <f t="array" aca="1" ref="L1707" ca="1">IF(F1707&lt;&gt;"",INDIRECT("'"&amp;F1707&amp;"'!$F$17"),"")</f>
        <v/>
      </c>
      <c r="M1707" s="116" t="str">
        <f t="shared" ca="1" si="79"/>
        <v/>
      </c>
      <c r="O1707" s="49" t="str">
        <f t="shared" ca="1" si="80"/>
        <v/>
      </c>
      <c r="P1707" s="38" t="str">
        <f>IF(E1707&lt;&gt;"",RANK(E1707,$E$3:$E$2298)+COUNTIF($E$3:E1707,E1707)-1,"")</f>
        <v/>
      </c>
    </row>
    <row r="1708" spans="4:16" x14ac:dyDescent="0.25">
      <c r="D1708" s="36" t="str" cm="1">
        <f t="array" aca="1" ref="D1708" ca="1">IFERROR(IF(INDIRECT("'"&amp;F1708&amp;"'!$C$5")&gt;0,DATE(YEAR(Dashboard!$AL$2),Dashboard!$AU$4,INDIRECT("'"&amp;F1708&amp;"'!$C$5")),""),"")</f>
        <v/>
      </c>
      <c r="G1708" s="38" t="str" cm="1">
        <f t="array" aca="1" ref="G1708" ca="1">IF(F1708="",
    "",
    IFERROR(
        IF(INDIRECT("'"&amp;F1708&amp;"'!$B$2")="Credit Limit",
            "Credit Accounts",
            IF(INDIRECT("'"&amp;F1708&amp;"'!$E$2")="Location",
                "Cash Accounts",
                IF(INDIRECT("'"&amp;F1708&amp;"'!$B$2")="Amount",
                    "Investments",
                    "Bill Accounts"
                )
            )
        ),
    "")
)</f>
        <v/>
      </c>
      <c r="I1708" s="46" t="str" cm="1">
        <f t="array" aca="1" ref="I1708" ca="1">IF(F1708&lt;&gt;"",IF(OR(G1708="Bill Accounts",G1708="Investments", G1708="Cash Accounts"),INDIRECT("'"&amp;F1708&amp;"'!$C$10"),INDIRECT("'"&amp;F1708&amp;"'!$C$8")),"")</f>
        <v/>
      </c>
      <c r="K1708" s="48">
        <f t="shared" si="81"/>
        <v>1714</v>
      </c>
      <c r="L1708" s="114" t="str" cm="1">
        <f t="array" aca="1" ref="L1708" ca="1">IF(F1708&lt;&gt;"",INDIRECT("'"&amp;F1708&amp;"'!$F$17"),"")</f>
        <v/>
      </c>
      <c r="M1708" s="116" t="str">
        <f t="shared" ca="1" si="79"/>
        <v/>
      </c>
      <c r="O1708" s="49" t="str">
        <f t="shared" ca="1" si="80"/>
        <v/>
      </c>
      <c r="P1708" s="38" t="str">
        <f>IF(E1708&lt;&gt;"",RANK(E1708,$E$3:$E$2298)+COUNTIF($E$3:E1708,E1708)-1,"")</f>
        <v/>
      </c>
    </row>
    <row r="1709" spans="4:16" x14ac:dyDescent="0.25">
      <c r="D1709" s="36" t="str" cm="1">
        <f t="array" aca="1" ref="D1709" ca="1">IFERROR(IF(INDIRECT("'"&amp;F1709&amp;"'!$C$5")&gt;0,DATE(YEAR(Dashboard!$AL$2),Dashboard!$AU$4,INDIRECT("'"&amp;F1709&amp;"'!$C$5")),""),"")</f>
        <v/>
      </c>
      <c r="G1709" s="38" t="str" cm="1">
        <f t="array" aca="1" ref="G1709" ca="1">IF(F1709="",
    "",
    IFERROR(
        IF(INDIRECT("'"&amp;F1709&amp;"'!$B$2")="Credit Limit",
            "Credit Accounts",
            IF(INDIRECT("'"&amp;F1709&amp;"'!$E$2")="Location",
                "Cash Accounts",
                IF(INDIRECT("'"&amp;F1709&amp;"'!$B$2")="Amount",
                    "Investments",
                    "Bill Accounts"
                )
            )
        ),
    "")
)</f>
        <v/>
      </c>
      <c r="I1709" s="46" t="str" cm="1">
        <f t="array" aca="1" ref="I1709" ca="1">IF(F1709&lt;&gt;"",IF(OR(G1709="Bill Accounts",G1709="Investments", G1709="Cash Accounts"),INDIRECT("'"&amp;F1709&amp;"'!$C$10"),INDIRECT("'"&amp;F1709&amp;"'!$C$8")),"")</f>
        <v/>
      </c>
      <c r="K1709" s="48">
        <f t="shared" si="81"/>
        <v>1715</v>
      </c>
      <c r="L1709" s="114" t="str" cm="1">
        <f t="array" aca="1" ref="L1709" ca="1">IF(F1709&lt;&gt;"",INDIRECT("'"&amp;F1709&amp;"'!$F$17"),"")</f>
        <v/>
      </c>
      <c r="M1709" s="116" t="str">
        <f t="shared" ca="1" si="79"/>
        <v/>
      </c>
      <c r="O1709" s="49" t="str">
        <f t="shared" ca="1" si="80"/>
        <v/>
      </c>
      <c r="P1709" s="38" t="str">
        <f>IF(E1709&lt;&gt;"",RANK(E1709,$E$3:$E$2298)+COUNTIF($E$3:E1709,E1709)-1,"")</f>
        <v/>
      </c>
    </row>
    <row r="1710" spans="4:16" x14ac:dyDescent="0.25">
      <c r="D1710" s="36" t="str" cm="1">
        <f t="array" aca="1" ref="D1710" ca="1">IFERROR(IF(INDIRECT("'"&amp;F1710&amp;"'!$C$5")&gt;0,DATE(YEAR(Dashboard!$AL$2),Dashboard!$AU$4,INDIRECT("'"&amp;F1710&amp;"'!$C$5")),""),"")</f>
        <v/>
      </c>
      <c r="G1710" s="38" t="str" cm="1">
        <f t="array" aca="1" ref="G1710" ca="1">IF(F1710="",
    "",
    IFERROR(
        IF(INDIRECT("'"&amp;F1710&amp;"'!$B$2")="Credit Limit",
            "Credit Accounts",
            IF(INDIRECT("'"&amp;F1710&amp;"'!$E$2")="Location",
                "Cash Accounts",
                IF(INDIRECT("'"&amp;F1710&amp;"'!$B$2")="Amount",
                    "Investments",
                    "Bill Accounts"
                )
            )
        ),
    "")
)</f>
        <v/>
      </c>
      <c r="I1710" s="46" t="str" cm="1">
        <f t="array" aca="1" ref="I1710" ca="1">IF(F1710&lt;&gt;"",IF(OR(G1710="Bill Accounts",G1710="Investments", G1710="Cash Accounts"),INDIRECT("'"&amp;F1710&amp;"'!$C$10"),INDIRECT("'"&amp;F1710&amp;"'!$C$8")),"")</f>
        <v/>
      </c>
      <c r="K1710" s="48">
        <f t="shared" si="81"/>
        <v>1716</v>
      </c>
      <c r="L1710" s="114" t="str" cm="1">
        <f t="array" aca="1" ref="L1710" ca="1">IF(F1710&lt;&gt;"",INDIRECT("'"&amp;F1710&amp;"'!$F$17"),"")</f>
        <v/>
      </c>
      <c r="M1710" s="116" t="str">
        <f t="shared" ca="1" si="79"/>
        <v/>
      </c>
      <c r="O1710" s="49" t="str">
        <f t="shared" ca="1" si="80"/>
        <v/>
      </c>
      <c r="P1710" s="38" t="str">
        <f>IF(E1710&lt;&gt;"",RANK(E1710,$E$3:$E$2298)+COUNTIF($E$3:E1710,E1710)-1,"")</f>
        <v/>
      </c>
    </row>
    <row r="1711" spans="4:16" x14ac:dyDescent="0.25">
      <c r="D1711" s="36" t="str" cm="1">
        <f t="array" aca="1" ref="D1711" ca="1">IFERROR(IF(INDIRECT("'"&amp;F1711&amp;"'!$C$5")&gt;0,DATE(YEAR(Dashboard!$AL$2),Dashboard!$AU$4,INDIRECT("'"&amp;F1711&amp;"'!$C$5")),""),"")</f>
        <v/>
      </c>
      <c r="G1711" s="38" t="str" cm="1">
        <f t="array" aca="1" ref="G1711" ca="1">IF(F1711="",
    "",
    IFERROR(
        IF(INDIRECT("'"&amp;F1711&amp;"'!$B$2")="Credit Limit",
            "Credit Accounts",
            IF(INDIRECT("'"&amp;F1711&amp;"'!$E$2")="Location",
                "Cash Accounts",
                IF(INDIRECT("'"&amp;F1711&amp;"'!$B$2")="Amount",
                    "Investments",
                    "Bill Accounts"
                )
            )
        ),
    "")
)</f>
        <v/>
      </c>
      <c r="I1711" s="46" t="str" cm="1">
        <f t="array" aca="1" ref="I1711" ca="1">IF(F1711&lt;&gt;"",IF(OR(G1711="Bill Accounts",G1711="Investments", G1711="Cash Accounts"),INDIRECT("'"&amp;F1711&amp;"'!$C$10"),INDIRECT("'"&amp;F1711&amp;"'!$C$8")),"")</f>
        <v/>
      </c>
      <c r="K1711" s="48">
        <f t="shared" si="81"/>
        <v>1717</v>
      </c>
      <c r="L1711" s="114" t="str" cm="1">
        <f t="array" aca="1" ref="L1711" ca="1">IF(F1711&lt;&gt;"",INDIRECT("'"&amp;F1711&amp;"'!$F$17"),"")</f>
        <v/>
      </c>
      <c r="M1711" s="116" t="str">
        <f t="shared" ca="1" si="79"/>
        <v/>
      </c>
      <c r="O1711" s="49" t="str">
        <f t="shared" ca="1" si="80"/>
        <v/>
      </c>
      <c r="P1711" s="38" t="str">
        <f>IF(E1711&lt;&gt;"",RANK(E1711,$E$3:$E$2298)+COUNTIF($E$3:E1711,E1711)-1,"")</f>
        <v/>
      </c>
    </row>
    <row r="1712" spans="4:16" x14ac:dyDescent="0.25">
      <c r="D1712" s="36" t="str" cm="1">
        <f t="array" aca="1" ref="D1712" ca="1">IFERROR(IF(INDIRECT("'"&amp;F1712&amp;"'!$C$5")&gt;0,DATE(YEAR(Dashboard!$AL$2),Dashboard!$AU$4,INDIRECT("'"&amp;F1712&amp;"'!$C$5")),""),"")</f>
        <v/>
      </c>
      <c r="G1712" s="38" t="str" cm="1">
        <f t="array" aca="1" ref="G1712" ca="1">IF(F1712="",
    "",
    IFERROR(
        IF(INDIRECT("'"&amp;F1712&amp;"'!$B$2")="Credit Limit",
            "Credit Accounts",
            IF(INDIRECT("'"&amp;F1712&amp;"'!$E$2")="Location",
                "Cash Accounts",
                IF(INDIRECT("'"&amp;F1712&amp;"'!$B$2")="Amount",
                    "Investments",
                    "Bill Accounts"
                )
            )
        ),
    "")
)</f>
        <v/>
      </c>
      <c r="I1712" s="46" t="str" cm="1">
        <f t="array" aca="1" ref="I1712" ca="1">IF(F1712&lt;&gt;"",IF(OR(G1712="Bill Accounts",G1712="Investments", G1712="Cash Accounts"),INDIRECT("'"&amp;F1712&amp;"'!$C$10"),INDIRECT("'"&amp;F1712&amp;"'!$C$8")),"")</f>
        <v/>
      </c>
      <c r="K1712" s="48">
        <f t="shared" si="81"/>
        <v>1718</v>
      </c>
      <c r="L1712" s="114" t="str" cm="1">
        <f t="array" aca="1" ref="L1712" ca="1">IF(F1712&lt;&gt;"",INDIRECT("'"&amp;F1712&amp;"'!$F$17"),"")</f>
        <v/>
      </c>
      <c r="M1712" s="116" t="str">
        <f t="shared" ca="1" si="79"/>
        <v/>
      </c>
      <c r="O1712" s="49" t="str">
        <f t="shared" ca="1" si="80"/>
        <v/>
      </c>
      <c r="P1712" s="38" t="str">
        <f>IF(E1712&lt;&gt;"",RANK(E1712,$E$3:$E$2298)+COUNTIF($E$3:E1712,E1712)-1,"")</f>
        <v/>
      </c>
    </row>
    <row r="1713" spans="4:16" x14ac:dyDescent="0.25">
      <c r="D1713" s="36" t="str" cm="1">
        <f t="array" aca="1" ref="D1713" ca="1">IFERROR(IF(INDIRECT("'"&amp;F1713&amp;"'!$C$5")&gt;0,DATE(YEAR(Dashboard!$AL$2),Dashboard!$AU$4,INDIRECT("'"&amp;F1713&amp;"'!$C$5")),""),"")</f>
        <v/>
      </c>
      <c r="G1713" s="38" t="str" cm="1">
        <f t="array" aca="1" ref="G1713" ca="1">IF(F1713="",
    "",
    IFERROR(
        IF(INDIRECT("'"&amp;F1713&amp;"'!$B$2")="Credit Limit",
            "Credit Accounts",
            IF(INDIRECT("'"&amp;F1713&amp;"'!$E$2")="Location",
                "Cash Accounts",
                IF(INDIRECT("'"&amp;F1713&amp;"'!$B$2")="Amount",
                    "Investments",
                    "Bill Accounts"
                )
            )
        ),
    "")
)</f>
        <v/>
      </c>
      <c r="I1713" s="46" t="str" cm="1">
        <f t="array" aca="1" ref="I1713" ca="1">IF(F1713&lt;&gt;"",IF(OR(G1713="Bill Accounts",G1713="Investments", G1713="Cash Accounts"),INDIRECT("'"&amp;F1713&amp;"'!$C$10"),INDIRECT("'"&amp;F1713&amp;"'!$C$8")),"")</f>
        <v/>
      </c>
      <c r="K1713" s="48">
        <f t="shared" si="81"/>
        <v>1719</v>
      </c>
      <c r="L1713" s="114" t="str" cm="1">
        <f t="array" aca="1" ref="L1713" ca="1">IF(F1713&lt;&gt;"",INDIRECT("'"&amp;F1713&amp;"'!$F$17"),"")</f>
        <v/>
      </c>
      <c r="M1713" s="116" t="str">
        <f t="shared" ca="1" si="79"/>
        <v/>
      </c>
      <c r="O1713" s="49" t="str">
        <f t="shared" ca="1" si="80"/>
        <v/>
      </c>
      <c r="P1713" s="38" t="str">
        <f>IF(E1713&lt;&gt;"",RANK(E1713,$E$3:$E$2298)+COUNTIF($E$3:E1713,E1713)-1,"")</f>
        <v/>
      </c>
    </row>
    <row r="1714" spans="4:16" x14ac:dyDescent="0.25">
      <c r="D1714" s="36" t="str" cm="1">
        <f t="array" aca="1" ref="D1714" ca="1">IFERROR(IF(INDIRECT("'"&amp;F1714&amp;"'!$C$5")&gt;0,DATE(YEAR(Dashboard!$AL$2),Dashboard!$AU$4,INDIRECT("'"&amp;F1714&amp;"'!$C$5")),""),"")</f>
        <v/>
      </c>
      <c r="G1714" s="38" t="str" cm="1">
        <f t="array" aca="1" ref="G1714" ca="1">IF(F1714="",
    "",
    IFERROR(
        IF(INDIRECT("'"&amp;F1714&amp;"'!$B$2")="Credit Limit",
            "Credit Accounts",
            IF(INDIRECT("'"&amp;F1714&amp;"'!$E$2")="Location",
                "Cash Accounts",
                IF(INDIRECT("'"&amp;F1714&amp;"'!$B$2")="Amount",
                    "Investments",
                    "Bill Accounts"
                )
            )
        ),
    "")
)</f>
        <v/>
      </c>
      <c r="I1714" s="46" t="str" cm="1">
        <f t="array" aca="1" ref="I1714" ca="1">IF(F1714&lt;&gt;"",IF(OR(G1714="Bill Accounts",G1714="Investments", G1714="Cash Accounts"),INDIRECT("'"&amp;F1714&amp;"'!$C$10"),INDIRECT("'"&amp;F1714&amp;"'!$C$8")),"")</f>
        <v/>
      </c>
      <c r="K1714" s="48">
        <f t="shared" si="81"/>
        <v>1720</v>
      </c>
      <c r="L1714" s="114" t="str" cm="1">
        <f t="array" aca="1" ref="L1714" ca="1">IF(F1714&lt;&gt;"",INDIRECT("'"&amp;F1714&amp;"'!$F$17"),"")</f>
        <v/>
      </c>
      <c r="M1714" s="116" t="str">
        <f t="shared" ca="1" si="79"/>
        <v/>
      </c>
      <c r="O1714" s="49" t="str">
        <f t="shared" ca="1" si="80"/>
        <v/>
      </c>
      <c r="P1714" s="38" t="str">
        <f>IF(E1714&lt;&gt;"",RANK(E1714,$E$3:$E$2298)+COUNTIF($E$3:E1714,E1714)-1,"")</f>
        <v/>
      </c>
    </row>
    <row r="1715" spans="4:16" x14ac:dyDescent="0.25">
      <c r="D1715" s="36" t="str" cm="1">
        <f t="array" aca="1" ref="D1715" ca="1">IFERROR(IF(INDIRECT("'"&amp;F1715&amp;"'!$C$5")&gt;0,DATE(YEAR(Dashboard!$AL$2),Dashboard!$AU$4,INDIRECT("'"&amp;F1715&amp;"'!$C$5")),""),"")</f>
        <v/>
      </c>
      <c r="G1715" s="38" t="str" cm="1">
        <f t="array" aca="1" ref="G1715" ca="1">IF(F1715="",
    "",
    IFERROR(
        IF(INDIRECT("'"&amp;F1715&amp;"'!$B$2")="Credit Limit",
            "Credit Accounts",
            IF(INDIRECT("'"&amp;F1715&amp;"'!$E$2")="Location",
                "Cash Accounts",
                IF(INDIRECT("'"&amp;F1715&amp;"'!$B$2")="Amount",
                    "Investments",
                    "Bill Accounts"
                )
            )
        ),
    "")
)</f>
        <v/>
      </c>
      <c r="I1715" s="46" t="str" cm="1">
        <f t="array" aca="1" ref="I1715" ca="1">IF(F1715&lt;&gt;"",IF(OR(G1715="Bill Accounts",G1715="Investments", G1715="Cash Accounts"),INDIRECT("'"&amp;F1715&amp;"'!$C$10"),INDIRECT("'"&amp;F1715&amp;"'!$C$8")),"")</f>
        <v/>
      </c>
      <c r="K1715" s="48">
        <f t="shared" si="81"/>
        <v>1721</v>
      </c>
      <c r="L1715" s="114" t="str" cm="1">
        <f t="array" aca="1" ref="L1715" ca="1">IF(F1715&lt;&gt;"",INDIRECT("'"&amp;F1715&amp;"'!$F$17"),"")</f>
        <v/>
      </c>
      <c r="M1715" s="116" t="str">
        <f t="shared" ca="1" si="79"/>
        <v/>
      </c>
      <c r="O1715" s="49" t="str">
        <f t="shared" ca="1" si="80"/>
        <v/>
      </c>
      <c r="P1715" s="38" t="str">
        <f>IF(E1715&lt;&gt;"",RANK(E1715,$E$3:$E$2298)+COUNTIF($E$3:E1715,E1715)-1,"")</f>
        <v/>
      </c>
    </row>
    <row r="1716" spans="4:16" x14ac:dyDescent="0.25">
      <c r="D1716" s="36" t="str" cm="1">
        <f t="array" aca="1" ref="D1716" ca="1">IFERROR(IF(INDIRECT("'"&amp;F1716&amp;"'!$C$5")&gt;0,DATE(YEAR(Dashboard!$AL$2),Dashboard!$AU$4,INDIRECT("'"&amp;F1716&amp;"'!$C$5")),""),"")</f>
        <v/>
      </c>
      <c r="G1716" s="38" t="str" cm="1">
        <f t="array" aca="1" ref="G1716" ca="1">IF(F1716="",
    "",
    IFERROR(
        IF(INDIRECT("'"&amp;F1716&amp;"'!$B$2")="Credit Limit",
            "Credit Accounts",
            IF(INDIRECT("'"&amp;F1716&amp;"'!$E$2")="Location",
                "Cash Accounts",
                IF(INDIRECT("'"&amp;F1716&amp;"'!$B$2")="Amount",
                    "Investments",
                    "Bill Accounts"
                )
            )
        ),
    "")
)</f>
        <v/>
      </c>
      <c r="I1716" s="46" t="str" cm="1">
        <f t="array" aca="1" ref="I1716" ca="1">IF(F1716&lt;&gt;"",IF(OR(G1716="Bill Accounts",G1716="Investments", G1716="Cash Accounts"),INDIRECT("'"&amp;F1716&amp;"'!$C$10"),INDIRECT("'"&amp;F1716&amp;"'!$C$8")),"")</f>
        <v/>
      </c>
      <c r="K1716" s="48">
        <f t="shared" si="81"/>
        <v>1722</v>
      </c>
      <c r="L1716" s="114" t="str" cm="1">
        <f t="array" aca="1" ref="L1716" ca="1">IF(F1716&lt;&gt;"",INDIRECT("'"&amp;F1716&amp;"'!$F$17"),"")</f>
        <v/>
      </c>
      <c r="M1716" s="116" t="str">
        <f t="shared" ca="1" si="79"/>
        <v/>
      </c>
      <c r="O1716" s="49" t="str">
        <f t="shared" ca="1" si="80"/>
        <v/>
      </c>
      <c r="P1716" s="38" t="str">
        <f>IF(E1716&lt;&gt;"",RANK(E1716,$E$3:$E$2298)+COUNTIF($E$3:E1716,E1716)-1,"")</f>
        <v/>
      </c>
    </row>
    <row r="1717" spans="4:16" x14ac:dyDescent="0.25">
      <c r="D1717" s="36" t="str" cm="1">
        <f t="array" aca="1" ref="D1717" ca="1">IFERROR(IF(INDIRECT("'"&amp;F1717&amp;"'!$C$5")&gt;0,DATE(YEAR(Dashboard!$AL$2),Dashboard!$AU$4,INDIRECT("'"&amp;F1717&amp;"'!$C$5")),""),"")</f>
        <v/>
      </c>
      <c r="G1717" s="38" t="str" cm="1">
        <f t="array" aca="1" ref="G1717" ca="1">IF(F1717="",
    "",
    IFERROR(
        IF(INDIRECT("'"&amp;F1717&amp;"'!$B$2")="Credit Limit",
            "Credit Accounts",
            IF(INDIRECT("'"&amp;F1717&amp;"'!$E$2")="Location",
                "Cash Accounts",
                IF(INDIRECT("'"&amp;F1717&amp;"'!$B$2")="Amount",
                    "Investments",
                    "Bill Accounts"
                )
            )
        ),
    "")
)</f>
        <v/>
      </c>
      <c r="I1717" s="46" t="str" cm="1">
        <f t="array" aca="1" ref="I1717" ca="1">IF(F1717&lt;&gt;"",IF(OR(G1717="Bill Accounts",G1717="Investments", G1717="Cash Accounts"),INDIRECT("'"&amp;F1717&amp;"'!$C$10"),INDIRECT("'"&amp;F1717&amp;"'!$C$8")),"")</f>
        <v/>
      </c>
      <c r="K1717" s="48">
        <f t="shared" si="81"/>
        <v>1723</v>
      </c>
      <c r="L1717" s="114" t="str" cm="1">
        <f t="array" aca="1" ref="L1717" ca="1">IF(F1717&lt;&gt;"",INDIRECT("'"&amp;F1717&amp;"'!$F$17"),"")</f>
        <v/>
      </c>
      <c r="M1717" s="116" t="str">
        <f t="shared" ca="1" si="79"/>
        <v/>
      </c>
      <c r="O1717" s="49" t="str">
        <f t="shared" ca="1" si="80"/>
        <v/>
      </c>
      <c r="P1717" s="38" t="str">
        <f>IF(E1717&lt;&gt;"",RANK(E1717,$E$3:$E$2298)+COUNTIF($E$3:E1717,E1717)-1,"")</f>
        <v/>
      </c>
    </row>
    <row r="1718" spans="4:16" x14ac:dyDescent="0.25">
      <c r="D1718" s="36" t="str" cm="1">
        <f t="array" aca="1" ref="D1718" ca="1">IFERROR(IF(INDIRECT("'"&amp;F1718&amp;"'!$C$5")&gt;0,DATE(YEAR(Dashboard!$AL$2),Dashboard!$AU$4,INDIRECT("'"&amp;F1718&amp;"'!$C$5")),""),"")</f>
        <v/>
      </c>
      <c r="G1718" s="38" t="str" cm="1">
        <f t="array" aca="1" ref="G1718" ca="1">IF(F1718="",
    "",
    IFERROR(
        IF(INDIRECT("'"&amp;F1718&amp;"'!$B$2")="Credit Limit",
            "Credit Accounts",
            IF(INDIRECT("'"&amp;F1718&amp;"'!$E$2")="Location",
                "Cash Accounts",
                IF(INDIRECT("'"&amp;F1718&amp;"'!$B$2")="Amount",
                    "Investments",
                    "Bill Accounts"
                )
            )
        ),
    "")
)</f>
        <v/>
      </c>
      <c r="I1718" s="46" t="str" cm="1">
        <f t="array" aca="1" ref="I1718" ca="1">IF(F1718&lt;&gt;"",IF(OR(G1718="Bill Accounts",G1718="Investments", G1718="Cash Accounts"),INDIRECT("'"&amp;F1718&amp;"'!$C$10"),INDIRECT("'"&amp;F1718&amp;"'!$C$8")),"")</f>
        <v/>
      </c>
      <c r="K1718" s="48">
        <f t="shared" si="81"/>
        <v>1724</v>
      </c>
      <c r="L1718" s="114" t="str" cm="1">
        <f t="array" aca="1" ref="L1718" ca="1">IF(F1718&lt;&gt;"",INDIRECT("'"&amp;F1718&amp;"'!$F$17"),"")</f>
        <v/>
      </c>
      <c r="M1718" s="116" t="str">
        <f t="shared" ca="1" si="79"/>
        <v/>
      </c>
      <c r="O1718" s="49" t="str">
        <f t="shared" ca="1" si="80"/>
        <v/>
      </c>
      <c r="P1718" s="38" t="str">
        <f>IF(E1718&lt;&gt;"",RANK(E1718,$E$3:$E$2298)+COUNTIF($E$3:E1718,E1718)-1,"")</f>
        <v/>
      </c>
    </row>
    <row r="1719" spans="4:16" x14ac:dyDescent="0.25">
      <c r="D1719" s="36" t="str" cm="1">
        <f t="array" aca="1" ref="D1719" ca="1">IFERROR(IF(INDIRECT("'"&amp;F1719&amp;"'!$C$5")&gt;0,DATE(YEAR(Dashboard!$AL$2),Dashboard!$AU$4,INDIRECT("'"&amp;F1719&amp;"'!$C$5")),""),"")</f>
        <v/>
      </c>
      <c r="G1719" s="38" t="str" cm="1">
        <f t="array" aca="1" ref="G1719" ca="1">IF(F1719="",
    "",
    IFERROR(
        IF(INDIRECT("'"&amp;F1719&amp;"'!$B$2")="Credit Limit",
            "Credit Accounts",
            IF(INDIRECT("'"&amp;F1719&amp;"'!$E$2")="Location",
                "Cash Accounts",
                IF(INDIRECT("'"&amp;F1719&amp;"'!$B$2")="Amount",
                    "Investments",
                    "Bill Accounts"
                )
            )
        ),
    "")
)</f>
        <v/>
      </c>
      <c r="I1719" s="46" t="str" cm="1">
        <f t="array" aca="1" ref="I1719" ca="1">IF(F1719&lt;&gt;"",IF(OR(G1719="Bill Accounts",G1719="Investments", G1719="Cash Accounts"),INDIRECT("'"&amp;F1719&amp;"'!$C$10"),INDIRECT("'"&amp;F1719&amp;"'!$C$8")),"")</f>
        <v/>
      </c>
      <c r="K1719" s="48">
        <f t="shared" si="81"/>
        <v>1725</v>
      </c>
      <c r="L1719" s="114" t="str" cm="1">
        <f t="array" aca="1" ref="L1719" ca="1">IF(F1719&lt;&gt;"",INDIRECT("'"&amp;F1719&amp;"'!$F$17"),"")</f>
        <v/>
      </c>
      <c r="M1719" s="116" t="str">
        <f t="shared" ca="1" si="79"/>
        <v/>
      </c>
      <c r="O1719" s="49" t="str">
        <f t="shared" ca="1" si="80"/>
        <v/>
      </c>
      <c r="P1719" s="38" t="str">
        <f>IF(E1719&lt;&gt;"",RANK(E1719,$E$3:$E$2298)+COUNTIF($E$3:E1719,E1719)-1,"")</f>
        <v/>
      </c>
    </row>
    <row r="1720" spans="4:16" x14ac:dyDescent="0.25">
      <c r="D1720" s="36" t="str" cm="1">
        <f t="array" aca="1" ref="D1720" ca="1">IFERROR(IF(INDIRECT("'"&amp;F1720&amp;"'!$C$5")&gt;0,DATE(YEAR(Dashboard!$AL$2),Dashboard!$AU$4,INDIRECT("'"&amp;F1720&amp;"'!$C$5")),""),"")</f>
        <v/>
      </c>
      <c r="G1720" s="38" t="str" cm="1">
        <f t="array" aca="1" ref="G1720" ca="1">IF(F1720="",
    "",
    IFERROR(
        IF(INDIRECT("'"&amp;F1720&amp;"'!$B$2")="Credit Limit",
            "Credit Accounts",
            IF(INDIRECT("'"&amp;F1720&amp;"'!$E$2")="Location",
                "Cash Accounts",
                IF(INDIRECT("'"&amp;F1720&amp;"'!$B$2")="Amount",
                    "Investments",
                    "Bill Accounts"
                )
            )
        ),
    "")
)</f>
        <v/>
      </c>
      <c r="I1720" s="46" t="str" cm="1">
        <f t="array" aca="1" ref="I1720" ca="1">IF(F1720&lt;&gt;"",IF(OR(G1720="Bill Accounts",G1720="Investments", G1720="Cash Accounts"),INDIRECT("'"&amp;F1720&amp;"'!$C$10"),INDIRECT("'"&amp;F1720&amp;"'!$C$8")),"")</f>
        <v/>
      </c>
      <c r="K1720" s="48">
        <f t="shared" si="81"/>
        <v>1726</v>
      </c>
      <c r="L1720" s="114" t="str" cm="1">
        <f t="array" aca="1" ref="L1720" ca="1">IF(F1720&lt;&gt;"",INDIRECT("'"&amp;F1720&amp;"'!$F$17"),"")</f>
        <v/>
      </c>
      <c r="M1720" s="116" t="str">
        <f t="shared" ca="1" si="79"/>
        <v/>
      </c>
      <c r="O1720" s="49" t="str">
        <f t="shared" ca="1" si="80"/>
        <v/>
      </c>
      <c r="P1720" s="38" t="str">
        <f>IF(E1720&lt;&gt;"",RANK(E1720,$E$3:$E$2298)+COUNTIF($E$3:E1720,E1720)-1,"")</f>
        <v/>
      </c>
    </row>
    <row r="1721" spans="4:16" x14ac:dyDescent="0.25">
      <c r="D1721" s="36" t="str" cm="1">
        <f t="array" aca="1" ref="D1721" ca="1">IFERROR(IF(INDIRECT("'"&amp;F1721&amp;"'!$C$5")&gt;0,DATE(YEAR(Dashboard!$AL$2),Dashboard!$AU$4,INDIRECT("'"&amp;F1721&amp;"'!$C$5")),""),"")</f>
        <v/>
      </c>
      <c r="G1721" s="38" t="str" cm="1">
        <f t="array" aca="1" ref="G1721" ca="1">IF(F1721="",
    "",
    IFERROR(
        IF(INDIRECT("'"&amp;F1721&amp;"'!$B$2")="Credit Limit",
            "Credit Accounts",
            IF(INDIRECT("'"&amp;F1721&amp;"'!$E$2")="Location",
                "Cash Accounts",
                IF(INDIRECT("'"&amp;F1721&amp;"'!$B$2")="Amount",
                    "Investments",
                    "Bill Accounts"
                )
            )
        ),
    "")
)</f>
        <v/>
      </c>
      <c r="I1721" s="46" t="str" cm="1">
        <f t="array" aca="1" ref="I1721" ca="1">IF(F1721&lt;&gt;"",IF(OR(G1721="Bill Accounts",G1721="Investments", G1721="Cash Accounts"),INDIRECT("'"&amp;F1721&amp;"'!$C$10"),INDIRECT("'"&amp;F1721&amp;"'!$C$8")),"")</f>
        <v/>
      </c>
      <c r="K1721" s="48">
        <f t="shared" si="81"/>
        <v>1727</v>
      </c>
      <c r="L1721" s="114" t="str" cm="1">
        <f t="array" aca="1" ref="L1721" ca="1">IF(F1721&lt;&gt;"",INDIRECT("'"&amp;F1721&amp;"'!$F$17"),"")</f>
        <v/>
      </c>
      <c r="M1721" s="116" t="str">
        <f t="shared" ca="1" si="79"/>
        <v/>
      </c>
      <c r="O1721" s="49" t="str">
        <f t="shared" ca="1" si="80"/>
        <v/>
      </c>
      <c r="P1721" s="38" t="str">
        <f>IF(E1721&lt;&gt;"",RANK(E1721,$E$3:$E$2298)+COUNTIF($E$3:E1721,E1721)-1,"")</f>
        <v/>
      </c>
    </row>
    <row r="1722" spans="4:16" x14ac:dyDescent="0.25">
      <c r="D1722" s="36" t="str" cm="1">
        <f t="array" aca="1" ref="D1722" ca="1">IFERROR(IF(INDIRECT("'"&amp;F1722&amp;"'!$C$5")&gt;0,DATE(YEAR(Dashboard!$AL$2),Dashboard!$AU$4,INDIRECT("'"&amp;F1722&amp;"'!$C$5")),""),"")</f>
        <v/>
      </c>
      <c r="G1722" s="38" t="str" cm="1">
        <f t="array" aca="1" ref="G1722" ca="1">IF(F1722="",
    "",
    IFERROR(
        IF(INDIRECT("'"&amp;F1722&amp;"'!$B$2")="Credit Limit",
            "Credit Accounts",
            IF(INDIRECT("'"&amp;F1722&amp;"'!$E$2")="Location",
                "Cash Accounts",
                IF(INDIRECT("'"&amp;F1722&amp;"'!$B$2")="Amount",
                    "Investments",
                    "Bill Accounts"
                )
            )
        ),
    "")
)</f>
        <v/>
      </c>
      <c r="I1722" s="46" t="str" cm="1">
        <f t="array" aca="1" ref="I1722" ca="1">IF(F1722&lt;&gt;"",IF(OR(G1722="Bill Accounts",G1722="Investments", G1722="Cash Accounts"),INDIRECT("'"&amp;F1722&amp;"'!$C$10"),INDIRECT("'"&amp;F1722&amp;"'!$C$8")),"")</f>
        <v/>
      </c>
      <c r="K1722" s="48">
        <f t="shared" si="81"/>
        <v>1728</v>
      </c>
      <c r="L1722" s="114" t="str" cm="1">
        <f t="array" aca="1" ref="L1722" ca="1">IF(F1722&lt;&gt;"",INDIRECT("'"&amp;F1722&amp;"'!$F$17"),"")</f>
        <v/>
      </c>
      <c r="M1722" s="116" t="str">
        <f t="shared" ca="1" si="79"/>
        <v/>
      </c>
      <c r="O1722" s="49" t="str">
        <f t="shared" ca="1" si="80"/>
        <v/>
      </c>
      <c r="P1722" s="38" t="str">
        <f>IF(E1722&lt;&gt;"",RANK(E1722,$E$3:$E$2298)+COUNTIF($E$3:E1722,E1722)-1,"")</f>
        <v/>
      </c>
    </row>
    <row r="1723" spans="4:16" x14ac:dyDescent="0.25">
      <c r="D1723" s="36" t="str" cm="1">
        <f t="array" aca="1" ref="D1723" ca="1">IFERROR(IF(INDIRECT("'"&amp;F1723&amp;"'!$C$5")&gt;0,DATE(YEAR(Dashboard!$AL$2),Dashboard!$AU$4,INDIRECT("'"&amp;F1723&amp;"'!$C$5")),""),"")</f>
        <v/>
      </c>
      <c r="G1723" s="38" t="str" cm="1">
        <f t="array" aca="1" ref="G1723" ca="1">IF(F1723="",
    "",
    IFERROR(
        IF(INDIRECT("'"&amp;F1723&amp;"'!$B$2")="Credit Limit",
            "Credit Accounts",
            IF(INDIRECT("'"&amp;F1723&amp;"'!$E$2")="Location",
                "Cash Accounts",
                IF(INDIRECT("'"&amp;F1723&amp;"'!$B$2")="Amount",
                    "Investments",
                    "Bill Accounts"
                )
            )
        ),
    "")
)</f>
        <v/>
      </c>
      <c r="I1723" s="46" t="str" cm="1">
        <f t="array" aca="1" ref="I1723" ca="1">IF(F1723&lt;&gt;"",IF(OR(G1723="Bill Accounts",G1723="Investments", G1723="Cash Accounts"),INDIRECT("'"&amp;F1723&amp;"'!$C$10"),INDIRECT("'"&amp;F1723&amp;"'!$C$8")),"")</f>
        <v/>
      </c>
      <c r="K1723" s="48">
        <f t="shared" si="81"/>
        <v>1729</v>
      </c>
      <c r="L1723" s="114" t="str" cm="1">
        <f t="array" aca="1" ref="L1723" ca="1">IF(F1723&lt;&gt;"",INDIRECT("'"&amp;F1723&amp;"'!$F$17"),"")</f>
        <v/>
      </c>
      <c r="M1723" s="116" t="str">
        <f t="shared" ca="1" si="79"/>
        <v/>
      </c>
      <c r="O1723" s="49" t="str">
        <f t="shared" ca="1" si="80"/>
        <v/>
      </c>
      <c r="P1723" s="38" t="str">
        <f>IF(E1723&lt;&gt;"",RANK(E1723,$E$3:$E$2298)+COUNTIF($E$3:E1723,E1723)-1,"")</f>
        <v/>
      </c>
    </row>
    <row r="1724" spans="4:16" x14ac:dyDescent="0.25">
      <c r="D1724" s="36" t="str" cm="1">
        <f t="array" aca="1" ref="D1724" ca="1">IFERROR(IF(INDIRECT("'"&amp;F1724&amp;"'!$C$5")&gt;0,DATE(YEAR(Dashboard!$AL$2),Dashboard!$AU$4,INDIRECT("'"&amp;F1724&amp;"'!$C$5")),""),"")</f>
        <v/>
      </c>
      <c r="G1724" s="38" t="str" cm="1">
        <f t="array" aca="1" ref="G1724" ca="1">IF(F1724="",
    "",
    IFERROR(
        IF(INDIRECT("'"&amp;F1724&amp;"'!$B$2")="Credit Limit",
            "Credit Accounts",
            IF(INDIRECT("'"&amp;F1724&amp;"'!$E$2")="Location",
                "Cash Accounts",
                IF(INDIRECT("'"&amp;F1724&amp;"'!$B$2")="Amount",
                    "Investments",
                    "Bill Accounts"
                )
            )
        ),
    "")
)</f>
        <v/>
      </c>
      <c r="I1724" s="46" t="str" cm="1">
        <f t="array" aca="1" ref="I1724" ca="1">IF(F1724&lt;&gt;"",IF(OR(G1724="Bill Accounts",G1724="Investments", G1724="Cash Accounts"),INDIRECT("'"&amp;F1724&amp;"'!$C$10"),INDIRECT("'"&amp;F1724&amp;"'!$C$8")),"")</f>
        <v/>
      </c>
      <c r="K1724" s="48">
        <f t="shared" si="81"/>
        <v>1730</v>
      </c>
      <c r="L1724" s="114" t="str" cm="1">
        <f t="array" aca="1" ref="L1724" ca="1">IF(F1724&lt;&gt;"",INDIRECT("'"&amp;F1724&amp;"'!$F$17"),"")</f>
        <v/>
      </c>
      <c r="M1724" s="116" t="str">
        <f t="shared" ca="1" si="79"/>
        <v/>
      </c>
      <c r="O1724" s="49" t="str">
        <f t="shared" ca="1" si="80"/>
        <v/>
      </c>
      <c r="P1724" s="38" t="str">
        <f>IF(E1724&lt;&gt;"",RANK(E1724,$E$3:$E$2298)+COUNTIF($E$3:E1724,E1724)-1,"")</f>
        <v/>
      </c>
    </row>
    <row r="1725" spans="4:16" x14ac:dyDescent="0.25">
      <c r="D1725" s="36" t="str" cm="1">
        <f t="array" aca="1" ref="D1725" ca="1">IFERROR(IF(INDIRECT("'"&amp;F1725&amp;"'!$C$5")&gt;0,DATE(YEAR(Dashboard!$AL$2),Dashboard!$AU$4,INDIRECT("'"&amp;F1725&amp;"'!$C$5")),""),"")</f>
        <v/>
      </c>
      <c r="G1725" s="38" t="str" cm="1">
        <f t="array" aca="1" ref="G1725" ca="1">IF(F1725="",
    "",
    IFERROR(
        IF(INDIRECT("'"&amp;F1725&amp;"'!$B$2")="Credit Limit",
            "Credit Accounts",
            IF(INDIRECT("'"&amp;F1725&amp;"'!$E$2")="Location",
                "Cash Accounts",
                IF(INDIRECT("'"&amp;F1725&amp;"'!$B$2")="Amount",
                    "Investments",
                    "Bill Accounts"
                )
            )
        ),
    "")
)</f>
        <v/>
      </c>
      <c r="I1725" s="46" t="str" cm="1">
        <f t="array" aca="1" ref="I1725" ca="1">IF(F1725&lt;&gt;"",IF(OR(G1725="Bill Accounts",G1725="Investments", G1725="Cash Accounts"),INDIRECT("'"&amp;F1725&amp;"'!$C$10"),INDIRECT("'"&amp;F1725&amp;"'!$C$8")),"")</f>
        <v/>
      </c>
      <c r="K1725" s="48">
        <f t="shared" si="81"/>
        <v>1731</v>
      </c>
      <c r="L1725" s="114" t="str" cm="1">
        <f t="array" aca="1" ref="L1725" ca="1">IF(F1725&lt;&gt;"",INDIRECT("'"&amp;F1725&amp;"'!$F$17"),"")</f>
        <v/>
      </c>
      <c r="M1725" s="116" t="str">
        <f t="shared" ca="1" si="79"/>
        <v/>
      </c>
      <c r="O1725" s="49" t="str">
        <f t="shared" ca="1" si="80"/>
        <v/>
      </c>
      <c r="P1725" s="38" t="str">
        <f>IF(E1725&lt;&gt;"",RANK(E1725,$E$3:$E$2298)+COUNTIF($E$3:E1725,E1725)-1,"")</f>
        <v/>
      </c>
    </row>
    <row r="1726" spans="4:16" x14ac:dyDescent="0.25">
      <c r="D1726" s="36" t="str" cm="1">
        <f t="array" aca="1" ref="D1726" ca="1">IFERROR(IF(INDIRECT("'"&amp;F1726&amp;"'!$C$5")&gt;0,DATE(YEAR(Dashboard!$AL$2),Dashboard!$AU$4,INDIRECT("'"&amp;F1726&amp;"'!$C$5")),""),"")</f>
        <v/>
      </c>
      <c r="G1726" s="38" t="str" cm="1">
        <f t="array" aca="1" ref="G1726" ca="1">IF(F1726="",
    "",
    IFERROR(
        IF(INDIRECT("'"&amp;F1726&amp;"'!$B$2")="Credit Limit",
            "Credit Accounts",
            IF(INDIRECT("'"&amp;F1726&amp;"'!$E$2")="Location",
                "Cash Accounts",
                IF(INDIRECT("'"&amp;F1726&amp;"'!$B$2")="Amount",
                    "Investments",
                    "Bill Accounts"
                )
            )
        ),
    "")
)</f>
        <v/>
      </c>
      <c r="I1726" s="46" t="str" cm="1">
        <f t="array" aca="1" ref="I1726" ca="1">IF(F1726&lt;&gt;"",IF(OR(G1726="Bill Accounts",G1726="Investments", G1726="Cash Accounts"),INDIRECT("'"&amp;F1726&amp;"'!$C$10"),INDIRECT("'"&amp;F1726&amp;"'!$C$8")),"")</f>
        <v/>
      </c>
      <c r="K1726" s="48">
        <f t="shared" si="81"/>
        <v>1732</v>
      </c>
      <c r="L1726" s="114" t="str" cm="1">
        <f t="array" aca="1" ref="L1726" ca="1">IF(F1726&lt;&gt;"",INDIRECT("'"&amp;F1726&amp;"'!$F$17"),"")</f>
        <v/>
      </c>
      <c r="M1726" s="116" t="str">
        <f t="shared" ca="1" si="79"/>
        <v/>
      </c>
      <c r="O1726" s="49" t="str">
        <f t="shared" ca="1" si="80"/>
        <v/>
      </c>
      <c r="P1726" s="38" t="str">
        <f>IF(E1726&lt;&gt;"",RANK(E1726,$E$3:$E$2298)+COUNTIF($E$3:E1726,E1726)-1,"")</f>
        <v/>
      </c>
    </row>
    <row r="1727" spans="4:16" x14ac:dyDescent="0.25">
      <c r="D1727" s="36" t="str" cm="1">
        <f t="array" aca="1" ref="D1727" ca="1">IFERROR(IF(INDIRECT("'"&amp;F1727&amp;"'!$C$5")&gt;0,DATE(YEAR(Dashboard!$AL$2),Dashboard!$AU$4,INDIRECT("'"&amp;F1727&amp;"'!$C$5")),""),"")</f>
        <v/>
      </c>
      <c r="G1727" s="38" t="str" cm="1">
        <f t="array" aca="1" ref="G1727" ca="1">IF(F1727="",
    "",
    IFERROR(
        IF(INDIRECT("'"&amp;F1727&amp;"'!$B$2")="Credit Limit",
            "Credit Accounts",
            IF(INDIRECT("'"&amp;F1727&amp;"'!$E$2")="Location",
                "Cash Accounts",
                IF(INDIRECT("'"&amp;F1727&amp;"'!$B$2")="Amount",
                    "Investments",
                    "Bill Accounts"
                )
            )
        ),
    "")
)</f>
        <v/>
      </c>
      <c r="I1727" s="46" t="str" cm="1">
        <f t="array" aca="1" ref="I1727" ca="1">IF(F1727&lt;&gt;"",IF(OR(G1727="Bill Accounts",G1727="Investments", G1727="Cash Accounts"),INDIRECT("'"&amp;F1727&amp;"'!$C$10"),INDIRECT("'"&amp;F1727&amp;"'!$C$8")),"")</f>
        <v/>
      </c>
      <c r="K1727" s="48">
        <f t="shared" si="81"/>
        <v>1733</v>
      </c>
      <c r="L1727" s="114" t="str" cm="1">
        <f t="array" aca="1" ref="L1727" ca="1">IF(F1727&lt;&gt;"",INDIRECT("'"&amp;F1727&amp;"'!$F$17"),"")</f>
        <v/>
      </c>
      <c r="M1727" s="116" t="str">
        <f t="shared" ca="1" si="79"/>
        <v/>
      </c>
      <c r="O1727" s="49" t="str">
        <f t="shared" ca="1" si="80"/>
        <v/>
      </c>
      <c r="P1727" s="38" t="str">
        <f>IF(E1727&lt;&gt;"",RANK(E1727,$E$3:$E$2298)+COUNTIF($E$3:E1727,E1727)-1,"")</f>
        <v/>
      </c>
    </row>
    <row r="1728" spans="4:16" x14ac:dyDescent="0.25">
      <c r="D1728" s="36" t="str" cm="1">
        <f t="array" aca="1" ref="D1728" ca="1">IFERROR(IF(INDIRECT("'"&amp;F1728&amp;"'!$C$5")&gt;0,DATE(YEAR(Dashboard!$AL$2),Dashboard!$AU$4,INDIRECT("'"&amp;F1728&amp;"'!$C$5")),""),"")</f>
        <v/>
      </c>
      <c r="G1728" s="38" t="str" cm="1">
        <f t="array" aca="1" ref="G1728" ca="1">IF(F1728="",
    "",
    IFERROR(
        IF(INDIRECT("'"&amp;F1728&amp;"'!$B$2")="Credit Limit",
            "Credit Accounts",
            IF(INDIRECT("'"&amp;F1728&amp;"'!$E$2")="Location",
                "Cash Accounts",
                IF(INDIRECT("'"&amp;F1728&amp;"'!$B$2")="Amount",
                    "Investments",
                    "Bill Accounts"
                )
            )
        ),
    "")
)</f>
        <v/>
      </c>
      <c r="I1728" s="46" t="str" cm="1">
        <f t="array" aca="1" ref="I1728" ca="1">IF(F1728&lt;&gt;"",IF(OR(G1728="Bill Accounts",G1728="Investments", G1728="Cash Accounts"),INDIRECT("'"&amp;F1728&amp;"'!$C$10"),INDIRECT("'"&amp;F1728&amp;"'!$C$8")),"")</f>
        <v/>
      </c>
      <c r="K1728" s="48">
        <f t="shared" si="81"/>
        <v>1734</v>
      </c>
      <c r="L1728" s="114" t="str" cm="1">
        <f t="array" aca="1" ref="L1728" ca="1">IF(F1728&lt;&gt;"",INDIRECT("'"&amp;F1728&amp;"'!$F$17"),"")</f>
        <v/>
      </c>
      <c r="M1728" s="116" t="str">
        <f t="shared" ca="1" si="79"/>
        <v/>
      </c>
      <c r="O1728" s="49" t="str">
        <f t="shared" ca="1" si="80"/>
        <v/>
      </c>
      <c r="P1728" s="38" t="str">
        <f>IF(E1728&lt;&gt;"",RANK(E1728,$E$3:$E$2298)+COUNTIF($E$3:E1728,E1728)-1,"")</f>
        <v/>
      </c>
    </row>
    <row r="1729" spans="4:16" x14ac:dyDescent="0.25">
      <c r="D1729" s="36" t="str" cm="1">
        <f t="array" aca="1" ref="D1729" ca="1">IFERROR(IF(INDIRECT("'"&amp;F1729&amp;"'!$C$5")&gt;0,DATE(YEAR(Dashboard!$AL$2),Dashboard!$AU$4,INDIRECT("'"&amp;F1729&amp;"'!$C$5")),""),"")</f>
        <v/>
      </c>
      <c r="G1729" s="38" t="str" cm="1">
        <f t="array" aca="1" ref="G1729" ca="1">IF(F1729="",
    "",
    IFERROR(
        IF(INDIRECT("'"&amp;F1729&amp;"'!$B$2")="Credit Limit",
            "Credit Accounts",
            IF(INDIRECT("'"&amp;F1729&amp;"'!$E$2")="Location",
                "Cash Accounts",
                IF(INDIRECT("'"&amp;F1729&amp;"'!$B$2")="Amount",
                    "Investments",
                    "Bill Accounts"
                )
            )
        ),
    "")
)</f>
        <v/>
      </c>
      <c r="I1729" s="46" t="str" cm="1">
        <f t="array" aca="1" ref="I1729" ca="1">IF(F1729&lt;&gt;"",IF(OR(G1729="Bill Accounts",G1729="Investments", G1729="Cash Accounts"),INDIRECT("'"&amp;F1729&amp;"'!$C$10"),INDIRECT("'"&amp;F1729&amp;"'!$C$8")),"")</f>
        <v/>
      </c>
      <c r="K1729" s="48">
        <f t="shared" si="81"/>
        <v>1735</v>
      </c>
      <c r="L1729" s="114" t="str" cm="1">
        <f t="array" aca="1" ref="L1729" ca="1">IF(F1729&lt;&gt;"",INDIRECT("'"&amp;F1729&amp;"'!$F$17"),"")</f>
        <v/>
      </c>
      <c r="M1729" s="116" t="str">
        <f t="shared" ca="1" si="79"/>
        <v/>
      </c>
      <c r="O1729" s="49" t="str">
        <f t="shared" ca="1" si="80"/>
        <v/>
      </c>
      <c r="P1729" s="38" t="str">
        <f>IF(E1729&lt;&gt;"",RANK(E1729,$E$3:$E$2298)+COUNTIF($E$3:E1729,E1729)-1,"")</f>
        <v/>
      </c>
    </row>
    <row r="1730" spans="4:16" x14ac:dyDescent="0.25">
      <c r="D1730" s="36" t="str" cm="1">
        <f t="array" aca="1" ref="D1730" ca="1">IFERROR(IF(INDIRECT("'"&amp;F1730&amp;"'!$C$5")&gt;0,DATE(YEAR(Dashboard!$AL$2),Dashboard!$AU$4,INDIRECT("'"&amp;F1730&amp;"'!$C$5")),""),"")</f>
        <v/>
      </c>
      <c r="G1730" s="38" t="str" cm="1">
        <f t="array" aca="1" ref="G1730" ca="1">IF(F1730="",
    "",
    IFERROR(
        IF(INDIRECT("'"&amp;F1730&amp;"'!$B$2")="Credit Limit",
            "Credit Accounts",
            IF(INDIRECT("'"&amp;F1730&amp;"'!$E$2")="Location",
                "Cash Accounts",
                IF(INDIRECT("'"&amp;F1730&amp;"'!$B$2")="Amount",
                    "Investments",
                    "Bill Accounts"
                )
            )
        ),
    "")
)</f>
        <v/>
      </c>
      <c r="I1730" s="46" t="str" cm="1">
        <f t="array" aca="1" ref="I1730" ca="1">IF(F1730&lt;&gt;"",IF(OR(G1730="Bill Accounts",G1730="Investments", G1730="Cash Accounts"),INDIRECT("'"&amp;F1730&amp;"'!$C$10"),INDIRECT("'"&amp;F1730&amp;"'!$C$8")),"")</f>
        <v/>
      </c>
      <c r="K1730" s="48">
        <f t="shared" si="81"/>
        <v>1736</v>
      </c>
      <c r="L1730" s="114" t="str" cm="1">
        <f t="array" aca="1" ref="L1730" ca="1">IF(F1730&lt;&gt;"",INDIRECT("'"&amp;F1730&amp;"'!$F$17"),"")</f>
        <v/>
      </c>
      <c r="M1730" s="116" t="str">
        <f t="shared" ca="1" si="79"/>
        <v/>
      </c>
      <c r="O1730" s="49" t="str">
        <f t="shared" ca="1" si="80"/>
        <v/>
      </c>
      <c r="P1730" s="38" t="str">
        <f>IF(E1730&lt;&gt;"",RANK(E1730,$E$3:$E$2298)+COUNTIF($E$3:E1730,E1730)-1,"")</f>
        <v/>
      </c>
    </row>
    <row r="1731" spans="4:16" x14ac:dyDescent="0.25">
      <c r="D1731" s="36" t="str" cm="1">
        <f t="array" aca="1" ref="D1731" ca="1">IFERROR(IF(INDIRECT("'"&amp;F1731&amp;"'!$C$5")&gt;0,DATE(YEAR(Dashboard!$AL$2),Dashboard!$AU$4,INDIRECT("'"&amp;F1731&amp;"'!$C$5")),""),"")</f>
        <v/>
      </c>
      <c r="G1731" s="38" t="str" cm="1">
        <f t="array" aca="1" ref="G1731" ca="1">IF(F1731="",
    "",
    IFERROR(
        IF(INDIRECT("'"&amp;F1731&amp;"'!$B$2")="Credit Limit",
            "Credit Accounts",
            IF(INDIRECT("'"&amp;F1731&amp;"'!$E$2")="Location",
                "Cash Accounts",
                IF(INDIRECT("'"&amp;F1731&amp;"'!$B$2")="Amount",
                    "Investments",
                    "Bill Accounts"
                )
            )
        ),
    "")
)</f>
        <v/>
      </c>
      <c r="I1731" s="46" t="str" cm="1">
        <f t="array" aca="1" ref="I1731" ca="1">IF(F1731&lt;&gt;"",IF(OR(G1731="Bill Accounts",G1731="Investments", G1731="Cash Accounts"),INDIRECT("'"&amp;F1731&amp;"'!$C$10"),INDIRECT("'"&amp;F1731&amp;"'!$C$8")),"")</f>
        <v/>
      </c>
      <c r="K1731" s="48">
        <f t="shared" si="81"/>
        <v>1737</v>
      </c>
      <c r="L1731" s="114" t="str" cm="1">
        <f t="array" aca="1" ref="L1731" ca="1">IF(F1731&lt;&gt;"",INDIRECT("'"&amp;F1731&amp;"'!$F$17"),"")</f>
        <v/>
      </c>
      <c r="M1731" s="116" t="str">
        <f t="shared" ca="1" si="79"/>
        <v/>
      </c>
      <c r="O1731" s="49" t="str">
        <f t="shared" ca="1" si="80"/>
        <v/>
      </c>
      <c r="P1731" s="38" t="str">
        <f>IF(E1731&lt;&gt;"",RANK(E1731,$E$3:$E$2298)+COUNTIF($E$3:E1731,E1731)-1,"")</f>
        <v/>
      </c>
    </row>
    <row r="1732" spans="4:16" x14ac:dyDescent="0.25">
      <c r="D1732" s="36" t="str" cm="1">
        <f t="array" aca="1" ref="D1732" ca="1">IFERROR(IF(INDIRECT("'"&amp;F1732&amp;"'!$C$5")&gt;0,DATE(YEAR(Dashboard!$AL$2),Dashboard!$AU$4,INDIRECT("'"&amp;F1732&amp;"'!$C$5")),""),"")</f>
        <v/>
      </c>
      <c r="G1732" s="38" t="str" cm="1">
        <f t="array" aca="1" ref="G1732" ca="1">IF(F1732="",
    "",
    IFERROR(
        IF(INDIRECT("'"&amp;F1732&amp;"'!$B$2")="Credit Limit",
            "Credit Accounts",
            IF(INDIRECT("'"&amp;F1732&amp;"'!$E$2")="Location",
                "Cash Accounts",
                IF(INDIRECT("'"&amp;F1732&amp;"'!$B$2")="Amount",
                    "Investments",
                    "Bill Accounts"
                )
            )
        ),
    "")
)</f>
        <v/>
      </c>
      <c r="I1732" s="46" t="str" cm="1">
        <f t="array" aca="1" ref="I1732" ca="1">IF(F1732&lt;&gt;"",IF(OR(G1732="Bill Accounts",G1732="Investments", G1732="Cash Accounts"),INDIRECT("'"&amp;F1732&amp;"'!$C$10"),INDIRECT("'"&amp;F1732&amp;"'!$C$8")),"")</f>
        <v/>
      </c>
      <c r="K1732" s="48">
        <f t="shared" si="81"/>
        <v>1738</v>
      </c>
      <c r="L1732" s="114" t="str" cm="1">
        <f t="array" aca="1" ref="L1732" ca="1">IF(F1732&lt;&gt;"",INDIRECT("'"&amp;F1732&amp;"'!$F$17"),"")</f>
        <v/>
      </c>
      <c r="M1732" s="116" t="str">
        <f t="shared" ref="M1732:M1795" ca="1" si="82">IF(G1732="Credit Accounts",EDATE(TODAY(),INDIRECT("'"&amp;F1732&amp;"'!$C$14")),"")</f>
        <v/>
      </c>
      <c r="O1732" s="49" t="str">
        <f t="shared" ref="O1732:O1795" ca="1" si="83">IF(D1732&lt;&gt;"",DAY(D1732),"")</f>
        <v/>
      </c>
      <c r="P1732" s="38" t="str">
        <f>IF(E1732&lt;&gt;"",RANK(E1732,$E$3:$E$2298)+COUNTIF($E$3:E1732,E1732)-1,"")</f>
        <v/>
      </c>
    </row>
    <row r="1733" spans="4:16" x14ac:dyDescent="0.25">
      <c r="D1733" s="36" t="str" cm="1">
        <f t="array" aca="1" ref="D1733" ca="1">IFERROR(IF(INDIRECT("'"&amp;F1733&amp;"'!$C$5")&gt;0,DATE(YEAR(Dashboard!$AL$2),Dashboard!$AU$4,INDIRECT("'"&amp;F1733&amp;"'!$C$5")),""),"")</f>
        <v/>
      </c>
      <c r="G1733" s="38" t="str" cm="1">
        <f t="array" aca="1" ref="G1733" ca="1">IF(F1733="",
    "",
    IFERROR(
        IF(INDIRECT("'"&amp;F1733&amp;"'!$B$2")="Credit Limit",
            "Credit Accounts",
            IF(INDIRECT("'"&amp;F1733&amp;"'!$E$2")="Location",
                "Cash Accounts",
                IF(INDIRECT("'"&amp;F1733&amp;"'!$B$2")="Amount",
                    "Investments",
                    "Bill Accounts"
                )
            )
        ),
    "")
)</f>
        <v/>
      </c>
      <c r="I1733" s="46" t="str" cm="1">
        <f t="array" aca="1" ref="I1733" ca="1">IF(F1733&lt;&gt;"",IF(OR(G1733="Bill Accounts",G1733="Investments", G1733="Cash Accounts"),INDIRECT("'"&amp;F1733&amp;"'!$C$10"),INDIRECT("'"&amp;F1733&amp;"'!$C$8")),"")</f>
        <v/>
      </c>
      <c r="K1733" s="48">
        <f t="shared" si="81"/>
        <v>1739</v>
      </c>
      <c r="L1733" s="114" t="str" cm="1">
        <f t="array" aca="1" ref="L1733" ca="1">IF(F1733&lt;&gt;"",INDIRECT("'"&amp;F1733&amp;"'!$F$17"),"")</f>
        <v/>
      </c>
      <c r="M1733" s="116" t="str">
        <f t="shared" ca="1" si="82"/>
        <v/>
      </c>
      <c r="O1733" s="49" t="str">
        <f t="shared" ca="1" si="83"/>
        <v/>
      </c>
      <c r="P1733" s="38" t="str">
        <f>IF(E1733&lt;&gt;"",RANK(E1733,$E$3:$E$2298)+COUNTIF($E$3:E1733,E1733)-1,"")</f>
        <v/>
      </c>
    </row>
    <row r="1734" spans="4:16" x14ac:dyDescent="0.25">
      <c r="D1734" s="36" t="str" cm="1">
        <f t="array" aca="1" ref="D1734" ca="1">IFERROR(IF(INDIRECT("'"&amp;F1734&amp;"'!$C$5")&gt;0,DATE(YEAR(Dashboard!$AL$2),Dashboard!$AU$4,INDIRECT("'"&amp;F1734&amp;"'!$C$5")),""),"")</f>
        <v/>
      </c>
      <c r="G1734" s="38" t="str" cm="1">
        <f t="array" aca="1" ref="G1734" ca="1">IF(F1734="",
    "",
    IFERROR(
        IF(INDIRECT("'"&amp;F1734&amp;"'!$B$2")="Credit Limit",
            "Credit Accounts",
            IF(INDIRECT("'"&amp;F1734&amp;"'!$E$2")="Location",
                "Cash Accounts",
                IF(INDIRECT("'"&amp;F1734&amp;"'!$B$2")="Amount",
                    "Investments",
                    "Bill Accounts"
                )
            )
        ),
    "")
)</f>
        <v/>
      </c>
      <c r="I1734" s="46" t="str" cm="1">
        <f t="array" aca="1" ref="I1734" ca="1">IF(F1734&lt;&gt;"",IF(OR(G1734="Bill Accounts",G1734="Investments", G1734="Cash Accounts"),INDIRECT("'"&amp;F1734&amp;"'!$C$10"),INDIRECT("'"&amp;F1734&amp;"'!$C$8")),"")</f>
        <v/>
      </c>
      <c r="K1734" s="48">
        <f t="shared" si="81"/>
        <v>1740</v>
      </c>
      <c r="L1734" s="114" t="str" cm="1">
        <f t="array" aca="1" ref="L1734" ca="1">IF(F1734&lt;&gt;"",INDIRECT("'"&amp;F1734&amp;"'!$F$17"),"")</f>
        <v/>
      </c>
      <c r="M1734" s="116" t="str">
        <f t="shared" ca="1" si="82"/>
        <v/>
      </c>
      <c r="O1734" s="49" t="str">
        <f t="shared" ca="1" si="83"/>
        <v/>
      </c>
      <c r="P1734" s="38" t="str">
        <f>IF(E1734&lt;&gt;"",RANK(E1734,$E$3:$E$2298)+COUNTIF($E$3:E1734,E1734)-1,"")</f>
        <v/>
      </c>
    </row>
    <row r="1735" spans="4:16" x14ac:dyDescent="0.25">
      <c r="D1735" s="36" t="str" cm="1">
        <f t="array" aca="1" ref="D1735" ca="1">IFERROR(IF(INDIRECT("'"&amp;F1735&amp;"'!$C$5")&gt;0,DATE(YEAR(Dashboard!$AL$2),Dashboard!$AU$4,INDIRECT("'"&amp;F1735&amp;"'!$C$5")),""),"")</f>
        <v/>
      </c>
      <c r="G1735" s="38" t="str" cm="1">
        <f t="array" aca="1" ref="G1735" ca="1">IF(F1735="",
    "",
    IFERROR(
        IF(INDIRECT("'"&amp;F1735&amp;"'!$B$2")="Credit Limit",
            "Credit Accounts",
            IF(INDIRECT("'"&amp;F1735&amp;"'!$E$2")="Location",
                "Cash Accounts",
                IF(INDIRECT("'"&amp;F1735&amp;"'!$B$2")="Amount",
                    "Investments",
                    "Bill Accounts"
                )
            )
        ),
    "")
)</f>
        <v/>
      </c>
      <c r="I1735" s="46" t="str" cm="1">
        <f t="array" aca="1" ref="I1735" ca="1">IF(F1735&lt;&gt;"",IF(OR(G1735="Bill Accounts",G1735="Investments", G1735="Cash Accounts"),INDIRECT("'"&amp;F1735&amp;"'!$C$10"),INDIRECT("'"&amp;F1735&amp;"'!$C$8")),"")</f>
        <v/>
      </c>
      <c r="K1735" s="48">
        <f t="shared" si="81"/>
        <v>1741</v>
      </c>
      <c r="L1735" s="114" t="str" cm="1">
        <f t="array" aca="1" ref="L1735" ca="1">IF(F1735&lt;&gt;"",INDIRECT("'"&amp;F1735&amp;"'!$F$17"),"")</f>
        <v/>
      </c>
      <c r="M1735" s="116" t="str">
        <f t="shared" ca="1" si="82"/>
        <v/>
      </c>
      <c r="O1735" s="49" t="str">
        <f t="shared" ca="1" si="83"/>
        <v/>
      </c>
      <c r="P1735" s="38" t="str">
        <f>IF(E1735&lt;&gt;"",RANK(E1735,$E$3:$E$2298)+COUNTIF($E$3:E1735,E1735)-1,"")</f>
        <v/>
      </c>
    </row>
    <row r="1736" spans="4:16" x14ac:dyDescent="0.25">
      <c r="D1736" s="36" t="str" cm="1">
        <f t="array" aca="1" ref="D1736" ca="1">IFERROR(IF(INDIRECT("'"&amp;F1736&amp;"'!$C$5")&gt;0,DATE(YEAR(Dashboard!$AL$2),Dashboard!$AU$4,INDIRECT("'"&amp;F1736&amp;"'!$C$5")),""),"")</f>
        <v/>
      </c>
      <c r="G1736" s="38" t="str" cm="1">
        <f t="array" aca="1" ref="G1736" ca="1">IF(F1736="",
    "",
    IFERROR(
        IF(INDIRECT("'"&amp;F1736&amp;"'!$B$2")="Credit Limit",
            "Credit Accounts",
            IF(INDIRECT("'"&amp;F1736&amp;"'!$E$2")="Location",
                "Cash Accounts",
                IF(INDIRECT("'"&amp;F1736&amp;"'!$B$2")="Amount",
                    "Investments",
                    "Bill Accounts"
                )
            )
        ),
    "")
)</f>
        <v/>
      </c>
      <c r="I1736" s="46" t="str" cm="1">
        <f t="array" aca="1" ref="I1736" ca="1">IF(F1736&lt;&gt;"",IF(OR(G1736="Bill Accounts",G1736="Investments", G1736="Cash Accounts"),INDIRECT("'"&amp;F1736&amp;"'!$C$10"),INDIRECT("'"&amp;F1736&amp;"'!$C$8")),"")</f>
        <v/>
      </c>
      <c r="K1736" s="48">
        <f t="shared" ref="K1736:K1799" si="84">SUM(K1735+1)</f>
        <v>1742</v>
      </c>
      <c r="L1736" s="114" t="str" cm="1">
        <f t="array" aca="1" ref="L1736" ca="1">IF(F1736&lt;&gt;"",INDIRECT("'"&amp;F1736&amp;"'!$F$17"),"")</f>
        <v/>
      </c>
      <c r="M1736" s="116" t="str">
        <f t="shared" ca="1" si="82"/>
        <v/>
      </c>
      <c r="O1736" s="49" t="str">
        <f t="shared" ca="1" si="83"/>
        <v/>
      </c>
      <c r="P1736" s="38" t="str">
        <f>IF(E1736&lt;&gt;"",RANK(E1736,$E$3:$E$2298)+COUNTIF($E$3:E1736,E1736)-1,"")</f>
        <v/>
      </c>
    </row>
    <row r="1737" spans="4:16" x14ac:dyDescent="0.25">
      <c r="D1737" s="36" t="str" cm="1">
        <f t="array" aca="1" ref="D1737" ca="1">IFERROR(IF(INDIRECT("'"&amp;F1737&amp;"'!$C$5")&gt;0,DATE(YEAR(Dashboard!$AL$2),Dashboard!$AU$4,INDIRECT("'"&amp;F1737&amp;"'!$C$5")),""),"")</f>
        <v/>
      </c>
      <c r="G1737" s="38" t="str" cm="1">
        <f t="array" aca="1" ref="G1737" ca="1">IF(F1737="",
    "",
    IFERROR(
        IF(INDIRECT("'"&amp;F1737&amp;"'!$B$2")="Credit Limit",
            "Credit Accounts",
            IF(INDIRECT("'"&amp;F1737&amp;"'!$E$2")="Location",
                "Cash Accounts",
                IF(INDIRECT("'"&amp;F1737&amp;"'!$B$2")="Amount",
                    "Investments",
                    "Bill Accounts"
                )
            )
        ),
    "")
)</f>
        <v/>
      </c>
      <c r="I1737" s="46" t="str" cm="1">
        <f t="array" aca="1" ref="I1737" ca="1">IF(F1737&lt;&gt;"",IF(OR(G1737="Bill Accounts",G1737="Investments", G1737="Cash Accounts"),INDIRECT("'"&amp;F1737&amp;"'!$C$10"),INDIRECT("'"&amp;F1737&amp;"'!$C$8")),"")</f>
        <v/>
      </c>
      <c r="K1737" s="48">
        <f t="shared" si="84"/>
        <v>1743</v>
      </c>
      <c r="L1737" s="114" t="str" cm="1">
        <f t="array" aca="1" ref="L1737" ca="1">IF(F1737&lt;&gt;"",INDIRECT("'"&amp;F1737&amp;"'!$F$17"),"")</f>
        <v/>
      </c>
      <c r="M1737" s="116" t="str">
        <f t="shared" ca="1" si="82"/>
        <v/>
      </c>
      <c r="O1737" s="49" t="str">
        <f t="shared" ca="1" si="83"/>
        <v/>
      </c>
      <c r="P1737" s="38" t="str">
        <f>IF(E1737&lt;&gt;"",RANK(E1737,$E$3:$E$2298)+COUNTIF($E$3:E1737,E1737)-1,"")</f>
        <v/>
      </c>
    </row>
    <row r="1738" spans="4:16" x14ac:dyDescent="0.25">
      <c r="D1738" s="36" t="str" cm="1">
        <f t="array" aca="1" ref="D1738" ca="1">IFERROR(IF(INDIRECT("'"&amp;F1738&amp;"'!$C$5")&gt;0,DATE(YEAR(Dashboard!$AL$2),Dashboard!$AU$4,INDIRECT("'"&amp;F1738&amp;"'!$C$5")),""),"")</f>
        <v/>
      </c>
      <c r="G1738" s="38" t="str" cm="1">
        <f t="array" aca="1" ref="G1738" ca="1">IF(F1738="",
    "",
    IFERROR(
        IF(INDIRECT("'"&amp;F1738&amp;"'!$B$2")="Credit Limit",
            "Credit Accounts",
            IF(INDIRECT("'"&amp;F1738&amp;"'!$E$2")="Location",
                "Cash Accounts",
                IF(INDIRECT("'"&amp;F1738&amp;"'!$B$2")="Amount",
                    "Investments",
                    "Bill Accounts"
                )
            )
        ),
    "")
)</f>
        <v/>
      </c>
      <c r="I1738" s="46" t="str" cm="1">
        <f t="array" aca="1" ref="I1738" ca="1">IF(F1738&lt;&gt;"",IF(OR(G1738="Bill Accounts",G1738="Investments", G1738="Cash Accounts"),INDIRECT("'"&amp;F1738&amp;"'!$C$10"),INDIRECT("'"&amp;F1738&amp;"'!$C$8")),"")</f>
        <v/>
      </c>
      <c r="K1738" s="48">
        <f t="shared" si="84"/>
        <v>1744</v>
      </c>
      <c r="L1738" s="114" t="str" cm="1">
        <f t="array" aca="1" ref="L1738" ca="1">IF(F1738&lt;&gt;"",INDIRECT("'"&amp;F1738&amp;"'!$F$17"),"")</f>
        <v/>
      </c>
      <c r="M1738" s="116" t="str">
        <f t="shared" ca="1" si="82"/>
        <v/>
      </c>
      <c r="O1738" s="49" t="str">
        <f t="shared" ca="1" si="83"/>
        <v/>
      </c>
      <c r="P1738" s="38" t="str">
        <f>IF(E1738&lt;&gt;"",RANK(E1738,$E$3:$E$2298)+COUNTIF($E$3:E1738,E1738)-1,"")</f>
        <v/>
      </c>
    </row>
    <row r="1739" spans="4:16" x14ac:dyDescent="0.25">
      <c r="D1739" s="36" t="str" cm="1">
        <f t="array" aca="1" ref="D1739" ca="1">IFERROR(IF(INDIRECT("'"&amp;F1739&amp;"'!$C$5")&gt;0,DATE(YEAR(Dashboard!$AL$2),Dashboard!$AU$4,INDIRECT("'"&amp;F1739&amp;"'!$C$5")),""),"")</f>
        <v/>
      </c>
      <c r="G1739" s="38" t="str" cm="1">
        <f t="array" aca="1" ref="G1739" ca="1">IF(F1739="",
    "",
    IFERROR(
        IF(INDIRECT("'"&amp;F1739&amp;"'!$B$2")="Credit Limit",
            "Credit Accounts",
            IF(INDIRECT("'"&amp;F1739&amp;"'!$E$2")="Location",
                "Cash Accounts",
                IF(INDIRECT("'"&amp;F1739&amp;"'!$B$2")="Amount",
                    "Investments",
                    "Bill Accounts"
                )
            )
        ),
    "")
)</f>
        <v/>
      </c>
      <c r="I1739" s="46" t="str" cm="1">
        <f t="array" aca="1" ref="I1739" ca="1">IF(F1739&lt;&gt;"",IF(OR(G1739="Bill Accounts",G1739="Investments", G1739="Cash Accounts"),INDIRECT("'"&amp;F1739&amp;"'!$C$10"),INDIRECT("'"&amp;F1739&amp;"'!$C$8")),"")</f>
        <v/>
      </c>
      <c r="K1739" s="48">
        <f t="shared" si="84"/>
        <v>1745</v>
      </c>
      <c r="L1739" s="114" t="str" cm="1">
        <f t="array" aca="1" ref="L1739" ca="1">IF(F1739&lt;&gt;"",INDIRECT("'"&amp;F1739&amp;"'!$F$17"),"")</f>
        <v/>
      </c>
      <c r="M1739" s="116" t="str">
        <f t="shared" ca="1" si="82"/>
        <v/>
      </c>
      <c r="O1739" s="49" t="str">
        <f t="shared" ca="1" si="83"/>
        <v/>
      </c>
      <c r="P1739" s="38" t="str">
        <f>IF(E1739&lt;&gt;"",RANK(E1739,$E$3:$E$2298)+COUNTIF($E$3:E1739,E1739)-1,"")</f>
        <v/>
      </c>
    </row>
    <row r="1740" spans="4:16" x14ac:dyDescent="0.25">
      <c r="D1740" s="36" t="str" cm="1">
        <f t="array" aca="1" ref="D1740" ca="1">IFERROR(IF(INDIRECT("'"&amp;F1740&amp;"'!$C$5")&gt;0,DATE(YEAR(Dashboard!$AL$2),Dashboard!$AU$4,INDIRECT("'"&amp;F1740&amp;"'!$C$5")),""),"")</f>
        <v/>
      </c>
      <c r="G1740" s="38" t="str" cm="1">
        <f t="array" aca="1" ref="G1740" ca="1">IF(F1740="",
    "",
    IFERROR(
        IF(INDIRECT("'"&amp;F1740&amp;"'!$B$2")="Credit Limit",
            "Credit Accounts",
            IF(INDIRECT("'"&amp;F1740&amp;"'!$E$2")="Location",
                "Cash Accounts",
                IF(INDIRECT("'"&amp;F1740&amp;"'!$B$2")="Amount",
                    "Investments",
                    "Bill Accounts"
                )
            )
        ),
    "")
)</f>
        <v/>
      </c>
      <c r="I1740" s="46" t="str" cm="1">
        <f t="array" aca="1" ref="I1740" ca="1">IF(F1740&lt;&gt;"",IF(OR(G1740="Bill Accounts",G1740="Investments", G1740="Cash Accounts"),INDIRECT("'"&amp;F1740&amp;"'!$C$10"),INDIRECT("'"&amp;F1740&amp;"'!$C$8")),"")</f>
        <v/>
      </c>
      <c r="K1740" s="48">
        <f t="shared" si="84"/>
        <v>1746</v>
      </c>
      <c r="L1740" s="114" t="str" cm="1">
        <f t="array" aca="1" ref="L1740" ca="1">IF(F1740&lt;&gt;"",INDIRECT("'"&amp;F1740&amp;"'!$F$17"),"")</f>
        <v/>
      </c>
      <c r="M1740" s="116" t="str">
        <f t="shared" ca="1" si="82"/>
        <v/>
      </c>
      <c r="O1740" s="49" t="str">
        <f t="shared" ca="1" si="83"/>
        <v/>
      </c>
      <c r="P1740" s="38" t="str">
        <f>IF(E1740&lt;&gt;"",RANK(E1740,$E$3:$E$2298)+COUNTIF($E$3:E1740,E1740)-1,"")</f>
        <v/>
      </c>
    </row>
    <row r="1741" spans="4:16" x14ac:dyDescent="0.25">
      <c r="D1741" s="36" t="str" cm="1">
        <f t="array" aca="1" ref="D1741" ca="1">IFERROR(IF(INDIRECT("'"&amp;F1741&amp;"'!$C$5")&gt;0,DATE(YEAR(Dashboard!$AL$2),Dashboard!$AU$4,INDIRECT("'"&amp;F1741&amp;"'!$C$5")),""),"")</f>
        <v/>
      </c>
      <c r="G1741" s="38" t="str" cm="1">
        <f t="array" aca="1" ref="G1741" ca="1">IF(F1741="",
    "",
    IFERROR(
        IF(INDIRECT("'"&amp;F1741&amp;"'!$B$2")="Credit Limit",
            "Credit Accounts",
            IF(INDIRECT("'"&amp;F1741&amp;"'!$E$2")="Location",
                "Cash Accounts",
                IF(INDIRECT("'"&amp;F1741&amp;"'!$B$2")="Amount",
                    "Investments",
                    "Bill Accounts"
                )
            )
        ),
    "")
)</f>
        <v/>
      </c>
      <c r="I1741" s="46" t="str" cm="1">
        <f t="array" aca="1" ref="I1741" ca="1">IF(F1741&lt;&gt;"",IF(OR(G1741="Bill Accounts",G1741="Investments", G1741="Cash Accounts"),INDIRECT("'"&amp;F1741&amp;"'!$C$10"),INDIRECT("'"&amp;F1741&amp;"'!$C$8")),"")</f>
        <v/>
      </c>
      <c r="K1741" s="48">
        <f t="shared" si="84"/>
        <v>1747</v>
      </c>
      <c r="L1741" s="114" t="str" cm="1">
        <f t="array" aca="1" ref="L1741" ca="1">IF(F1741&lt;&gt;"",INDIRECT("'"&amp;F1741&amp;"'!$F$17"),"")</f>
        <v/>
      </c>
      <c r="M1741" s="116" t="str">
        <f t="shared" ca="1" si="82"/>
        <v/>
      </c>
      <c r="O1741" s="49" t="str">
        <f t="shared" ca="1" si="83"/>
        <v/>
      </c>
      <c r="P1741" s="38" t="str">
        <f>IF(E1741&lt;&gt;"",RANK(E1741,$E$3:$E$2298)+COUNTIF($E$3:E1741,E1741)-1,"")</f>
        <v/>
      </c>
    </row>
    <row r="1742" spans="4:16" x14ac:dyDescent="0.25">
      <c r="D1742" s="36" t="str" cm="1">
        <f t="array" aca="1" ref="D1742" ca="1">IFERROR(IF(INDIRECT("'"&amp;F1742&amp;"'!$C$5")&gt;0,DATE(YEAR(Dashboard!$AL$2),Dashboard!$AU$4,INDIRECT("'"&amp;F1742&amp;"'!$C$5")),""),"")</f>
        <v/>
      </c>
      <c r="G1742" s="38" t="str" cm="1">
        <f t="array" aca="1" ref="G1742" ca="1">IF(F1742="",
    "",
    IFERROR(
        IF(INDIRECT("'"&amp;F1742&amp;"'!$B$2")="Credit Limit",
            "Credit Accounts",
            IF(INDIRECT("'"&amp;F1742&amp;"'!$E$2")="Location",
                "Cash Accounts",
                IF(INDIRECT("'"&amp;F1742&amp;"'!$B$2")="Amount",
                    "Investments",
                    "Bill Accounts"
                )
            )
        ),
    "")
)</f>
        <v/>
      </c>
      <c r="I1742" s="46" t="str" cm="1">
        <f t="array" aca="1" ref="I1742" ca="1">IF(F1742&lt;&gt;"",IF(OR(G1742="Bill Accounts",G1742="Investments", G1742="Cash Accounts"),INDIRECT("'"&amp;F1742&amp;"'!$C$10"),INDIRECT("'"&amp;F1742&amp;"'!$C$8")),"")</f>
        <v/>
      </c>
      <c r="K1742" s="48">
        <f t="shared" si="84"/>
        <v>1748</v>
      </c>
      <c r="L1742" s="114" t="str" cm="1">
        <f t="array" aca="1" ref="L1742" ca="1">IF(F1742&lt;&gt;"",INDIRECT("'"&amp;F1742&amp;"'!$F$17"),"")</f>
        <v/>
      </c>
      <c r="M1742" s="116" t="str">
        <f t="shared" ca="1" si="82"/>
        <v/>
      </c>
      <c r="O1742" s="49" t="str">
        <f t="shared" ca="1" si="83"/>
        <v/>
      </c>
      <c r="P1742" s="38" t="str">
        <f>IF(E1742&lt;&gt;"",RANK(E1742,$E$3:$E$2298)+COUNTIF($E$3:E1742,E1742)-1,"")</f>
        <v/>
      </c>
    </row>
    <row r="1743" spans="4:16" x14ac:dyDescent="0.25">
      <c r="D1743" s="36" t="str" cm="1">
        <f t="array" aca="1" ref="D1743" ca="1">IFERROR(IF(INDIRECT("'"&amp;F1743&amp;"'!$C$5")&gt;0,DATE(YEAR(Dashboard!$AL$2),Dashboard!$AU$4,INDIRECT("'"&amp;F1743&amp;"'!$C$5")),""),"")</f>
        <v/>
      </c>
      <c r="G1743" s="38" t="str" cm="1">
        <f t="array" aca="1" ref="G1743" ca="1">IF(F1743="",
    "",
    IFERROR(
        IF(INDIRECT("'"&amp;F1743&amp;"'!$B$2")="Credit Limit",
            "Credit Accounts",
            IF(INDIRECT("'"&amp;F1743&amp;"'!$E$2")="Location",
                "Cash Accounts",
                IF(INDIRECT("'"&amp;F1743&amp;"'!$B$2")="Amount",
                    "Investments",
                    "Bill Accounts"
                )
            )
        ),
    "")
)</f>
        <v/>
      </c>
      <c r="I1743" s="46" t="str" cm="1">
        <f t="array" aca="1" ref="I1743" ca="1">IF(F1743&lt;&gt;"",IF(OR(G1743="Bill Accounts",G1743="Investments", G1743="Cash Accounts"),INDIRECT("'"&amp;F1743&amp;"'!$C$10"),INDIRECT("'"&amp;F1743&amp;"'!$C$8")),"")</f>
        <v/>
      </c>
      <c r="K1743" s="48">
        <f t="shared" si="84"/>
        <v>1749</v>
      </c>
      <c r="L1743" s="114" t="str" cm="1">
        <f t="array" aca="1" ref="L1743" ca="1">IF(F1743&lt;&gt;"",INDIRECT("'"&amp;F1743&amp;"'!$F$17"),"")</f>
        <v/>
      </c>
      <c r="M1743" s="116" t="str">
        <f t="shared" ca="1" si="82"/>
        <v/>
      </c>
      <c r="O1743" s="49" t="str">
        <f t="shared" ca="1" si="83"/>
        <v/>
      </c>
      <c r="P1743" s="38" t="str">
        <f>IF(E1743&lt;&gt;"",RANK(E1743,$E$3:$E$2298)+COUNTIF($E$3:E1743,E1743)-1,"")</f>
        <v/>
      </c>
    </row>
    <row r="1744" spans="4:16" x14ac:dyDescent="0.25">
      <c r="D1744" s="36" t="str" cm="1">
        <f t="array" aca="1" ref="D1744" ca="1">IFERROR(IF(INDIRECT("'"&amp;F1744&amp;"'!$C$5")&gt;0,DATE(YEAR(Dashboard!$AL$2),Dashboard!$AU$4,INDIRECT("'"&amp;F1744&amp;"'!$C$5")),""),"")</f>
        <v/>
      </c>
      <c r="G1744" s="38" t="str" cm="1">
        <f t="array" aca="1" ref="G1744" ca="1">IF(F1744="",
    "",
    IFERROR(
        IF(INDIRECT("'"&amp;F1744&amp;"'!$B$2")="Credit Limit",
            "Credit Accounts",
            IF(INDIRECT("'"&amp;F1744&amp;"'!$E$2")="Location",
                "Cash Accounts",
                IF(INDIRECT("'"&amp;F1744&amp;"'!$B$2")="Amount",
                    "Investments",
                    "Bill Accounts"
                )
            )
        ),
    "")
)</f>
        <v/>
      </c>
      <c r="I1744" s="46" t="str" cm="1">
        <f t="array" aca="1" ref="I1744" ca="1">IF(F1744&lt;&gt;"",IF(OR(G1744="Bill Accounts",G1744="Investments", G1744="Cash Accounts"),INDIRECT("'"&amp;F1744&amp;"'!$C$10"),INDIRECT("'"&amp;F1744&amp;"'!$C$8")),"")</f>
        <v/>
      </c>
      <c r="K1744" s="48">
        <f t="shared" si="84"/>
        <v>1750</v>
      </c>
      <c r="L1744" s="114" t="str" cm="1">
        <f t="array" aca="1" ref="L1744" ca="1">IF(F1744&lt;&gt;"",INDIRECT("'"&amp;F1744&amp;"'!$F$17"),"")</f>
        <v/>
      </c>
      <c r="M1744" s="116" t="str">
        <f t="shared" ca="1" si="82"/>
        <v/>
      </c>
      <c r="O1744" s="49" t="str">
        <f t="shared" ca="1" si="83"/>
        <v/>
      </c>
      <c r="P1744" s="38" t="str">
        <f>IF(E1744&lt;&gt;"",RANK(E1744,$E$3:$E$2298)+COUNTIF($E$3:E1744,E1744)-1,"")</f>
        <v/>
      </c>
    </row>
    <row r="1745" spans="4:16" x14ac:dyDescent="0.25">
      <c r="D1745" s="36" t="str" cm="1">
        <f t="array" aca="1" ref="D1745" ca="1">IFERROR(IF(INDIRECT("'"&amp;F1745&amp;"'!$C$5")&gt;0,DATE(YEAR(Dashboard!$AL$2),Dashboard!$AU$4,INDIRECT("'"&amp;F1745&amp;"'!$C$5")),""),"")</f>
        <v/>
      </c>
      <c r="G1745" s="38" t="str" cm="1">
        <f t="array" aca="1" ref="G1745" ca="1">IF(F1745="",
    "",
    IFERROR(
        IF(INDIRECT("'"&amp;F1745&amp;"'!$B$2")="Credit Limit",
            "Credit Accounts",
            IF(INDIRECT("'"&amp;F1745&amp;"'!$E$2")="Location",
                "Cash Accounts",
                IF(INDIRECT("'"&amp;F1745&amp;"'!$B$2")="Amount",
                    "Investments",
                    "Bill Accounts"
                )
            )
        ),
    "")
)</f>
        <v/>
      </c>
      <c r="I1745" s="46" t="str" cm="1">
        <f t="array" aca="1" ref="I1745" ca="1">IF(F1745&lt;&gt;"",IF(OR(G1745="Bill Accounts",G1745="Investments", G1745="Cash Accounts"),INDIRECT("'"&amp;F1745&amp;"'!$C$10"),INDIRECT("'"&amp;F1745&amp;"'!$C$8")),"")</f>
        <v/>
      </c>
      <c r="K1745" s="48">
        <f t="shared" si="84"/>
        <v>1751</v>
      </c>
      <c r="L1745" s="114" t="str" cm="1">
        <f t="array" aca="1" ref="L1745" ca="1">IF(F1745&lt;&gt;"",INDIRECT("'"&amp;F1745&amp;"'!$F$17"),"")</f>
        <v/>
      </c>
      <c r="M1745" s="116" t="str">
        <f t="shared" ca="1" si="82"/>
        <v/>
      </c>
      <c r="O1745" s="49" t="str">
        <f t="shared" ca="1" si="83"/>
        <v/>
      </c>
      <c r="P1745" s="38" t="str">
        <f>IF(E1745&lt;&gt;"",RANK(E1745,$E$3:$E$2298)+COUNTIF($E$3:E1745,E1745)-1,"")</f>
        <v/>
      </c>
    </row>
    <row r="1746" spans="4:16" x14ac:dyDescent="0.25">
      <c r="D1746" s="36" t="str" cm="1">
        <f t="array" aca="1" ref="D1746" ca="1">IFERROR(IF(INDIRECT("'"&amp;F1746&amp;"'!$C$5")&gt;0,DATE(YEAR(Dashboard!$AL$2),Dashboard!$AU$4,INDIRECT("'"&amp;F1746&amp;"'!$C$5")),""),"")</f>
        <v/>
      </c>
      <c r="G1746" s="38" t="str" cm="1">
        <f t="array" aca="1" ref="G1746" ca="1">IF(F1746="",
    "",
    IFERROR(
        IF(INDIRECT("'"&amp;F1746&amp;"'!$B$2")="Credit Limit",
            "Credit Accounts",
            IF(INDIRECT("'"&amp;F1746&amp;"'!$E$2")="Location",
                "Cash Accounts",
                IF(INDIRECT("'"&amp;F1746&amp;"'!$B$2")="Amount",
                    "Investments",
                    "Bill Accounts"
                )
            )
        ),
    "")
)</f>
        <v/>
      </c>
      <c r="I1746" s="46" t="str" cm="1">
        <f t="array" aca="1" ref="I1746" ca="1">IF(F1746&lt;&gt;"",IF(OR(G1746="Bill Accounts",G1746="Investments", G1746="Cash Accounts"),INDIRECT("'"&amp;F1746&amp;"'!$C$10"),INDIRECT("'"&amp;F1746&amp;"'!$C$8")),"")</f>
        <v/>
      </c>
      <c r="K1746" s="48">
        <f t="shared" si="84"/>
        <v>1752</v>
      </c>
      <c r="L1746" s="114" t="str" cm="1">
        <f t="array" aca="1" ref="L1746" ca="1">IF(F1746&lt;&gt;"",INDIRECT("'"&amp;F1746&amp;"'!$F$17"),"")</f>
        <v/>
      </c>
      <c r="M1746" s="116" t="str">
        <f t="shared" ca="1" si="82"/>
        <v/>
      </c>
      <c r="O1746" s="49" t="str">
        <f t="shared" ca="1" si="83"/>
        <v/>
      </c>
      <c r="P1746" s="38" t="str">
        <f>IF(E1746&lt;&gt;"",RANK(E1746,$E$3:$E$2298)+COUNTIF($E$3:E1746,E1746)-1,"")</f>
        <v/>
      </c>
    </row>
    <row r="1747" spans="4:16" x14ac:dyDescent="0.25">
      <c r="D1747" s="36" t="str" cm="1">
        <f t="array" aca="1" ref="D1747" ca="1">IFERROR(IF(INDIRECT("'"&amp;F1747&amp;"'!$C$5")&gt;0,DATE(YEAR(Dashboard!$AL$2),Dashboard!$AU$4,INDIRECT("'"&amp;F1747&amp;"'!$C$5")),""),"")</f>
        <v/>
      </c>
      <c r="G1747" s="38" t="str" cm="1">
        <f t="array" aca="1" ref="G1747" ca="1">IF(F1747="",
    "",
    IFERROR(
        IF(INDIRECT("'"&amp;F1747&amp;"'!$B$2")="Credit Limit",
            "Credit Accounts",
            IF(INDIRECT("'"&amp;F1747&amp;"'!$E$2")="Location",
                "Cash Accounts",
                IF(INDIRECT("'"&amp;F1747&amp;"'!$B$2")="Amount",
                    "Investments",
                    "Bill Accounts"
                )
            )
        ),
    "")
)</f>
        <v/>
      </c>
      <c r="I1747" s="46" t="str" cm="1">
        <f t="array" aca="1" ref="I1747" ca="1">IF(F1747&lt;&gt;"",IF(OR(G1747="Bill Accounts",G1747="Investments", G1747="Cash Accounts"),INDIRECT("'"&amp;F1747&amp;"'!$C$10"),INDIRECT("'"&amp;F1747&amp;"'!$C$8")),"")</f>
        <v/>
      </c>
      <c r="K1747" s="48">
        <f t="shared" si="84"/>
        <v>1753</v>
      </c>
      <c r="L1747" s="114" t="str" cm="1">
        <f t="array" aca="1" ref="L1747" ca="1">IF(F1747&lt;&gt;"",INDIRECT("'"&amp;F1747&amp;"'!$F$17"),"")</f>
        <v/>
      </c>
      <c r="M1747" s="116" t="str">
        <f t="shared" ca="1" si="82"/>
        <v/>
      </c>
      <c r="O1747" s="49" t="str">
        <f t="shared" ca="1" si="83"/>
        <v/>
      </c>
      <c r="P1747" s="38" t="str">
        <f>IF(E1747&lt;&gt;"",RANK(E1747,$E$3:$E$2298)+COUNTIF($E$3:E1747,E1747)-1,"")</f>
        <v/>
      </c>
    </row>
    <row r="1748" spans="4:16" x14ac:dyDescent="0.25">
      <c r="D1748" s="36" t="str" cm="1">
        <f t="array" aca="1" ref="D1748" ca="1">IFERROR(IF(INDIRECT("'"&amp;F1748&amp;"'!$C$5")&gt;0,DATE(YEAR(Dashboard!$AL$2),Dashboard!$AU$4,INDIRECT("'"&amp;F1748&amp;"'!$C$5")),""),"")</f>
        <v/>
      </c>
      <c r="G1748" s="38" t="str" cm="1">
        <f t="array" aca="1" ref="G1748" ca="1">IF(F1748="",
    "",
    IFERROR(
        IF(INDIRECT("'"&amp;F1748&amp;"'!$B$2")="Credit Limit",
            "Credit Accounts",
            IF(INDIRECT("'"&amp;F1748&amp;"'!$E$2")="Location",
                "Cash Accounts",
                IF(INDIRECT("'"&amp;F1748&amp;"'!$B$2")="Amount",
                    "Investments",
                    "Bill Accounts"
                )
            )
        ),
    "")
)</f>
        <v/>
      </c>
      <c r="I1748" s="46" t="str" cm="1">
        <f t="array" aca="1" ref="I1748" ca="1">IF(F1748&lt;&gt;"",IF(OR(G1748="Bill Accounts",G1748="Investments", G1748="Cash Accounts"),INDIRECT("'"&amp;F1748&amp;"'!$C$10"),INDIRECT("'"&amp;F1748&amp;"'!$C$8")),"")</f>
        <v/>
      </c>
      <c r="K1748" s="48">
        <f t="shared" si="84"/>
        <v>1754</v>
      </c>
      <c r="L1748" s="114" t="str" cm="1">
        <f t="array" aca="1" ref="L1748" ca="1">IF(F1748&lt;&gt;"",INDIRECT("'"&amp;F1748&amp;"'!$F$17"),"")</f>
        <v/>
      </c>
      <c r="M1748" s="116" t="str">
        <f t="shared" ca="1" si="82"/>
        <v/>
      </c>
      <c r="O1748" s="49" t="str">
        <f t="shared" ca="1" si="83"/>
        <v/>
      </c>
      <c r="P1748" s="38" t="str">
        <f>IF(E1748&lt;&gt;"",RANK(E1748,$E$3:$E$2298)+COUNTIF($E$3:E1748,E1748)-1,"")</f>
        <v/>
      </c>
    </row>
    <row r="1749" spans="4:16" x14ac:dyDescent="0.25">
      <c r="D1749" s="36" t="str" cm="1">
        <f t="array" aca="1" ref="D1749" ca="1">IFERROR(IF(INDIRECT("'"&amp;F1749&amp;"'!$C$5")&gt;0,DATE(YEAR(Dashboard!$AL$2),Dashboard!$AU$4,INDIRECT("'"&amp;F1749&amp;"'!$C$5")),""),"")</f>
        <v/>
      </c>
      <c r="G1749" s="38" t="str" cm="1">
        <f t="array" aca="1" ref="G1749" ca="1">IF(F1749="",
    "",
    IFERROR(
        IF(INDIRECT("'"&amp;F1749&amp;"'!$B$2")="Credit Limit",
            "Credit Accounts",
            IF(INDIRECT("'"&amp;F1749&amp;"'!$E$2")="Location",
                "Cash Accounts",
                IF(INDIRECT("'"&amp;F1749&amp;"'!$B$2")="Amount",
                    "Investments",
                    "Bill Accounts"
                )
            )
        ),
    "")
)</f>
        <v/>
      </c>
      <c r="I1749" s="46" t="str" cm="1">
        <f t="array" aca="1" ref="I1749" ca="1">IF(F1749&lt;&gt;"",IF(OR(G1749="Bill Accounts",G1749="Investments", G1749="Cash Accounts"),INDIRECT("'"&amp;F1749&amp;"'!$C$10"),INDIRECT("'"&amp;F1749&amp;"'!$C$8")),"")</f>
        <v/>
      </c>
      <c r="K1749" s="48">
        <f t="shared" si="84"/>
        <v>1755</v>
      </c>
      <c r="L1749" s="114" t="str" cm="1">
        <f t="array" aca="1" ref="L1749" ca="1">IF(F1749&lt;&gt;"",INDIRECT("'"&amp;F1749&amp;"'!$F$17"),"")</f>
        <v/>
      </c>
      <c r="M1749" s="116" t="str">
        <f t="shared" ca="1" si="82"/>
        <v/>
      </c>
      <c r="O1749" s="49" t="str">
        <f t="shared" ca="1" si="83"/>
        <v/>
      </c>
      <c r="P1749" s="38" t="str">
        <f>IF(E1749&lt;&gt;"",RANK(E1749,$E$3:$E$2298)+COUNTIF($E$3:E1749,E1749)-1,"")</f>
        <v/>
      </c>
    </row>
    <row r="1750" spans="4:16" x14ac:dyDescent="0.25">
      <c r="D1750" s="36" t="str" cm="1">
        <f t="array" aca="1" ref="D1750" ca="1">IFERROR(IF(INDIRECT("'"&amp;F1750&amp;"'!$C$5")&gt;0,DATE(YEAR(Dashboard!$AL$2),Dashboard!$AU$4,INDIRECT("'"&amp;F1750&amp;"'!$C$5")),""),"")</f>
        <v/>
      </c>
      <c r="G1750" s="38" t="str" cm="1">
        <f t="array" aca="1" ref="G1750" ca="1">IF(F1750="",
    "",
    IFERROR(
        IF(INDIRECT("'"&amp;F1750&amp;"'!$B$2")="Credit Limit",
            "Credit Accounts",
            IF(INDIRECT("'"&amp;F1750&amp;"'!$E$2")="Location",
                "Cash Accounts",
                IF(INDIRECT("'"&amp;F1750&amp;"'!$B$2")="Amount",
                    "Investments",
                    "Bill Accounts"
                )
            )
        ),
    "")
)</f>
        <v/>
      </c>
      <c r="I1750" s="46" t="str" cm="1">
        <f t="array" aca="1" ref="I1750" ca="1">IF(F1750&lt;&gt;"",IF(OR(G1750="Bill Accounts",G1750="Investments", G1750="Cash Accounts"),INDIRECT("'"&amp;F1750&amp;"'!$C$10"),INDIRECT("'"&amp;F1750&amp;"'!$C$8")),"")</f>
        <v/>
      </c>
      <c r="K1750" s="48">
        <f t="shared" si="84"/>
        <v>1756</v>
      </c>
      <c r="L1750" s="114" t="str" cm="1">
        <f t="array" aca="1" ref="L1750" ca="1">IF(F1750&lt;&gt;"",INDIRECT("'"&amp;F1750&amp;"'!$F$17"),"")</f>
        <v/>
      </c>
      <c r="M1750" s="116" t="str">
        <f t="shared" ca="1" si="82"/>
        <v/>
      </c>
      <c r="O1750" s="49" t="str">
        <f t="shared" ca="1" si="83"/>
        <v/>
      </c>
      <c r="P1750" s="38" t="str">
        <f>IF(E1750&lt;&gt;"",RANK(E1750,$E$3:$E$2298)+COUNTIF($E$3:E1750,E1750)-1,"")</f>
        <v/>
      </c>
    </row>
    <row r="1751" spans="4:16" x14ac:dyDescent="0.25">
      <c r="D1751" s="36" t="str" cm="1">
        <f t="array" aca="1" ref="D1751" ca="1">IFERROR(IF(INDIRECT("'"&amp;F1751&amp;"'!$C$5")&gt;0,DATE(YEAR(Dashboard!$AL$2),Dashboard!$AU$4,INDIRECT("'"&amp;F1751&amp;"'!$C$5")),""),"")</f>
        <v/>
      </c>
      <c r="G1751" s="38" t="str" cm="1">
        <f t="array" aca="1" ref="G1751" ca="1">IF(F1751="",
    "",
    IFERROR(
        IF(INDIRECT("'"&amp;F1751&amp;"'!$B$2")="Credit Limit",
            "Credit Accounts",
            IF(INDIRECT("'"&amp;F1751&amp;"'!$E$2")="Location",
                "Cash Accounts",
                IF(INDIRECT("'"&amp;F1751&amp;"'!$B$2")="Amount",
                    "Investments",
                    "Bill Accounts"
                )
            )
        ),
    "")
)</f>
        <v/>
      </c>
      <c r="I1751" s="46" t="str" cm="1">
        <f t="array" aca="1" ref="I1751" ca="1">IF(F1751&lt;&gt;"",IF(OR(G1751="Bill Accounts",G1751="Investments", G1751="Cash Accounts"),INDIRECT("'"&amp;F1751&amp;"'!$C$10"),INDIRECT("'"&amp;F1751&amp;"'!$C$8")),"")</f>
        <v/>
      </c>
      <c r="K1751" s="48">
        <f t="shared" si="84"/>
        <v>1757</v>
      </c>
      <c r="L1751" s="114" t="str" cm="1">
        <f t="array" aca="1" ref="L1751" ca="1">IF(F1751&lt;&gt;"",INDIRECT("'"&amp;F1751&amp;"'!$F$17"),"")</f>
        <v/>
      </c>
      <c r="M1751" s="116" t="str">
        <f t="shared" ca="1" si="82"/>
        <v/>
      </c>
      <c r="O1751" s="49" t="str">
        <f t="shared" ca="1" si="83"/>
        <v/>
      </c>
      <c r="P1751" s="38" t="str">
        <f>IF(E1751&lt;&gt;"",RANK(E1751,$E$3:$E$2298)+COUNTIF($E$3:E1751,E1751)-1,"")</f>
        <v/>
      </c>
    </row>
    <row r="1752" spans="4:16" x14ac:dyDescent="0.25">
      <c r="D1752" s="36" t="str" cm="1">
        <f t="array" aca="1" ref="D1752" ca="1">IFERROR(IF(INDIRECT("'"&amp;F1752&amp;"'!$C$5")&gt;0,DATE(YEAR(Dashboard!$AL$2),Dashboard!$AU$4,INDIRECT("'"&amp;F1752&amp;"'!$C$5")),""),"")</f>
        <v/>
      </c>
      <c r="G1752" s="38" t="str" cm="1">
        <f t="array" aca="1" ref="G1752" ca="1">IF(F1752="",
    "",
    IFERROR(
        IF(INDIRECT("'"&amp;F1752&amp;"'!$B$2")="Credit Limit",
            "Credit Accounts",
            IF(INDIRECT("'"&amp;F1752&amp;"'!$E$2")="Location",
                "Cash Accounts",
                IF(INDIRECT("'"&amp;F1752&amp;"'!$B$2")="Amount",
                    "Investments",
                    "Bill Accounts"
                )
            )
        ),
    "")
)</f>
        <v/>
      </c>
      <c r="I1752" s="46" t="str" cm="1">
        <f t="array" aca="1" ref="I1752" ca="1">IF(F1752&lt;&gt;"",IF(OR(G1752="Bill Accounts",G1752="Investments", G1752="Cash Accounts"),INDIRECT("'"&amp;F1752&amp;"'!$C$10"),INDIRECT("'"&amp;F1752&amp;"'!$C$8")),"")</f>
        <v/>
      </c>
      <c r="K1752" s="48">
        <f t="shared" si="84"/>
        <v>1758</v>
      </c>
      <c r="L1752" s="114" t="str" cm="1">
        <f t="array" aca="1" ref="L1752" ca="1">IF(F1752&lt;&gt;"",INDIRECT("'"&amp;F1752&amp;"'!$F$17"),"")</f>
        <v/>
      </c>
      <c r="M1752" s="116" t="str">
        <f t="shared" ca="1" si="82"/>
        <v/>
      </c>
      <c r="O1752" s="49" t="str">
        <f t="shared" ca="1" si="83"/>
        <v/>
      </c>
      <c r="P1752" s="38" t="str">
        <f>IF(E1752&lt;&gt;"",RANK(E1752,$E$3:$E$2298)+COUNTIF($E$3:E1752,E1752)-1,"")</f>
        <v/>
      </c>
    </row>
    <row r="1753" spans="4:16" x14ac:dyDescent="0.25">
      <c r="D1753" s="36" t="str" cm="1">
        <f t="array" aca="1" ref="D1753" ca="1">IFERROR(IF(INDIRECT("'"&amp;F1753&amp;"'!$C$5")&gt;0,DATE(YEAR(Dashboard!$AL$2),Dashboard!$AU$4,INDIRECT("'"&amp;F1753&amp;"'!$C$5")),""),"")</f>
        <v/>
      </c>
      <c r="G1753" s="38" t="str" cm="1">
        <f t="array" aca="1" ref="G1753" ca="1">IF(F1753="",
    "",
    IFERROR(
        IF(INDIRECT("'"&amp;F1753&amp;"'!$B$2")="Credit Limit",
            "Credit Accounts",
            IF(INDIRECT("'"&amp;F1753&amp;"'!$E$2")="Location",
                "Cash Accounts",
                IF(INDIRECT("'"&amp;F1753&amp;"'!$B$2")="Amount",
                    "Investments",
                    "Bill Accounts"
                )
            )
        ),
    "")
)</f>
        <v/>
      </c>
      <c r="I1753" s="46" t="str" cm="1">
        <f t="array" aca="1" ref="I1753" ca="1">IF(F1753&lt;&gt;"",IF(OR(G1753="Bill Accounts",G1753="Investments", G1753="Cash Accounts"),INDIRECT("'"&amp;F1753&amp;"'!$C$10"),INDIRECT("'"&amp;F1753&amp;"'!$C$8")),"")</f>
        <v/>
      </c>
      <c r="K1753" s="48">
        <f t="shared" si="84"/>
        <v>1759</v>
      </c>
      <c r="L1753" s="114" t="str" cm="1">
        <f t="array" aca="1" ref="L1753" ca="1">IF(F1753&lt;&gt;"",INDIRECT("'"&amp;F1753&amp;"'!$F$17"),"")</f>
        <v/>
      </c>
      <c r="M1753" s="116" t="str">
        <f t="shared" ca="1" si="82"/>
        <v/>
      </c>
      <c r="O1753" s="49" t="str">
        <f t="shared" ca="1" si="83"/>
        <v/>
      </c>
      <c r="P1753" s="38" t="str">
        <f>IF(E1753&lt;&gt;"",RANK(E1753,$E$3:$E$2298)+COUNTIF($E$3:E1753,E1753)-1,"")</f>
        <v/>
      </c>
    </row>
    <row r="1754" spans="4:16" x14ac:dyDescent="0.25">
      <c r="D1754" s="36" t="str" cm="1">
        <f t="array" aca="1" ref="D1754" ca="1">IFERROR(IF(INDIRECT("'"&amp;F1754&amp;"'!$C$5")&gt;0,DATE(YEAR(Dashboard!$AL$2),Dashboard!$AU$4,INDIRECT("'"&amp;F1754&amp;"'!$C$5")),""),"")</f>
        <v/>
      </c>
      <c r="G1754" s="38" t="str" cm="1">
        <f t="array" aca="1" ref="G1754" ca="1">IF(F1754="",
    "",
    IFERROR(
        IF(INDIRECT("'"&amp;F1754&amp;"'!$B$2")="Credit Limit",
            "Credit Accounts",
            IF(INDIRECT("'"&amp;F1754&amp;"'!$E$2")="Location",
                "Cash Accounts",
                IF(INDIRECT("'"&amp;F1754&amp;"'!$B$2")="Amount",
                    "Investments",
                    "Bill Accounts"
                )
            )
        ),
    "")
)</f>
        <v/>
      </c>
      <c r="I1754" s="46" t="str" cm="1">
        <f t="array" aca="1" ref="I1754" ca="1">IF(F1754&lt;&gt;"",IF(OR(G1754="Bill Accounts",G1754="Investments", G1754="Cash Accounts"),INDIRECT("'"&amp;F1754&amp;"'!$C$10"),INDIRECT("'"&amp;F1754&amp;"'!$C$8")),"")</f>
        <v/>
      </c>
      <c r="K1754" s="48">
        <f t="shared" si="84"/>
        <v>1760</v>
      </c>
      <c r="L1754" s="114" t="str" cm="1">
        <f t="array" aca="1" ref="L1754" ca="1">IF(F1754&lt;&gt;"",INDIRECT("'"&amp;F1754&amp;"'!$F$17"),"")</f>
        <v/>
      </c>
      <c r="M1754" s="116" t="str">
        <f t="shared" ca="1" si="82"/>
        <v/>
      </c>
      <c r="O1754" s="49" t="str">
        <f t="shared" ca="1" si="83"/>
        <v/>
      </c>
      <c r="P1754" s="38" t="str">
        <f>IF(E1754&lt;&gt;"",RANK(E1754,$E$3:$E$2298)+COUNTIF($E$3:E1754,E1754)-1,"")</f>
        <v/>
      </c>
    </row>
    <row r="1755" spans="4:16" x14ac:dyDescent="0.25">
      <c r="D1755" s="36" t="str" cm="1">
        <f t="array" aca="1" ref="D1755" ca="1">IFERROR(IF(INDIRECT("'"&amp;F1755&amp;"'!$C$5")&gt;0,DATE(YEAR(Dashboard!$AL$2),Dashboard!$AU$4,INDIRECT("'"&amp;F1755&amp;"'!$C$5")),""),"")</f>
        <v/>
      </c>
      <c r="G1755" s="38" t="str" cm="1">
        <f t="array" aca="1" ref="G1755" ca="1">IF(F1755="",
    "",
    IFERROR(
        IF(INDIRECT("'"&amp;F1755&amp;"'!$B$2")="Credit Limit",
            "Credit Accounts",
            IF(INDIRECT("'"&amp;F1755&amp;"'!$E$2")="Location",
                "Cash Accounts",
                IF(INDIRECT("'"&amp;F1755&amp;"'!$B$2")="Amount",
                    "Investments",
                    "Bill Accounts"
                )
            )
        ),
    "")
)</f>
        <v/>
      </c>
      <c r="I1755" s="46" t="str" cm="1">
        <f t="array" aca="1" ref="I1755" ca="1">IF(F1755&lt;&gt;"",IF(OR(G1755="Bill Accounts",G1755="Investments", G1755="Cash Accounts"),INDIRECT("'"&amp;F1755&amp;"'!$C$10"),INDIRECT("'"&amp;F1755&amp;"'!$C$8")),"")</f>
        <v/>
      </c>
      <c r="K1755" s="48">
        <f t="shared" si="84"/>
        <v>1761</v>
      </c>
      <c r="L1755" s="114" t="str" cm="1">
        <f t="array" aca="1" ref="L1755" ca="1">IF(F1755&lt;&gt;"",INDIRECT("'"&amp;F1755&amp;"'!$F$17"),"")</f>
        <v/>
      </c>
      <c r="M1755" s="116" t="str">
        <f t="shared" ca="1" si="82"/>
        <v/>
      </c>
      <c r="O1755" s="49" t="str">
        <f t="shared" ca="1" si="83"/>
        <v/>
      </c>
      <c r="P1755" s="38" t="str">
        <f>IF(E1755&lt;&gt;"",RANK(E1755,$E$3:$E$2298)+COUNTIF($E$3:E1755,E1755)-1,"")</f>
        <v/>
      </c>
    </row>
    <row r="1756" spans="4:16" x14ac:dyDescent="0.25">
      <c r="D1756" s="36" t="str" cm="1">
        <f t="array" aca="1" ref="D1756" ca="1">IFERROR(IF(INDIRECT("'"&amp;F1756&amp;"'!$C$5")&gt;0,DATE(YEAR(Dashboard!$AL$2),Dashboard!$AU$4,INDIRECT("'"&amp;F1756&amp;"'!$C$5")),""),"")</f>
        <v/>
      </c>
      <c r="G1756" s="38" t="str" cm="1">
        <f t="array" aca="1" ref="G1756" ca="1">IF(F1756="",
    "",
    IFERROR(
        IF(INDIRECT("'"&amp;F1756&amp;"'!$B$2")="Credit Limit",
            "Credit Accounts",
            IF(INDIRECT("'"&amp;F1756&amp;"'!$E$2")="Location",
                "Cash Accounts",
                IF(INDIRECT("'"&amp;F1756&amp;"'!$B$2")="Amount",
                    "Investments",
                    "Bill Accounts"
                )
            )
        ),
    "")
)</f>
        <v/>
      </c>
      <c r="I1756" s="46" t="str" cm="1">
        <f t="array" aca="1" ref="I1756" ca="1">IF(F1756&lt;&gt;"",IF(OR(G1756="Bill Accounts",G1756="Investments", G1756="Cash Accounts"),INDIRECT("'"&amp;F1756&amp;"'!$C$10"),INDIRECT("'"&amp;F1756&amp;"'!$C$8")),"")</f>
        <v/>
      </c>
      <c r="K1756" s="48">
        <f t="shared" si="84"/>
        <v>1762</v>
      </c>
      <c r="L1756" s="114" t="str" cm="1">
        <f t="array" aca="1" ref="L1756" ca="1">IF(F1756&lt;&gt;"",INDIRECT("'"&amp;F1756&amp;"'!$F$17"),"")</f>
        <v/>
      </c>
      <c r="M1756" s="116" t="str">
        <f t="shared" ca="1" si="82"/>
        <v/>
      </c>
      <c r="O1756" s="49" t="str">
        <f t="shared" ca="1" si="83"/>
        <v/>
      </c>
      <c r="P1756" s="38" t="str">
        <f>IF(E1756&lt;&gt;"",RANK(E1756,$E$3:$E$2298)+COUNTIF($E$3:E1756,E1756)-1,"")</f>
        <v/>
      </c>
    </row>
    <row r="1757" spans="4:16" x14ac:dyDescent="0.25">
      <c r="D1757" s="36" t="str" cm="1">
        <f t="array" aca="1" ref="D1757" ca="1">IFERROR(IF(INDIRECT("'"&amp;F1757&amp;"'!$C$5")&gt;0,DATE(YEAR(Dashboard!$AL$2),Dashboard!$AU$4,INDIRECT("'"&amp;F1757&amp;"'!$C$5")),""),"")</f>
        <v/>
      </c>
      <c r="G1757" s="38" t="str" cm="1">
        <f t="array" aca="1" ref="G1757" ca="1">IF(F1757="",
    "",
    IFERROR(
        IF(INDIRECT("'"&amp;F1757&amp;"'!$B$2")="Credit Limit",
            "Credit Accounts",
            IF(INDIRECT("'"&amp;F1757&amp;"'!$E$2")="Location",
                "Cash Accounts",
                IF(INDIRECT("'"&amp;F1757&amp;"'!$B$2")="Amount",
                    "Investments",
                    "Bill Accounts"
                )
            )
        ),
    "")
)</f>
        <v/>
      </c>
      <c r="I1757" s="46" t="str" cm="1">
        <f t="array" aca="1" ref="I1757" ca="1">IF(F1757&lt;&gt;"",IF(OR(G1757="Bill Accounts",G1757="Investments", G1757="Cash Accounts"),INDIRECT("'"&amp;F1757&amp;"'!$C$10"),INDIRECT("'"&amp;F1757&amp;"'!$C$8")),"")</f>
        <v/>
      </c>
      <c r="K1757" s="48">
        <f t="shared" si="84"/>
        <v>1763</v>
      </c>
      <c r="L1757" s="114" t="str" cm="1">
        <f t="array" aca="1" ref="L1757" ca="1">IF(F1757&lt;&gt;"",INDIRECT("'"&amp;F1757&amp;"'!$F$17"),"")</f>
        <v/>
      </c>
      <c r="M1757" s="116" t="str">
        <f t="shared" ca="1" si="82"/>
        <v/>
      </c>
      <c r="O1757" s="49" t="str">
        <f t="shared" ca="1" si="83"/>
        <v/>
      </c>
      <c r="P1757" s="38" t="str">
        <f>IF(E1757&lt;&gt;"",RANK(E1757,$E$3:$E$2298)+COUNTIF($E$3:E1757,E1757)-1,"")</f>
        <v/>
      </c>
    </row>
    <row r="1758" spans="4:16" x14ac:dyDescent="0.25">
      <c r="D1758" s="36" t="str" cm="1">
        <f t="array" aca="1" ref="D1758" ca="1">IFERROR(IF(INDIRECT("'"&amp;F1758&amp;"'!$C$5")&gt;0,DATE(YEAR(Dashboard!$AL$2),Dashboard!$AU$4,INDIRECT("'"&amp;F1758&amp;"'!$C$5")),""),"")</f>
        <v/>
      </c>
      <c r="G1758" s="38" t="str" cm="1">
        <f t="array" aca="1" ref="G1758" ca="1">IF(F1758="",
    "",
    IFERROR(
        IF(INDIRECT("'"&amp;F1758&amp;"'!$B$2")="Credit Limit",
            "Credit Accounts",
            IF(INDIRECT("'"&amp;F1758&amp;"'!$E$2")="Location",
                "Cash Accounts",
                IF(INDIRECT("'"&amp;F1758&amp;"'!$B$2")="Amount",
                    "Investments",
                    "Bill Accounts"
                )
            )
        ),
    "")
)</f>
        <v/>
      </c>
      <c r="I1758" s="46" t="str" cm="1">
        <f t="array" aca="1" ref="I1758" ca="1">IF(F1758&lt;&gt;"",IF(OR(G1758="Bill Accounts",G1758="Investments", G1758="Cash Accounts"),INDIRECT("'"&amp;F1758&amp;"'!$C$10"),INDIRECT("'"&amp;F1758&amp;"'!$C$8")),"")</f>
        <v/>
      </c>
      <c r="K1758" s="48">
        <f t="shared" si="84"/>
        <v>1764</v>
      </c>
      <c r="L1758" s="114" t="str" cm="1">
        <f t="array" aca="1" ref="L1758" ca="1">IF(F1758&lt;&gt;"",INDIRECT("'"&amp;F1758&amp;"'!$F$17"),"")</f>
        <v/>
      </c>
      <c r="M1758" s="116" t="str">
        <f t="shared" ca="1" si="82"/>
        <v/>
      </c>
      <c r="O1758" s="49" t="str">
        <f t="shared" ca="1" si="83"/>
        <v/>
      </c>
      <c r="P1758" s="38" t="str">
        <f>IF(E1758&lt;&gt;"",RANK(E1758,$E$3:$E$2298)+COUNTIF($E$3:E1758,E1758)-1,"")</f>
        <v/>
      </c>
    </row>
    <row r="1759" spans="4:16" x14ac:dyDescent="0.25">
      <c r="D1759" s="36" t="str" cm="1">
        <f t="array" aca="1" ref="D1759" ca="1">IFERROR(IF(INDIRECT("'"&amp;F1759&amp;"'!$C$5")&gt;0,DATE(YEAR(Dashboard!$AL$2),Dashboard!$AU$4,INDIRECT("'"&amp;F1759&amp;"'!$C$5")),""),"")</f>
        <v/>
      </c>
      <c r="G1759" s="38" t="str" cm="1">
        <f t="array" aca="1" ref="G1759" ca="1">IF(F1759="",
    "",
    IFERROR(
        IF(INDIRECT("'"&amp;F1759&amp;"'!$B$2")="Credit Limit",
            "Credit Accounts",
            IF(INDIRECT("'"&amp;F1759&amp;"'!$E$2")="Location",
                "Cash Accounts",
                IF(INDIRECT("'"&amp;F1759&amp;"'!$B$2")="Amount",
                    "Investments",
                    "Bill Accounts"
                )
            )
        ),
    "")
)</f>
        <v/>
      </c>
      <c r="I1759" s="46" t="str" cm="1">
        <f t="array" aca="1" ref="I1759" ca="1">IF(F1759&lt;&gt;"",IF(OR(G1759="Bill Accounts",G1759="Investments", G1759="Cash Accounts"),INDIRECT("'"&amp;F1759&amp;"'!$C$10"),INDIRECT("'"&amp;F1759&amp;"'!$C$8")),"")</f>
        <v/>
      </c>
      <c r="K1759" s="48">
        <f t="shared" si="84"/>
        <v>1765</v>
      </c>
      <c r="L1759" s="114" t="str" cm="1">
        <f t="array" aca="1" ref="L1759" ca="1">IF(F1759&lt;&gt;"",INDIRECT("'"&amp;F1759&amp;"'!$F$17"),"")</f>
        <v/>
      </c>
      <c r="M1759" s="116" t="str">
        <f t="shared" ca="1" si="82"/>
        <v/>
      </c>
      <c r="O1759" s="49" t="str">
        <f t="shared" ca="1" si="83"/>
        <v/>
      </c>
      <c r="P1759" s="38" t="str">
        <f>IF(E1759&lt;&gt;"",RANK(E1759,$E$3:$E$2298)+COUNTIF($E$3:E1759,E1759)-1,"")</f>
        <v/>
      </c>
    </row>
    <row r="1760" spans="4:16" x14ac:dyDescent="0.25">
      <c r="D1760" s="36" t="str" cm="1">
        <f t="array" aca="1" ref="D1760" ca="1">IFERROR(IF(INDIRECT("'"&amp;F1760&amp;"'!$C$5")&gt;0,DATE(YEAR(Dashboard!$AL$2),Dashboard!$AU$4,INDIRECT("'"&amp;F1760&amp;"'!$C$5")),""),"")</f>
        <v/>
      </c>
      <c r="G1760" s="38" t="str" cm="1">
        <f t="array" aca="1" ref="G1760" ca="1">IF(F1760="",
    "",
    IFERROR(
        IF(INDIRECT("'"&amp;F1760&amp;"'!$B$2")="Credit Limit",
            "Credit Accounts",
            IF(INDIRECT("'"&amp;F1760&amp;"'!$E$2")="Location",
                "Cash Accounts",
                IF(INDIRECT("'"&amp;F1760&amp;"'!$B$2")="Amount",
                    "Investments",
                    "Bill Accounts"
                )
            )
        ),
    "")
)</f>
        <v/>
      </c>
      <c r="I1760" s="46" t="str" cm="1">
        <f t="array" aca="1" ref="I1760" ca="1">IF(F1760&lt;&gt;"",IF(OR(G1760="Bill Accounts",G1760="Investments", G1760="Cash Accounts"),INDIRECT("'"&amp;F1760&amp;"'!$C$10"),INDIRECT("'"&amp;F1760&amp;"'!$C$8")),"")</f>
        <v/>
      </c>
      <c r="K1760" s="48">
        <f t="shared" si="84"/>
        <v>1766</v>
      </c>
      <c r="L1760" s="114" t="str" cm="1">
        <f t="array" aca="1" ref="L1760" ca="1">IF(F1760&lt;&gt;"",INDIRECT("'"&amp;F1760&amp;"'!$F$17"),"")</f>
        <v/>
      </c>
      <c r="M1760" s="116" t="str">
        <f t="shared" ca="1" si="82"/>
        <v/>
      </c>
      <c r="O1760" s="49" t="str">
        <f t="shared" ca="1" si="83"/>
        <v/>
      </c>
      <c r="P1760" s="38" t="str">
        <f>IF(E1760&lt;&gt;"",RANK(E1760,$E$3:$E$2298)+COUNTIF($E$3:E1760,E1760)-1,"")</f>
        <v/>
      </c>
    </row>
    <row r="1761" spans="4:16" x14ac:dyDescent="0.25">
      <c r="D1761" s="36" t="str" cm="1">
        <f t="array" aca="1" ref="D1761" ca="1">IFERROR(IF(INDIRECT("'"&amp;F1761&amp;"'!$C$5")&gt;0,DATE(YEAR(Dashboard!$AL$2),Dashboard!$AU$4,INDIRECT("'"&amp;F1761&amp;"'!$C$5")),""),"")</f>
        <v/>
      </c>
      <c r="G1761" s="38" t="str" cm="1">
        <f t="array" aca="1" ref="G1761" ca="1">IF(F1761="",
    "",
    IFERROR(
        IF(INDIRECT("'"&amp;F1761&amp;"'!$B$2")="Credit Limit",
            "Credit Accounts",
            IF(INDIRECT("'"&amp;F1761&amp;"'!$E$2")="Location",
                "Cash Accounts",
                IF(INDIRECT("'"&amp;F1761&amp;"'!$B$2")="Amount",
                    "Investments",
                    "Bill Accounts"
                )
            )
        ),
    "")
)</f>
        <v/>
      </c>
      <c r="I1761" s="46" t="str" cm="1">
        <f t="array" aca="1" ref="I1761" ca="1">IF(F1761&lt;&gt;"",IF(OR(G1761="Bill Accounts",G1761="Investments", G1761="Cash Accounts"),INDIRECT("'"&amp;F1761&amp;"'!$C$10"),INDIRECT("'"&amp;F1761&amp;"'!$C$8")),"")</f>
        <v/>
      </c>
      <c r="K1761" s="48">
        <f t="shared" si="84"/>
        <v>1767</v>
      </c>
      <c r="L1761" s="114" t="str" cm="1">
        <f t="array" aca="1" ref="L1761" ca="1">IF(F1761&lt;&gt;"",INDIRECT("'"&amp;F1761&amp;"'!$F$17"),"")</f>
        <v/>
      </c>
      <c r="M1761" s="116" t="str">
        <f t="shared" ca="1" si="82"/>
        <v/>
      </c>
      <c r="O1761" s="49" t="str">
        <f t="shared" ca="1" si="83"/>
        <v/>
      </c>
      <c r="P1761" s="38" t="str">
        <f>IF(E1761&lt;&gt;"",RANK(E1761,$E$3:$E$2298)+COUNTIF($E$3:E1761,E1761)-1,"")</f>
        <v/>
      </c>
    </row>
    <row r="1762" spans="4:16" x14ac:dyDescent="0.25">
      <c r="D1762" s="36" t="str" cm="1">
        <f t="array" aca="1" ref="D1762" ca="1">IFERROR(IF(INDIRECT("'"&amp;F1762&amp;"'!$C$5")&gt;0,DATE(YEAR(Dashboard!$AL$2),Dashboard!$AU$4,INDIRECT("'"&amp;F1762&amp;"'!$C$5")),""),"")</f>
        <v/>
      </c>
      <c r="G1762" s="38" t="str" cm="1">
        <f t="array" aca="1" ref="G1762" ca="1">IF(F1762="",
    "",
    IFERROR(
        IF(INDIRECT("'"&amp;F1762&amp;"'!$B$2")="Credit Limit",
            "Credit Accounts",
            IF(INDIRECT("'"&amp;F1762&amp;"'!$E$2")="Location",
                "Cash Accounts",
                IF(INDIRECT("'"&amp;F1762&amp;"'!$B$2")="Amount",
                    "Investments",
                    "Bill Accounts"
                )
            )
        ),
    "")
)</f>
        <v/>
      </c>
      <c r="I1762" s="46" t="str" cm="1">
        <f t="array" aca="1" ref="I1762" ca="1">IF(F1762&lt;&gt;"",IF(OR(G1762="Bill Accounts",G1762="Investments", G1762="Cash Accounts"),INDIRECT("'"&amp;F1762&amp;"'!$C$10"),INDIRECT("'"&amp;F1762&amp;"'!$C$8")),"")</f>
        <v/>
      </c>
      <c r="K1762" s="48">
        <f t="shared" si="84"/>
        <v>1768</v>
      </c>
      <c r="L1762" s="114" t="str" cm="1">
        <f t="array" aca="1" ref="L1762" ca="1">IF(F1762&lt;&gt;"",INDIRECT("'"&amp;F1762&amp;"'!$F$17"),"")</f>
        <v/>
      </c>
      <c r="M1762" s="116" t="str">
        <f t="shared" ca="1" si="82"/>
        <v/>
      </c>
      <c r="O1762" s="49" t="str">
        <f t="shared" ca="1" si="83"/>
        <v/>
      </c>
      <c r="P1762" s="38" t="str">
        <f>IF(E1762&lt;&gt;"",RANK(E1762,$E$3:$E$2298)+COUNTIF($E$3:E1762,E1762)-1,"")</f>
        <v/>
      </c>
    </row>
    <row r="1763" spans="4:16" x14ac:dyDescent="0.25">
      <c r="D1763" s="36" t="str" cm="1">
        <f t="array" aca="1" ref="D1763" ca="1">IFERROR(IF(INDIRECT("'"&amp;F1763&amp;"'!$C$5")&gt;0,DATE(YEAR(Dashboard!$AL$2),Dashboard!$AU$4,INDIRECT("'"&amp;F1763&amp;"'!$C$5")),""),"")</f>
        <v/>
      </c>
      <c r="G1763" s="38" t="str" cm="1">
        <f t="array" aca="1" ref="G1763" ca="1">IF(F1763="",
    "",
    IFERROR(
        IF(INDIRECT("'"&amp;F1763&amp;"'!$B$2")="Credit Limit",
            "Credit Accounts",
            IF(INDIRECT("'"&amp;F1763&amp;"'!$E$2")="Location",
                "Cash Accounts",
                IF(INDIRECT("'"&amp;F1763&amp;"'!$B$2")="Amount",
                    "Investments",
                    "Bill Accounts"
                )
            )
        ),
    "")
)</f>
        <v/>
      </c>
      <c r="I1763" s="46" t="str" cm="1">
        <f t="array" aca="1" ref="I1763" ca="1">IF(F1763&lt;&gt;"",IF(OR(G1763="Bill Accounts",G1763="Investments", G1763="Cash Accounts"),INDIRECT("'"&amp;F1763&amp;"'!$C$10"),INDIRECT("'"&amp;F1763&amp;"'!$C$8")),"")</f>
        <v/>
      </c>
      <c r="K1763" s="48">
        <f t="shared" si="84"/>
        <v>1769</v>
      </c>
      <c r="L1763" s="114" t="str" cm="1">
        <f t="array" aca="1" ref="L1763" ca="1">IF(F1763&lt;&gt;"",INDIRECT("'"&amp;F1763&amp;"'!$F$17"),"")</f>
        <v/>
      </c>
      <c r="M1763" s="116" t="str">
        <f t="shared" ca="1" si="82"/>
        <v/>
      </c>
      <c r="O1763" s="49" t="str">
        <f t="shared" ca="1" si="83"/>
        <v/>
      </c>
      <c r="P1763" s="38" t="str">
        <f>IF(E1763&lt;&gt;"",RANK(E1763,$E$3:$E$2298)+COUNTIF($E$3:E1763,E1763)-1,"")</f>
        <v/>
      </c>
    </row>
    <row r="1764" spans="4:16" x14ac:dyDescent="0.25">
      <c r="D1764" s="36" t="str" cm="1">
        <f t="array" aca="1" ref="D1764" ca="1">IFERROR(IF(INDIRECT("'"&amp;F1764&amp;"'!$C$5")&gt;0,DATE(YEAR(Dashboard!$AL$2),Dashboard!$AU$4,INDIRECT("'"&amp;F1764&amp;"'!$C$5")),""),"")</f>
        <v/>
      </c>
      <c r="G1764" s="38" t="str" cm="1">
        <f t="array" aca="1" ref="G1764" ca="1">IF(F1764="",
    "",
    IFERROR(
        IF(INDIRECT("'"&amp;F1764&amp;"'!$B$2")="Credit Limit",
            "Credit Accounts",
            IF(INDIRECT("'"&amp;F1764&amp;"'!$E$2")="Location",
                "Cash Accounts",
                IF(INDIRECT("'"&amp;F1764&amp;"'!$B$2")="Amount",
                    "Investments",
                    "Bill Accounts"
                )
            )
        ),
    "")
)</f>
        <v/>
      </c>
      <c r="I1764" s="46" t="str" cm="1">
        <f t="array" aca="1" ref="I1764" ca="1">IF(F1764&lt;&gt;"",IF(OR(G1764="Bill Accounts",G1764="Investments", G1764="Cash Accounts"),INDIRECT("'"&amp;F1764&amp;"'!$C$10"),INDIRECT("'"&amp;F1764&amp;"'!$C$8")),"")</f>
        <v/>
      </c>
      <c r="K1764" s="48">
        <f t="shared" si="84"/>
        <v>1770</v>
      </c>
      <c r="L1764" s="114" t="str" cm="1">
        <f t="array" aca="1" ref="L1764" ca="1">IF(F1764&lt;&gt;"",INDIRECT("'"&amp;F1764&amp;"'!$F$17"),"")</f>
        <v/>
      </c>
      <c r="M1764" s="116" t="str">
        <f t="shared" ca="1" si="82"/>
        <v/>
      </c>
      <c r="O1764" s="49" t="str">
        <f t="shared" ca="1" si="83"/>
        <v/>
      </c>
      <c r="P1764" s="38" t="str">
        <f>IF(E1764&lt;&gt;"",RANK(E1764,$E$3:$E$2298)+COUNTIF($E$3:E1764,E1764)-1,"")</f>
        <v/>
      </c>
    </row>
    <row r="1765" spans="4:16" x14ac:dyDescent="0.25">
      <c r="D1765" s="36" t="str" cm="1">
        <f t="array" aca="1" ref="D1765" ca="1">IFERROR(IF(INDIRECT("'"&amp;F1765&amp;"'!$C$5")&gt;0,DATE(YEAR(Dashboard!$AL$2),Dashboard!$AU$4,INDIRECT("'"&amp;F1765&amp;"'!$C$5")),""),"")</f>
        <v/>
      </c>
      <c r="G1765" s="38" t="str" cm="1">
        <f t="array" aca="1" ref="G1765" ca="1">IF(F1765="",
    "",
    IFERROR(
        IF(INDIRECT("'"&amp;F1765&amp;"'!$B$2")="Credit Limit",
            "Credit Accounts",
            IF(INDIRECT("'"&amp;F1765&amp;"'!$E$2")="Location",
                "Cash Accounts",
                IF(INDIRECT("'"&amp;F1765&amp;"'!$B$2")="Amount",
                    "Investments",
                    "Bill Accounts"
                )
            )
        ),
    "")
)</f>
        <v/>
      </c>
      <c r="I1765" s="46" t="str" cm="1">
        <f t="array" aca="1" ref="I1765" ca="1">IF(F1765&lt;&gt;"",IF(OR(G1765="Bill Accounts",G1765="Investments", G1765="Cash Accounts"),INDIRECT("'"&amp;F1765&amp;"'!$C$10"),INDIRECT("'"&amp;F1765&amp;"'!$C$8")),"")</f>
        <v/>
      </c>
      <c r="K1765" s="48">
        <f t="shared" si="84"/>
        <v>1771</v>
      </c>
      <c r="L1765" s="114" t="str" cm="1">
        <f t="array" aca="1" ref="L1765" ca="1">IF(F1765&lt;&gt;"",INDIRECT("'"&amp;F1765&amp;"'!$F$17"),"")</f>
        <v/>
      </c>
      <c r="M1765" s="116" t="str">
        <f t="shared" ca="1" si="82"/>
        <v/>
      </c>
      <c r="O1765" s="49" t="str">
        <f t="shared" ca="1" si="83"/>
        <v/>
      </c>
      <c r="P1765" s="38" t="str">
        <f>IF(E1765&lt;&gt;"",RANK(E1765,$E$3:$E$2298)+COUNTIF($E$3:E1765,E1765)-1,"")</f>
        <v/>
      </c>
    </row>
    <row r="1766" spans="4:16" x14ac:dyDescent="0.25">
      <c r="D1766" s="36" t="str" cm="1">
        <f t="array" aca="1" ref="D1766" ca="1">IFERROR(IF(INDIRECT("'"&amp;F1766&amp;"'!$C$5")&gt;0,DATE(YEAR(Dashboard!$AL$2),Dashboard!$AU$4,INDIRECT("'"&amp;F1766&amp;"'!$C$5")),""),"")</f>
        <v/>
      </c>
      <c r="G1766" s="38" t="str" cm="1">
        <f t="array" aca="1" ref="G1766" ca="1">IF(F1766="",
    "",
    IFERROR(
        IF(INDIRECT("'"&amp;F1766&amp;"'!$B$2")="Credit Limit",
            "Credit Accounts",
            IF(INDIRECT("'"&amp;F1766&amp;"'!$E$2")="Location",
                "Cash Accounts",
                IF(INDIRECT("'"&amp;F1766&amp;"'!$B$2")="Amount",
                    "Investments",
                    "Bill Accounts"
                )
            )
        ),
    "")
)</f>
        <v/>
      </c>
      <c r="I1766" s="46" t="str" cm="1">
        <f t="array" aca="1" ref="I1766" ca="1">IF(F1766&lt;&gt;"",IF(OR(G1766="Bill Accounts",G1766="Investments", G1766="Cash Accounts"),INDIRECT("'"&amp;F1766&amp;"'!$C$10"),INDIRECT("'"&amp;F1766&amp;"'!$C$8")),"")</f>
        <v/>
      </c>
      <c r="K1766" s="48">
        <f t="shared" si="84"/>
        <v>1772</v>
      </c>
      <c r="L1766" s="114" t="str" cm="1">
        <f t="array" aca="1" ref="L1766" ca="1">IF(F1766&lt;&gt;"",INDIRECT("'"&amp;F1766&amp;"'!$F$17"),"")</f>
        <v/>
      </c>
      <c r="M1766" s="116" t="str">
        <f t="shared" ca="1" si="82"/>
        <v/>
      </c>
      <c r="O1766" s="49" t="str">
        <f t="shared" ca="1" si="83"/>
        <v/>
      </c>
      <c r="P1766" s="38" t="str">
        <f>IF(E1766&lt;&gt;"",RANK(E1766,$E$3:$E$2298)+COUNTIF($E$3:E1766,E1766)-1,"")</f>
        <v/>
      </c>
    </row>
    <row r="1767" spans="4:16" x14ac:dyDescent="0.25">
      <c r="D1767" s="36" t="str" cm="1">
        <f t="array" aca="1" ref="D1767" ca="1">IFERROR(IF(INDIRECT("'"&amp;F1767&amp;"'!$C$5")&gt;0,DATE(YEAR(Dashboard!$AL$2),Dashboard!$AU$4,INDIRECT("'"&amp;F1767&amp;"'!$C$5")),""),"")</f>
        <v/>
      </c>
      <c r="G1767" s="38" t="str" cm="1">
        <f t="array" aca="1" ref="G1767" ca="1">IF(F1767="",
    "",
    IFERROR(
        IF(INDIRECT("'"&amp;F1767&amp;"'!$B$2")="Credit Limit",
            "Credit Accounts",
            IF(INDIRECT("'"&amp;F1767&amp;"'!$E$2")="Location",
                "Cash Accounts",
                IF(INDIRECT("'"&amp;F1767&amp;"'!$B$2")="Amount",
                    "Investments",
                    "Bill Accounts"
                )
            )
        ),
    "")
)</f>
        <v/>
      </c>
      <c r="I1767" s="46" t="str" cm="1">
        <f t="array" aca="1" ref="I1767" ca="1">IF(F1767&lt;&gt;"",IF(OR(G1767="Bill Accounts",G1767="Investments", G1767="Cash Accounts"),INDIRECT("'"&amp;F1767&amp;"'!$C$10"),INDIRECT("'"&amp;F1767&amp;"'!$C$8")),"")</f>
        <v/>
      </c>
      <c r="K1767" s="48">
        <f t="shared" si="84"/>
        <v>1773</v>
      </c>
      <c r="L1767" s="114" t="str" cm="1">
        <f t="array" aca="1" ref="L1767" ca="1">IF(F1767&lt;&gt;"",INDIRECT("'"&amp;F1767&amp;"'!$F$17"),"")</f>
        <v/>
      </c>
      <c r="M1767" s="116" t="str">
        <f t="shared" ca="1" si="82"/>
        <v/>
      </c>
      <c r="O1767" s="49" t="str">
        <f t="shared" ca="1" si="83"/>
        <v/>
      </c>
      <c r="P1767" s="38" t="str">
        <f>IF(E1767&lt;&gt;"",RANK(E1767,$E$3:$E$2298)+COUNTIF($E$3:E1767,E1767)-1,"")</f>
        <v/>
      </c>
    </row>
    <row r="1768" spans="4:16" x14ac:dyDescent="0.25">
      <c r="D1768" s="36" t="str" cm="1">
        <f t="array" aca="1" ref="D1768" ca="1">IFERROR(IF(INDIRECT("'"&amp;F1768&amp;"'!$C$5")&gt;0,DATE(YEAR(Dashboard!$AL$2),Dashboard!$AU$4,INDIRECT("'"&amp;F1768&amp;"'!$C$5")),""),"")</f>
        <v/>
      </c>
      <c r="G1768" s="38" t="str" cm="1">
        <f t="array" aca="1" ref="G1768" ca="1">IF(F1768="",
    "",
    IFERROR(
        IF(INDIRECT("'"&amp;F1768&amp;"'!$B$2")="Credit Limit",
            "Credit Accounts",
            IF(INDIRECT("'"&amp;F1768&amp;"'!$E$2")="Location",
                "Cash Accounts",
                IF(INDIRECT("'"&amp;F1768&amp;"'!$B$2")="Amount",
                    "Investments",
                    "Bill Accounts"
                )
            )
        ),
    "")
)</f>
        <v/>
      </c>
      <c r="I1768" s="46" t="str" cm="1">
        <f t="array" aca="1" ref="I1768" ca="1">IF(F1768&lt;&gt;"",IF(OR(G1768="Bill Accounts",G1768="Investments", G1768="Cash Accounts"),INDIRECT("'"&amp;F1768&amp;"'!$C$10"),INDIRECT("'"&amp;F1768&amp;"'!$C$8")),"")</f>
        <v/>
      </c>
      <c r="K1768" s="48">
        <f t="shared" si="84"/>
        <v>1774</v>
      </c>
      <c r="L1768" s="114" t="str" cm="1">
        <f t="array" aca="1" ref="L1768" ca="1">IF(F1768&lt;&gt;"",INDIRECT("'"&amp;F1768&amp;"'!$F$17"),"")</f>
        <v/>
      </c>
      <c r="M1768" s="116" t="str">
        <f t="shared" ca="1" si="82"/>
        <v/>
      </c>
      <c r="O1768" s="49" t="str">
        <f t="shared" ca="1" si="83"/>
        <v/>
      </c>
      <c r="P1768" s="38" t="str">
        <f>IF(E1768&lt;&gt;"",RANK(E1768,$E$3:$E$2298)+COUNTIF($E$3:E1768,E1768)-1,"")</f>
        <v/>
      </c>
    </row>
    <row r="1769" spans="4:16" x14ac:dyDescent="0.25">
      <c r="D1769" s="36" t="str" cm="1">
        <f t="array" aca="1" ref="D1769" ca="1">IFERROR(IF(INDIRECT("'"&amp;F1769&amp;"'!$C$5")&gt;0,DATE(YEAR(Dashboard!$AL$2),Dashboard!$AU$4,INDIRECT("'"&amp;F1769&amp;"'!$C$5")),""),"")</f>
        <v/>
      </c>
      <c r="G1769" s="38" t="str" cm="1">
        <f t="array" aca="1" ref="G1769" ca="1">IF(F1769="",
    "",
    IFERROR(
        IF(INDIRECT("'"&amp;F1769&amp;"'!$B$2")="Credit Limit",
            "Credit Accounts",
            IF(INDIRECT("'"&amp;F1769&amp;"'!$E$2")="Location",
                "Cash Accounts",
                IF(INDIRECT("'"&amp;F1769&amp;"'!$B$2")="Amount",
                    "Investments",
                    "Bill Accounts"
                )
            )
        ),
    "")
)</f>
        <v/>
      </c>
      <c r="I1769" s="46" t="str" cm="1">
        <f t="array" aca="1" ref="I1769" ca="1">IF(F1769&lt;&gt;"",IF(OR(G1769="Bill Accounts",G1769="Investments", G1769="Cash Accounts"),INDIRECT("'"&amp;F1769&amp;"'!$C$10"),INDIRECT("'"&amp;F1769&amp;"'!$C$8")),"")</f>
        <v/>
      </c>
      <c r="K1769" s="48">
        <f t="shared" si="84"/>
        <v>1775</v>
      </c>
      <c r="L1769" s="114" t="str" cm="1">
        <f t="array" aca="1" ref="L1769" ca="1">IF(F1769&lt;&gt;"",INDIRECT("'"&amp;F1769&amp;"'!$F$17"),"")</f>
        <v/>
      </c>
      <c r="M1769" s="116" t="str">
        <f t="shared" ca="1" si="82"/>
        <v/>
      </c>
      <c r="O1769" s="49" t="str">
        <f t="shared" ca="1" si="83"/>
        <v/>
      </c>
      <c r="P1769" s="38" t="str">
        <f>IF(E1769&lt;&gt;"",RANK(E1769,$E$3:$E$2298)+COUNTIF($E$3:E1769,E1769)-1,"")</f>
        <v/>
      </c>
    </row>
    <row r="1770" spans="4:16" x14ac:dyDescent="0.25">
      <c r="D1770" s="36" t="str" cm="1">
        <f t="array" aca="1" ref="D1770" ca="1">IFERROR(IF(INDIRECT("'"&amp;F1770&amp;"'!$C$5")&gt;0,DATE(YEAR(Dashboard!$AL$2),Dashboard!$AU$4,INDIRECT("'"&amp;F1770&amp;"'!$C$5")),""),"")</f>
        <v/>
      </c>
      <c r="G1770" s="38" t="str" cm="1">
        <f t="array" aca="1" ref="G1770" ca="1">IF(F1770="",
    "",
    IFERROR(
        IF(INDIRECT("'"&amp;F1770&amp;"'!$B$2")="Credit Limit",
            "Credit Accounts",
            IF(INDIRECT("'"&amp;F1770&amp;"'!$E$2")="Location",
                "Cash Accounts",
                IF(INDIRECT("'"&amp;F1770&amp;"'!$B$2")="Amount",
                    "Investments",
                    "Bill Accounts"
                )
            )
        ),
    "")
)</f>
        <v/>
      </c>
      <c r="I1770" s="46" t="str" cm="1">
        <f t="array" aca="1" ref="I1770" ca="1">IF(F1770&lt;&gt;"",IF(OR(G1770="Bill Accounts",G1770="Investments", G1770="Cash Accounts"),INDIRECT("'"&amp;F1770&amp;"'!$C$10"),INDIRECT("'"&amp;F1770&amp;"'!$C$8")),"")</f>
        <v/>
      </c>
      <c r="K1770" s="48">
        <f t="shared" si="84"/>
        <v>1776</v>
      </c>
      <c r="L1770" s="114" t="str" cm="1">
        <f t="array" aca="1" ref="L1770" ca="1">IF(F1770&lt;&gt;"",INDIRECT("'"&amp;F1770&amp;"'!$F$17"),"")</f>
        <v/>
      </c>
      <c r="M1770" s="116" t="str">
        <f t="shared" ca="1" si="82"/>
        <v/>
      </c>
      <c r="O1770" s="49" t="str">
        <f t="shared" ca="1" si="83"/>
        <v/>
      </c>
      <c r="P1770" s="38" t="str">
        <f>IF(E1770&lt;&gt;"",RANK(E1770,$E$3:$E$2298)+COUNTIF($E$3:E1770,E1770)-1,"")</f>
        <v/>
      </c>
    </row>
    <row r="1771" spans="4:16" x14ac:dyDescent="0.25">
      <c r="D1771" s="36" t="str" cm="1">
        <f t="array" aca="1" ref="D1771" ca="1">IFERROR(IF(INDIRECT("'"&amp;F1771&amp;"'!$C$5")&gt;0,DATE(YEAR(Dashboard!$AL$2),Dashboard!$AU$4,INDIRECT("'"&amp;F1771&amp;"'!$C$5")),""),"")</f>
        <v/>
      </c>
      <c r="G1771" s="38" t="str" cm="1">
        <f t="array" aca="1" ref="G1771" ca="1">IF(F1771="",
    "",
    IFERROR(
        IF(INDIRECT("'"&amp;F1771&amp;"'!$B$2")="Credit Limit",
            "Credit Accounts",
            IF(INDIRECT("'"&amp;F1771&amp;"'!$E$2")="Location",
                "Cash Accounts",
                IF(INDIRECT("'"&amp;F1771&amp;"'!$B$2")="Amount",
                    "Investments",
                    "Bill Accounts"
                )
            )
        ),
    "")
)</f>
        <v/>
      </c>
      <c r="I1771" s="46" t="str" cm="1">
        <f t="array" aca="1" ref="I1771" ca="1">IF(F1771&lt;&gt;"",IF(OR(G1771="Bill Accounts",G1771="Investments", G1771="Cash Accounts"),INDIRECT("'"&amp;F1771&amp;"'!$C$10"),INDIRECT("'"&amp;F1771&amp;"'!$C$8")),"")</f>
        <v/>
      </c>
      <c r="K1771" s="48">
        <f t="shared" si="84"/>
        <v>1777</v>
      </c>
      <c r="L1771" s="114" t="str" cm="1">
        <f t="array" aca="1" ref="L1771" ca="1">IF(F1771&lt;&gt;"",INDIRECT("'"&amp;F1771&amp;"'!$F$17"),"")</f>
        <v/>
      </c>
      <c r="M1771" s="116" t="str">
        <f t="shared" ca="1" si="82"/>
        <v/>
      </c>
      <c r="O1771" s="49" t="str">
        <f t="shared" ca="1" si="83"/>
        <v/>
      </c>
      <c r="P1771" s="38" t="str">
        <f>IF(E1771&lt;&gt;"",RANK(E1771,$E$3:$E$2298)+COUNTIF($E$3:E1771,E1771)-1,"")</f>
        <v/>
      </c>
    </row>
    <row r="1772" spans="4:16" x14ac:dyDescent="0.25">
      <c r="D1772" s="36" t="str" cm="1">
        <f t="array" aca="1" ref="D1772" ca="1">IFERROR(IF(INDIRECT("'"&amp;F1772&amp;"'!$C$5")&gt;0,DATE(YEAR(Dashboard!$AL$2),Dashboard!$AU$4,INDIRECT("'"&amp;F1772&amp;"'!$C$5")),""),"")</f>
        <v/>
      </c>
      <c r="G1772" s="38" t="str" cm="1">
        <f t="array" aca="1" ref="G1772" ca="1">IF(F1772="",
    "",
    IFERROR(
        IF(INDIRECT("'"&amp;F1772&amp;"'!$B$2")="Credit Limit",
            "Credit Accounts",
            IF(INDIRECT("'"&amp;F1772&amp;"'!$E$2")="Location",
                "Cash Accounts",
                IF(INDIRECT("'"&amp;F1772&amp;"'!$B$2")="Amount",
                    "Investments",
                    "Bill Accounts"
                )
            )
        ),
    "")
)</f>
        <v/>
      </c>
      <c r="I1772" s="46" t="str" cm="1">
        <f t="array" aca="1" ref="I1772" ca="1">IF(F1772&lt;&gt;"",IF(OR(G1772="Bill Accounts",G1772="Investments", G1772="Cash Accounts"),INDIRECT("'"&amp;F1772&amp;"'!$C$10"),INDIRECT("'"&amp;F1772&amp;"'!$C$8")),"")</f>
        <v/>
      </c>
      <c r="K1772" s="48">
        <f t="shared" si="84"/>
        <v>1778</v>
      </c>
      <c r="L1772" s="114" t="str" cm="1">
        <f t="array" aca="1" ref="L1772" ca="1">IF(F1772&lt;&gt;"",INDIRECT("'"&amp;F1772&amp;"'!$F$17"),"")</f>
        <v/>
      </c>
      <c r="M1772" s="116" t="str">
        <f t="shared" ca="1" si="82"/>
        <v/>
      </c>
      <c r="O1772" s="49" t="str">
        <f t="shared" ca="1" si="83"/>
        <v/>
      </c>
      <c r="P1772" s="38" t="str">
        <f>IF(E1772&lt;&gt;"",RANK(E1772,$E$3:$E$2298)+COUNTIF($E$3:E1772,E1772)-1,"")</f>
        <v/>
      </c>
    </row>
    <row r="1773" spans="4:16" x14ac:dyDescent="0.25">
      <c r="D1773" s="36" t="str" cm="1">
        <f t="array" aca="1" ref="D1773" ca="1">IFERROR(IF(INDIRECT("'"&amp;F1773&amp;"'!$C$5")&gt;0,DATE(YEAR(Dashboard!$AL$2),Dashboard!$AU$4,INDIRECT("'"&amp;F1773&amp;"'!$C$5")),""),"")</f>
        <v/>
      </c>
      <c r="G1773" s="38" t="str" cm="1">
        <f t="array" aca="1" ref="G1773" ca="1">IF(F1773="",
    "",
    IFERROR(
        IF(INDIRECT("'"&amp;F1773&amp;"'!$B$2")="Credit Limit",
            "Credit Accounts",
            IF(INDIRECT("'"&amp;F1773&amp;"'!$E$2")="Location",
                "Cash Accounts",
                IF(INDIRECT("'"&amp;F1773&amp;"'!$B$2")="Amount",
                    "Investments",
                    "Bill Accounts"
                )
            )
        ),
    "")
)</f>
        <v/>
      </c>
      <c r="I1773" s="46" t="str" cm="1">
        <f t="array" aca="1" ref="I1773" ca="1">IF(F1773&lt;&gt;"",IF(OR(G1773="Bill Accounts",G1773="Investments", G1773="Cash Accounts"),INDIRECT("'"&amp;F1773&amp;"'!$C$10"),INDIRECT("'"&amp;F1773&amp;"'!$C$8")),"")</f>
        <v/>
      </c>
      <c r="K1773" s="48">
        <f t="shared" si="84"/>
        <v>1779</v>
      </c>
      <c r="L1773" s="114" t="str" cm="1">
        <f t="array" aca="1" ref="L1773" ca="1">IF(F1773&lt;&gt;"",INDIRECT("'"&amp;F1773&amp;"'!$F$17"),"")</f>
        <v/>
      </c>
      <c r="M1773" s="116" t="str">
        <f t="shared" ca="1" si="82"/>
        <v/>
      </c>
      <c r="O1773" s="49" t="str">
        <f t="shared" ca="1" si="83"/>
        <v/>
      </c>
      <c r="P1773" s="38" t="str">
        <f>IF(E1773&lt;&gt;"",RANK(E1773,$E$3:$E$2298)+COUNTIF($E$3:E1773,E1773)-1,"")</f>
        <v/>
      </c>
    </row>
    <row r="1774" spans="4:16" x14ac:dyDescent="0.25">
      <c r="D1774" s="36" t="str" cm="1">
        <f t="array" aca="1" ref="D1774" ca="1">IFERROR(IF(INDIRECT("'"&amp;F1774&amp;"'!$C$5")&gt;0,DATE(YEAR(Dashboard!$AL$2),Dashboard!$AU$4,INDIRECT("'"&amp;F1774&amp;"'!$C$5")),""),"")</f>
        <v/>
      </c>
      <c r="G1774" s="38" t="str" cm="1">
        <f t="array" aca="1" ref="G1774" ca="1">IF(F1774="",
    "",
    IFERROR(
        IF(INDIRECT("'"&amp;F1774&amp;"'!$B$2")="Credit Limit",
            "Credit Accounts",
            IF(INDIRECT("'"&amp;F1774&amp;"'!$E$2")="Location",
                "Cash Accounts",
                IF(INDIRECT("'"&amp;F1774&amp;"'!$B$2")="Amount",
                    "Investments",
                    "Bill Accounts"
                )
            )
        ),
    "")
)</f>
        <v/>
      </c>
      <c r="I1774" s="46" t="str" cm="1">
        <f t="array" aca="1" ref="I1774" ca="1">IF(F1774&lt;&gt;"",IF(OR(G1774="Bill Accounts",G1774="Investments", G1774="Cash Accounts"),INDIRECT("'"&amp;F1774&amp;"'!$C$10"),INDIRECT("'"&amp;F1774&amp;"'!$C$8")),"")</f>
        <v/>
      </c>
      <c r="K1774" s="48">
        <f t="shared" si="84"/>
        <v>1780</v>
      </c>
      <c r="L1774" s="114" t="str" cm="1">
        <f t="array" aca="1" ref="L1774" ca="1">IF(F1774&lt;&gt;"",INDIRECT("'"&amp;F1774&amp;"'!$F$17"),"")</f>
        <v/>
      </c>
      <c r="M1774" s="116" t="str">
        <f t="shared" ca="1" si="82"/>
        <v/>
      </c>
      <c r="O1774" s="49" t="str">
        <f t="shared" ca="1" si="83"/>
        <v/>
      </c>
      <c r="P1774" s="38" t="str">
        <f>IF(E1774&lt;&gt;"",RANK(E1774,$E$3:$E$2298)+COUNTIF($E$3:E1774,E1774)-1,"")</f>
        <v/>
      </c>
    </row>
    <row r="1775" spans="4:16" x14ac:dyDescent="0.25">
      <c r="D1775" s="36" t="str" cm="1">
        <f t="array" aca="1" ref="D1775" ca="1">IFERROR(IF(INDIRECT("'"&amp;F1775&amp;"'!$C$5")&gt;0,DATE(YEAR(Dashboard!$AL$2),Dashboard!$AU$4,INDIRECT("'"&amp;F1775&amp;"'!$C$5")),""),"")</f>
        <v/>
      </c>
      <c r="G1775" s="38" t="str" cm="1">
        <f t="array" aca="1" ref="G1775" ca="1">IF(F1775="",
    "",
    IFERROR(
        IF(INDIRECT("'"&amp;F1775&amp;"'!$B$2")="Credit Limit",
            "Credit Accounts",
            IF(INDIRECT("'"&amp;F1775&amp;"'!$E$2")="Location",
                "Cash Accounts",
                IF(INDIRECT("'"&amp;F1775&amp;"'!$B$2")="Amount",
                    "Investments",
                    "Bill Accounts"
                )
            )
        ),
    "")
)</f>
        <v/>
      </c>
      <c r="I1775" s="46" t="str" cm="1">
        <f t="array" aca="1" ref="I1775" ca="1">IF(F1775&lt;&gt;"",IF(OR(G1775="Bill Accounts",G1775="Investments", G1775="Cash Accounts"),INDIRECT("'"&amp;F1775&amp;"'!$C$10"),INDIRECT("'"&amp;F1775&amp;"'!$C$8")),"")</f>
        <v/>
      </c>
      <c r="K1775" s="48">
        <f t="shared" si="84"/>
        <v>1781</v>
      </c>
      <c r="L1775" s="114" t="str" cm="1">
        <f t="array" aca="1" ref="L1775" ca="1">IF(F1775&lt;&gt;"",INDIRECT("'"&amp;F1775&amp;"'!$F$17"),"")</f>
        <v/>
      </c>
      <c r="M1775" s="116" t="str">
        <f t="shared" ca="1" si="82"/>
        <v/>
      </c>
      <c r="O1775" s="49" t="str">
        <f t="shared" ca="1" si="83"/>
        <v/>
      </c>
      <c r="P1775" s="38" t="str">
        <f>IF(E1775&lt;&gt;"",RANK(E1775,$E$3:$E$2298)+COUNTIF($E$3:E1775,E1775)-1,"")</f>
        <v/>
      </c>
    </row>
    <row r="1776" spans="4:16" x14ac:dyDescent="0.25">
      <c r="D1776" s="36" t="str" cm="1">
        <f t="array" aca="1" ref="D1776" ca="1">IFERROR(IF(INDIRECT("'"&amp;F1776&amp;"'!$C$5")&gt;0,DATE(YEAR(Dashboard!$AL$2),Dashboard!$AU$4,INDIRECT("'"&amp;F1776&amp;"'!$C$5")),""),"")</f>
        <v/>
      </c>
      <c r="G1776" s="38" t="str" cm="1">
        <f t="array" aca="1" ref="G1776" ca="1">IF(F1776="",
    "",
    IFERROR(
        IF(INDIRECT("'"&amp;F1776&amp;"'!$B$2")="Credit Limit",
            "Credit Accounts",
            IF(INDIRECT("'"&amp;F1776&amp;"'!$E$2")="Location",
                "Cash Accounts",
                IF(INDIRECT("'"&amp;F1776&amp;"'!$B$2")="Amount",
                    "Investments",
                    "Bill Accounts"
                )
            )
        ),
    "")
)</f>
        <v/>
      </c>
      <c r="I1776" s="46" t="str" cm="1">
        <f t="array" aca="1" ref="I1776" ca="1">IF(F1776&lt;&gt;"",IF(OR(G1776="Bill Accounts",G1776="Investments", G1776="Cash Accounts"),INDIRECT("'"&amp;F1776&amp;"'!$C$10"),INDIRECT("'"&amp;F1776&amp;"'!$C$8")),"")</f>
        <v/>
      </c>
      <c r="K1776" s="48">
        <f t="shared" si="84"/>
        <v>1782</v>
      </c>
      <c r="L1776" s="114" t="str" cm="1">
        <f t="array" aca="1" ref="L1776" ca="1">IF(F1776&lt;&gt;"",INDIRECT("'"&amp;F1776&amp;"'!$F$17"),"")</f>
        <v/>
      </c>
      <c r="M1776" s="116" t="str">
        <f t="shared" ca="1" si="82"/>
        <v/>
      </c>
      <c r="O1776" s="49" t="str">
        <f t="shared" ca="1" si="83"/>
        <v/>
      </c>
      <c r="P1776" s="38" t="str">
        <f>IF(E1776&lt;&gt;"",RANK(E1776,$E$3:$E$2298)+COUNTIF($E$3:E1776,E1776)-1,"")</f>
        <v/>
      </c>
    </row>
    <row r="1777" spans="4:16" x14ac:dyDescent="0.25">
      <c r="D1777" s="36" t="str" cm="1">
        <f t="array" aca="1" ref="D1777" ca="1">IFERROR(IF(INDIRECT("'"&amp;F1777&amp;"'!$C$5")&gt;0,DATE(YEAR(Dashboard!$AL$2),Dashboard!$AU$4,INDIRECT("'"&amp;F1777&amp;"'!$C$5")),""),"")</f>
        <v/>
      </c>
      <c r="G1777" s="38" t="str" cm="1">
        <f t="array" aca="1" ref="G1777" ca="1">IF(F1777="",
    "",
    IFERROR(
        IF(INDIRECT("'"&amp;F1777&amp;"'!$B$2")="Credit Limit",
            "Credit Accounts",
            IF(INDIRECT("'"&amp;F1777&amp;"'!$E$2")="Location",
                "Cash Accounts",
                IF(INDIRECT("'"&amp;F1777&amp;"'!$B$2")="Amount",
                    "Investments",
                    "Bill Accounts"
                )
            )
        ),
    "")
)</f>
        <v/>
      </c>
      <c r="I1777" s="46" t="str" cm="1">
        <f t="array" aca="1" ref="I1777" ca="1">IF(F1777&lt;&gt;"",IF(OR(G1777="Bill Accounts",G1777="Investments", G1777="Cash Accounts"),INDIRECT("'"&amp;F1777&amp;"'!$C$10"),INDIRECT("'"&amp;F1777&amp;"'!$C$8")),"")</f>
        <v/>
      </c>
      <c r="K1777" s="48">
        <f t="shared" si="84"/>
        <v>1783</v>
      </c>
      <c r="L1777" s="114" t="str" cm="1">
        <f t="array" aca="1" ref="L1777" ca="1">IF(F1777&lt;&gt;"",INDIRECT("'"&amp;F1777&amp;"'!$F$17"),"")</f>
        <v/>
      </c>
      <c r="M1777" s="116" t="str">
        <f t="shared" ca="1" si="82"/>
        <v/>
      </c>
      <c r="O1777" s="49" t="str">
        <f t="shared" ca="1" si="83"/>
        <v/>
      </c>
      <c r="P1777" s="38" t="str">
        <f>IF(E1777&lt;&gt;"",RANK(E1777,$E$3:$E$2298)+COUNTIF($E$3:E1777,E1777)-1,"")</f>
        <v/>
      </c>
    </row>
    <row r="1778" spans="4:16" x14ac:dyDescent="0.25">
      <c r="D1778" s="36" t="str" cm="1">
        <f t="array" aca="1" ref="D1778" ca="1">IFERROR(IF(INDIRECT("'"&amp;F1778&amp;"'!$C$5")&gt;0,DATE(YEAR(Dashboard!$AL$2),Dashboard!$AU$4,INDIRECT("'"&amp;F1778&amp;"'!$C$5")),""),"")</f>
        <v/>
      </c>
      <c r="G1778" s="38" t="str" cm="1">
        <f t="array" aca="1" ref="G1778" ca="1">IF(F1778="",
    "",
    IFERROR(
        IF(INDIRECT("'"&amp;F1778&amp;"'!$B$2")="Credit Limit",
            "Credit Accounts",
            IF(INDIRECT("'"&amp;F1778&amp;"'!$E$2")="Location",
                "Cash Accounts",
                IF(INDIRECT("'"&amp;F1778&amp;"'!$B$2")="Amount",
                    "Investments",
                    "Bill Accounts"
                )
            )
        ),
    "")
)</f>
        <v/>
      </c>
      <c r="I1778" s="46" t="str" cm="1">
        <f t="array" aca="1" ref="I1778" ca="1">IF(F1778&lt;&gt;"",IF(OR(G1778="Bill Accounts",G1778="Investments", G1778="Cash Accounts"),INDIRECT("'"&amp;F1778&amp;"'!$C$10"),INDIRECT("'"&amp;F1778&amp;"'!$C$8")),"")</f>
        <v/>
      </c>
      <c r="K1778" s="48">
        <f t="shared" si="84"/>
        <v>1784</v>
      </c>
      <c r="L1778" s="114" t="str" cm="1">
        <f t="array" aca="1" ref="L1778" ca="1">IF(F1778&lt;&gt;"",INDIRECT("'"&amp;F1778&amp;"'!$F$17"),"")</f>
        <v/>
      </c>
      <c r="M1778" s="116" t="str">
        <f t="shared" ca="1" si="82"/>
        <v/>
      </c>
      <c r="O1778" s="49" t="str">
        <f t="shared" ca="1" si="83"/>
        <v/>
      </c>
      <c r="P1778" s="38" t="str">
        <f>IF(E1778&lt;&gt;"",RANK(E1778,$E$3:$E$2298)+COUNTIF($E$3:E1778,E1778)-1,"")</f>
        <v/>
      </c>
    </row>
    <row r="1779" spans="4:16" x14ac:dyDescent="0.25">
      <c r="D1779" s="36" t="str" cm="1">
        <f t="array" aca="1" ref="D1779" ca="1">IFERROR(IF(INDIRECT("'"&amp;F1779&amp;"'!$C$5")&gt;0,DATE(YEAR(Dashboard!$AL$2),Dashboard!$AU$4,INDIRECT("'"&amp;F1779&amp;"'!$C$5")),""),"")</f>
        <v/>
      </c>
      <c r="G1779" s="38" t="str" cm="1">
        <f t="array" aca="1" ref="G1779" ca="1">IF(F1779="",
    "",
    IFERROR(
        IF(INDIRECT("'"&amp;F1779&amp;"'!$B$2")="Credit Limit",
            "Credit Accounts",
            IF(INDIRECT("'"&amp;F1779&amp;"'!$E$2")="Location",
                "Cash Accounts",
                IF(INDIRECT("'"&amp;F1779&amp;"'!$B$2")="Amount",
                    "Investments",
                    "Bill Accounts"
                )
            )
        ),
    "")
)</f>
        <v/>
      </c>
      <c r="I1779" s="46" t="str" cm="1">
        <f t="array" aca="1" ref="I1779" ca="1">IF(F1779&lt;&gt;"",IF(OR(G1779="Bill Accounts",G1779="Investments", G1779="Cash Accounts"),INDIRECT("'"&amp;F1779&amp;"'!$C$10"),INDIRECT("'"&amp;F1779&amp;"'!$C$8")),"")</f>
        <v/>
      </c>
      <c r="K1779" s="48">
        <f t="shared" si="84"/>
        <v>1785</v>
      </c>
      <c r="L1779" s="114" t="str" cm="1">
        <f t="array" aca="1" ref="L1779" ca="1">IF(F1779&lt;&gt;"",INDIRECT("'"&amp;F1779&amp;"'!$F$17"),"")</f>
        <v/>
      </c>
      <c r="M1779" s="116" t="str">
        <f t="shared" ca="1" si="82"/>
        <v/>
      </c>
      <c r="O1779" s="49" t="str">
        <f t="shared" ca="1" si="83"/>
        <v/>
      </c>
      <c r="P1779" s="38" t="str">
        <f>IF(E1779&lt;&gt;"",RANK(E1779,$E$3:$E$2298)+COUNTIF($E$3:E1779,E1779)-1,"")</f>
        <v/>
      </c>
    </row>
    <row r="1780" spans="4:16" x14ac:dyDescent="0.25">
      <c r="D1780" s="36" t="str" cm="1">
        <f t="array" aca="1" ref="D1780" ca="1">IFERROR(IF(INDIRECT("'"&amp;F1780&amp;"'!$C$5")&gt;0,DATE(YEAR(Dashboard!$AL$2),Dashboard!$AU$4,INDIRECT("'"&amp;F1780&amp;"'!$C$5")),""),"")</f>
        <v/>
      </c>
      <c r="G1780" s="38" t="str" cm="1">
        <f t="array" aca="1" ref="G1780" ca="1">IF(F1780="",
    "",
    IFERROR(
        IF(INDIRECT("'"&amp;F1780&amp;"'!$B$2")="Credit Limit",
            "Credit Accounts",
            IF(INDIRECT("'"&amp;F1780&amp;"'!$E$2")="Location",
                "Cash Accounts",
                IF(INDIRECT("'"&amp;F1780&amp;"'!$B$2")="Amount",
                    "Investments",
                    "Bill Accounts"
                )
            )
        ),
    "")
)</f>
        <v/>
      </c>
      <c r="I1780" s="46" t="str" cm="1">
        <f t="array" aca="1" ref="I1780" ca="1">IF(F1780&lt;&gt;"",IF(OR(G1780="Bill Accounts",G1780="Investments", G1780="Cash Accounts"),INDIRECT("'"&amp;F1780&amp;"'!$C$10"),INDIRECT("'"&amp;F1780&amp;"'!$C$8")),"")</f>
        <v/>
      </c>
      <c r="K1780" s="48">
        <f t="shared" si="84"/>
        <v>1786</v>
      </c>
      <c r="L1780" s="114" t="str" cm="1">
        <f t="array" aca="1" ref="L1780" ca="1">IF(F1780&lt;&gt;"",INDIRECT("'"&amp;F1780&amp;"'!$F$17"),"")</f>
        <v/>
      </c>
      <c r="M1780" s="116" t="str">
        <f t="shared" ca="1" si="82"/>
        <v/>
      </c>
      <c r="O1780" s="49" t="str">
        <f t="shared" ca="1" si="83"/>
        <v/>
      </c>
      <c r="P1780" s="38" t="str">
        <f>IF(E1780&lt;&gt;"",RANK(E1780,$E$3:$E$2298)+COUNTIF($E$3:E1780,E1780)-1,"")</f>
        <v/>
      </c>
    </row>
    <row r="1781" spans="4:16" x14ac:dyDescent="0.25">
      <c r="D1781" s="36" t="str" cm="1">
        <f t="array" aca="1" ref="D1781" ca="1">IFERROR(IF(INDIRECT("'"&amp;F1781&amp;"'!$C$5")&gt;0,DATE(YEAR(Dashboard!$AL$2),Dashboard!$AU$4,INDIRECT("'"&amp;F1781&amp;"'!$C$5")),""),"")</f>
        <v/>
      </c>
      <c r="G1781" s="38" t="str" cm="1">
        <f t="array" aca="1" ref="G1781" ca="1">IF(F1781="",
    "",
    IFERROR(
        IF(INDIRECT("'"&amp;F1781&amp;"'!$B$2")="Credit Limit",
            "Credit Accounts",
            IF(INDIRECT("'"&amp;F1781&amp;"'!$E$2")="Location",
                "Cash Accounts",
                IF(INDIRECT("'"&amp;F1781&amp;"'!$B$2")="Amount",
                    "Investments",
                    "Bill Accounts"
                )
            )
        ),
    "")
)</f>
        <v/>
      </c>
      <c r="I1781" s="46" t="str" cm="1">
        <f t="array" aca="1" ref="I1781" ca="1">IF(F1781&lt;&gt;"",IF(OR(G1781="Bill Accounts",G1781="Investments", G1781="Cash Accounts"),INDIRECT("'"&amp;F1781&amp;"'!$C$10"),INDIRECT("'"&amp;F1781&amp;"'!$C$8")),"")</f>
        <v/>
      </c>
      <c r="K1781" s="48">
        <f t="shared" si="84"/>
        <v>1787</v>
      </c>
      <c r="L1781" s="114" t="str" cm="1">
        <f t="array" aca="1" ref="L1781" ca="1">IF(F1781&lt;&gt;"",INDIRECT("'"&amp;F1781&amp;"'!$F$17"),"")</f>
        <v/>
      </c>
      <c r="M1781" s="116" t="str">
        <f t="shared" ca="1" si="82"/>
        <v/>
      </c>
      <c r="O1781" s="49" t="str">
        <f t="shared" ca="1" si="83"/>
        <v/>
      </c>
      <c r="P1781" s="38" t="str">
        <f>IF(E1781&lt;&gt;"",RANK(E1781,$E$3:$E$2298)+COUNTIF($E$3:E1781,E1781)-1,"")</f>
        <v/>
      </c>
    </row>
    <row r="1782" spans="4:16" x14ac:dyDescent="0.25">
      <c r="D1782" s="36" t="str" cm="1">
        <f t="array" aca="1" ref="D1782" ca="1">IFERROR(IF(INDIRECT("'"&amp;F1782&amp;"'!$C$5")&gt;0,DATE(YEAR(Dashboard!$AL$2),Dashboard!$AU$4,INDIRECT("'"&amp;F1782&amp;"'!$C$5")),""),"")</f>
        <v/>
      </c>
      <c r="G1782" s="38" t="str" cm="1">
        <f t="array" aca="1" ref="G1782" ca="1">IF(F1782="",
    "",
    IFERROR(
        IF(INDIRECT("'"&amp;F1782&amp;"'!$B$2")="Credit Limit",
            "Credit Accounts",
            IF(INDIRECT("'"&amp;F1782&amp;"'!$E$2")="Location",
                "Cash Accounts",
                IF(INDIRECT("'"&amp;F1782&amp;"'!$B$2")="Amount",
                    "Investments",
                    "Bill Accounts"
                )
            )
        ),
    "")
)</f>
        <v/>
      </c>
      <c r="I1782" s="46" t="str" cm="1">
        <f t="array" aca="1" ref="I1782" ca="1">IF(F1782&lt;&gt;"",IF(OR(G1782="Bill Accounts",G1782="Investments", G1782="Cash Accounts"),INDIRECT("'"&amp;F1782&amp;"'!$C$10"),INDIRECT("'"&amp;F1782&amp;"'!$C$8")),"")</f>
        <v/>
      </c>
      <c r="K1782" s="48">
        <f t="shared" si="84"/>
        <v>1788</v>
      </c>
      <c r="L1782" s="114" t="str" cm="1">
        <f t="array" aca="1" ref="L1782" ca="1">IF(F1782&lt;&gt;"",INDIRECT("'"&amp;F1782&amp;"'!$F$17"),"")</f>
        <v/>
      </c>
      <c r="M1782" s="116" t="str">
        <f t="shared" ca="1" si="82"/>
        <v/>
      </c>
      <c r="O1782" s="49" t="str">
        <f t="shared" ca="1" si="83"/>
        <v/>
      </c>
      <c r="P1782" s="38" t="str">
        <f>IF(E1782&lt;&gt;"",RANK(E1782,$E$3:$E$2298)+COUNTIF($E$3:E1782,E1782)-1,"")</f>
        <v/>
      </c>
    </row>
    <row r="1783" spans="4:16" x14ac:dyDescent="0.25">
      <c r="D1783" s="36" t="str" cm="1">
        <f t="array" aca="1" ref="D1783" ca="1">IFERROR(IF(INDIRECT("'"&amp;F1783&amp;"'!$C$5")&gt;0,DATE(YEAR(Dashboard!$AL$2),Dashboard!$AU$4,INDIRECT("'"&amp;F1783&amp;"'!$C$5")),""),"")</f>
        <v/>
      </c>
      <c r="G1783" s="38" t="str" cm="1">
        <f t="array" aca="1" ref="G1783" ca="1">IF(F1783="",
    "",
    IFERROR(
        IF(INDIRECT("'"&amp;F1783&amp;"'!$B$2")="Credit Limit",
            "Credit Accounts",
            IF(INDIRECT("'"&amp;F1783&amp;"'!$E$2")="Location",
                "Cash Accounts",
                IF(INDIRECT("'"&amp;F1783&amp;"'!$B$2")="Amount",
                    "Investments",
                    "Bill Accounts"
                )
            )
        ),
    "")
)</f>
        <v/>
      </c>
      <c r="I1783" s="46" t="str" cm="1">
        <f t="array" aca="1" ref="I1783" ca="1">IF(F1783&lt;&gt;"",IF(OR(G1783="Bill Accounts",G1783="Investments", G1783="Cash Accounts"),INDIRECT("'"&amp;F1783&amp;"'!$C$10"),INDIRECT("'"&amp;F1783&amp;"'!$C$8")),"")</f>
        <v/>
      </c>
      <c r="K1783" s="48">
        <f t="shared" si="84"/>
        <v>1789</v>
      </c>
      <c r="L1783" s="114" t="str" cm="1">
        <f t="array" aca="1" ref="L1783" ca="1">IF(F1783&lt;&gt;"",INDIRECT("'"&amp;F1783&amp;"'!$F$17"),"")</f>
        <v/>
      </c>
      <c r="M1783" s="116" t="str">
        <f t="shared" ca="1" si="82"/>
        <v/>
      </c>
      <c r="O1783" s="49" t="str">
        <f t="shared" ca="1" si="83"/>
        <v/>
      </c>
      <c r="P1783" s="38" t="str">
        <f>IF(E1783&lt;&gt;"",RANK(E1783,$E$3:$E$2298)+COUNTIF($E$3:E1783,E1783)-1,"")</f>
        <v/>
      </c>
    </row>
    <row r="1784" spans="4:16" x14ac:dyDescent="0.25">
      <c r="D1784" s="36" t="str" cm="1">
        <f t="array" aca="1" ref="D1784" ca="1">IFERROR(IF(INDIRECT("'"&amp;F1784&amp;"'!$C$5")&gt;0,DATE(YEAR(Dashboard!$AL$2),Dashboard!$AU$4,INDIRECT("'"&amp;F1784&amp;"'!$C$5")),""),"")</f>
        <v/>
      </c>
      <c r="G1784" s="38" t="str" cm="1">
        <f t="array" aca="1" ref="G1784" ca="1">IF(F1784="",
    "",
    IFERROR(
        IF(INDIRECT("'"&amp;F1784&amp;"'!$B$2")="Credit Limit",
            "Credit Accounts",
            IF(INDIRECT("'"&amp;F1784&amp;"'!$E$2")="Location",
                "Cash Accounts",
                IF(INDIRECT("'"&amp;F1784&amp;"'!$B$2")="Amount",
                    "Investments",
                    "Bill Accounts"
                )
            )
        ),
    "")
)</f>
        <v/>
      </c>
      <c r="I1784" s="46" t="str" cm="1">
        <f t="array" aca="1" ref="I1784" ca="1">IF(F1784&lt;&gt;"",IF(OR(G1784="Bill Accounts",G1784="Investments", G1784="Cash Accounts"),INDIRECT("'"&amp;F1784&amp;"'!$C$10"),INDIRECT("'"&amp;F1784&amp;"'!$C$8")),"")</f>
        <v/>
      </c>
      <c r="K1784" s="48">
        <f t="shared" si="84"/>
        <v>1790</v>
      </c>
      <c r="L1784" s="114" t="str" cm="1">
        <f t="array" aca="1" ref="L1784" ca="1">IF(F1784&lt;&gt;"",INDIRECT("'"&amp;F1784&amp;"'!$F$17"),"")</f>
        <v/>
      </c>
      <c r="M1784" s="116" t="str">
        <f t="shared" ca="1" si="82"/>
        <v/>
      </c>
      <c r="O1784" s="49" t="str">
        <f t="shared" ca="1" si="83"/>
        <v/>
      </c>
      <c r="P1784" s="38" t="str">
        <f>IF(E1784&lt;&gt;"",RANK(E1784,$E$3:$E$2298)+COUNTIF($E$3:E1784,E1784)-1,"")</f>
        <v/>
      </c>
    </row>
    <row r="1785" spans="4:16" x14ac:dyDescent="0.25">
      <c r="D1785" s="36" t="str" cm="1">
        <f t="array" aca="1" ref="D1785" ca="1">IFERROR(IF(INDIRECT("'"&amp;F1785&amp;"'!$C$5")&gt;0,DATE(YEAR(Dashboard!$AL$2),Dashboard!$AU$4,INDIRECT("'"&amp;F1785&amp;"'!$C$5")),""),"")</f>
        <v/>
      </c>
      <c r="G1785" s="38" t="str" cm="1">
        <f t="array" aca="1" ref="G1785" ca="1">IF(F1785="",
    "",
    IFERROR(
        IF(INDIRECT("'"&amp;F1785&amp;"'!$B$2")="Credit Limit",
            "Credit Accounts",
            IF(INDIRECT("'"&amp;F1785&amp;"'!$E$2")="Location",
                "Cash Accounts",
                IF(INDIRECT("'"&amp;F1785&amp;"'!$B$2")="Amount",
                    "Investments",
                    "Bill Accounts"
                )
            )
        ),
    "")
)</f>
        <v/>
      </c>
      <c r="I1785" s="46" t="str" cm="1">
        <f t="array" aca="1" ref="I1785" ca="1">IF(F1785&lt;&gt;"",IF(OR(G1785="Bill Accounts",G1785="Investments", G1785="Cash Accounts"),INDIRECT("'"&amp;F1785&amp;"'!$C$10"),INDIRECT("'"&amp;F1785&amp;"'!$C$8")),"")</f>
        <v/>
      </c>
      <c r="K1785" s="48">
        <f t="shared" si="84"/>
        <v>1791</v>
      </c>
      <c r="L1785" s="114" t="str" cm="1">
        <f t="array" aca="1" ref="L1785" ca="1">IF(F1785&lt;&gt;"",INDIRECT("'"&amp;F1785&amp;"'!$F$17"),"")</f>
        <v/>
      </c>
      <c r="M1785" s="116" t="str">
        <f t="shared" ca="1" si="82"/>
        <v/>
      </c>
      <c r="O1785" s="49" t="str">
        <f t="shared" ca="1" si="83"/>
        <v/>
      </c>
      <c r="P1785" s="38" t="str">
        <f>IF(E1785&lt;&gt;"",RANK(E1785,$E$3:$E$2298)+COUNTIF($E$3:E1785,E1785)-1,"")</f>
        <v/>
      </c>
    </row>
    <row r="1786" spans="4:16" x14ac:dyDescent="0.25">
      <c r="D1786" s="36" t="str" cm="1">
        <f t="array" aca="1" ref="D1786" ca="1">IFERROR(IF(INDIRECT("'"&amp;F1786&amp;"'!$C$5")&gt;0,DATE(YEAR(Dashboard!$AL$2),Dashboard!$AU$4,INDIRECT("'"&amp;F1786&amp;"'!$C$5")),""),"")</f>
        <v/>
      </c>
      <c r="G1786" s="38" t="str" cm="1">
        <f t="array" aca="1" ref="G1786" ca="1">IF(F1786="",
    "",
    IFERROR(
        IF(INDIRECT("'"&amp;F1786&amp;"'!$B$2")="Credit Limit",
            "Credit Accounts",
            IF(INDIRECT("'"&amp;F1786&amp;"'!$E$2")="Location",
                "Cash Accounts",
                IF(INDIRECT("'"&amp;F1786&amp;"'!$B$2")="Amount",
                    "Investments",
                    "Bill Accounts"
                )
            )
        ),
    "")
)</f>
        <v/>
      </c>
      <c r="I1786" s="46" t="str" cm="1">
        <f t="array" aca="1" ref="I1786" ca="1">IF(F1786&lt;&gt;"",IF(OR(G1786="Bill Accounts",G1786="Investments", G1786="Cash Accounts"),INDIRECT("'"&amp;F1786&amp;"'!$C$10"),INDIRECT("'"&amp;F1786&amp;"'!$C$8")),"")</f>
        <v/>
      </c>
      <c r="K1786" s="48">
        <f t="shared" si="84"/>
        <v>1792</v>
      </c>
      <c r="L1786" s="114" t="str" cm="1">
        <f t="array" aca="1" ref="L1786" ca="1">IF(F1786&lt;&gt;"",INDIRECT("'"&amp;F1786&amp;"'!$F$17"),"")</f>
        <v/>
      </c>
      <c r="M1786" s="116" t="str">
        <f t="shared" ca="1" si="82"/>
        <v/>
      </c>
      <c r="O1786" s="49" t="str">
        <f t="shared" ca="1" si="83"/>
        <v/>
      </c>
      <c r="P1786" s="38" t="str">
        <f>IF(E1786&lt;&gt;"",RANK(E1786,$E$3:$E$2298)+COUNTIF($E$3:E1786,E1786)-1,"")</f>
        <v/>
      </c>
    </row>
    <row r="1787" spans="4:16" x14ac:dyDescent="0.25">
      <c r="D1787" s="36" t="str" cm="1">
        <f t="array" aca="1" ref="D1787" ca="1">IFERROR(IF(INDIRECT("'"&amp;F1787&amp;"'!$C$5")&gt;0,DATE(YEAR(Dashboard!$AL$2),Dashboard!$AU$4,INDIRECT("'"&amp;F1787&amp;"'!$C$5")),""),"")</f>
        <v/>
      </c>
      <c r="G1787" s="38" t="str" cm="1">
        <f t="array" aca="1" ref="G1787" ca="1">IF(F1787="",
    "",
    IFERROR(
        IF(INDIRECT("'"&amp;F1787&amp;"'!$B$2")="Credit Limit",
            "Credit Accounts",
            IF(INDIRECT("'"&amp;F1787&amp;"'!$E$2")="Location",
                "Cash Accounts",
                IF(INDIRECT("'"&amp;F1787&amp;"'!$B$2")="Amount",
                    "Investments",
                    "Bill Accounts"
                )
            )
        ),
    "")
)</f>
        <v/>
      </c>
      <c r="I1787" s="46" t="str" cm="1">
        <f t="array" aca="1" ref="I1787" ca="1">IF(F1787&lt;&gt;"",IF(OR(G1787="Bill Accounts",G1787="Investments", G1787="Cash Accounts"),INDIRECT("'"&amp;F1787&amp;"'!$C$10"),INDIRECT("'"&amp;F1787&amp;"'!$C$8")),"")</f>
        <v/>
      </c>
      <c r="K1787" s="48">
        <f t="shared" si="84"/>
        <v>1793</v>
      </c>
      <c r="L1787" s="114" t="str" cm="1">
        <f t="array" aca="1" ref="L1787" ca="1">IF(F1787&lt;&gt;"",INDIRECT("'"&amp;F1787&amp;"'!$F$17"),"")</f>
        <v/>
      </c>
      <c r="M1787" s="116" t="str">
        <f t="shared" ca="1" si="82"/>
        <v/>
      </c>
      <c r="O1787" s="49" t="str">
        <f t="shared" ca="1" si="83"/>
        <v/>
      </c>
      <c r="P1787" s="38" t="str">
        <f>IF(E1787&lt;&gt;"",RANK(E1787,$E$3:$E$2298)+COUNTIF($E$3:E1787,E1787)-1,"")</f>
        <v/>
      </c>
    </row>
    <row r="1788" spans="4:16" x14ac:dyDescent="0.25">
      <c r="D1788" s="36" t="str" cm="1">
        <f t="array" aca="1" ref="D1788" ca="1">IFERROR(IF(INDIRECT("'"&amp;F1788&amp;"'!$C$5")&gt;0,DATE(YEAR(Dashboard!$AL$2),Dashboard!$AU$4,INDIRECT("'"&amp;F1788&amp;"'!$C$5")),""),"")</f>
        <v/>
      </c>
      <c r="G1788" s="38" t="str" cm="1">
        <f t="array" aca="1" ref="G1788" ca="1">IF(F1788="",
    "",
    IFERROR(
        IF(INDIRECT("'"&amp;F1788&amp;"'!$B$2")="Credit Limit",
            "Credit Accounts",
            IF(INDIRECT("'"&amp;F1788&amp;"'!$E$2")="Location",
                "Cash Accounts",
                IF(INDIRECT("'"&amp;F1788&amp;"'!$B$2")="Amount",
                    "Investments",
                    "Bill Accounts"
                )
            )
        ),
    "")
)</f>
        <v/>
      </c>
      <c r="I1788" s="46" t="str" cm="1">
        <f t="array" aca="1" ref="I1788" ca="1">IF(F1788&lt;&gt;"",IF(OR(G1788="Bill Accounts",G1788="Investments", G1788="Cash Accounts"),INDIRECT("'"&amp;F1788&amp;"'!$C$10"),INDIRECT("'"&amp;F1788&amp;"'!$C$8")),"")</f>
        <v/>
      </c>
      <c r="K1788" s="48">
        <f t="shared" si="84"/>
        <v>1794</v>
      </c>
      <c r="L1788" s="114" t="str" cm="1">
        <f t="array" aca="1" ref="L1788" ca="1">IF(F1788&lt;&gt;"",INDIRECT("'"&amp;F1788&amp;"'!$F$17"),"")</f>
        <v/>
      </c>
      <c r="M1788" s="116" t="str">
        <f t="shared" ca="1" si="82"/>
        <v/>
      </c>
      <c r="O1788" s="49" t="str">
        <f t="shared" ca="1" si="83"/>
        <v/>
      </c>
      <c r="P1788" s="38" t="str">
        <f>IF(E1788&lt;&gt;"",RANK(E1788,$E$3:$E$2298)+COUNTIF($E$3:E1788,E1788)-1,"")</f>
        <v/>
      </c>
    </row>
    <row r="1789" spans="4:16" x14ac:dyDescent="0.25">
      <c r="D1789" s="36" t="str" cm="1">
        <f t="array" aca="1" ref="D1789" ca="1">IFERROR(IF(INDIRECT("'"&amp;F1789&amp;"'!$C$5")&gt;0,DATE(YEAR(Dashboard!$AL$2),Dashboard!$AU$4,INDIRECT("'"&amp;F1789&amp;"'!$C$5")),""),"")</f>
        <v/>
      </c>
      <c r="G1789" s="38" t="str" cm="1">
        <f t="array" aca="1" ref="G1789" ca="1">IF(F1789="",
    "",
    IFERROR(
        IF(INDIRECT("'"&amp;F1789&amp;"'!$B$2")="Credit Limit",
            "Credit Accounts",
            IF(INDIRECT("'"&amp;F1789&amp;"'!$E$2")="Location",
                "Cash Accounts",
                IF(INDIRECT("'"&amp;F1789&amp;"'!$B$2")="Amount",
                    "Investments",
                    "Bill Accounts"
                )
            )
        ),
    "")
)</f>
        <v/>
      </c>
      <c r="I1789" s="46" t="str" cm="1">
        <f t="array" aca="1" ref="I1789" ca="1">IF(F1789&lt;&gt;"",IF(OR(G1789="Bill Accounts",G1789="Investments", G1789="Cash Accounts"),INDIRECT("'"&amp;F1789&amp;"'!$C$10"),INDIRECT("'"&amp;F1789&amp;"'!$C$8")),"")</f>
        <v/>
      </c>
      <c r="K1789" s="48">
        <f t="shared" si="84"/>
        <v>1795</v>
      </c>
      <c r="L1789" s="114" t="str" cm="1">
        <f t="array" aca="1" ref="L1789" ca="1">IF(F1789&lt;&gt;"",INDIRECT("'"&amp;F1789&amp;"'!$F$17"),"")</f>
        <v/>
      </c>
      <c r="M1789" s="116" t="str">
        <f t="shared" ca="1" si="82"/>
        <v/>
      </c>
      <c r="O1789" s="49" t="str">
        <f t="shared" ca="1" si="83"/>
        <v/>
      </c>
      <c r="P1789" s="38" t="str">
        <f>IF(E1789&lt;&gt;"",RANK(E1789,$E$3:$E$2298)+COUNTIF($E$3:E1789,E1789)-1,"")</f>
        <v/>
      </c>
    </row>
    <row r="1790" spans="4:16" x14ac:dyDescent="0.25">
      <c r="D1790" s="36" t="str" cm="1">
        <f t="array" aca="1" ref="D1790" ca="1">IFERROR(IF(INDIRECT("'"&amp;F1790&amp;"'!$C$5")&gt;0,DATE(YEAR(Dashboard!$AL$2),Dashboard!$AU$4,INDIRECT("'"&amp;F1790&amp;"'!$C$5")),""),"")</f>
        <v/>
      </c>
      <c r="G1790" s="38" t="str" cm="1">
        <f t="array" aca="1" ref="G1790" ca="1">IF(F1790="",
    "",
    IFERROR(
        IF(INDIRECT("'"&amp;F1790&amp;"'!$B$2")="Credit Limit",
            "Credit Accounts",
            IF(INDIRECT("'"&amp;F1790&amp;"'!$E$2")="Location",
                "Cash Accounts",
                IF(INDIRECT("'"&amp;F1790&amp;"'!$B$2")="Amount",
                    "Investments",
                    "Bill Accounts"
                )
            )
        ),
    "")
)</f>
        <v/>
      </c>
      <c r="I1790" s="46" t="str" cm="1">
        <f t="array" aca="1" ref="I1790" ca="1">IF(F1790&lt;&gt;"",IF(OR(G1790="Bill Accounts",G1790="Investments", G1790="Cash Accounts"),INDIRECT("'"&amp;F1790&amp;"'!$C$10"),INDIRECT("'"&amp;F1790&amp;"'!$C$8")),"")</f>
        <v/>
      </c>
      <c r="K1790" s="48">
        <f t="shared" si="84"/>
        <v>1796</v>
      </c>
      <c r="L1790" s="114" t="str" cm="1">
        <f t="array" aca="1" ref="L1790" ca="1">IF(F1790&lt;&gt;"",INDIRECT("'"&amp;F1790&amp;"'!$F$17"),"")</f>
        <v/>
      </c>
      <c r="M1790" s="116" t="str">
        <f t="shared" ca="1" si="82"/>
        <v/>
      </c>
      <c r="O1790" s="49" t="str">
        <f t="shared" ca="1" si="83"/>
        <v/>
      </c>
      <c r="P1790" s="38" t="str">
        <f>IF(E1790&lt;&gt;"",RANK(E1790,$E$3:$E$2298)+COUNTIF($E$3:E1790,E1790)-1,"")</f>
        <v/>
      </c>
    </row>
    <row r="1791" spans="4:16" x14ac:dyDescent="0.25">
      <c r="D1791" s="36" t="str" cm="1">
        <f t="array" aca="1" ref="D1791" ca="1">IFERROR(IF(INDIRECT("'"&amp;F1791&amp;"'!$C$5")&gt;0,DATE(YEAR(Dashboard!$AL$2),Dashboard!$AU$4,INDIRECT("'"&amp;F1791&amp;"'!$C$5")),""),"")</f>
        <v/>
      </c>
      <c r="G1791" s="38" t="str" cm="1">
        <f t="array" aca="1" ref="G1791" ca="1">IF(F1791="",
    "",
    IFERROR(
        IF(INDIRECT("'"&amp;F1791&amp;"'!$B$2")="Credit Limit",
            "Credit Accounts",
            IF(INDIRECT("'"&amp;F1791&amp;"'!$E$2")="Location",
                "Cash Accounts",
                IF(INDIRECT("'"&amp;F1791&amp;"'!$B$2")="Amount",
                    "Investments",
                    "Bill Accounts"
                )
            )
        ),
    "")
)</f>
        <v/>
      </c>
      <c r="I1791" s="46" t="str" cm="1">
        <f t="array" aca="1" ref="I1791" ca="1">IF(F1791&lt;&gt;"",IF(OR(G1791="Bill Accounts",G1791="Investments", G1791="Cash Accounts"),INDIRECT("'"&amp;F1791&amp;"'!$C$10"),INDIRECT("'"&amp;F1791&amp;"'!$C$8")),"")</f>
        <v/>
      </c>
      <c r="K1791" s="48">
        <f t="shared" si="84"/>
        <v>1797</v>
      </c>
      <c r="L1791" s="114" t="str" cm="1">
        <f t="array" aca="1" ref="L1791" ca="1">IF(F1791&lt;&gt;"",INDIRECT("'"&amp;F1791&amp;"'!$F$17"),"")</f>
        <v/>
      </c>
      <c r="M1791" s="116" t="str">
        <f t="shared" ca="1" si="82"/>
        <v/>
      </c>
      <c r="O1791" s="49" t="str">
        <f t="shared" ca="1" si="83"/>
        <v/>
      </c>
      <c r="P1791" s="38" t="str">
        <f>IF(E1791&lt;&gt;"",RANK(E1791,$E$3:$E$2298)+COUNTIF($E$3:E1791,E1791)-1,"")</f>
        <v/>
      </c>
    </row>
    <row r="1792" spans="4:16" x14ac:dyDescent="0.25">
      <c r="D1792" s="36" t="str" cm="1">
        <f t="array" aca="1" ref="D1792" ca="1">IFERROR(IF(INDIRECT("'"&amp;F1792&amp;"'!$C$5")&gt;0,DATE(YEAR(Dashboard!$AL$2),Dashboard!$AU$4,INDIRECT("'"&amp;F1792&amp;"'!$C$5")),""),"")</f>
        <v/>
      </c>
      <c r="G1792" s="38" t="str" cm="1">
        <f t="array" aca="1" ref="G1792" ca="1">IF(F1792="",
    "",
    IFERROR(
        IF(INDIRECT("'"&amp;F1792&amp;"'!$B$2")="Credit Limit",
            "Credit Accounts",
            IF(INDIRECT("'"&amp;F1792&amp;"'!$E$2")="Location",
                "Cash Accounts",
                IF(INDIRECT("'"&amp;F1792&amp;"'!$B$2")="Amount",
                    "Investments",
                    "Bill Accounts"
                )
            )
        ),
    "")
)</f>
        <v/>
      </c>
      <c r="I1792" s="46" t="str" cm="1">
        <f t="array" aca="1" ref="I1792" ca="1">IF(F1792&lt;&gt;"",IF(OR(G1792="Bill Accounts",G1792="Investments", G1792="Cash Accounts"),INDIRECT("'"&amp;F1792&amp;"'!$C$10"),INDIRECT("'"&amp;F1792&amp;"'!$C$8")),"")</f>
        <v/>
      </c>
      <c r="K1792" s="48">
        <f t="shared" si="84"/>
        <v>1798</v>
      </c>
      <c r="L1792" s="114" t="str" cm="1">
        <f t="array" aca="1" ref="L1792" ca="1">IF(F1792&lt;&gt;"",INDIRECT("'"&amp;F1792&amp;"'!$F$17"),"")</f>
        <v/>
      </c>
      <c r="M1792" s="116" t="str">
        <f t="shared" ca="1" si="82"/>
        <v/>
      </c>
      <c r="O1792" s="49" t="str">
        <f t="shared" ca="1" si="83"/>
        <v/>
      </c>
      <c r="P1792" s="38" t="str">
        <f>IF(E1792&lt;&gt;"",RANK(E1792,$E$3:$E$2298)+COUNTIF($E$3:E1792,E1792)-1,"")</f>
        <v/>
      </c>
    </row>
    <row r="1793" spans="4:16" x14ac:dyDescent="0.25">
      <c r="D1793" s="36" t="str" cm="1">
        <f t="array" aca="1" ref="D1793" ca="1">IFERROR(IF(INDIRECT("'"&amp;F1793&amp;"'!$C$5")&gt;0,DATE(YEAR(Dashboard!$AL$2),Dashboard!$AU$4,INDIRECT("'"&amp;F1793&amp;"'!$C$5")),""),"")</f>
        <v/>
      </c>
      <c r="G1793" s="38" t="str" cm="1">
        <f t="array" aca="1" ref="G1793" ca="1">IF(F1793="",
    "",
    IFERROR(
        IF(INDIRECT("'"&amp;F1793&amp;"'!$B$2")="Credit Limit",
            "Credit Accounts",
            IF(INDIRECT("'"&amp;F1793&amp;"'!$E$2")="Location",
                "Cash Accounts",
                IF(INDIRECT("'"&amp;F1793&amp;"'!$B$2")="Amount",
                    "Investments",
                    "Bill Accounts"
                )
            )
        ),
    "")
)</f>
        <v/>
      </c>
      <c r="I1793" s="46" t="str" cm="1">
        <f t="array" aca="1" ref="I1793" ca="1">IF(F1793&lt;&gt;"",IF(OR(G1793="Bill Accounts",G1793="Investments", G1793="Cash Accounts"),INDIRECT("'"&amp;F1793&amp;"'!$C$10"),INDIRECT("'"&amp;F1793&amp;"'!$C$8")),"")</f>
        <v/>
      </c>
      <c r="K1793" s="48">
        <f t="shared" si="84"/>
        <v>1799</v>
      </c>
      <c r="L1793" s="114" t="str" cm="1">
        <f t="array" aca="1" ref="L1793" ca="1">IF(F1793&lt;&gt;"",INDIRECT("'"&amp;F1793&amp;"'!$F$17"),"")</f>
        <v/>
      </c>
      <c r="M1793" s="116" t="str">
        <f t="shared" ca="1" si="82"/>
        <v/>
      </c>
      <c r="O1793" s="49" t="str">
        <f t="shared" ca="1" si="83"/>
        <v/>
      </c>
      <c r="P1793" s="38" t="str">
        <f>IF(E1793&lt;&gt;"",RANK(E1793,$E$3:$E$2298)+COUNTIF($E$3:E1793,E1793)-1,"")</f>
        <v/>
      </c>
    </row>
    <row r="1794" spans="4:16" x14ac:dyDescent="0.25">
      <c r="D1794" s="36" t="str" cm="1">
        <f t="array" aca="1" ref="D1794" ca="1">IFERROR(IF(INDIRECT("'"&amp;F1794&amp;"'!$C$5")&gt;0,DATE(YEAR(Dashboard!$AL$2),Dashboard!$AU$4,INDIRECT("'"&amp;F1794&amp;"'!$C$5")),""),"")</f>
        <v/>
      </c>
      <c r="G1794" s="38" t="str" cm="1">
        <f t="array" aca="1" ref="G1794" ca="1">IF(F1794="",
    "",
    IFERROR(
        IF(INDIRECT("'"&amp;F1794&amp;"'!$B$2")="Credit Limit",
            "Credit Accounts",
            IF(INDIRECT("'"&amp;F1794&amp;"'!$E$2")="Location",
                "Cash Accounts",
                IF(INDIRECT("'"&amp;F1794&amp;"'!$B$2")="Amount",
                    "Investments",
                    "Bill Accounts"
                )
            )
        ),
    "")
)</f>
        <v/>
      </c>
      <c r="I1794" s="46" t="str" cm="1">
        <f t="array" aca="1" ref="I1794" ca="1">IF(F1794&lt;&gt;"",IF(OR(G1794="Bill Accounts",G1794="Investments", G1794="Cash Accounts"),INDIRECT("'"&amp;F1794&amp;"'!$C$10"),INDIRECT("'"&amp;F1794&amp;"'!$C$8")),"")</f>
        <v/>
      </c>
      <c r="K1794" s="48">
        <f t="shared" si="84"/>
        <v>1800</v>
      </c>
      <c r="L1794" s="114" t="str" cm="1">
        <f t="array" aca="1" ref="L1794" ca="1">IF(F1794&lt;&gt;"",INDIRECT("'"&amp;F1794&amp;"'!$F$17"),"")</f>
        <v/>
      </c>
      <c r="M1794" s="116" t="str">
        <f t="shared" ca="1" si="82"/>
        <v/>
      </c>
      <c r="O1794" s="49" t="str">
        <f t="shared" ca="1" si="83"/>
        <v/>
      </c>
      <c r="P1794" s="38" t="str">
        <f>IF(E1794&lt;&gt;"",RANK(E1794,$E$3:$E$2298)+COUNTIF($E$3:E1794,E1794)-1,"")</f>
        <v/>
      </c>
    </row>
    <row r="1795" spans="4:16" x14ac:dyDescent="0.25">
      <c r="D1795" s="36" t="str" cm="1">
        <f t="array" aca="1" ref="D1795" ca="1">IFERROR(IF(INDIRECT("'"&amp;F1795&amp;"'!$C$5")&gt;0,DATE(YEAR(Dashboard!$AL$2),Dashboard!$AU$4,INDIRECT("'"&amp;F1795&amp;"'!$C$5")),""),"")</f>
        <v/>
      </c>
      <c r="G1795" s="38" t="str" cm="1">
        <f t="array" aca="1" ref="G1795" ca="1">IF(F1795="",
    "",
    IFERROR(
        IF(INDIRECT("'"&amp;F1795&amp;"'!$B$2")="Credit Limit",
            "Credit Accounts",
            IF(INDIRECT("'"&amp;F1795&amp;"'!$E$2")="Location",
                "Cash Accounts",
                IF(INDIRECT("'"&amp;F1795&amp;"'!$B$2")="Amount",
                    "Investments",
                    "Bill Accounts"
                )
            )
        ),
    "")
)</f>
        <v/>
      </c>
      <c r="I1795" s="46" t="str" cm="1">
        <f t="array" aca="1" ref="I1795" ca="1">IF(F1795&lt;&gt;"",IF(OR(G1795="Bill Accounts",G1795="Investments", G1795="Cash Accounts"),INDIRECT("'"&amp;F1795&amp;"'!$C$10"),INDIRECT("'"&amp;F1795&amp;"'!$C$8")),"")</f>
        <v/>
      </c>
      <c r="K1795" s="48">
        <f t="shared" si="84"/>
        <v>1801</v>
      </c>
      <c r="L1795" s="114" t="str" cm="1">
        <f t="array" aca="1" ref="L1795" ca="1">IF(F1795&lt;&gt;"",INDIRECT("'"&amp;F1795&amp;"'!$F$17"),"")</f>
        <v/>
      </c>
      <c r="M1795" s="116" t="str">
        <f t="shared" ca="1" si="82"/>
        <v/>
      </c>
      <c r="O1795" s="49" t="str">
        <f t="shared" ca="1" si="83"/>
        <v/>
      </c>
      <c r="P1795" s="38" t="str">
        <f>IF(E1795&lt;&gt;"",RANK(E1795,$E$3:$E$2298)+COUNTIF($E$3:E1795,E1795)-1,"")</f>
        <v/>
      </c>
    </row>
    <row r="1796" spans="4:16" x14ac:dyDescent="0.25">
      <c r="D1796" s="36" t="str" cm="1">
        <f t="array" aca="1" ref="D1796" ca="1">IFERROR(IF(INDIRECT("'"&amp;F1796&amp;"'!$C$5")&gt;0,DATE(YEAR(Dashboard!$AL$2),Dashboard!$AU$4,INDIRECT("'"&amp;F1796&amp;"'!$C$5")),""),"")</f>
        <v/>
      </c>
      <c r="G1796" s="38" t="str" cm="1">
        <f t="array" aca="1" ref="G1796" ca="1">IF(F1796="",
    "",
    IFERROR(
        IF(INDIRECT("'"&amp;F1796&amp;"'!$B$2")="Credit Limit",
            "Credit Accounts",
            IF(INDIRECT("'"&amp;F1796&amp;"'!$E$2")="Location",
                "Cash Accounts",
                IF(INDIRECT("'"&amp;F1796&amp;"'!$B$2")="Amount",
                    "Investments",
                    "Bill Accounts"
                )
            )
        ),
    "")
)</f>
        <v/>
      </c>
      <c r="I1796" s="46" t="str" cm="1">
        <f t="array" aca="1" ref="I1796" ca="1">IF(F1796&lt;&gt;"",IF(OR(G1796="Bill Accounts",G1796="Investments", G1796="Cash Accounts"),INDIRECT("'"&amp;F1796&amp;"'!$C$10"),INDIRECT("'"&amp;F1796&amp;"'!$C$8")),"")</f>
        <v/>
      </c>
      <c r="K1796" s="48">
        <f t="shared" si="84"/>
        <v>1802</v>
      </c>
      <c r="L1796" s="114" t="str" cm="1">
        <f t="array" aca="1" ref="L1796" ca="1">IF(F1796&lt;&gt;"",INDIRECT("'"&amp;F1796&amp;"'!$F$17"),"")</f>
        <v/>
      </c>
      <c r="M1796" s="116" t="str">
        <f t="shared" ref="M1796:M1859" ca="1" si="85">IF(G1796="Credit Accounts",EDATE(TODAY(),INDIRECT("'"&amp;F1796&amp;"'!$C$14")),"")</f>
        <v/>
      </c>
      <c r="O1796" s="49" t="str">
        <f t="shared" ref="O1796:O1859" ca="1" si="86">IF(D1796&lt;&gt;"",DAY(D1796),"")</f>
        <v/>
      </c>
      <c r="P1796" s="38" t="str">
        <f>IF(E1796&lt;&gt;"",RANK(E1796,$E$3:$E$2298)+COUNTIF($E$3:E1796,E1796)-1,"")</f>
        <v/>
      </c>
    </row>
    <row r="1797" spans="4:16" x14ac:dyDescent="0.25">
      <c r="D1797" s="36" t="str" cm="1">
        <f t="array" aca="1" ref="D1797" ca="1">IFERROR(IF(INDIRECT("'"&amp;F1797&amp;"'!$C$5")&gt;0,DATE(YEAR(Dashboard!$AL$2),Dashboard!$AU$4,INDIRECT("'"&amp;F1797&amp;"'!$C$5")),""),"")</f>
        <v/>
      </c>
      <c r="G1797" s="38" t="str" cm="1">
        <f t="array" aca="1" ref="G1797" ca="1">IF(F1797="",
    "",
    IFERROR(
        IF(INDIRECT("'"&amp;F1797&amp;"'!$B$2")="Credit Limit",
            "Credit Accounts",
            IF(INDIRECT("'"&amp;F1797&amp;"'!$E$2")="Location",
                "Cash Accounts",
                IF(INDIRECT("'"&amp;F1797&amp;"'!$B$2")="Amount",
                    "Investments",
                    "Bill Accounts"
                )
            )
        ),
    "")
)</f>
        <v/>
      </c>
      <c r="I1797" s="46" t="str" cm="1">
        <f t="array" aca="1" ref="I1797" ca="1">IF(F1797&lt;&gt;"",IF(OR(G1797="Bill Accounts",G1797="Investments", G1797="Cash Accounts"),INDIRECT("'"&amp;F1797&amp;"'!$C$10"),INDIRECT("'"&amp;F1797&amp;"'!$C$8")),"")</f>
        <v/>
      </c>
      <c r="K1797" s="48">
        <f t="shared" si="84"/>
        <v>1803</v>
      </c>
      <c r="L1797" s="114" t="str" cm="1">
        <f t="array" aca="1" ref="L1797" ca="1">IF(F1797&lt;&gt;"",INDIRECT("'"&amp;F1797&amp;"'!$F$17"),"")</f>
        <v/>
      </c>
      <c r="M1797" s="116" t="str">
        <f t="shared" ca="1" si="85"/>
        <v/>
      </c>
      <c r="O1797" s="49" t="str">
        <f t="shared" ca="1" si="86"/>
        <v/>
      </c>
      <c r="P1797" s="38" t="str">
        <f>IF(E1797&lt;&gt;"",RANK(E1797,$E$3:$E$2298)+COUNTIF($E$3:E1797,E1797)-1,"")</f>
        <v/>
      </c>
    </row>
    <row r="1798" spans="4:16" x14ac:dyDescent="0.25">
      <c r="D1798" s="36" t="str" cm="1">
        <f t="array" aca="1" ref="D1798" ca="1">IFERROR(IF(INDIRECT("'"&amp;F1798&amp;"'!$C$5")&gt;0,DATE(YEAR(Dashboard!$AL$2),Dashboard!$AU$4,INDIRECT("'"&amp;F1798&amp;"'!$C$5")),""),"")</f>
        <v/>
      </c>
      <c r="G1798" s="38" t="str" cm="1">
        <f t="array" aca="1" ref="G1798" ca="1">IF(F1798="",
    "",
    IFERROR(
        IF(INDIRECT("'"&amp;F1798&amp;"'!$B$2")="Credit Limit",
            "Credit Accounts",
            IF(INDIRECT("'"&amp;F1798&amp;"'!$E$2")="Location",
                "Cash Accounts",
                IF(INDIRECT("'"&amp;F1798&amp;"'!$B$2")="Amount",
                    "Investments",
                    "Bill Accounts"
                )
            )
        ),
    "")
)</f>
        <v/>
      </c>
      <c r="I1798" s="46" t="str" cm="1">
        <f t="array" aca="1" ref="I1798" ca="1">IF(F1798&lt;&gt;"",IF(OR(G1798="Bill Accounts",G1798="Investments", G1798="Cash Accounts"),INDIRECT("'"&amp;F1798&amp;"'!$C$10"),INDIRECT("'"&amp;F1798&amp;"'!$C$8")),"")</f>
        <v/>
      </c>
      <c r="K1798" s="48">
        <f t="shared" si="84"/>
        <v>1804</v>
      </c>
      <c r="L1798" s="114" t="str" cm="1">
        <f t="array" aca="1" ref="L1798" ca="1">IF(F1798&lt;&gt;"",INDIRECT("'"&amp;F1798&amp;"'!$F$17"),"")</f>
        <v/>
      </c>
      <c r="M1798" s="116" t="str">
        <f t="shared" ca="1" si="85"/>
        <v/>
      </c>
      <c r="O1798" s="49" t="str">
        <f t="shared" ca="1" si="86"/>
        <v/>
      </c>
      <c r="P1798" s="38" t="str">
        <f>IF(E1798&lt;&gt;"",RANK(E1798,$E$3:$E$2298)+COUNTIF($E$3:E1798,E1798)-1,"")</f>
        <v/>
      </c>
    </row>
    <row r="1799" spans="4:16" x14ac:dyDescent="0.25">
      <c r="D1799" s="36" t="str" cm="1">
        <f t="array" aca="1" ref="D1799" ca="1">IFERROR(IF(INDIRECT("'"&amp;F1799&amp;"'!$C$5")&gt;0,DATE(YEAR(Dashboard!$AL$2),Dashboard!$AU$4,INDIRECT("'"&amp;F1799&amp;"'!$C$5")),""),"")</f>
        <v/>
      </c>
      <c r="G1799" s="38" t="str" cm="1">
        <f t="array" aca="1" ref="G1799" ca="1">IF(F1799="",
    "",
    IFERROR(
        IF(INDIRECT("'"&amp;F1799&amp;"'!$B$2")="Credit Limit",
            "Credit Accounts",
            IF(INDIRECT("'"&amp;F1799&amp;"'!$E$2")="Location",
                "Cash Accounts",
                IF(INDIRECT("'"&amp;F1799&amp;"'!$B$2")="Amount",
                    "Investments",
                    "Bill Accounts"
                )
            )
        ),
    "")
)</f>
        <v/>
      </c>
      <c r="I1799" s="46" t="str" cm="1">
        <f t="array" aca="1" ref="I1799" ca="1">IF(F1799&lt;&gt;"",IF(OR(G1799="Bill Accounts",G1799="Investments", G1799="Cash Accounts"),INDIRECT("'"&amp;F1799&amp;"'!$C$10"),INDIRECT("'"&amp;F1799&amp;"'!$C$8")),"")</f>
        <v/>
      </c>
      <c r="K1799" s="48">
        <f t="shared" si="84"/>
        <v>1805</v>
      </c>
      <c r="L1799" s="114" t="str" cm="1">
        <f t="array" aca="1" ref="L1799" ca="1">IF(F1799&lt;&gt;"",INDIRECT("'"&amp;F1799&amp;"'!$F$17"),"")</f>
        <v/>
      </c>
      <c r="M1799" s="116" t="str">
        <f t="shared" ca="1" si="85"/>
        <v/>
      </c>
      <c r="O1799" s="49" t="str">
        <f t="shared" ca="1" si="86"/>
        <v/>
      </c>
      <c r="P1799" s="38" t="str">
        <f>IF(E1799&lt;&gt;"",RANK(E1799,$E$3:$E$2298)+COUNTIF($E$3:E1799,E1799)-1,"")</f>
        <v/>
      </c>
    </row>
    <row r="1800" spans="4:16" x14ac:dyDescent="0.25">
      <c r="D1800" s="36" t="str" cm="1">
        <f t="array" aca="1" ref="D1800" ca="1">IFERROR(IF(INDIRECT("'"&amp;F1800&amp;"'!$C$5")&gt;0,DATE(YEAR(Dashboard!$AL$2),Dashboard!$AU$4,INDIRECT("'"&amp;F1800&amp;"'!$C$5")),""),"")</f>
        <v/>
      </c>
      <c r="G1800" s="38" t="str" cm="1">
        <f t="array" aca="1" ref="G1800" ca="1">IF(F1800="",
    "",
    IFERROR(
        IF(INDIRECT("'"&amp;F1800&amp;"'!$B$2")="Credit Limit",
            "Credit Accounts",
            IF(INDIRECT("'"&amp;F1800&amp;"'!$E$2")="Location",
                "Cash Accounts",
                IF(INDIRECT("'"&amp;F1800&amp;"'!$B$2")="Amount",
                    "Investments",
                    "Bill Accounts"
                )
            )
        ),
    "")
)</f>
        <v/>
      </c>
      <c r="I1800" s="46" t="str" cm="1">
        <f t="array" aca="1" ref="I1800" ca="1">IF(F1800&lt;&gt;"",IF(OR(G1800="Bill Accounts",G1800="Investments", G1800="Cash Accounts"),INDIRECT("'"&amp;F1800&amp;"'!$C$10"),INDIRECT("'"&amp;F1800&amp;"'!$C$8")),"")</f>
        <v/>
      </c>
      <c r="K1800" s="48">
        <f t="shared" ref="K1800:K1863" si="87">SUM(K1799+1)</f>
        <v>1806</v>
      </c>
      <c r="L1800" s="114" t="str" cm="1">
        <f t="array" aca="1" ref="L1800" ca="1">IF(F1800&lt;&gt;"",INDIRECT("'"&amp;F1800&amp;"'!$F$17"),"")</f>
        <v/>
      </c>
      <c r="M1800" s="116" t="str">
        <f t="shared" ca="1" si="85"/>
        <v/>
      </c>
      <c r="O1800" s="49" t="str">
        <f t="shared" ca="1" si="86"/>
        <v/>
      </c>
      <c r="P1800" s="38" t="str">
        <f>IF(E1800&lt;&gt;"",RANK(E1800,$E$3:$E$2298)+COUNTIF($E$3:E1800,E1800)-1,"")</f>
        <v/>
      </c>
    </row>
    <row r="1801" spans="4:16" x14ac:dyDescent="0.25">
      <c r="D1801" s="36" t="str" cm="1">
        <f t="array" aca="1" ref="D1801" ca="1">IFERROR(IF(INDIRECT("'"&amp;F1801&amp;"'!$C$5")&gt;0,DATE(YEAR(Dashboard!$AL$2),Dashboard!$AU$4,INDIRECT("'"&amp;F1801&amp;"'!$C$5")),""),"")</f>
        <v/>
      </c>
      <c r="G1801" s="38" t="str" cm="1">
        <f t="array" aca="1" ref="G1801" ca="1">IF(F1801="",
    "",
    IFERROR(
        IF(INDIRECT("'"&amp;F1801&amp;"'!$B$2")="Credit Limit",
            "Credit Accounts",
            IF(INDIRECT("'"&amp;F1801&amp;"'!$E$2")="Location",
                "Cash Accounts",
                IF(INDIRECT("'"&amp;F1801&amp;"'!$B$2")="Amount",
                    "Investments",
                    "Bill Accounts"
                )
            )
        ),
    "")
)</f>
        <v/>
      </c>
      <c r="I1801" s="46" t="str" cm="1">
        <f t="array" aca="1" ref="I1801" ca="1">IF(F1801&lt;&gt;"",IF(OR(G1801="Bill Accounts",G1801="Investments", G1801="Cash Accounts"),INDIRECT("'"&amp;F1801&amp;"'!$C$10"),INDIRECT("'"&amp;F1801&amp;"'!$C$8")),"")</f>
        <v/>
      </c>
      <c r="K1801" s="48">
        <f t="shared" si="87"/>
        <v>1807</v>
      </c>
      <c r="L1801" s="114" t="str" cm="1">
        <f t="array" aca="1" ref="L1801" ca="1">IF(F1801&lt;&gt;"",INDIRECT("'"&amp;F1801&amp;"'!$F$17"),"")</f>
        <v/>
      </c>
      <c r="M1801" s="116" t="str">
        <f t="shared" ca="1" si="85"/>
        <v/>
      </c>
      <c r="O1801" s="49" t="str">
        <f t="shared" ca="1" si="86"/>
        <v/>
      </c>
      <c r="P1801" s="38" t="str">
        <f>IF(E1801&lt;&gt;"",RANK(E1801,$E$3:$E$2298)+COUNTIF($E$3:E1801,E1801)-1,"")</f>
        <v/>
      </c>
    </row>
    <row r="1802" spans="4:16" x14ac:dyDescent="0.25">
      <c r="D1802" s="36" t="str" cm="1">
        <f t="array" aca="1" ref="D1802" ca="1">IFERROR(IF(INDIRECT("'"&amp;F1802&amp;"'!$C$5")&gt;0,DATE(YEAR(Dashboard!$AL$2),Dashboard!$AU$4,INDIRECT("'"&amp;F1802&amp;"'!$C$5")),""),"")</f>
        <v/>
      </c>
      <c r="G1802" s="38" t="str" cm="1">
        <f t="array" aca="1" ref="G1802" ca="1">IF(F1802="",
    "",
    IFERROR(
        IF(INDIRECT("'"&amp;F1802&amp;"'!$B$2")="Credit Limit",
            "Credit Accounts",
            IF(INDIRECT("'"&amp;F1802&amp;"'!$E$2")="Location",
                "Cash Accounts",
                IF(INDIRECT("'"&amp;F1802&amp;"'!$B$2")="Amount",
                    "Investments",
                    "Bill Accounts"
                )
            )
        ),
    "")
)</f>
        <v/>
      </c>
      <c r="I1802" s="46" t="str" cm="1">
        <f t="array" aca="1" ref="I1802" ca="1">IF(F1802&lt;&gt;"",IF(OR(G1802="Bill Accounts",G1802="Investments", G1802="Cash Accounts"),INDIRECT("'"&amp;F1802&amp;"'!$C$10"),INDIRECT("'"&amp;F1802&amp;"'!$C$8")),"")</f>
        <v/>
      </c>
      <c r="K1802" s="48">
        <f t="shared" si="87"/>
        <v>1808</v>
      </c>
      <c r="L1802" s="114" t="str" cm="1">
        <f t="array" aca="1" ref="L1802" ca="1">IF(F1802&lt;&gt;"",INDIRECT("'"&amp;F1802&amp;"'!$F$17"),"")</f>
        <v/>
      </c>
      <c r="M1802" s="116" t="str">
        <f t="shared" ca="1" si="85"/>
        <v/>
      </c>
      <c r="O1802" s="49" t="str">
        <f t="shared" ca="1" si="86"/>
        <v/>
      </c>
      <c r="P1802" s="38" t="str">
        <f>IF(E1802&lt;&gt;"",RANK(E1802,$E$3:$E$2298)+COUNTIF($E$3:E1802,E1802)-1,"")</f>
        <v/>
      </c>
    </row>
    <row r="1803" spans="4:16" x14ac:dyDescent="0.25">
      <c r="D1803" s="36" t="str" cm="1">
        <f t="array" aca="1" ref="D1803" ca="1">IFERROR(IF(INDIRECT("'"&amp;F1803&amp;"'!$C$5")&gt;0,DATE(YEAR(Dashboard!$AL$2),Dashboard!$AU$4,INDIRECT("'"&amp;F1803&amp;"'!$C$5")),""),"")</f>
        <v/>
      </c>
      <c r="G1803" s="38" t="str" cm="1">
        <f t="array" aca="1" ref="G1803" ca="1">IF(F1803="",
    "",
    IFERROR(
        IF(INDIRECT("'"&amp;F1803&amp;"'!$B$2")="Credit Limit",
            "Credit Accounts",
            IF(INDIRECT("'"&amp;F1803&amp;"'!$E$2")="Location",
                "Cash Accounts",
                IF(INDIRECT("'"&amp;F1803&amp;"'!$B$2")="Amount",
                    "Investments",
                    "Bill Accounts"
                )
            )
        ),
    "")
)</f>
        <v/>
      </c>
      <c r="I1803" s="46" t="str" cm="1">
        <f t="array" aca="1" ref="I1803" ca="1">IF(F1803&lt;&gt;"",IF(OR(G1803="Bill Accounts",G1803="Investments", G1803="Cash Accounts"),INDIRECT("'"&amp;F1803&amp;"'!$C$10"),INDIRECT("'"&amp;F1803&amp;"'!$C$8")),"")</f>
        <v/>
      </c>
      <c r="K1803" s="48">
        <f t="shared" si="87"/>
        <v>1809</v>
      </c>
      <c r="L1803" s="114" t="str" cm="1">
        <f t="array" aca="1" ref="L1803" ca="1">IF(F1803&lt;&gt;"",INDIRECT("'"&amp;F1803&amp;"'!$F$17"),"")</f>
        <v/>
      </c>
      <c r="M1803" s="116" t="str">
        <f t="shared" ca="1" si="85"/>
        <v/>
      </c>
      <c r="O1803" s="49" t="str">
        <f t="shared" ca="1" si="86"/>
        <v/>
      </c>
      <c r="P1803" s="38" t="str">
        <f>IF(E1803&lt;&gt;"",RANK(E1803,$E$3:$E$2298)+COUNTIF($E$3:E1803,E1803)-1,"")</f>
        <v/>
      </c>
    </row>
    <row r="1804" spans="4:16" x14ac:dyDescent="0.25">
      <c r="D1804" s="36" t="str" cm="1">
        <f t="array" aca="1" ref="D1804" ca="1">IFERROR(IF(INDIRECT("'"&amp;F1804&amp;"'!$C$5")&gt;0,DATE(YEAR(Dashboard!$AL$2),Dashboard!$AU$4,INDIRECT("'"&amp;F1804&amp;"'!$C$5")),""),"")</f>
        <v/>
      </c>
      <c r="G1804" s="38" t="str" cm="1">
        <f t="array" aca="1" ref="G1804" ca="1">IF(F1804="",
    "",
    IFERROR(
        IF(INDIRECT("'"&amp;F1804&amp;"'!$B$2")="Credit Limit",
            "Credit Accounts",
            IF(INDIRECT("'"&amp;F1804&amp;"'!$E$2")="Location",
                "Cash Accounts",
                IF(INDIRECT("'"&amp;F1804&amp;"'!$B$2")="Amount",
                    "Investments",
                    "Bill Accounts"
                )
            )
        ),
    "")
)</f>
        <v/>
      </c>
      <c r="I1804" s="46" t="str" cm="1">
        <f t="array" aca="1" ref="I1804" ca="1">IF(F1804&lt;&gt;"",IF(OR(G1804="Bill Accounts",G1804="Investments", G1804="Cash Accounts"),INDIRECT("'"&amp;F1804&amp;"'!$C$10"),INDIRECT("'"&amp;F1804&amp;"'!$C$8")),"")</f>
        <v/>
      </c>
      <c r="K1804" s="48">
        <f t="shared" si="87"/>
        <v>1810</v>
      </c>
      <c r="L1804" s="114" t="str" cm="1">
        <f t="array" aca="1" ref="L1804" ca="1">IF(F1804&lt;&gt;"",INDIRECT("'"&amp;F1804&amp;"'!$F$17"),"")</f>
        <v/>
      </c>
      <c r="M1804" s="116" t="str">
        <f t="shared" ca="1" si="85"/>
        <v/>
      </c>
      <c r="O1804" s="49" t="str">
        <f t="shared" ca="1" si="86"/>
        <v/>
      </c>
      <c r="P1804" s="38" t="str">
        <f>IF(E1804&lt;&gt;"",RANK(E1804,$E$3:$E$2298)+COUNTIF($E$3:E1804,E1804)-1,"")</f>
        <v/>
      </c>
    </row>
    <row r="1805" spans="4:16" x14ac:dyDescent="0.25">
      <c r="D1805" s="36" t="str" cm="1">
        <f t="array" aca="1" ref="D1805" ca="1">IFERROR(IF(INDIRECT("'"&amp;F1805&amp;"'!$C$5")&gt;0,DATE(YEAR(Dashboard!$AL$2),Dashboard!$AU$4,INDIRECT("'"&amp;F1805&amp;"'!$C$5")),""),"")</f>
        <v/>
      </c>
      <c r="G1805" s="38" t="str" cm="1">
        <f t="array" aca="1" ref="G1805" ca="1">IF(F1805="",
    "",
    IFERROR(
        IF(INDIRECT("'"&amp;F1805&amp;"'!$B$2")="Credit Limit",
            "Credit Accounts",
            IF(INDIRECT("'"&amp;F1805&amp;"'!$E$2")="Location",
                "Cash Accounts",
                IF(INDIRECT("'"&amp;F1805&amp;"'!$B$2")="Amount",
                    "Investments",
                    "Bill Accounts"
                )
            )
        ),
    "")
)</f>
        <v/>
      </c>
      <c r="I1805" s="46" t="str" cm="1">
        <f t="array" aca="1" ref="I1805" ca="1">IF(F1805&lt;&gt;"",IF(OR(G1805="Bill Accounts",G1805="Investments", G1805="Cash Accounts"),INDIRECT("'"&amp;F1805&amp;"'!$C$10"),INDIRECT("'"&amp;F1805&amp;"'!$C$8")),"")</f>
        <v/>
      </c>
      <c r="K1805" s="48">
        <f t="shared" si="87"/>
        <v>1811</v>
      </c>
      <c r="L1805" s="114" t="str" cm="1">
        <f t="array" aca="1" ref="L1805" ca="1">IF(F1805&lt;&gt;"",INDIRECT("'"&amp;F1805&amp;"'!$F$17"),"")</f>
        <v/>
      </c>
      <c r="M1805" s="116" t="str">
        <f t="shared" ca="1" si="85"/>
        <v/>
      </c>
      <c r="O1805" s="49" t="str">
        <f t="shared" ca="1" si="86"/>
        <v/>
      </c>
      <c r="P1805" s="38" t="str">
        <f>IF(E1805&lt;&gt;"",RANK(E1805,$E$3:$E$2298)+COUNTIF($E$3:E1805,E1805)-1,"")</f>
        <v/>
      </c>
    </row>
    <row r="1806" spans="4:16" x14ac:dyDescent="0.25">
      <c r="D1806" s="36" t="str" cm="1">
        <f t="array" aca="1" ref="D1806" ca="1">IFERROR(IF(INDIRECT("'"&amp;F1806&amp;"'!$C$5")&gt;0,DATE(YEAR(Dashboard!$AL$2),Dashboard!$AU$4,INDIRECT("'"&amp;F1806&amp;"'!$C$5")),""),"")</f>
        <v/>
      </c>
      <c r="G1806" s="38" t="str" cm="1">
        <f t="array" aca="1" ref="G1806" ca="1">IF(F1806="",
    "",
    IFERROR(
        IF(INDIRECT("'"&amp;F1806&amp;"'!$B$2")="Credit Limit",
            "Credit Accounts",
            IF(INDIRECT("'"&amp;F1806&amp;"'!$E$2")="Location",
                "Cash Accounts",
                IF(INDIRECT("'"&amp;F1806&amp;"'!$B$2")="Amount",
                    "Investments",
                    "Bill Accounts"
                )
            )
        ),
    "")
)</f>
        <v/>
      </c>
      <c r="I1806" s="46" t="str" cm="1">
        <f t="array" aca="1" ref="I1806" ca="1">IF(F1806&lt;&gt;"",IF(OR(G1806="Bill Accounts",G1806="Investments", G1806="Cash Accounts"),INDIRECT("'"&amp;F1806&amp;"'!$C$10"),INDIRECT("'"&amp;F1806&amp;"'!$C$8")),"")</f>
        <v/>
      </c>
      <c r="K1806" s="48">
        <f t="shared" si="87"/>
        <v>1812</v>
      </c>
      <c r="L1806" s="114" t="str" cm="1">
        <f t="array" aca="1" ref="L1806" ca="1">IF(F1806&lt;&gt;"",INDIRECT("'"&amp;F1806&amp;"'!$F$17"),"")</f>
        <v/>
      </c>
      <c r="M1806" s="116" t="str">
        <f t="shared" ca="1" si="85"/>
        <v/>
      </c>
      <c r="O1806" s="49" t="str">
        <f t="shared" ca="1" si="86"/>
        <v/>
      </c>
      <c r="P1806" s="38" t="str">
        <f>IF(E1806&lt;&gt;"",RANK(E1806,$E$3:$E$2298)+COUNTIF($E$3:E1806,E1806)-1,"")</f>
        <v/>
      </c>
    </row>
    <row r="1807" spans="4:16" x14ac:dyDescent="0.25">
      <c r="D1807" s="36" t="str" cm="1">
        <f t="array" aca="1" ref="D1807" ca="1">IFERROR(IF(INDIRECT("'"&amp;F1807&amp;"'!$C$5")&gt;0,DATE(YEAR(Dashboard!$AL$2),Dashboard!$AU$4,INDIRECT("'"&amp;F1807&amp;"'!$C$5")),""),"")</f>
        <v/>
      </c>
      <c r="G1807" s="38" t="str" cm="1">
        <f t="array" aca="1" ref="G1807" ca="1">IF(F1807="",
    "",
    IFERROR(
        IF(INDIRECT("'"&amp;F1807&amp;"'!$B$2")="Credit Limit",
            "Credit Accounts",
            IF(INDIRECT("'"&amp;F1807&amp;"'!$E$2")="Location",
                "Cash Accounts",
                IF(INDIRECT("'"&amp;F1807&amp;"'!$B$2")="Amount",
                    "Investments",
                    "Bill Accounts"
                )
            )
        ),
    "")
)</f>
        <v/>
      </c>
      <c r="I1807" s="46" t="str" cm="1">
        <f t="array" aca="1" ref="I1807" ca="1">IF(F1807&lt;&gt;"",IF(OR(G1807="Bill Accounts",G1807="Investments", G1807="Cash Accounts"),INDIRECT("'"&amp;F1807&amp;"'!$C$10"),INDIRECT("'"&amp;F1807&amp;"'!$C$8")),"")</f>
        <v/>
      </c>
      <c r="K1807" s="48">
        <f t="shared" si="87"/>
        <v>1813</v>
      </c>
      <c r="L1807" s="114" t="str" cm="1">
        <f t="array" aca="1" ref="L1807" ca="1">IF(F1807&lt;&gt;"",INDIRECT("'"&amp;F1807&amp;"'!$F$17"),"")</f>
        <v/>
      </c>
      <c r="M1807" s="116" t="str">
        <f t="shared" ca="1" si="85"/>
        <v/>
      </c>
      <c r="O1807" s="49" t="str">
        <f t="shared" ca="1" si="86"/>
        <v/>
      </c>
      <c r="P1807" s="38" t="str">
        <f>IF(E1807&lt;&gt;"",RANK(E1807,$E$3:$E$2298)+COUNTIF($E$3:E1807,E1807)-1,"")</f>
        <v/>
      </c>
    </row>
    <row r="1808" spans="4:16" x14ac:dyDescent="0.25">
      <c r="D1808" s="36" t="str" cm="1">
        <f t="array" aca="1" ref="D1808" ca="1">IFERROR(IF(INDIRECT("'"&amp;F1808&amp;"'!$C$5")&gt;0,DATE(YEAR(Dashboard!$AL$2),Dashboard!$AU$4,INDIRECT("'"&amp;F1808&amp;"'!$C$5")),""),"")</f>
        <v/>
      </c>
      <c r="G1808" s="38" t="str" cm="1">
        <f t="array" aca="1" ref="G1808" ca="1">IF(F1808="",
    "",
    IFERROR(
        IF(INDIRECT("'"&amp;F1808&amp;"'!$B$2")="Credit Limit",
            "Credit Accounts",
            IF(INDIRECT("'"&amp;F1808&amp;"'!$E$2")="Location",
                "Cash Accounts",
                IF(INDIRECT("'"&amp;F1808&amp;"'!$B$2")="Amount",
                    "Investments",
                    "Bill Accounts"
                )
            )
        ),
    "")
)</f>
        <v/>
      </c>
      <c r="I1808" s="46" t="str" cm="1">
        <f t="array" aca="1" ref="I1808" ca="1">IF(F1808&lt;&gt;"",IF(OR(G1808="Bill Accounts",G1808="Investments", G1808="Cash Accounts"),INDIRECT("'"&amp;F1808&amp;"'!$C$10"),INDIRECT("'"&amp;F1808&amp;"'!$C$8")),"")</f>
        <v/>
      </c>
      <c r="K1808" s="48">
        <f t="shared" si="87"/>
        <v>1814</v>
      </c>
      <c r="L1808" s="114" t="str" cm="1">
        <f t="array" aca="1" ref="L1808" ca="1">IF(F1808&lt;&gt;"",INDIRECT("'"&amp;F1808&amp;"'!$F$17"),"")</f>
        <v/>
      </c>
      <c r="M1808" s="116" t="str">
        <f t="shared" ca="1" si="85"/>
        <v/>
      </c>
      <c r="O1808" s="49" t="str">
        <f t="shared" ca="1" si="86"/>
        <v/>
      </c>
      <c r="P1808" s="38" t="str">
        <f>IF(E1808&lt;&gt;"",RANK(E1808,$E$3:$E$2298)+COUNTIF($E$3:E1808,E1808)-1,"")</f>
        <v/>
      </c>
    </row>
    <row r="1809" spans="4:16" x14ac:dyDescent="0.25">
      <c r="D1809" s="36" t="str" cm="1">
        <f t="array" aca="1" ref="D1809" ca="1">IFERROR(IF(INDIRECT("'"&amp;F1809&amp;"'!$C$5")&gt;0,DATE(YEAR(Dashboard!$AL$2),Dashboard!$AU$4,INDIRECT("'"&amp;F1809&amp;"'!$C$5")),""),"")</f>
        <v/>
      </c>
      <c r="G1809" s="38" t="str" cm="1">
        <f t="array" aca="1" ref="G1809" ca="1">IF(F1809="",
    "",
    IFERROR(
        IF(INDIRECT("'"&amp;F1809&amp;"'!$B$2")="Credit Limit",
            "Credit Accounts",
            IF(INDIRECT("'"&amp;F1809&amp;"'!$E$2")="Location",
                "Cash Accounts",
                IF(INDIRECT("'"&amp;F1809&amp;"'!$B$2")="Amount",
                    "Investments",
                    "Bill Accounts"
                )
            )
        ),
    "")
)</f>
        <v/>
      </c>
      <c r="I1809" s="46" t="str" cm="1">
        <f t="array" aca="1" ref="I1809" ca="1">IF(F1809&lt;&gt;"",IF(OR(G1809="Bill Accounts",G1809="Investments", G1809="Cash Accounts"),INDIRECT("'"&amp;F1809&amp;"'!$C$10"),INDIRECT("'"&amp;F1809&amp;"'!$C$8")),"")</f>
        <v/>
      </c>
      <c r="K1809" s="48">
        <f t="shared" si="87"/>
        <v>1815</v>
      </c>
      <c r="L1809" s="114" t="str" cm="1">
        <f t="array" aca="1" ref="L1809" ca="1">IF(F1809&lt;&gt;"",INDIRECT("'"&amp;F1809&amp;"'!$F$17"),"")</f>
        <v/>
      </c>
      <c r="M1809" s="116" t="str">
        <f t="shared" ca="1" si="85"/>
        <v/>
      </c>
      <c r="O1809" s="49" t="str">
        <f t="shared" ca="1" si="86"/>
        <v/>
      </c>
      <c r="P1809" s="38" t="str">
        <f>IF(E1809&lt;&gt;"",RANK(E1809,$E$3:$E$2298)+COUNTIF($E$3:E1809,E1809)-1,"")</f>
        <v/>
      </c>
    </row>
    <row r="1810" spans="4:16" x14ac:dyDescent="0.25">
      <c r="D1810" s="36" t="str" cm="1">
        <f t="array" aca="1" ref="D1810" ca="1">IFERROR(IF(INDIRECT("'"&amp;F1810&amp;"'!$C$5")&gt;0,DATE(YEAR(Dashboard!$AL$2),Dashboard!$AU$4,INDIRECT("'"&amp;F1810&amp;"'!$C$5")),""),"")</f>
        <v/>
      </c>
      <c r="G1810" s="38" t="str" cm="1">
        <f t="array" aca="1" ref="G1810" ca="1">IF(F1810="",
    "",
    IFERROR(
        IF(INDIRECT("'"&amp;F1810&amp;"'!$B$2")="Credit Limit",
            "Credit Accounts",
            IF(INDIRECT("'"&amp;F1810&amp;"'!$E$2")="Location",
                "Cash Accounts",
                IF(INDIRECT("'"&amp;F1810&amp;"'!$B$2")="Amount",
                    "Investments",
                    "Bill Accounts"
                )
            )
        ),
    "")
)</f>
        <v/>
      </c>
      <c r="I1810" s="46" t="str" cm="1">
        <f t="array" aca="1" ref="I1810" ca="1">IF(F1810&lt;&gt;"",IF(OR(G1810="Bill Accounts",G1810="Investments", G1810="Cash Accounts"),INDIRECT("'"&amp;F1810&amp;"'!$C$10"),INDIRECT("'"&amp;F1810&amp;"'!$C$8")),"")</f>
        <v/>
      </c>
      <c r="K1810" s="48">
        <f t="shared" si="87"/>
        <v>1816</v>
      </c>
      <c r="L1810" s="114" t="str" cm="1">
        <f t="array" aca="1" ref="L1810" ca="1">IF(F1810&lt;&gt;"",INDIRECT("'"&amp;F1810&amp;"'!$F$17"),"")</f>
        <v/>
      </c>
      <c r="M1810" s="116" t="str">
        <f t="shared" ca="1" si="85"/>
        <v/>
      </c>
      <c r="O1810" s="49" t="str">
        <f t="shared" ca="1" si="86"/>
        <v/>
      </c>
      <c r="P1810" s="38" t="str">
        <f>IF(E1810&lt;&gt;"",RANK(E1810,$E$3:$E$2298)+COUNTIF($E$3:E1810,E1810)-1,"")</f>
        <v/>
      </c>
    </row>
    <row r="1811" spans="4:16" x14ac:dyDescent="0.25">
      <c r="D1811" s="36" t="str" cm="1">
        <f t="array" aca="1" ref="D1811" ca="1">IFERROR(IF(INDIRECT("'"&amp;F1811&amp;"'!$C$5")&gt;0,DATE(YEAR(Dashboard!$AL$2),Dashboard!$AU$4,INDIRECT("'"&amp;F1811&amp;"'!$C$5")),""),"")</f>
        <v/>
      </c>
      <c r="G1811" s="38" t="str" cm="1">
        <f t="array" aca="1" ref="G1811" ca="1">IF(F1811="",
    "",
    IFERROR(
        IF(INDIRECT("'"&amp;F1811&amp;"'!$B$2")="Credit Limit",
            "Credit Accounts",
            IF(INDIRECT("'"&amp;F1811&amp;"'!$E$2")="Location",
                "Cash Accounts",
                IF(INDIRECT("'"&amp;F1811&amp;"'!$B$2")="Amount",
                    "Investments",
                    "Bill Accounts"
                )
            )
        ),
    "")
)</f>
        <v/>
      </c>
      <c r="I1811" s="46" t="str" cm="1">
        <f t="array" aca="1" ref="I1811" ca="1">IF(F1811&lt;&gt;"",IF(OR(G1811="Bill Accounts",G1811="Investments", G1811="Cash Accounts"),INDIRECT("'"&amp;F1811&amp;"'!$C$10"),INDIRECT("'"&amp;F1811&amp;"'!$C$8")),"")</f>
        <v/>
      </c>
      <c r="K1811" s="48">
        <f t="shared" si="87"/>
        <v>1817</v>
      </c>
      <c r="L1811" s="114" t="str" cm="1">
        <f t="array" aca="1" ref="L1811" ca="1">IF(F1811&lt;&gt;"",INDIRECT("'"&amp;F1811&amp;"'!$F$17"),"")</f>
        <v/>
      </c>
      <c r="M1811" s="116" t="str">
        <f t="shared" ca="1" si="85"/>
        <v/>
      </c>
      <c r="O1811" s="49" t="str">
        <f t="shared" ca="1" si="86"/>
        <v/>
      </c>
      <c r="P1811" s="38" t="str">
        <f>IF(E1811&lt;&gt;"",RANK(E1811,$E$3:$E$2298)+COUNTIF($E$3:E1811,E1811)-1,"")</f>
        <v/>
      </c>
    </row>
    <row r="1812" spans="4:16" x14ac:dyDescent="0.25">
      <c r="D1812" s="36" t="str" cm="1">
        <f t="array" aca="1" ref="D1812" ca="1">IFERROR(IF(INDIRECT("'"&amp;F1812&amp;"'!$C$5")&gt;0,DATE(YEAR(Dashboard!$AL$2),Dashboard!$AU$4,INDIRECT("'"&amp;F1812&amp;"'!$C$5")),""),"")</f>
        <v/>
      </c>
      <c r="G1812" s="38" t="str" cm="1">
        <f t="array" aca="1" ref="G1812" ca="1">IF(F1812="",
    "",
    IFERROR(
        IF(INDIRECT("'"&amp;F1812&amp;"'!$B$2")="Credit Limit",
            "Credit Accounts",
            IF(INDIRECT("'"&amp;F1812&amp;"'!$E$2")="Location",
                "Cash Accounts",
                IF(INDIRECT("'"&amp;F1812&amp;"'!$B$2")="Amount",
                    "Investments",
                    "Bill Accounts"
                )
            )
        ),
    "")
)</f>
        <v/>
      </c>
      <c r="I1812" s="46" t="str" cm="1">
        <f t="array" aca="1" ref="I1812" ca="1">IF(F1812&lt;&gt;"",IF(OR(G1812="Bill Accounts",G1812="Investments", G1812="Cash Accounts"),INDIRECT("'"&amp;F1812&amp;"'!$C$10"),INDIRECT("'"&amp;F1812&amp;"'!$C$8")),"")</f>
        <v/>
      </c>
      <c r="K1812" s="48">
        <f t="shared" si="87"/>
        <v>1818</v>
      </c>
      <c r="L1812" s="114" t="str" cm="1">
        <f t="array" aca="1" ref="L1812" ca="1">IF(F1812&lt;&gt;"",INDIRECT("'"&amp;F1812&amp;"'!$F$17"),"")</f>
        <v/>
      </c>
      <c r="M1812" s="116" t="str">
        <f t="shared" ca="1" si="85"/>
        <v/>
      </c>
      <c r="O1812" s="49" t="str">
        <f t="shared" ca="1" si="86"/>
        <v/>
      </c>
      <c r="P1812" s="38" t="str">
        <f>IF(E1812&lt;&gt;"",RANK(E1812,$E$3:$E$2298)+COUNTIF($E$3:E1812,E1812)-1,"")</f>
        <v/>
      </c>
    </row>
    <row r="1813" spans="4:16" x14ac:dyDescent="0.25">
      <c r="D1813" s="36" t="str" cm="1">
        <f t="array" aca="1" ref="D1813" ca="1">IFERROR(IF(INDIRECT("'"&amp;F1813&amp;"'!$C$5")&gt;0,DATE(YEAR(Dashboard!$AL$2),Dashboard!$AU$4,INDIRECT("'"&amp;F1813&amp;"'!$C$5")),""),"")</f>
        <v/>
      </c>
      <c r="G1813" s="38" t="str" cm="1">
        <f t="array" aca="1" ref="G1813" ca="1">IF(F1813="",
    "",
    IFERROR(
        IF(INDIRECT("'"&amp;F1813&amp;"'!$B$2")="Credit Limit",
            "Credit Accounts",
            IF(INDIRECT("'"&amp;F1813&amp;"'!$E$2")="Location",
                "Cash Accounts",
                IF(INDIRECT("'"&amp;F1813&amp;"'!$B$2")="Amount",
                    "Investments",
                    "Bill Accounts"
                )
            )
        ),
    "")
)</f>
        <v/>
      </c>
      <c r="I1813" s="46" t="str" cm="1">
        <f t="array" aca="1" ref="I1813" ca="1">IF(F1813&lt;&gt;"",IF(OR(G1813="Bill Accounts",G1813="Investments", G1813="Cash Accounts"),INDIRECT("'"&amp;F1813&amp;"'!$C$10"),INDIRECT("'"&amp;F1813&amp;"'!$C$8")),"")</f>
        <v/>
      </c>
      <c r="K1813" s="48">
        <f t="shared" si="87"/>
        <v>1819</v>
      </c>
      <c r="L1813" s="114" t="str" cm="1">
        <f t="array" aca="1" ref="L1813" ca="1">IF(F1813&lt;&gt;"",INDIRECT("'"&amp;F1813&amp;"'!$F$17"),"")</f>
        <v/>
      </c>
      <c r="M1813" s="116" t="str">
        <f t="shared" ca="1" si="85"/>
        <v/>
      </c>
      <c r="O1813" s="49" t="str">
        <f t="shared" ca="1" si="86"/>
        <v/>
      </c>
      <c r="P1813" s="38" t="str">
        <f>IF(E1813&lt;&gt;"",RANK(E1813,$E$3:$E$2298)+COUNTIF($E$3:E1813,E1813)-1,"")</f>
        <v/>
      </c>
    </row>
    <row r="1814" spans="4:16" x14ac:dyDescent="0.25">
      <c r="D1814" s="36" t="str" cm="1">
        <f t="array" aca="1" ref="D1814" ca="1">IFERROR(IF(INDIRECT("'"&amp;F1814&amp;"'!$C$5")&gt;0,DATE(YEAR(Dashboard!$AL$2),Dashboard!$AU$4,INDIRECT("'"&amp;F1814&amp;"'!$C$5")),""),"")</f>
        <v/>
      </c>
      <c r="G1814" s="38" t="str" cm="1">
        <f t="array" aca="1" ref="G1814" ca="1">IF(F1814="",
    "",
    IFERROR(
        IF(INDIRECT("'"&amp;F1814&amp;"'!$B$2")="Credit Limit",
            "Credit Accounts",
            IF(INDIRECT("'"&amp;F1814&amp;"'!$E$2")="Location",
                "Cash Accounts",
                IF(INDIRECT("'"&amp;F1814&amp;"'!$B$2")="Amount",
                    "Investments",
                    "Bill Accounts"
                )
            )
        ),
    "")
)</f>
        <v/>
      </c>
      <c r="I1814" s="46" t="str" cm="1">
        <f t="array" aca="1" ref="I1814" ca="1">IF(F1814&lt;&gt;"",IF(OR(G1814="Bill Accounts",G1814="Investments", G1814="Cash Accounts"),INDIRECT("'"&amp;F1814&amp;"'!$C$10"),INDIRECT("'"&amp;F1814&amp;"'!$C$8")),"")</f>
        <v/>
      </c>
      <c r="K1814" s="48">
        <f t="shared" si="87"/>
        <v>1820</v>
      </c>
      <c r="L1814" s="114" t="str" cm="1">
        <f t="array" aca="1" ref="L1814" ca="1">IF(F1814&lt;&gt;"",INDIRECT("'"&amp;F1814&amp;"'!$F$17"),"")</f>
        <v/>
      </c>
      <c r="M1814" s="116" t="str">
        <f t="shared" ca="1" si="85"/>
        <v/>
      </c>
      <c r="O1814" s="49" t="str">
        <f t="shared" ca="1" si="86"/>
        <v/>
      </c>
      <c r="P1814" s="38" t="str">
        <f>IF(E1814&lt;&gt;"",RANK(E1814,$E$3:$E$2298)+COUNTIF($E$3:E1814,E1814)-1,"")</f>
        <v/>
      </c>
    </row>
    <row r="1815" spans="4:16" x14ac:dyDescent="0.25">
      <c r="D1815" s="36" t="str" cm="1">
        <f t="array" aca="1" ref="D1815" ca="1">IFERROR(IF(INDIRECT("'"&amp;F1815&amp;"'!$C$5")&gt;0,DATE(YEAR(Dashboard!$AL$2),Dashboard!$AU$4,INDIRECT("'"&amp;F1815&amp;"'!$C$5")),""),"")</f>
        <v/>
      </c>
      <c r="G1815" s="38" t="str" cm="1">
        <f t="array" aca="1" ref="G1815" ca="1">IF(F1815="",
    "",
    IFERROR(
        IF(INDIRECT("'"&amp;F1815&amp;"'!$B$2")="Credit Limit",
            "Credit Accounts",
            IF(INDIRECT("'"&amp;F1815&amp;"'!$E$2")="Location",
                "Cash Accounts",
                IF(INDIRECT("'"&amp;F1815&amp;"'!$B$2")="Amount",
                    "Investments",
                    "Bill Accounts"
                )
            )
        ),
    "")
)</f>
        <v/>
      </c>
      <c r="I1815" s="46" t="str" cm="1">
        <f t="array" aca="1" ref="I1815" ca="1">IF(F1815&lt;&gt;"",IF(OR(G1815="Bill Accounts",G1815="Investments", G1815="Cash Accounts"),INDIRECT("'"&amp;F1815&amp;"'!$C$10"),INDIRECT("'"&amp;F1815&amp;"'!$C$8")),"")</f>
        <v/>
      </c>
      <c r="K1815" s="48">
        <f t="shared" si="87"/>
        <v>1821</v>
      </c>
      <c r="L1815" s="114" t="str" cm="1">
        <f t="array" aca="1" ref="L1815" ca="1">IF(F1815&lt;&gt;"",INDIRECT("'"&amp;F1815&amp;"'!$F$17"),"")</f>
        <v/>
      </c>
      <c r="M1815" s="116" t="str">
        <f t="shared" ca="1" si="85"/>
        <v/>
      </c>
      <c r="O1815" s="49" t="str">
        <f t="shared" ca="1" si="86"/>
        <v/>
      </c>
      <c r="P1815" s="38" t="str">
        <f>IF(E1815&lt;&gt;"",RANK(E1815,$E$3:$E$2298)+COUNTIF($E$3:E1815,E1815)-1,"")</f>
        <v/>
      </c>
    </row>
    <row r="1816" spans="4:16" x14ac:dyDescent="0.25">
      <c r="D1816" s="36" t="str" cm="1">
        <f t="array" aca="1" ref="D1816" ca="1">IFERROR(IF(INDIRECT("'"&amp;F1816&amp;"'!$C$5")&gt;0,DATE(YEAR(Dashboard!$AL$2),Dashboard!$AU$4,INDIRECT("'"&amp;F1816&amp;"'!$C$5")),""),"")</f>
        <v/>
      </c>
      <c r="G1816" s="38" t="str" cm="1">
        <f t="array" aca="1" ref="G1816" ca="1">IF(F1816="",
    "",
    IFERROR(
        IF(INDIRECT("'"&amp;F1816&amp;"'!$B$2")="Credit Limit",
            "Credit Accounts",
            IF(INDIRECT("'"&amp;F1816&amp;"'!$E$2")="Location",
                "Cash Accounts",
                IF(INDIRECT("'"&amp;F1816&amp;"'!$B$2")="Amount",
                    "Investments",
                    "Bill Accounts"
                )
            )
        ),
    "")
)</f>
        <v/>
      </c>
      <c r="I1816" s="46" t="str" cm="1">
        <f t="array" aca="1" ref="I1816" ca="1">IF(F1816&lt;&gt;"",IF(OR(G1816="Bill Accounts",G1816="Investments", G1816="Cash Accounts"),INDIRECT("'"&amp;F1816&amp;"'!$C$10"),INDIRECT("'"&amp;F1816&amp;"'!$C$8")),"")</f>
        <v/>
      </c>
      <c r="K1816" s="48">
        <f t="shared" si="87"/>
        <v>1822</v>
      </c>
      <c r="L1816" s="114" t="str" cm="1">
        <f t="array" aca="1" ref="L1816" ca="1">IF(F1816&lt;&gt;"",INDIRECT("'"&amp;F1816&amp;"'!$F$17"),"")</f>
        <v/>
      </c>
      <c r="M1816" s="116" t="str">
        <f t="shared" ca="1" si="85"/>
        <v/>
      </c>
      <c r="O1816" s="49" t="str">
        <f t="shared" ca="1" si="86"/>
        <v/>
      </c>
      <c r="P1816" s="38" t="str">
        <f>IF(E1816&lt;&gt;"",RANK(E1816,$E$3:$E$2298)+COUNTIF($E$3:E1816,E1816)-1,"")</f>
        <v/>
      </c>
    </row>
    <row r="1817" spans="4:16" x14ac:dyDescent="0.25">
      <c r="D1817" s="36" t="str" cm="1">
        <f t="array" aca="1" ref="D1817" ca="1">IFERROR(IF(INDIRECT("'"&amp;F1817&amp;"'!$C$5")&gt;0,DATE(YEAR(Dashboard!$AL$2),Dashboard!$AU$4,INDIRECT("'"&amp;F1817&amp;"'!$C$5")),""),"")</f>
        <v/>
      </c>
      <c r="G1817" s="38" t="str" cm="1">
        <f t="array" aca="1" ref="G1817" ca="1">IF(F1817="",
    "",
    IFERROR(
        IF(INDIRECT("'"&amp;F1817&amp;"'!$B$2")="Credit Limit",
            "Credit Accounts",
            IF(INDIRECT("'"&amp;F1817&amp;"'!$E$2")="Location",
                "Cash Accounts",
                IF(INDIRECT("'"&amp;F1817&amp;"'!$B$2")="Amount",
                    "Investments",
                    "Bill Accounts"
                )
            )
        ),
    "")
)</f>
        <v/>
      </c>
      <c r="I1817" s="46" t="str" cm="1">
        <f t="array" aca="1" ref="I1817" ca="1">IF(F1817&lt;&gt;"",IF(OR(G1817="Bill Accounts",G1817="Investments", G1817="Cash Accounts"),INDIRECT("'"&amp;F1817&amp;"'!$C$10"),INDIRECT("'"&amp;F1817&amp;"'!$C$8")),"")</f>
        <v/>
      </c>
      <c r="K1817" s="48">
        <f t="shared" si="87"/>
        <v>1823</v>
      </c>
      <c r="L1817" s="114" t="str" cm="1">
        <f t="array" aca="1" ref="L1817" ca="1">IF(F1817&lt;&gt;"",INDIRECT("'"&amp;F1817&amp;"'!$F$17"),"")</f>
        <v/>
      </c>
      <c r="M1817" s="116" t="str">
        <f t="shared" ca="1" si="85"/>
        <v/>
      </c>
      <c r="O1817" s="49" t="str">
        <f t="shared" ca="1" si="86"/>
        <v/>
      </c>
      <c r="P1817" s="38" t="str">
        <f>IF(E1817&lt;&gt;"",RANK(E1817,$E$3:$E$2298)+COUNTIF($E$3:E1817,E1817)-1,"")</f>
        <v/>
      </c>
    </row>
    <row r="1818" spans="4:16" x14ac:dyDescent="0.25">
      <c r="D1818" s="36" t="str" cm="1">
        <f t="array" aca="1" ref="D1818" ca="1">IFERROR(IF(INDIRECT("'"&amp;F1818&amp;"'!$C$5")&gt;0,DATE(YEAR(Dashboard!$AL$2),Dashboard!$AU$4,INDIRECT("'"&amp;F1818&amp;"'!$C$5")),""),"")</f>
        <v/>
      </c>
      <c r="G1818" s="38" t="str" cm="1">
        <f t="array" aca="1" ref="G1818" ca="1">IF(F1818="",
    "",
    IFERROR(
        IF(INDIRECT("'"&amp;F1818&amp;"'!$B$2")="Credit Limit",
            "Credit Accounts",
            IF(INDIRECT("'"&amp;F1818&amp;"'!$E$2")="Location",
                "Cash Accounts",
                IF(INDIRECT("'"&amp;F1818&amp;"'!$B$2")="Amount",
                    "Investments",
                    "Bill Accounts"
                )
            )
        ),
    "")
)</f>
        <v/>
      </c>
      <c r="I1818" s="46" t="str" cm="1">
        <f t="array" aca="1" ref="I1818" ca="1">IF(F1818&lt;&gt;"",IF(OR(G1818="Bill Accounts",G1818="Investments", G1818="Cash Accounts"),INDIRECT("'"&amp;F1818&amp;"'!$C$10"),INDIRECT("'"&amp;F1818&amp;"'!$C$8")),"")</f>
        <v/>
      </c>
      <c r="K1818" s="48">
        <f t="shared" si="87"/>
        <v>1824</v>
      </c>
      <c r="L1818" s="114" t="str" cm="1">
        <f t="array" aca="1" ref="L1818" ca="1">IF(F1818&lt;&gt;"",INDIRECT("'"&amp;F1818&amp;"'!$F$17"),"")</f>
        <v/>
      </c>
      <c r="M1818" s="116" t="str">
        <f t="shared" ca="1" si="85"/>
        <v/>
      </c>
      <c r="O1818" s="49" t="str">
        <f t="shared" ca="1" si="86"/>
        <v/>
      </c>
      <c r="P1818" s="38" t="str">
        <f>IF(E1818&lt;&gt;"",RANK(E1818,$E$3:$E$2298)+COUNTIF($E$3:E1818,E1818)-1,"")</f>
        <v/>
      </c>
    </row>
    <row r="1819" spans="4:16" x14ac:dyDescent="0.25">
      <c r="D1819" s="36" t="str" cm="1">
        <f t="array" aca="1" ref="D1819" ca="1">IFERROR(IF(INDIRECT("'"&amp;F1819&amp;"'!$C$5")&gt;0,DATE(YEAR(Dashboard!$AL$2),Dashboard!$AU$4,INDIRECT("'"&amp;F1819&amp;"'!$C$5")),""),"")</f>
        <v/>
      </c>
      <c r="G1819" s="38" t="str" cm="1">
        <f t="array" aca="1" ref="G1819" ca="1">IF(F1819="",
    "",
    IFERROR(
        IF(INDIRECT("'"&amp;F1819&amp;"'!$B$2")="Credit Limit",
            "Credit Accounts",
            IF(INDIRECT("'"&amp;F1819&amp;"'!$E$2")="Location",
                "Cash Accounts",
                IF(INDIRECT("'"&amp;F1819&amp;"'!$B$2")="Amount",
                    "Investments",
                    "Bill Accounts"
                )
            )
        ),
    "")
)</f>
        <v/>
      </c>
      <c r="I1819" s="46" t="str" cm="1">
        <f t="array" aca="1" ref="I1819" ca="1">IF(F1819&lt;&gt;"",IF(OR(G1819="Bill Accounts",G1819="Investments", G1819="Cash Accounts"),INDIRECT("'"&amp;F1819&amp;"'!$C$10"),INDIRECT("'"&amp;F1819&amp;"'!$C$8")),"")</f>
        <v/>
      </c>
      <c r="K1819" s="48">
        <f t="shared" si="87"/>
        <v>1825</v>
      </c>
      <c r="L1819" s="114" t="str" cm="1">
        <f t="array" aca="1" ref="L1819" ca="1">IF(F1819&lt;&gt;"",INDIRECT("'"&amp;F1819&amp;"'!$F$17"),"")</f>
        <v/>
      </c>
      <c r="M1819" s="116" t="str">
        <f t="shared" ca="1" si="85"/>
        <v/>
      </c>
      <c r="O1819" s="49" t="str">
        <f t="shared" ca="1" si="86"/>
        <v/>
      </c>
      <c r="P1819" s="38" t="str">
        <f>IF(E1819&lt;&gt;"",RANK(E1819,$E$3:$E$2298)+COUNTIF($E$3:E1819,E1819)-1,"")</f>
        <v/>
      </c>
    </row>
    <row r="1820" spans="4:16" x14ac:dyDescent="0.25">
      <c r="D1820" s="36" t="str" cm="1">
        <f t="array" aca="1" ref="D1820" ca="1">IFERROR(IF(INDIRECT("'"&amp;F1820&amp;"'!$C$5")&gt;0,DATE(YEAR(Dashboard!$AL$2),Dashboard!$AU$4,INDIRECT("'"&amp;F1820&amp;"'!$C$5")),""),"")</f>
        <v/>
      </c>
      <c r="G1820" s="38" t="str" cm="1">
        <f t="array" aca="1" ref="G1820" ca="1">IF(F1820="",
    "",
    IFERROR(
        IF(INDIRECT("'"&amp;F1820&amp;"'!$B$2")="Credit Limit",
            "Credit Accounts",
            IF(INDIRECT("'"&amp;F1820&amp;"'!$E$2")="Location",
                "Cash Accounts",
                IF(INDIRECT("'"&amp;F1820&amp;"'!$B$2")="Amount",
                    "Investments",
                    "Bill Accounts"
                )
            )
        ),
    "")
)</f>
        <v/>
      </c>
      <c r="I1820" s="46" t="str" cm="1">
        <f t="array" aca="1" ref="I1820" ca="1">IF(F1820&lt;&gt;"",IF(OR(G1820="Bill Accounts",G1820="Investments", G1820="Cash Accounts"),INDIRECT("'"&amp;F1820&amp;"'!$C$10"),INDIRECT("'"&amp;F1820&amp;"'!$C$8")),"")</f>
        <v/>
      </c>
      <c r="K1820" s="48">
        <f t="shared" si="87"/>
        <v>1826</v>
      </c>
      <c r="L1820" s="114" t="str" cm="1">
        <f t="array" aca="1" ref="L1820" ca="1">IF(F1820&lt;&gt;"",INDIRECT("'"&amp;F1820&amp;"'!$F$17"),"")</f>
        <v/>
      </c>
      <c r="M1820" s="116" t="str">
        <f t="shared" ca="1" si="85"/>
        <v/>
      </c>
      <c r="O1820" s="49" t="str">
        <f t="shared" ca="1" si="86"/>
        <v/>
      </c>
      <c r="P1820" s="38" t="str">
        <f>IF(E1820&lt;&gt;"",RANK(E1820,$E$3:$E$2298)+COUNTIF($E$3:E1820,E1820)-1,"")</f>
        <v/>
      </c>
    </row>
    <row r="1821" spans="4:16" x14ac:dyDescent="0.25">
      <c r="D1821" s="36" t="str" cm="1">
        <f t="array" aca="1" ref="D1821" ca="1">IFERROR(IF(INDIRECT("'"&amp;F1821&amp;"'!$C$5")&gt;0,DATE(YEAR(Dashboard!$AL$2),Dashboard!$AU$4,INDIRECT("'"&amp;F1821&amp;"'!$C$5")),""),"")</f>
        <v/>
      </c>
      <c r="G1821" s="38" t="str" cm="1">
        <f t="array" aca="1" ref="G1821" ca="1">IF(F1821="",
    "",
    IFERROR(
        IF(INDIRECT("'"&amp;F1821&amp;"'!$B$2")="Credit Limit",
            "Credit Accounts",
            IF(INDIRECT("'"&amp;F1821&amp;"'!$E$2")="Location",
                "Cash Accounts",
                IF(INDIRECT("'"&amp;F1821&amp;"'!$B$2")="Amount",
                    "Investments",
                    "Bill Accounts"
                )
            )
        ),
    "")
)</f>
        <v/>
      </c>
      <c r="I1821" s="46" t="str" cm="1">
        <f t="array" aca="1" ref="I1821" ca="1">IF(F1821&lt;&gt;"",IF(OR(G1821="Bill Accounts",G1821="Investments", G1821="Cash Accounts"),INDIRECT("'"&amp;F1821&amp;"'!$C$10"),INDIRECT("'"&amp;F1821&amp;"'!$C$8")),"")</f>
        <v/>
      </c>
      <c r="K1821" s="48">
        <f t="shared" si="87"/>
        <v>1827</v>
      </c>
      <c r="L1821" s="114" t="str" cm="1">
        <f t="array" aca="1" ref="L1821" ca="1">IF(F1821&lt;&gt;"",INDIRECT("'"&amp;F1821&amp;"'!$F$17"),"")</f>
        <v/>
      </c>
      <c r="M1821" s="116" t="str">
        <f t="shared" ca="1" si="85"/>
        <v/>
      </c>
      <c r="O1821" s="49" t="str">
        <f t="shared" ca="1" si="86"/>
        <v/>
      </c>
      <c r="P1821" s="38" t="str">
        <f>IF(E1821&lt;&gt;"",RANK(E1821,$E$3:$E$2298)+COUNTIF($E$3:E1821,E1821)-1,"")</f>
        <v/>
      </c>
    </row>
    <row r="1822" spans="4:16" x14ac:dyDescent="0.25">
      <c r="D1822" s="36" t="str" cm="1">
        <f t="array" aca="1" ref="D1822" ca="1">IFERROR(IF(INDIRECT("'"&amp;F1822&amp;"'!$C$5")&gt;0,DATE(YEAR(Dashboard!$AL$2),Dashboard!$AU$4,INDIRECT("'"&amp;F1822&amp;"'!$C$5")),""),"")</f>
        <v/>
      </c>
      <c r="G1822" s="38" t="str" cm="1">
        <f t="array" aca="1" ref="G1822" ca="1">IF(F1822="",
    "",
    IFERROR(
        IF(INDIRECT("'"&amp;F1822&amp;"'!$B$2")="Credit Limit",
            "Credit Accounts",
            IF(INDIRECT("'"&amp;F1822&amp;"'!$E$2")="Location",
                "Cash Accounts",
                IF(INDIRECT("'"&amp;F1822&amp;"'!$B$2")="Amount",
                    "Investments",
                    "Bill Accounts"
                )
            )
        ),
    "")
)</f>
        <v/>
      </c>
      <c r="I1822" s="46" t="str" cm="1">
        <f t="array" aca="1" ref="I1822" ca="1">IF(F1822&lt;&gt;"",IF(OR(G1822="Bill Accounts",G1822="Investments", G1822="Cash Accounts"),INDIRECT("'"&amp;F1822&amp;"'!$C$10"),INDIRECT("'"&amp;F1822&amp;"'!$C$8")),"")</f>
        <v/>
      </c>
      <c r="K1822" s="48">
        <f t="shared" si="87"/>
        <v>1828</v>
      </c>
      <c r="L1822" s="114" t="str" cm="1">
        <f t="array" aca="1" ref="L1822" ca="1">IF(F1822&lt;&gt;"",INDIRECT("'"&amp;F1822&amp;"'!$F$17"),"")</f>
        <v/>
      </c>
      <c r="M1822" s="116" t="str">
        <f t="shared" ca="1" si="85"/>
        <v/>
      </c>
      <c r="O1822" s="49" t="str">
        <f t="shared" ca="1" si="86"/>
        <v/>
      </c>
      <c r="P1822" s="38" t="str">
        <f>IF(E1822&lt;&gt;"",RANK(E1822,$E$3:$E$2298)+COUNTIF($E$3:E1822,E1822)-1,"")</f>
        <v/>
      </c>
    </row>
    <row r="1823" spans="4:16" x14ac:dyDescent="0.25">
      <c r="D1823" s="36" t="str" cm="1">
        <f t="array" aca="1" ref="D1823" ca="1">IFERROR(IF(INDIRECT("'"&amp;F1823&amp;"'!$C$5")&gt;0,DATE(YEAR(Dashboard!$AL$2),Dashboard!$AU$4,INDIRECT("'"&amp;F1823&amp;"'!$C$5")),""),"")</f>
        <v/>
      </c>
      <c r="G1823" s="38" t="str" cm="1">
        <f t="array" aca="1" ref="G1823" ca="1">IF(F1823="",
    "",
    IFERROR(
        IF(INDIRECT("'"&amp;F1823&amp;"'!$B$2")="Credit Limit",
            "Credit Accounts",
            IF(INDIRECT("'"&amp;F1823&amp;"'!$E$2")="Location",
                "Cash Accounts",
                IF(INDIRECT("'"&amp;F1823&amp;"'!$B$2")="Amount",
                    "Investments",
                    "Bill Accounts"
                )
            )
        ),
    "")
)</f>
        <v/>
      </c>
      <c r="I1823" s="46" t="str" cm="1">
        <f t="array" aca="1" ref="I1823" ca="1">IF(F1823&lt;&gt;"",IF(OR(G1823="Bill Accounts",G1823="Investments", G1823="Cash Accounts"),INDIRECT("'"&amp;F1823&amp;"'!$C$10"),INDIRECT("'"&amp;F1823&amp;"'!$C$8")),"")</f>
        <v/>
      </c>
      <c r="K1823" s="48">
        <f t="shared" si="87"/>
        <v>1829</v>
      </c>
      <c r="L1823" s="114" t="str" cm="1">
        <f t="array" aca="1" ref="L1823" ca="1">IF(F1823&lt;&gt;"",INDIRECT("'"&amp;F1823&amp;"'!$F$17"),"")</f>
        <v/>
      </c>
      <c r="M1823" s="116" t="str">
        <f t="shared" ca="1" si="85"/>
        <v/>
      </c>
      <c r="O1823" s="49" t="str">
        <f t="shared" ca="1" si="86"/>
        <v/>
      </c>
      <c r="P1823" s="38" t="str">
        <f>IF(E1823&lt;&gt;"",RANK(E1823,$E$3:$E$2298)+COUNTIF($E$3:E1823,E1823)-1,"")</f>
        <v/>
      </c>
    </row>
    <row r="1824" spans="4:16" x14ac:dyDescent="0.25">
      <c r="D1824" s="36" t="str" cm="1">
        <f t="array" aca="1" ref="D1824" ca="1">IFERROR(IF(INDIRECT("'"&amp;F1824&amp;"'!$C$5")&gt;0,DATE(YEAR(Dashboard!$AL$2),Dashboard!$AU$4,INDIRECT("'"&amp;F1824&amp;"'!$C$5")),""),"")</f>
        <v/>
      </c>
      <c r="G1824" s="38" t="str" cm="1">
        <f t="array" aca="1" ref="G1824" ca="1">IF(F1824="",
    "",
    IFERROR(
        IF(INDIRECT("'"&amp;F1824&amp;"'!$B$2")="Credit Limit",
            "Credit Accounts",
            IF(INDIRECT("'"&amp;F1824&amp;"'!$E$2")="Location",
                "Cash Accounts",
                IF(INDIRECT("'"&amp;F1824&amp;"'!$B$2")="Amount",
                    "Investments",
                    "Bill Accounts"
                )
            )
        ),
    "")
)</f>
        <v/>
      </c>
      <c r="I1824" s="46" t="str" cm="1">
        <f t="array" aca="1" ref="I1824" ca="1">IF(F1824&lt;&gt;"",IF(OR(G1824="Bill Accounts",G1824="Investments", G1824="Cash Accounts"),INDIRECT("'"&amp;F1824&amp;"'!$C$10"),INDIRECT("'"&amp;F1824&amp;"'!$C$8")),"")</f>
        <v/>
      </c>
      <c r="K1824" s="48">
        <f t="shared" si="87"/>
        <v>1830</v>
      </c>
      <c r="L1824" s="114" t="str" cm="1">
        <f t="array" aca="1" ref="L1824" ca="1">IF(F1824&lt;&gt;"",INDIRECT("'"&amp;F1824&amp;"'!$F$17"),"")</f>
        <v/>
      </c>
      <c r="M1824" s="116" t="str">
        <f t="shared" ca="1" si="85"/>
        <v/>
      </c>
      <c r="O1824" s="49" t="str">
        <f t="shared" ca="1" si="86"/>
        <v/>
      </c>
      <c r="P1824" s="38" t="str">
        <f>IF(E1824&lt;&gt;"",RANK(E1824,$E$3:$E$2298)+COUNTIF($E$3:E1824,E1824)-1,"")</f>
        <v/>
      </c>
    </row>
    <row r="1825" spans="4:16" x14ac:dyDescent="0.25">
      <c r="D1825" s="36" t="str" cm="1">
        <f t="array" aca="1" ref="D1825" ca="1">IFERROR(IF(INDIRECT("'"&amp;F1825&amp;"'!$C$5")&gt;0,DATE(YEAR(Dashboard!$AL$2),Dashboard!$AU$4,INDIRECT("'"&amp;F1825&amp;"'!$C$5")),""),"")</f>
        <v/>
      </c>
      <c r="G1825" s="38" t="str" cm="1">
        <f t="array" aca="1" ref="G1825" ca="1">IF(F1825="",
    "",
    IFERROR(
        IF(INDIRECT("'"&amp;F1825&amp;"'!$B$2")="Credit Limit",
            "Credit Accounts",
            IF(INDIRECT("'"&amp;F1825&amp;"'!$E$2")="Location",
                "Cash Accounts",
                IF(INDIRECT("'"&amp;F1825&amp;"'!$B$2")="Amount",
                    "Investments",
                    "Bill Accounts"
                )
            )
        ),
    "")
)</f>
        <v/>
      </c>
      <c r="I1825" s="46" t="str" cm="1">
        <f t="array" aca="1" ref="I1825" ca="1">IF(F1825&lt;&gt;"",IF(OR(G1825="Bill Accounts",G1825="Investments", G1825="Cash Accounts"),INDIRECT("'"&amp;F1825&amp;"'!$C$10"),INDIRECT("'"&amp;F1825&amp;"'!$C$8")),"")</f>
        <v/>
      </c>
      <c r="K1825" s="48">
        <f t="shared" si="87"/>
        <v>1831</v>
      </c>
      <c r="L1825" s="114" t="str" cm="1">
        <f t="array" aca="1" ref="L1825" ca="1">IF(F1825&lt;&gt;"",INDIRECT("'"&amp;F1825&amp;"'!$F$17"),"")</f>
        <v/>
      </c>
      <c r="M1825" s="116" t="str">
        <f t="shared" ca="1" si="85"/>
        <v/>
      </c>
      <c r="O1825" s="49" t="str">
        <f t="shared" ca="1" si="86"/>
        <v/>
      </c>
      <c r="P1825" s="38" t="str">
        <f>IF(E1825&lt;&gt;"",RANK(E1825,$E$3:$E$2298)+COUNTIF($E$3:E1825,E1825)-1,"")</f>
        <v/>
      </c>
    </row>
    <row r="1826" spans="4:16" x14ac:dyDescent="0.25">
      <c r="D1826" s="36" t="str" cm="1">
        <f t="array" aca="1" ref="D1826" ca="1">IFERROR(IF(INDIRECT("'"&amp;F1826&amp;"'!$C$5")&gt;0,DATE(YEAR(Dashboard!$AL$2),Dashboard!$AU$4,INDIRECT("'"&amp;F1826&amp;"'!$C$5")),""),"")</f>
        <v/>
      </c>
      <c r="G1826" s="38" t="str" cm="1">
        <f t="array" aca="1" ref="G1826" ca="1">IF(F1826="",
    "",
    IFERROR(
        IF(INDIRECT("'"&amp;F1826&amp;"'!$B$2")="Credit Limit",
            "Credit Accounts",
            IF(INDIRECT("'"&amp;F1826&amp;"'!$E$2")="Location",
                "Cash Accounts",
                IF(INDIRECT("'"&amp;F1826&amp;"'!$B$2")="Amount",
                    "Investments",
                    "Bill Accounts"
                )
            )
        ),
    "")
)</f>
        <v/>
      </c>
      <c r="I1826" s="46" t="str" cm="1">
        <f t="array" aca="1" ref="I1826" ca="1">IF(F1826&lt;&gt;"",IF(OR(G1826="Bill Accounts",G1826="Investments", G1826="Cash Accounts"),INDIRECT("'"&amp;F1826&amp;"'!$C$10"),INDIRECT("'"&amp;F1826&amp;"'!$C$8")),"")</f>
        <v/>
      </c>
      <c r="K1826" s="48">
        <f t="shared" si="87"/>
        <v>1832</v>
      </c>
      <c r="L1826" s="114" t="str" cm="1">
        <f t="array" aca="1" ref="L1826" ca="1">IF(F1826&lt;&gt;"",INDIRECT("'"&amp;F1826&amp;"'!$F$17"),"")</f>
        <v/>
      </c>
      <c r="M1826" s="116" t="str">
        <f t="shared" ca="1" si="85"/>
        <v/>
      </c>
      <c r="O1826" s="49" t="str">
        <f t="shared" ca="1" si="86"/>
        <v/>
      </c>
      <c r="P1826" s="38" t="str">
        <f>IF(E1826&lt;&gt;"",RANK(E1826,$E$3:$E$2298)+COUNTIF($E$3:E1826,E1826)-1,"")</f>
        <v/>
      </c>
    </row>
    <row r="1827" spans="4:16" x14ac:dyDescent="0.25">
      <c r="D1827" s="36" t="str" cm="1">
        <f t="array" aca="1" ref="D1827" ca="1">IFERROR(IF(INDIRECT("'"&amp;F1827&amp;"'!$C$5")&gt;0,DATE(YEAR(Dashboard!$AL$2),Dashboard!$AU$4,INDIRECT("'"&amp;F1827&amp;"'!$C$5")),""),"")</f>
        <v/>
      </c>
      <c r="G1827" s="38" t="str" cm="1">
        <f t="array" aca="1" ref="G1827" ca="1">IF(F1827="",
    "",
    IFERROR(
        IF(INDIRECT("'"&amp;F1827&amp;"'!$B$2")="Credit Limit",
            "Credit Accounts",
            IF(INDIRECT("'"&amp;F1827&amp;"'!$E$2")="Location",
                "Cash Accounts",
                IF(INDIRECT("'"&amp;F1827&amp;"'!$B$2")="Amount",
                    "Investments",
                    "Bill Accounts"
                )
            )
        ),
    "")
)</f>
        <v/>
      </c>
      <c r="I1827" s="46" t="str" cm="1">
        <f t="array" aca="1" ref="I1827" ca="1">IF(F1827&lt;&gt;"",IF(OR(G1827="Bill Accounts",G1827="Investments", G1827="Cash Accounts"),INDIRECT("'"&amp;F1827&amp;"'!$C$10"),INDIRECT("'"&amp;F1827&amp;"'!$C$8")),"")</f>
        <v/>
      </c>
      <c r="K1827" s="48">
        <f t="shared" si="87"/>
        <v>1833</v>
      </c>
      <c r="L1827" s="114" t="str" cm="1">
        <f t="array" aca="1" ref="L1827" ca="1">IF(F1827&lt;&gt;"",INDIRECT("'"&amp;F1827&amp;"'!$F$17"),"")</f>
        <v/>
      </c>
      <c r="M1827" s="116" t="str">
        <f t="shared" ca="1" si="85"/>
        <v/>
      </c>
      <c r="O1827" s="49" t="str">
        <f t="shared" ca="1" si="86"/>
        <v/>
      </c>
      <c r="P1827" s="38" t="str">
        <f>IF(E1827&lt;&gt;"",RANK(E1827,$E$3:$E$2298)+COUNTIF($E$3:E1827,E1827)-1,"")</f>
        <v/>
      </c>
    </row>
    <row r="1828" spans="4:16" x14ac:dyDescent="0.25">
      <c r="D1828" s="36" t="str" cm="1">
        <f t="array" aca="1" ref="D1828" ca="1">IFERROR(IF(INDIRECT("'"&amp;F1828&amp;"'!$C$5")&gt;0,DATE(YEAR(Dashboard!$AL$2),Dashboard!$AU$4,INDIRECT("'"&amp;F1828&amp;"'!$C$5")),""),"")</f>
        <v/>
      </c>
      <c r="G1828" s="38" t="str" cm="1">
        <f t="array" aca="1" ref="G1828" ca="1">IF(F1828="",
    "",
    IFERROR(
        IF(INDIRECT("'"&amp;F1828&amp;"'!$B$2")="Credit Limit",
            "Credit Accounts",
            IF(INDIRECT("'"&amp;F1828&amp;"'!$E$2")="Location",
                "Cash Accounts",
                IF(INDIRECT("'"&amp;F1828&amp;"'!$B$2")="Amount",
                    "Investments",
                    "Bill Accounts"
                )
            )
        ),
    "")
)</f>
        <v/>
      </c>
      <c r="I1828" s="46" t="str" cm="1">
        <f t="array" aca="1" ref="I1828" ca="1">IF(F1828&lt;&gt;"",IF(OR(G1828="Bill Accounts",G1828="Investments", G1828="Cash Accounts"),INDIRECT("'"&amp;F1828&amp;"'!$C$10"),INDIRECT("'"&amp;F1828&amp;"'!$C$8")),"")</f>
        <v/>
      </c>
      <c r="K1828" s="48">
        <f t="shared" si="87"/>
        <v>1834</v>
      </c>
      <c r="L1828" s="114" t="str" cm="1">
        <f t="array" aca="1" ref="L1828" ca="1">IF(F1828&lt;&gt;"",INDIRECT("'"&amp;F1828&amp;"'!$F$17"),"")</f>
        <v/>
      </c>
      <c r="M1828" s="116" t="str">
        <f t="shared" ca="1" si="85"/>
        <v/>
      </c>
      <c r="O1828" s="49" t="str">
        <f t="shared" ca="1" si="86"/>
        <v/>
      </c>
      <c r="P1828" s="38" t="str">
        <f>IF(E1828&lt;&gt;"",RANK(E1828,$E$3:$E$2298)+COUNTIF($E$3:E1828,E1828)-1,"")</f>
        <v/>
      </c>
    </row>
    <row r="1829" spans="4:16" x14ac:dyDescent="0.25">
      <c r="D1829" s="36" t="str" cm="1">
        <f t="array" aca="1" ref="D1829" ca="1">IFERROR(IF(INDIRECT("'"&amp;F1829&amp;"'!$C$5")&gt;0,DATE(YEAR(Dashboard!$AL$2),Dashboard!$AU$4,INDIRECT("'"&amp;F1829&amp;"'!$C$5")),""),"")</f>
        <v/>
      </c>
      <c r="G1829" s="38" t="str" cm="1">
        <f t="array" aca="1" ref="G1829" ca="1">IF(F1829="",
    "",
    IFERROR(
        IF(INDIRECT("'"&amp;F1829&amp;"'!$B$2")="Credit Limit",
            "Credit Accounts",
            IF(INDIRECT("'"&amp;F1829&amp;"'!$E$2")="Location",
                "Cash Accounts",
                IF(INDIRECT("'"&amp;F1829&amp;"'!$B$2")="Amount",
                    "Investments",
                    "Bill Accounts"
                )
            )
        ),
    "")
)</f>
        <v/>
      </c>
      <c r="I1829" s="46" t="str" cm="1">
        <f t="array" aca="1" ref="I1829" ca="1">IF(F1829&lt;&gt;"",IF(OR(G1829="Bill Accounts",G1829="Investments", G1829="Cash Accounts"),INDIRECT("'"&amp;F1829&amp;"'!$C$10"),INDIRECT("'"&amp;F1829&amp;"'!$C$8")),"")</f>
        <v/>
      </c>
      <c r="K1829" s="48">
        <f t="shared" si="87"/>
        <v>1835</v>
      </c>
      <c r="L1829" s="114" t="str" cm="1">
        <f t="array" aca="1" ref="L1829" ca="1">IF(F1829&lt;&gt;"",INDIRECT("'"&amp;F1829&amp;"'!$F$17"),"")</f>
        <v/>
      </c>
      <c r="M1829" s="116" t="str">
        <f t="shared" ca="1" si="85"/>
        <v/>
      </c>
      <c r="O1829" s="49" t="str">
        <f t="shared" ca="1" si="86"/>
        <v/>
      </c>
      <c r="P1829" s="38" t="str">
        <f>IF(E1829&lt;&gt;"",RANK(E1829,$E$3:$E$2298)+COUNTIF($E$3:E1829,E1829)-1,"")</f>
        <v/>
      </c>
    </row>
    <row r="1830" spans="4:16" x14ac:dyDescent="0.25">
      <c r="D1830" s="36" t="str" cm="1">
        <f t="array" aca="1" ref="D1830" ca="1">IFERROR(IF(INDIRECT("'"&amp;F1830&amp;"'!$C$5")&gt;0,DATE(YEAR(Dashboard!$AL$2),Dashboard!$AU$4,INDIRECT("'"&amp;F1830&amp;"'!$C$5")),""),"")</f>
        <v/>
      </c>
      <c r="G1830" s="38" t="str" cm="1">
        <f t="array" aca="1" ref="G1830" ca="1">IF(F1830="",
    "",
    IFERROR(
        IF(INDIRECT("'"&amp;F1830&amp;"'!$B$2")="Credit Limit",
            "Credit Accounts",
            IF(INDIRECT("'"&amp;F1830&amp;"'!$E$2")="Location",
                "Cash Accounts",
                IF(INDIRECT("'"&amp;F1830&amp;"'!$B$2")="Amount",
                    "Investments",
                    "Bill Accounts"
                )
            )
        ),
    "")
)</f>
        <v/>
      </c>
      <c r="I1830" s="46" t="str" cm="1">
        <f t="array" aca="1" ref="I1830" ca="1">IF(F1830&lt;&gt;"",IF(OR(G1830="Bill Accounts",G1830="Investments", G1830="Cash Accounts"),INDIRECT("'"&amp;F1830&amp;"'!$C$10"),INDIRECT("'"&amp;F1830&amp;"'!$C$8")),"")</f>
        <v/>
      </c>
      <c r="K1830" s="48">
        <f t="shared" si="87"/>
        <v>1836</v>
      </c>
      <c r="L1830" s="114" t="str" cm="1">
        <f t="array" aca="1" ref="L1830" ca="1">IF(F1830&lt;&gt;"",INDIRECT("'"&amp;F1830&amp;"'!$F$17"),"")</f>
        <v/>
      </c>
      <c r="M1830" s="116" t="str">
        <f t="shared" ca="1" si="85"/>
        <v/>
      </c>
      <c r="O1830" s="49" t="str">
        <f t="shared" ca="1" si="86"/>
        <v/>
      </c>
      <c r="P1830" s="38" t="str">
        <f>IF(E1830&lt;&gt;"",RANK(E1830,$E$3:$E$2298)+COUNTIF($E$3:E1830,E1830)-1,"")</f>
        <v/>
      </c>
    </row>
    <row r="1831" spans="4:16" x14ac:dyDescent="0.25">
      <c r="D1831" s="36" t="str" cm="1">
        <f t="array" aca="1" ref="D1831" ca="1">IFERROR(IF(INDIRECT("'"&amp;F1831&amp;"'!$C$5")&gt;0,DATE(YEAR(Dashboard!$AL$2),Dashboard!$AU$4,INDIRECT("'"&amp;F1831&amp;"'!$C$5")),""),"")</f>
        <v/>
      </c>
      <c r="G1831" s="38" t="str" cm="1">
        <f t="array" aca="1" ref="G1831" ca="1">IF(F1831="",
    "",
    IFERROR(
        IF(INDIRECT("'"&amp;F1831&amp;"'!$B$2")="Credit Limit",
            "Credit Accounts",
            IF(INDIRECT("'"&amp;F1831&amp;"'!$E$2")="Location",
                "Cash Accounts",
                IF(INDIRECT("'"&amp;F1831&amp;"'!$B$2")="Amount",
                    "Investments",
                    "Bill Accounts"
                )
            )
        ),
    "")
)</f>
        <v/>
      </c>
      <c r="I1831" s="46" t="str" cm="1">
        <f t="array" aca="1" ref="I1831" ca="1">IF(F1831&lt;&gt;"",IF(OR(G1831="Bill Accounts",G1831="Investments", G1831="Cash Accounts"),INDIRECT("'"&amp;F1831&amp;"'!$C$10"),INDIRECT("'"&amp;F1831&amp;"'!$C$8")),"")</f>
        <v/>
      </c>
      <c r="K1831" s="48">
        <f t="shared" si="87"/>
        <v>1837</v>
      </c>
      <c r="L1831" s="114" t="str" cm="1">
        <f t="array" aca="1" ref="L1831" ca="1">IF(F1831&lt;&gt;"",INDIRECT("'"&amp;F1831&amp;"'!$F$17"),"")</f>
        <v/>
      </c>
      <c r="M1831" s="116" t="str">
        <f t="shared" ca="1" si="85"/>
        <v/>
      </c>
      <c r="O1831" s="49" t="str">
        <f t="shared" ca="1" si="86"/>
        <v/>
      </c>
      <c r="P1831" s="38" t="str">
        <f>IF(E1831&lt;&gt;"",RANK(E1831,$E$3:$E$2298)+COUNTIF($E$3:E1831,E1831)-1,"")</f>
        <v/>
      </c>
    </row>
    <row r="1832" spans="4:16" x14ac:dyDescent="0.25">
      <c r="D1832" s="36" t="str" cm="1">
        <f t="array" aca="1" ref="D1832" ca="1">IFERROR(IF(INDIRECT("'"&amp;F1832&amp;"'!$C$5")&gt;0,DATE(YEAR(Dashboard!$AL$2),Dashboard!$AU$4,INDIRECT("'"&amp;F1832&amp;"'!$C$5")),""),"")</f>
        <v/>
      </c>
      <c r="G1832" s="38" t="str" cm="1">
        <f t="array" aca="1" ref="G1832" ca="1">IF(F1832="",
    "",
    IFERROR(
        IF(INDIRECT("'"&amp;F1832&amp;"'!$B$2")="Credit Limit",
            "Credit Accounts",
            IF(INDIRECT("'"&amp;F1832&amp;"'!$E$2")="Location",
                "Cash Accounts",
                IF(INDIRECT("'"&amp;F1832&amp;"'!$B$2")="Amount",
                    "Investments",
                    "Bill Accounts"
                )
            )
        ),
    "")
)</f>
        <v/>
      </c>
      <c r="I1832" s="46" t="str" cm="1">
        <f t="array" aca="1" ref="I1832" ca="1">IF(F1832&lt;&gt;"",IF(OR(G1832="Bill Accounts",G1832="Investments", G1832="Cash Accounts"),INDIRECT("'"&amp;F1832&amp;"'!$C$10"),INDIRECT("'"&amp;F1832&amp;"'!$C$8")),"")</f>
        <v/>
      </c>
      <c r="K1832" s="48">
        <f t="shared" si="87"/>
        <v>1838</v>
      </c>
      <c r="L1832" s="114" t="str" cm="1">
        <f t="array" aca="1" ref="L1832" ca="1">IF(F1832&lt;&gt;"",INDIRECT("'"&amp;F1832&amp;"'!$F$17"),"")</f>
        <v/>
      </c>
      <c r="M1832" s="116" t="str">
        <f t="shared" ca="1" si="85"/>
        <v/>
      </c>
      <c r="O1832" s="49" t="str">
        <f t="shared" ca="1" si="86"/>
        <v/>
      </c>
      <c r="P1832" s="38" t="str">
        <f>IF(E1832&lt;&gt;"",RANK(E1832,$E$3:$E$2298)+COUNTIF($E$3:E1832,E1832)-1,"")</f>
        <v/>
      </c>
    </row>
    <row r="1833" spans="4:16" x14ac:dyDescent="0.25">
      <c r="D1833" s="36" t="str" cm="1">
        <f t="array" aca="1" ref="D1833" ca="1">IFERROR(IF(INDIRECT("'"&amp;F1833&amp;"'!$C$5")&gt;0,DATE(YEAR(Dashboard!$AL$2),Dashboard!$AU$4,INDIRECT("'"&amp;F1833&amp;"'!$C$5")),""),"")</f>
        <v/>
      </c>
      <c r="G1833" s="38" t="str" cm="1">
        <f t="array" aca="1" ref="G1833" ca="1">IF(F1833="",
    "",
    IFERROR(
        IF(INDIRECT("'"&amp;F1833&amp;"'!$B$2")="Credit Limit",
            "Credit Accounts",
            IF(INDIRECT("'"&amp;F1833&amp;"'!$E$2")="Location",
                "Cash Accounts",
                IF(INDIRECT("'"&amp;F1833&amp;"'!$B$2")="Amount",
                    "Investments",
                    "Bill Accounts"
                )
            )
        ),
    "")
)</f>
        <v/>
      </c>
      <c r="I1833" s="46" t="str" cm="1">
        <f t="array" aca="1" ref="I1833" ca="1">IF(F1833&lt;&gt;"",IF(OR(G1833="Bill Accounts",G1833="Investments", G1833="Cash Accounts"),INDIRECT("'"&amp;F1833&amp;"'!$C$10"),INDIRECT("'"&amp;F1833&amp;"'!$C$8")),"")</f>
        <v/>
      </c>
      <c r="K1833" s="48">
        <f t="shared" si="87"/>
        <v>1839</v>
      </c>
      <c r="L1833" s="114" t="str" cm="1">
        <f t="array" aca="1" ref="L1833" ca="1">IF(F1833&lt;&gt;"",INDIRECT("'"&amp;F1833&amp;"'!$F$17"),"")</f>
        <v/>
      </c>
      <c r="M1833" s="116" t="str">
        <f t="shared" ca="1" si="85"/>
        <v/>
      </c>
      <c r="O1833" s="49" t="str">
        <f t="shared" ca="1" si="86"/>
        <v/>
      </c>
      <c r="P1833" s="38" t="str">
        <f>IF(E1833&lt;&gt;"",RANK(E1833,$E$3:$E$2298)+COUNTIF($E$3:E1833,E1833)-1,"")</f>
        <v/>
      </c>
    </row>
    <row r="1834" spans="4:16" x14ac:dyDescent="0.25">
      <c r="D1834" s="36" t="str" cm="1">
        <f t="array" aca="1" ref="D1834" ca="1">IFERROR(IF(INDIRECT("'"&amp;F1834&amp;"'!$C$5")&gt;0,DATE(YEAR(Dashboard!$AL$2),Dashboard!$AU$4,INDIRECT("'"&amp;F1834&amp;"'!$C$5")),""),"")</f>
        <v/>
      </c>
      <c r="G1834" s="38" t="str" cm="1">
        <f t="array" aca="1" ref="G1834" ca="1">IF(F1834="",
    "",
    IFERROR(
        IF(INDIRECT("'"&amp;F1834&amp;"'!$B$2")="Credit Limit",
            "Credit Accounts",
            IF(INDIRECT("'"&amp;F1834&amp;"'!$E$2")="Location",
                "Cash Accounts",
                IF(INDIRECT("'"&amp;F1834&amp;"'!$B$2")="Amount",
                    "Investments",
                    "Bill Accounts"
                )
            )
        ),
    "")
)</f>
        <v/>
      </c>
      <c r="I1834" s="46" t="str" cm="1">
        <f t="array" aca="1" ref="I1834" ca="1">IF(F1834&lt;&gt;"",IF(OR(G1834="Bill Accounts",G1834="Investments", G1834="Cash Accounts"),INDIRECT("'"&amp;F1834&amp;"'!$C$10"),INDIRECT("'"&amp;F1834&amp;"'!$C$8")),"")</f>
        <v/>
      </c>
      <c r="K1834" s="48">
        <f t="shared" si="87"/>
        <v>1840</v>
      </c>
      <c r="L1834" s="114" t="str" cm="1">
        <f t="array" aca="1" ref="L1834" ca="1">IF(F1834&lt;&gt;"",INDIRECT("'"&amp;F1834&amp;"'!$F$17"),"")</f>
        <v/>
      </c>
      <c r="M1834" s="116" t="str">
        <f t="shared" ca="1" si="85"/>
        <v/>
      </c>
      <c r="O1834" s="49" t="str">
        <f t="shared" ca="1" si="86"/>
        <v/>
      </c>
      <c r="P1834" s="38" t="str">
        <f>IF(E1834&lt;&gt;"",RANK(E1834,$E$3:$E$2298)+COUNTIF($E$3:E1834,E1834)-1,"")</f>
        <v/>
      </c>
    </row>
    <row r="1835" spans="4:16" x14ac:dyDescent="0.25">
      <c r="D1835" s="36" t="str" cm="1">
        <f t="array" aca="1" ref="D1835" ca="1">IFERROR(IF(INDIRECT("'"&amp;F1835&amp;"'!$C$5")&gt;0,DATE(YEAR(Dashboard!$AL$2),Dashboard!$AU$4,INDIRECT("'"&amp;F1835&amp;"'!$C$5")),""),"")</f>
        <v/>
      </c>
      <c r="G1835" s="38" t="str" cm="1">
        <f t="array" aca="1" ref="G1835" ca="1">IF(F1835="",
    "",
    IFERROR(
        IF(INDIRECT("'"&amp;F1835&amp;"'!$B$2")="Credit Limit",
            "Credit Accounts",
            IF(INDIRECT("'"&amp;F1835&amp;"'!$E$2")="Location",
                "Cash Accounts",
                IF(INDIRECT("'"&amp;F1835&amp;"'!$B$2")="Amount",
                    "Investments",
                    "Bill Accounts"
                )
            )
        ),
    "")
)</f>
        <v/>
      </c>
      <c r="I1835" s="46" t="str" cm="1">
        <f t="array" aca="1" ref="I1835" ca="1">IF(F1835&lt;&gt;"",IF(OR(G1835="Bill Accounts",G1835="Investments", G1835="Cash Accounts"),INDIRECT("'"&amp;F1835&amp;"'!$C$10"),INDIRECT("'"&amp;F1835&amp;"'!$C$8")),"")</f>
        <v/>
      </c>
      <c r="K1835" s="48">
        <f t="shared" si="87"/>
        <v>1841</v>
      </c>
      <c r="L1835" s="114" t="str" cm="1">
        <f t="array" aca="1" ref="L1835" ca="1">IF(F1835&lt;&gt;"",INDIRECT("'"&amp;F1835&amp;"'!$F$17"),"")</f>
        <v/>
      </c>
      <c r="M1835" s="116" t="str">
        <f t="shared" ca="1" si="85"/>
        <v/>
      </c>
      <c r="O1835" s="49" t="str">
        <f t="shared" ca="1" si="86"/>
        <v/>
      </c>
      <c r="P1835" s="38" t="str">
        <f>IF(E1835&lt;&gt;"",RANK(E1835,$E$3:$E$2298)+COUNTIF($E$3:E1835,E1835)-1,"")</f>
        <v/>
      </c>
    </row>
    <row r="1836" spans="4:16" x14ac:dyDescent="0.25">
      <c r="D1836" s="36" t="str" cm="1">
        <f t="array" aca="1" ref="D1836" ca="1">IFERROR(IF(INDIRECT("'"&amp;F1836&amp;"'!$C$5")&gt;0,DATE(YEAR(Dashboard!$AL$2),Dashboard!$AU$4,INDIRECT("'"&amp;F1836&amp;"'!$C$5")),""),"")</f>
        <v/>
      </c>
      <c r="G1836" s="38" t="str" cm="1">
        <f t="array" aca="1" ref="G1836" ca="1">IF(F1836="",
    "",
    IFERROR(
        IF(INDIRECT("'"&amp;F1836&amp;"'!$B$2")="Credit Limit",
            "Credit Accounts",
            IF(INDIRECT("'"&amp;F1836&amp;"'!$E$2")="Location",
                "Cash Accounts",
                IF(INDIRECT("'"&amp;F1836&amp;"'!$B$2")="Amount",
                    "Investments",
                    "Bill Accounts"
                )
            )
        ),
    "")
)</f>
        <v/>
      </c>
      <c r="I1836" s="46" t="str" cm="1">
        <f t="array" aca="1" ref="I1836" ca="1">IF(F1836&lt;&gt;"",IF(OR(G1836="Bill Accounts",G1836="Investments", G1836="Cash Accounts"),INDIRECT("'"&amp;F1836&amp;"'!$C$10"),INDIRECT("'"&amp;F1836&amp;"'!$C$8")),"")</f>
        <v/>
      </c>
      <c r="K1836" s="48">
        <f t="shared" si="87"/>
        <v>1842</v>
      </c>
      <c r="L1836" s="114" t="str" cm="1">
        <f t="array" aca="1" ref="L1836" ca="1">IF(F1836&lt;&gt;"",INDIRECT("'"&amp;F1836&amp;"'!$F$17"),"")</f>
        <v/>
      </c>
      <c r="M1836" s="116" t="str">
        <f t="shared" ca="1" si="85"/>
        <v/>
      </c>
      <c r="O1836" s="49" t="str">
        <f t="shared" ca="1" si="86"/>
        <v/>
      </c>
      <c r="P1836" s="38" t="str">
        <f>IF(E1836&lt;&gt;"",RANK(E1836,$E$3:$E$2298)+COUNTIF($E$3:E1836,E1836)-1,"")</f>
        <v/>
      </c>
    </row>
    <row r="1837" spans="4:16" x14ac:dyDescent="0.25">
      <c r="D1837" s="36" t="str" cm="1">
        <f t="array" aca="1" ref="D1837" ca="1">IFERROR(IF(INDIRECT("'"&amp;F1837&amp;"'!$C$5")&gt;0,DATE(YEAR(Dashboard!$AL$2),Dashboard!$AU$4,INDIRECT("'"&amp;F1837&amp;"'!$C$5")),""),"")</f>
        <v/>
      </c>
      <c r="G1837" s="38" t="str" cm="1">
        <f t="array" aca="1" ref="G1837" ca="1">IF(F1837="",
    "",
    IFERROR(
        IF(INDIRECT("'"&amp;F1837&amp;"'!$B$2")="Credit Limit",
            "Credit Accounts",
            IF(INDIRECT("'"&amp;F1837&amp;"'!$E$2")="Location",
                "Cash Accounts",
                IF(INDIRECT("'"&amp;F1837&amp;"'!$B$2")="Amount",
                    "Investments",
                    "Bill Accounts"
                )
            )
        ),
    "")
)</f>
        <v/>
      </c>
      <c r="I1837" s="46" t="str" cm="1">
        <f t="array" aca="1" ref="I1837" ca="1">IF(F1837&lt;&gt;"",IF(OR(G1837="Bill Accounts",G1837="Investments", G1837="Cash Accounts"),INDIRECT("'"&amp;F1837&amp;"'!$C$10"),INDIRECT("'"&amp;F1837&amp;"'!$C$8")),"")</f>
        <v/>
      </c>
      <c r="K1837" s="48">
        <f t="shared" si="87"/>
        <v>1843</v>
      </c>
      <c r="L1837" s="114" t="str" cm="1">
        <f t="array" aca="1" ref="L1837" ca="1">IF(F1837&lt;&gt;"",INDIRECT("'"&amp;F1837&amp;"'!$F$17"),"")</f>
        <v/>
      </c>
      <c r="M1837" s="116" t="str">
        <f t="shared" ca="1" si="85"/>
        <v/>
      </c>
      <c r="O1837" s="49" t="str">
        <f t="shared" ca="1" si="86"/>
        <v/>
      </c>
      <c r="P1837" s="38" t="str">
        <f>IF(E1837&lt;&gt;"",RANK(E1837,$E$3:$E$2298)+COUNTIF($E$3:E1837,E1837)-1,"")</f>
        <v/>
      </c>
    </row>
    <row r="1838" spans="4:16" x14ac:dyDescent="0.25">
      <c r="D1838" s="36" t="str" cm="1">
        <f t="array" aca="1" ref="D1838" ca="1">IFERROR(IF(INDIRECT("'"&amp;F1838&amp;"'!$C$5")&gt;0,DATE(YEAR(Dashboard!$AL$2),Dashboard!$AU$4,INDIRECT("'"&amp;F1838&amp;"'!$C$5")),""),"")</f>
        <v/>
      </c>
      <c r="G1838" s="38" t="str" cm="1">
        <f t="array" aca="1" ref="G1838" ca="1">IF(F1838="",
    "",
    IFERROR(
        IF(INDIRECT("'"&amp;F1838&amp;"'!$B$2")="Credit Limit",
            "Credit Accounts",
            IF(INDIRECT("'"&amp;F1838&amp;"'!$E$2")="Location",
                "Cash Accounts",
                IF(INDIRECT("'"&amp;F1838&amp;"'!$B$2")="Amount",
                    "Investments",
                    "Bill Accounts"
                )
            )
        ),
    "")
)</f>
        <v/>
      </c>
      <c r="I1838" s="46" t="str" cm="1">
        <f t="array" aca="1" ref="I1838" ca="1">IF(F1838&lt;&gt;"",IF(OR(G1838="Bill Accounts",G1838="Investments", G1838="Cash Accounts"),INDIRECT("'"&amp;F1838&amp;"'!$C$10"),INDIRECT("'"&amp;F1838&amp;"'!$C$8")),"")</f>
        <v/>
      </c>
      <c r="K1838" s="48">
        <f t="shared" si="87"/>
        <v>1844</v>
      </c>
      <c r="L1838" s="114" t="str" cm="1">
        <f t="array" aca="1" ref="L1838" ca="1">IF(F1838&lt;&gt;"",INDIRECT("'"&amp;F1838&amp;"'!$F$17"),"")</f>
        <v/>
      </c>
      <c r="M1838" s="116" t="str">
        <f t="shared" ca="1" si="85"/>
        <v/>
      </c>
      <c r="O1838" s="49" t="str">
        <f t="shared" ca="1" si="86"/>
        <v/>
      </c>
      <c r="P1838" s="38" t="str">
        <f>IF(E1838&lt;&gt;"",RANK(E1838,$E$3:$E$2298)+COUNTIF($E$3:E1838,E1838)-1,"")</f>
        <v/>
      </c>
    </row>
    <row r="1839" spans="4:16" x14ac:dyDescent="0.25">
      <c r="D1839" s="36" t="str" cm="1">
        <f t="array" aca="1" ref="D1839" ca="1">IFERROR(IF(INDIRECT("'"&amp;F1839&amp;"'!$C$5")&gt;0,DATE(YEAR(Dashboard!$AL$2),Dashboard!$AU$4,INDIRECT("'"&amp;F1839&amp;"'!$C$5")),""),"")</f>
        <v/>
      </c>
      <c r="G1839" s="38" t="str" cm="1">
        <f t="array" aca="1" ref="G1839" ca="1">IF(F1839="",
    "",
    IFERROR(
        IF(INDIRECT("'"&amp;F1839&amp;"'!$B$2")="Credit Limit",
            "Credit Accounts",
            IF(INDIRECT("'"&amp;F1839&amp;"'!$E$2")="Location",
                "Cash Accounts",
                IF(INDIRECT("'"&amp;F1839&amp;"'!$B$2")="Amount",
                    "Investments",
                    "Bill Accounts"
                )
            )
        ),
    "")
)</f>
        <v/>
      </c>
      <c r="I1839" s="46" t="str" cm="1">
        <f t="array" aca="1" ref="I1839" ca="1">IF(F1839&lt;&gt;"",IF(OR(G1839="Bill Accounts",G1839="Investments", G1839="Cash Accounts"),INDIRECT("'"&amp;F1839&amp;"'!$C$10"),INDIRECT("'"&amp;F1839&amp;"'!$C$8")),"")</f>
        <v/>
      </c>
      <c r="K1839" s="48">
        <f t="shared" si="87"/>
        <v>1845</v>
      </c>
      <c r="L1839" s="114" t="str" cm="1">
        <f t="array" aca="1" ref="L1839" ca="1">IF(F1839&lt;&gt;"",INDIRECT("'"&amp;F1839&amp;"'!$F$17"),"")</f>
        <v/>
      </c>
      <c r="M1839" s="116" t="str">
        <f t="shared" ca="1" si="85"/>
        <v/>
      </c>
      <c r="O1839" s="49" t="str">
        <f t="shared" ca="1" si="86"/>
        <v/>
      </c>
      <c r="P1839" s="38" t="str">
        <f>IF(E1839&lt;&gt;"",RANK(E1839,$E$3:$E$2298)+COUNTIF($E$3:E1839,E1839)-1,"")</f>
        <v/>
      </c>
    </row>
    <row r="1840" spans="4:16" x14ac:dyDescent="0.25">
      <c r="D1840" s="36" t="str" cm="1">
        <f t="array" aca="1" ref="D1840" ca="1">IFERROR(IF(INDIRECT("'"&amp;F1840&amp;"'!$C$5")&gt;0,DATE(YEAR(Dashboard!$AL$2),Dashboard!$AU$4,INDIRECT("'"&amp;F1840&amp;"'!$C$5")),""),"")</f>
        <v/>
      </c>
      <c r="G1840" s="38" t="str" cm="1">
        <f t="array" aca="1" ref="G1840" ca="1">IF(F1840="",
    "",
    IFERROR(
        IF(INDIRECT("'"&amp;F1840&amp;"'!$B$2")="Credit Limit",
            "Credit Accounts",
            IF(INDIRECT("'"&amp;F1840&amp;"'!$E$2")="Location",
                "Cash Accounts",
                IF(INDIRECT("'"&amp;F1840&amp;"'!$B$2")="Amount",
                    "Investments",
                    "Bill Accounts"
                )
            )
        ),
    "")
)</f>
        <v/>
      </c>
      <c r="I1840" s="46" t="str" cm="1">
        <f t="array" aca="1" ref="I1840" ca="1">IF(F1840&lt;&gt;"",IF(OR(G1840="Bill Accounts",G1840="Investments", G1840="Cash Accounts"),INDIRECT("'"&amp;F1840&amp;"'!$C$10"),INDIRECT("'"&amp;F1840&amp;"'!$C$8")),"")</f>
        <v/>
      </c>
      <c r="K1840" s="48">
        <f t="shared" si="87"/>
        <v>1846</v>
      </c>
      <c r="L1840" s="114" t="str" cm="1">
        <f t="array" aca="1" ref="L1840" ca="1">IF(F1840&lt;&gt;"",INDIRECT("'"&amp;F1840&amp;"'!$F$17"),"")</f>
        <v/>
      </c>
      <c r="M1840" s="116" t="str">
        <f t="shared" ca="1" si="85"/>
        <v/>
      </c>
      <c r="O1840" s="49" t="str">
        <f t="shared" ca="1" si="86"/>
        <v/>
      </c>
      <c r="P1840" s="38" t="str">
        <f>IF(E1840&lt;&gt;"",RANK(E1840,$E$3:$E$2298)+COUNTIF($E$3:E1840,E1840)-1,"")</f>
        <v/>
      </c>
    </row>
    <row r="1841" spans="4:16" x14ac:dyDescent="0.25">
      <c r="D1841" s="36" t="str" cm="1">
        <f t="array" aca="1" ref="D1841" ca="1">IFERROR(IF(INDIRECT("'"&amp;F1841&amp;"'!$C$5")&gt;0,DATE(YEAR(Dashboard!$AL$2),Dashboard!$AU$4,INDIRECT("'"&amp;F1841&amp;"'!$C$5")),""),"")</f>
        <v/>
      </c>
      <c r="G1841" s="38" t="str" cm="1">
        <f t="array" aca="1" ref="G1841" ca="1">IF(F1841="",
    "",
    IFERROR(
        IF(INDIRECT("'"&amp;F1841&amp;"'!$B$2")="Credit Limit",
            "Credit Accounts",
            IF(INDIRECT("'"&amp;F1841&amp;"'!$E$2")="Location",
                "Cash Accounts",
                IF(INDIRECT("'"&amp;F1841&amp;"'!$B$2")="Amount",
                    "Investments",
                    "Bill Accounts"
                )
            )
        ),
    "")
)</f>
        <v/>
      </c>
      <c r="I1841" s="46" t="str" cm="1">
        <f t="array" aca="1" ref="I1841" ca="1">IF(F1841&lt;&gt;"",IF(OR(G1841="Bill Accounts",G1841="Investments", G1841="Cash Accounts"),INDIRECT("'"&amp;F1841&amp;"'!$C$10"),INDIRECT("'"&amp;F1841&amp;"'!$C$8")),"")</f>
        <v/>
      </c>
      <c r="K1841" s="48">
        <f t="shared" si="87"/>
        <v>1847</v>
      </c>
      <c r="L1841" s="114" t="str" cm="1">
        <f t="array" aca="1" ref="L1841" ca="1">IF(F1841&lt;&gt;"",INDIRECT("'"&amp;F1841&amp;"'!$F$17"),"")</f>
        <v/>
      </c>
      <c r="M1841" s="116" t="str">
        <f t="shared" ca="1" si="85"/>
        <v/>
      </c>
      <c r="O1841" s="49" t="str">
        <f t="shared" ca="1" si="86"/>
        <v/>
      </c>
      <c r="P1841" s="38" t="str">
        <f>IF(E1841&lt;&gt;"",RANK(E1841,$E$3:$E$2298)+COUNTIF($E$3:E1841,E1841)-1,"")</f>
        <v/>
      </c>
    </row>
    <row r="1842" spans="4:16" x14ac:dyDescent="0.25">
      <c r="D1842" s="36" t="str" cm="1">
        <f t="array" aca="1" ref="D1842" ca="1">IFERROR(IF(INDIRECT("'"&amp;F1842&amp;"'!$C$5")&gt;0,DATE(YEAR(Dashboard!$AL$2),Dashboard!$AU$4,INDIRECT("'"&amp;F1842&amp;"'!$C$5")),""),"")</f>
        <v/>
      </c>
      <c r="G1842" s="38" t="str" cm="1">
        <f t="array" aca="1" ref="G1842" ca="1">IF(F1842="",
    "",
    IFERROR(
        IF(INDIRECT("'"&amp;F1842&amp;"'!$B$2")="Credit Limit",
            "Credit Accounts",
            IF(INDIRECT("'"&amp;F1842&amp;"'!$E$2")="Location",
                "Cash Accounts",
                IF(INDIRECT("'"&amp;F1842&amp;"'!$B$2")="Amount",
                    "Investments",
                    "Bill Accounts"
                )
            )
        ),
    "")
)</f>
        <v/>
      </c>
      <c r="I1842" s="46" t="str" cm="1">
        <f t="array" aca="1" ref="I1842" ca="1">IF(F1842&lt;&gt;"",IF(OR(G1842="Bill Accounts",G1842="Investments", G1842="Cash Accounts"),INDIRECT("'"&amp;F1842&amp;"'!$C$10"),INDIRECT("'"&amp;F1842&amp;"'!$C$8")),"")</f>
        <v/>
      </c>
      <c r="K1842" s="48">
        <f t="shared" si="87"/>
        <v>1848</v>
      </c>
      <c r="L1842" s="114" t="str" cm="1">
        <f t="array" aca="1" ref="L1842" ca="1">IF(F1842&lt;&gt;"",INDIRECT("'"&amp;F1842&amp;"'!$F$17"),"")</f>
        <v/>
      </c>
      <c r="M1842" s="116" t="str">
        <f t="shared" ca="1" si="85"/>
        <v/>
      </c>
      <c r="O1842" s="49" t="str">
        <f t="shared" ca="1" si="86"/>
        <v/>
      </c>
      <c r="P1842" s="38" t="str">
        <f>IF(E1842&lt;&gt;"",RANK(E1842,$E$3:$E$2298)+COUNTIF($E$3:E1842,E1842)-1,"")</f>
        <v/>
      </c>
    </row>
    <row r="1843" spans="4:16" x14ac:dyDescent="0.25">
      <c r="D1843" s="36" t="str" cm="1">
        <f t="array" aca="1" ref="D1843" ca="1">IFERROR(IF(INDIRECT("'"&amp;F1843&amp;"'!$C$5")&gt;0,DATE(YEAR(Dashboard!$AL$2),Dashboard!$AU$4,INDIRECT("'"&amp;F1843&amp;"'!$C$5")),""),"")</f>
        <v/>
      </c>
      <c r="G1843" s="38" t="str" cm="1">
        <f t="array" aca="1" ref="G1843" ca="1">IF(F1843="",
    "",
    IFERROR(
        IF(INDIRECT("'"&amp;F1843&amp;"'!$B$2")="Credit Limit",
            "Credit Accounts",
            IF(INDIRECT("'"&amp;F1843&amp;"'!$E$2")="Location",
                "Cash Accounts",
                IF(INDIRECT("'"&amp;F1843&amp;"'!$B$2")="Amount",
                    "Investments",
                    "Bill Accounts"
                )
            )
        ),
    "")
)</f>
        <v/>
      </c>
      <c r="I1843" s="46" t="str" cm="1">
        <f t="array" aca="1" ref="I1843" ca="1">IF(F1843&lt;&gt;"",IF(OR(G1843="Bill Accounts",G1843="Investments", G1843="Cash Accounts"),INDIRECT("'"&amp;F1843&amp;"'!$C$10"),INDIRECT("'"&amp;F1843&amp;"'!$C$8")),"")</f>
        <v/>
      </c>
      <c r="K1843" s="48">
        <f t="shared" si="87"/>
        <v>1849</v>
      </c>
      <c r="L1843" s="114" t="str" cm="1">
        <f t="array" aca="1" ref="L1843" ca="1">IF(F1843&lt;&gt;"",INDIRECT("'"&amp;F1843&amp;"'!$F$17"),"")</f>
        <v/>
      </c>
      <c r="M1843" s="116" t="str">
        <f t="shared" ca="1" si="85"/>
        <v/>
      </c>
      <c r="O1843" s="49" t="str">
        <f t="shared" ca="1" si="86"/>
        <v/>
      </c>
      <c r="P1843" s="38" t="str">
        <f>IF(E1843&lt;&gt;"",RANK(E1843,$E$3:$E$2298)+COUNTIF($E$3:E1843,E1843)-1,"")</f>
        <v/>
      </c>
    </row>
    <row r="1844" spans="4:16" x14ac:dyDescent="0.25">
      <c r="D1844" s="36" t="str" cm="1">
        <f t="array" aca="1" ref="D1844" ca="1">IFERROR(IF(INDIRECT("'"&amp;F1844&amp;"'!$C$5")&gt;0,DATE(YEAR(Dashboard!$AL$2),Dashboard!$AU$4,INDIRECT("'"&amp;F1844&amp;"'!$C$5")),""),"")</f>
        <v/>
      </c>
      <c r="G1844" s="38" t="str" cm="1">
        <f t="array" aca="1" ref="G1844" ca="1">IF(F1844="",
    "",
    IFERROR(
        IF(INDIRECT("'"&amp;F1844&amp;"'!$B$2")="Credit Limit",
            "Credit Accounts",
            IF(INDIRECT("'"&amp;F1844&amp;"'!$E$2")="Location",
                "Cash Accounts",
                IF(INDIRECT("'"&amp;F1844&amp;"'!$B$2")="Amount",
                    "Investments",
                    "Bill Accounts"
                )
            )
        ),
    "")
)</f>
        <v/>
      </c>
      <c r="I1844" s="46" t="str" cm="1">
        <f t="array" aca="1" ref="I1844" ca="1">IF(F1844&lt;&gt;"",IF(OR(G1844="Bill Accounts",G1844="Investments", G1844="Cash Accounts"),INDIRECT("'"&amp;F1844&amp;"'!$C$10"),INDIRECT("'"&amp;F1844&amp;"'!$C$8")),"")</f>
        <v/>
      </c>
      <c r="K1844" s="48">
        <f t="shared" si="87"/>
        <v>1850</v>
      </c>
      <c r="L1844" s="114" t="str" cm="1">
        <f t="array" aca="1" ref="L1844" ca="1">IF(F1844&lt;&gt;"",INDIRECT("'"&amp;F1844&amp;"'!$F$17"),"")</f>
        <v/>
      </c>
      <c r="M1844" s="116" t="str">
        <f t="shared" ca="1" si="85"/>
        <v/>
      </c>
      <c r="O1844" s="49" t="str">
        <f t="shared" ca="1" si="86"/>
        <v/>
      </c>
      <c r="P1844" s="38" t="str">
        <f>IF(E1844&lt;&gt;"",RANK(E1844,$E$3:$E$2298)+COUNTIF($E$3:E1844,E1844)-1,"")</f>
        <v/>
      </c>
    </row>
    <row r="1845" spans="4:16" x14ac:dyDescent="0.25">
      <c r="D1845" s="36" t="str" cm="1">
        <f t="array" aca="1" ref="D1845" ca="1">IFERROR(IF(INDIRECT("'"&amp;F1845&amp;"'!$C$5")&gt;0,DATE(YEAR(Dashboard!$AL$2),Dashboard!$AU$4,INDIRECT("'"&amp;F1845&amp;"'!$C$5")),""),"")</f>
        <v/>
      </c>
      <c r="G1845" s="38" t="str" cm="1">
        <f t="array" aca="1" ref="G1845" ca="1">IF(F1845="",
    "",
    IFERROR(
        IF(INDIRECT("'"&amp;F1845&amp;"'!$B$2")="Credit Limit",
            "Credit Accounts",
            IF(INDIRECT("'"&amp;F1845&amp;"'!$E$2")="Location",
                "Cash Accounts",
                IF(INDIRECT("'"&amp;F1845&amp;"'!$B$2")="Amount",
                    "Investments",
                    "Bill Accounts"
                )
            )
        ),
    "")
)</f>
        <v/>
      </c>
      <c r="I1845" s="46" t="str" cm="1">
        <f t="array" aca="1" ref="I1845" ca="1">IF(F1845&lt;&gt;"",IF(OR(G1845="Bill Accounts",G1845="Investments", G1845="Cash Accounts"),INDIRECT("'"&amp;F1845&amp;"'!$C$10"),INDIRECT("'"&amp;F1845&amp;"'!$C$8")),"")</f>
        <v/>
      </c>
      <c r="K1845" s="48">
        <f t="shared" si="87"/>
        <v>1851</v>
      </c>
      <c r="L1845" s="114" t="str" cm="1">
        <f t="array" aca="1" ref="L1845" ca="1">IF(F1845&lt;&gt;"",INDIRECT("'"&amp;F1845&amp;"'!$F$17"),"")</f>
        <v/>
      </c>
      <c r="M1845" s="116" t="str">
        <f t="shared" ca="1" si="85"/>
        <v/>
      </c>
      <c r="O1845" s="49" t="str">
        <f t="shared" ca="1" si="86"/>
        <v/>
      </c>
      <c r="P1845" s="38" t="str">
        <f>IF(E1845&lt;&gt;"",RANK(E1845,$E$3:$E$2298)+COUNTIF($E$3:E1845,E1845)-1,"")</f>
        <v/>
      </c>
    </row>
    <row r="1846" spans="4:16" x14ac:dyDescent="0.25">
      <c r="D1846" s="36" t="str" cm="1">
        <f t="array" aca="1" ref="D1846" ca="1">IFERROR(IF(INDIRECT("'"&amp;F1846&amp;"'!$C$5")&gt;0,DATE(YEAR(Dashboard!$AL$2),Dashboard!$AU$4,INDIRECT("'"&amp;F1846&amp;"'!$C$5")),""),"")</f>
        <v/>
      </c>
      <c r="G1846" s="38" t="str" cm="1">
        <f t="array" aca="1" ref="G1846" ca="1">IF(F1846="",
    "",
    IFERROR(
        IF(INDIRECT("'"&amp;F1846&amp;"'!$B$2")="Credit Limit",
            "Credit Accounts",
            IF(INDIRECT("'"&amp;F1846&amp;"'!$E$2")="Location",
                "Cash Accounts",
                IF(INDIRECT("'"&amp;F1846&amp;"'!$B$2")="Amount",
                    "Investments",
                    "Bill Accounts"
                )
            )
        ),
    "")
)</f>
        <v/>
      </c>
      <c r="I1846" s="46" t="str" cm="1">
        <f t="array" aca="1" ref="I1846" ca="1">IF(F1846&lt;&gt;"",IF(OR(G1846="Bill Accounts",G1846="Investments", G1846="Cash Accounts"),INDIRECT("'"&amp;F1846&amp;"'!$C$10"),INDIRECT("'"&amp;F1846&amp;"'!$C$8")),"")</f>
        <v/>
      </c>
      <c r="K1846" s="48">
        <f t="shared" si="87"/>
        <v>1852</v>
      </c>
      <c r="L1846" s="114" t="str" cm="1">
        <f t="array" aca="1" ref="L1846" ca="1">IF(F1846&lt;&gt;"",INDIRECT("'"&amp;F1846&amp;"'!$F$17"),"")</f>
        <v/>
      </c>
      <c r="M1846" s="116" t="str">
        <f t="shared" ca="1" si="85"/>
        <v/>
      </c>
      <c r="O1846" s="49" t="str">
        <f t="shared" ca="1" si="86"/>
        <v/>
      </c>
      <c r="P1846" s="38" t="str">
        <f>IF(E1846&lt;&gt;"",RANK(E1846,$E$3:$E$2298)+COUNTIF($E$3:E1846,E1846)-1,"")</f>
        <v/>
      </c>
    </row>
    <row r="1847" spans="4:16" x14ac:dyDescent="0.25">
      <c r="D1847" s="36" t="str" cm="1">
        <f t="array" aca="1" ref="D1847" ca="1">IFERROR(IF(INDIRECT("'"&amp;F1847&amp;"'!$C$5")&gt;0,DATE(YEAR(Dashboard!$AL$2),Dashboard!$AU$4,INDIRECT("'"&amp;F1847&amp;"'!$C$5")),""),"")</f>
        <v/>
      </c>
      <c r="G1847" s="38" t="str" cm="1">
        <f t="array" aca="1" ref="G1847" ca="1">IF(F1847="",
    "",
    IFERROR(
        IF(INDIRECT("'"&amp;F1847&amp;"'!$B$2")="Credit Limit",
            "Credit Accounts",
            IF(INDIRECT("'"&amp;F1847&amp;"'!$E$2")="Location",
                "Cash Accounts",
                IF(INDIRECT("'"&amp;F1847&amp;"'!$B$2")="Amount",
                    "Investments",
                    "Bill Accounts"
                )
            )
        ),
    "")
)</f>
        <v/>
      </c>
      <c r="I1847" s="46" t="str" cm="1">
        <f t="array" aca="1" ref="I1847" ca="1">IF(F1847&lt;&gt;"",IF(OR(G1847="Bill Accounts",G1847="Investments", G1847="Cash Accounts"),INDIRECT("'"&amp;F1847&amp;"'!$C$10"),INDIRECT("'"&amp;F1847&amp;"'!$C$8")),"")</f>
        <v/>
      </c>
      <c r="K1847" s="48">
        <f t="shared" si="87"/>
        <v>1853</v>
      </c>
      <c r="L1847" s="114" t="str" cm="1">
        <f t="array" aca="1" ref="L1847" ca="1">IF(F1847&lt;&gt;"",INDIRECT("'"&amp;F1847&amp;"'!$F$17"),"")</f>
        <v/>
      </c>
      <c r="M1847" s="116" t="str">
        <f t="shared" ca="1" si="85"/>
        <v/>
      </c>
      <c r="O1847" s="49" t="str">
        <f t="shared" ca="1" si="86"/>
        <v/>
      </c>
      <c r="P1847" s="38" t="str">
        <f>IF(E1847&lt;&gt;"",RANK(E1847,$E$3:$E$2298)+COUNTIF($E$3:E1847,E1847)-1,"")</f>
        <v/>
      </c>
    </row>
    <row r="1848" spans="4:16" x14ac:dyDescent="0.25">
      <c r="D1848" s="36" t="str" cm="1">
        <f t="array" aca="1" ref="D1848" ca="1">IFERROR(IF(INDIRECT("'"&amp;F1848&amp;"'!$C$5")&gt;0,DATE(YEAR(Dashboard!$AL$2),Dashboard!$AU$4,INDIRECT("'"&amp;F1848&amp;"'!$C$5")),""),"")</f>
        <v/>
      </c>
      <c r="G1848" s="38" t="str" cm="1">
        <f t="array" aca="1" ref="G1848" ca="1">IF(F1848="",
    "",
    IFERROR(
        IF(INDIRECT("'"&amp;F1848&amp;"'!$B$2")="Credit Limit",
            "Credit Accounts",
            IF(INDIRECT("'"&amp;F1848&amp;"'!$E$2")="Location",
                "Cash Accounts",
                IF(INDIRECT("'"&amp;F1848&amp;"'!$B$2")="Amount",
                    "Investments",
                    "Bill Accounts"
                )
            )
        ),
    "")
)</f>
        <v/>
      </c>
      <c r="I1848" s="46" t="str" cm="1">
        <f t="array" aca="1" ref="I1848" ca="1">IF(F1848&lt;&gt;"",IF(OR(G1848="Bill Accounts",G1848="Investments", G1848="Cash Accounts"),INDIRECT("'"&amp;F1848&amp;"'!$C$10"),INDIRECT("'"&amp;F1848&amp;"'!$C$8")),"")</f>
        <v/>
      </c>
      <c r="K1848" s="48">
        <f t="shared" si="87"/>
        <v>1854</v>
      </c>
      <c r="L1848" s="114" t="str" cm="1">
        <f t="array" aca="1" ref="L1848" ca="1">IF(F1848&lt;&gt;"",INDIRECT("'"&amp;F1848&amp;"'!$F$17"),"")</f>
        <v/>
      </c>
      <c r="M1848" s="116" t="str">
        <f t="shared" ca="1" si="85"/>
        <v/>
      </c>
      <c r="O1848" s="49" t="str">
        <f t="shared" ca="1" si="86"/>
        <v/>
      </c>
      <c r="P1848" s="38" t="str">
        <f>IF(E1848&lt;&gt;"",RANK(E1848,$E$3:$E$2298)+COUNTIF($E$3:E1848,E1848)-1,"")</f>
        <v/>
      </c>
    </row>
    <row r="1849" spans="4:16" x14ac:dyDescent="0.25">
      <c r="D1849" s="36" t="str" cm="1">
        <f t="array" aca="1" ref="D1849" ca="1">IFERROR(IF(INDIRECT("'"&amp;F1849&amp;"'!$C$5")&gt;0,DATE(YEAR(Dashboard!$AL$2),Dashboard!$AU$4,INDIRECT("'"&amp;F1849&amp;"'!$C$5")),""),"")</f>
        <v/>
      </c>
      <c r="G1849" s="38" t="str" cm="1">
        <f t="array" aca="1" ref="G1849" ca="1">IF(F1849="",
    "",
    IFERROR(
        IF(INDIRECT("'"&amp;F1849&amp;"'!$B$2")="Credit Limit",
            "Credit Accounts",
            IF(INDIRECT("'"&amp;F1849&amp;"'!$E$2")="Location",
                "Cash Accounts",
                IF(INDIRECT("'"&amp;F1849&amp;"'!$B$2")="Amount",
                    "Investments",
                    "Bill Accounts"
                )
            )
        ),
    "")
)</f>
        <v/>
      </c>
      <c r="I1849" s="46" t="str" cm="1">
        <f t="array" aca="1" ref="I1849" ca="1">IF(F1849&lt;&gt;"",IF(OR(G1849="Bill Accounts",G1849="Investments", G1849="Cash Accounts"),INDIRECT("'"&amp;F1849&amp;"'!$C$10"),INDIRECT("'"&amp;F1849&amp;"'!$C$8")),"")</f>
        <v/>
      </c>
      <c r="K1849" s="48">
        <f t="shared" si="87"/>
        <v>1855</v>
      </c>
      <c r="L1849" s="114" t="str" cm="1">
        <f t="array" aca="1" ref="L1849" ca="1">IF(F1849&lt;&gt;"",INDIRECT("'"&amp;F1849&amp;"'!$F$17"),"")</f>
        <v/>
      </c>
      <c r="M1849" s="116" t="str">
        <f t="shared" ca="1" si="85"/>
        <v/>
      </c>
      <c r="O1849" s="49" t="str">
        <f t="shared" ca="1" si="86"/>
        <v/>
      </c>
      <c r="P1849" s="38" t="str">
        <f>IF(E1849&lt;&gt;"",RANK(E1849,$E$3:$E$2298)+COUNTIF($E$3:E1849,E1849)-1,"")</f>
        <v/>
      </c>
    </row>
    <row r="1850" spans="4:16" x14ac:dyDescent="0.25">
      <c r="D1850" s="36" t="str" cm="1">
        <f t="array" aca="1" ref="D1850" ca="1">IFERROR(IF(INDIRECT("'"&amp;F1850&amp;"'!$C$5")&gt;0,DATE(YEAR(Dashboard!$AL$2),Dashboard!$AU$4,INDIRECT("'"&amp;F1850&amp;"'!$C$5")),""),"")</f>
        <v/>
      </c>
      <c r="G1850" s="38" t="str" cm="1">
        <f t="array" aca="1" ref="G1850" ca="1">IF(F1850="",
    "",
    IFERROR(
        IF(INDIRECT("'"&amp;F1850&amp;"'!$B$2")="Credit Limit",
            "Credit Accounts",
            IF(INDIRECT("'"&amp;F1850&amp;"'!$E$2")="Location",
                "Cash Accounts",
                IF(INDIRECT("'"&amp;F1850&amp;"'!$B$2")="Amount",
                    "Investments",
                    "Bill Accounts"
                )
            )
        ),
    "")
)</f>
        <v/>
      </c>
      <c r="I1850" s="46" t="str" cm="1">
        <f t="array" aca="1" ref="I1850" ca="1">IF(F1850&lt;&gt;"",IF(OR(G1850="Bill Accounts",G1850="Investments", G1850="Cash Accounts"),INDIRECT("'"&amp;F1850&amp;"'!$C$10"),INDIRECT("'"&amp;F1850&amp;"'!$C$8")),"")</f>
        <v/>
      </c>
      <c r="K1850" s="48">
        <f t="shared" si="87"/>
        <v>1856</v>
      </c>
      <c r="L1850" s="114" t="str" cm="1">
        <f t="array" aca="1" ref="L1850" ca="1">IF(F1850&lt;&gt;"",INDIRECT("'"&amp;F1850&amp;"'!$F$17"),"")</f>
        <v/>
      </c>
      <c r="M1850" s="116" t="str">
        <f t="shared" ca="1" si="85"/>
        <v/>
      </c>
      <c r="O1850" s="49" t="str">
        <f t="shared" ca="1" si="86"/>
        <v/>
      </c>
      <c r="P1850" s="38" t="str">
        <f>IF(E1850&lt;&gt;"",RANK(E1850,$E$3:$E$2298)+COUNTIF($E$3:E1850,E1850)-1,"")</f>
        <v/>
      </c>
    </row>
    <row r="1851" spans="4:16" x14ac:dyDescent="0.25">
      <c r="D1851" s="36" t="str" cm="1">
        <f t="array" aca="1" ref="D1851" ca="1">IFERROR(IF(INDIRECT("'"&amp;F1851&amp;"'!$C$5")&gt;0,DATE(YEAR(Dashboard!$AL$2),Dashboard!$AU$4,INDIRECT("'"&amp;F1851&amp;"'!$C$5")),""),"")</f>
        <v/>
      </c>
      <c r="G1851" s="38" t="str" cm="1">
        <f t="array" aca="1" ref="G1851" ca="1">IF(F1851="",
    "",
    IFERROR(
        IF(INDIRECT("'"&amp;F1851&amp;"'!$B$2")="Credit Limit",
            "Credit Accounts",
            IF(INDIRECT("'"&amp;F1851&amp;"'!$E$2")="Location",
                "Cash Accounts",
                IF(INDIRECT("'"&amp;F1851&amp;"'!$B$2")="Amount",
                    "Investments",
                    "Bill Accounts"
                )
            )
        ),
    "")
)</f>
        <v/>
      </c>
      <c r="I1851" s="46" t="str" cm="1">
        <f t="array" aca="1" ref="I1851" ca="1">IF(F1851&lt;&gt;"",IF(OR(G1851="Bill Accounts",G1851="Investments", G1851="Cash Accounts"),INDIRECT("'"&amp;F1851&amp;"'!$C$10"),INDIRECT("'"&amp;F1851&amp;"'!$C$8")),"")</f>
        <v/>
      </c>
      <c r="K1851" s="48">
        <f t="shared" si="87"/>
        <v>1857</v>
      </c>
      <c r="L1851" s="114" t="str" cm="1">
        <f t="array" aca="1" ref="L1851" ca="1">IF(F1851&lt;&gt;"",INDIRECT("'"&amp;F1851&amp;"'!$F$17"),"")</f>
        <v/>
      </c>
      <c r="M1851" s="116" t="str">
        <f t="shared" ca="1" si="85"/>
        <v/>
      </c>
      <c r="O1851" s="49" t="str">
        <f t="shared" ca="1" si="86"/>
        <v/>
      </c>
      <c r="P1851" s="38" t="str">
        <f>IF(E1851&lt;&gt;"",RANK(E1851,$E$3:$E$2298)+COUNTIF($E$3:E1851,E1851)-1,"")</f>
        <v/>
      </c>
    </row>
    <row r="1852" spans="4:16" x14ac:dyDescent="0.25">
      <c r="D1852" s="36" t="str" cm="1">
        <f t="array" aca="1" ref="D1852" ca="1">IFERROR(IF(INDIRECT("'"&amp;F1852&amp;"'!$C$5")&gt;0,DATE(YEAR(Dashboard!$AL$2),Dashboard!$AU$4,INDIRECT("'"&amp;F1852&amp;"'!$C$5")),""),"")</f>
        <v/>
      </c>
      <c r="G1852" s="38" t="str" cm="1">
        <f t="array" aca="1" ref="G1852" ca="1">IF(F1852="",
    "",
    IFERROR(
        IF(INDIRECT("'"&amp;F1852&amp;"'!$B$2")="Credit Limit",
            "Credit Accounts",
            IF(INDIRECT("'"&amp;F1852&amp;"'!$E$2")="Location",
                "Cash Accounts",
                IF(INDIRECT("'"&amp;F1852&amp;"'!$B$2")="Amount",
                    "Investments",
                    "Bill Accounts"
                )
            )
        ),
    "")
)</f>
        <v/>
      </c>
      <c r="I1852" s="46" t="str" cm="1">
        <f t="array" aca="1" ref="I1852" ca="1">IF(F1852&lt;&gt;"",IF(OR(G1852="Bill Accounts",G1852="Investments", G1852="Cash Accounts"),INDIRECT("'"&amp;F1852&amp;"'!$C$10"),INDIRECT("'"&amp;F1852&amp;"'!$C$8")),"")</f>
        <v/>
      </c>
      <c r="K1852" s="48">
        <f t="shared" si="87"/>
        <v>1858</v>
      </c>
      <c r="L1852" s="114" t="str" cm="1">
        <f t="array" aca="1" ref="L1852" ca="1">IF(F1852&lt;&gt;"",INDIRECT("'"&amp;F1852&amp;"'!$F$17"),"")</f>
        <v/>
      </c>
      <c r="M1852" s="116" t="str">
        <f t="shared" ca="1" si="85"/>
        <v/>
      </c>
      <c r="O1852" s="49" t="str">
        <f t="shared" ca="1" si="86"/>
        <v/>
      </c>
      <c r="P1852" s="38" t="str">
        <f>IF(E1852&lt;&gt;"",RANK(E1852,$E$3:$E$2298)+COUNTIF($E$3:E1852,E1852)-1,"")</f>
        <v/>
      </c>
    </row>
    <row r="1853" spans="4:16" x14ac:dyDescent="0.25">
      <c r="D1853" s="36" t="str" cm="1">
        <f t="array" aca="1" ref="D1853" ca="1">IFERROR(IF(INDIRECT("'"&amp;F1853&amp;"'!$C$5")&gt;0,DATE(YEAR(Dashboard!$AL$2),Dashboard!$AU$4,INDIRECT("'"&amp;F1853&amp;"'!$C$5")),""),"")</f>
        <v/>
      </c>
      <c r="G1853" s="38" t="str" cm="1">
        <f t="array" aca="1" ref="G1853" ca="1">IF(F1853="",
    "",
    IFERROR(
        IF(INDIRECT("'"&amp;F1853&amp;"'!$B$2")="Credit Limit",
            "Credit Accounts",
            IF(INDIRECT("'"&amp;F1853&amp;"'!$E$2")="Location",
                "Cash Accounts",
                IF(INDIRECT("'"&amp;F1853&amp;"'!$B$2")="Amount",
                    "Investments",
                    "Bill Accounts"
                )
            )
        ),
    "")
)</f>
        <v/>
      </c>
      <c r="I1853" s="46" t="str" cm="1">
        <f t="array" aca="1" ref="I1853" ca="1">IF(F1853&lt;&gt;"",IF(OR(G1853="Bill Accounts",G1853="Investments", G1853="Cash Accounts"),INDIRECT("'"&amp;F1853&amp;"'!$C$10"),INDIRECT("'"&amp;F1853&amp;"'!$C$8")),"")</f>
        <v/>
      </c>
      <c r="K1853" s="48">
        <f t="shared" si="87"/>
        <v>1859</v>
      </c>
      <c r="L1853" s="114" t="str" cm="1">
        <f t="array" aca="1" ref="L1853" ca="1">IF(F1853&lt;&gt;"",INDIRECT("'"&amp;F1853&amp;"'!$F$17"),"")</f>
        <v/>
      </c>
      <c r="M1853" s="116" t="str">
        <f t="shared" ca="1" si="85"/>
        <v/>
      </c>
      <c r="O1853" s="49" t="str">
        <f t="shared" ca="1" si="86"/>
        <v/>
      </c>
      <c r="P1853" s="38" t="str">
        <f>IF(E1853&lt;&gt;"",RANK(E1853,$E$3:$E$2298)+COUNTIF($E$3:E1853,E1853)-1,"")</f>
        <v/>
      </c>
    </row>
    <row r="1854" spans="4:16" x14ac:dyDescent="0.25">
      <c r="D1854" s="36" t="str" cm="1">
        <f t="array" aca="1" ref="D1854" ca="1">IFERROR(IF(INDIRECT("'"&amp;F1854&amp;"'!$C$5")&gt;0,DATE(YEAR(Dashboard!$AL$2),Dashboard!$AU$4,INDIRECT("'"&amp;F1854&amp;"'!$C$5")),""),"")</f>
        <v/>
      </c>
      <c r="G1854" s="38" t="str" cm="1">
        <f t="array" aca="1" ref="G1854" ca="1">IF(F1854="",
    "",
    IFERROR(
        IF(INDIRECT("'"&amp;F1854&amp;"'!$B$2")="Credit Limit",
            "Credit Accounts",
            IF(INDIRECT("'"&amp;F1854&amp;"'!$E$2")="Location",
                "Cash Accounts",
                IF(INDIRECT("'"&amp;F1854&amp;"'!$B$2")="Amount",
                    "Investments",
                    "Bill Accounts"
                )
            )
        ),
    "")
)</f>
        <v/>
      </c>
      <c r="I1854" s="46" t="str" cm="1">
        <f t="array" aca="1" ref="I1854" ca="1">IF(F1854&lt;&gt;"",IF(OR(G1854="Bill Accounts",G1854="Investments", G1854="Cash Accounts"),INDIRECT("'"&amp;F1854&amp;"'!$C$10"),INDIRECT("'"&amp;F1854&amp;"'!$C$8")),"")</f>
        <v/>
      </c>
      <c r="K1854" s="48">
        <f t="shared" si="87"/>
        <v>1860</v>
      </c>
      <c r="L1854" s="114" t="str" cm="1">
        <f t="array" aca="1" ref="L1854" ca="1">IF(F1854&lt;&gt;"",INDIRECT("'"&amp;F1854&amp;"'!$F$17"),"")</f>
        <v/>
      </c>
      <c r="M1854" s="116" t="str">
        <f t="shared" ca="1" si="85"/>
        <v/>
      </c>
      <c r="O1854" s="49" t="str">
        <f t="shared" ca="1" si="86"/>
        <v/>
      </c>
      <c r="P1854" s="38" t="str">
        <f>IF(E1854&lt;&gt;"",RANK(E1854,$E$3:$E$2298)+COUNTIF($E$3:E1854,E1854)-1,"")</f>
        <v/>
      </c>
    </row>
    <row r="1855" spans="4:16" x14ac:dyDescent="0.25">
      <c r="D1855" s="36" t="str" cm="1">
        <f t="array" aca="1" ref="D1855" ca="1">IFERROR(IF(INDIRECT("'"&amp;F1855&amp;"'!$C$5")&gt;0,DATE(YEAR(Dashboard!$AL$2),Dashboard!$AU$4,INDIRECT("'"&amp;F1855&amp;"'!$C$5")),""),"")</f>
        <v/>
      </c>
      <c r="G1855" s="38" t="str" cm="1">
        <f t="array" aca="1" ref="G1855" ca="1">IF(F1855="",
    "",
    IFERROR(
        IF(INDIRECT("'"&amp;F1855&amp;"'!$B$2")="Credit Limit",
            "Credit Accounts",
            IF(INDIRECT("'"&amp;F1855&amp;"'!$E$2")="Location",
                "Cash Accounts",
                IF(INDIRECT("'"&amp;F1855&amp;"'!$B$2")="Amount",
                    "Investments",
                    "Bill Accounts"
                )
            )
        ),
    "")
)</f>
        <v/>
      </c>
      <c r="I1855" s="46" t="str" cm="1">
        <f t="array" aca="1" ref="I1855" ca="1">IF(F1855&lt;&gt;"",IF(OR(G1855="Bill Accounts",G1855="Investments", G1855="Cash Accounts"),INDIRECT("'"&amp;F1855&amp;"'!$C$10"),INDIRECT("'"&amp;F1855&amp;"'!$C$8")),"")</f>
        <v/>
      </c>
      <c r="K1855" s="48">
        <f t="shared" si="87"/>
        <v>1861</v>
      </c>
      <c r="L1855" s="114" t="str" cm="1">
        <f t="array" aca="1" ref="L1855" ca="1">IF(F1855&lt;&gt;"",INDIRECT("'"&amp;F1855&amp;"'!$F$17"),"")</f>
        <v/>
      </c>
      <c r="M1855" s="116" t="str">
        <f t="shared" ca="1" si="85"/>
        <v/>
      </c>
      <c r="O1855" s="49" t="str">
        <f t="shared" ca="1" si="86"/>
        <v/>
      </c>
      <c r="P1855" s="38" t="str">
        <f>IF(E1855&lt;&gt;"",RANK(E1855,$E$3:$E$2298)+COUNTIF($E$3:E1855,E1855)-1,"")</f>
        <v/>
      </c>
    </row>
    <row r="1856" spans="4:16" x14ac:dyDescent="0.25">
      <c r="D1856" s="36" t="str" cm="1">
        <f t="array" aca="1" ref="D1856" ca="1">IFERROR(IF(INDIRECT("'"&amp;F1856&amp;"'!$C$5")&gt;0,DATE(YEAR(Dashboard!$AL$2),Dashboard!$AU$4,INDIRECT("'"&amp;F1856&amp;"'!$C$5")),""),"")</f>
        <v/>
      </c>
      <c r="G1856" s="38" t="str" cm="1">
        <f t="array" aca="1" ref="G1856" ca="1">IF(F1856="",
    "",
    IFERROR(
        IF(INDIRECT("'"&amp;F1856&amp;"'!$B$2")="Credit Limit",
            "Credit Accounts",
            IF(INDIRECT("'"&amp;F1856&amp;"'!$E$2")="Location",
                "Cash Accounts",
                IF(INDIRECT("'"&amp;F1856&amp;"'!$B$2")="Amount",
                    "Investments",
                    "Bill Accounts"
                )
            )
        ),
    "")
)</f>
        <v/>
      </c>
      <c r="I1856" s="46" t="str" cm="1">
        <f t="array" aca="1" ref="I1856" ca="1">IF(F1856&lt;&gt;"",IF(OR(G1856="Bill Accounts",G1856="Investments", G1856="Cash Accounts"),INDIRECT("'"&amp;F1856&amp;"'!$C$10"),INDIRECT("'"&amp;F1856&amp;"'!$C$8")),"")</f>
        <v/>
      </c>
      <c r="K1856" s="48">
        <f t="shared" si="87"/>
        <v>1862</v>
      </c>
      <c r="L1856" s="114" t="str" cm="1">
        <f t="array" aca="1" ref="L1856" ca="1">IF(F1856&lt;&gt;"",INDIRECT("'"&amp;F1856&amp;"'!$F$17"),"")</f>
        <v/>
      </c>
      <c r="M1856" s="116" t="str">
        <f t="shared" ca="1" si="85"/>
        <v/>
      </c>
      <c r="O1856" s="49" t="str">
        <f t="shared" ca="1" si="86"/>
        <v/>
      </c>
      <c r="P1856" s="38" t="str">
        <f>IF(E1856&lt;&gt;"",RANK(E1856,$E$3:$E$2298)+COUNTIF($E$3:E1856,E1856)-1,"")</f>
        <v/>
      </c>
    </row>
    <row r="1857" spans="4:16" x14ac:dyDescent="0.25">
      <c r="D1857" s="36" t="str" cm="1">
        <f t="array" aca="1" ref="D1857" ca="1">IFERROR(IF(INDIRECT("'"&amp;F1857&amp;"'!$C$5")&gt;0,DATE(YEAR(Dashboard!$AL$2),Dashboard!$AU$4,INDIRECT("'"&amp;F1857&amp;"'!$C$5")),""),"")</f>
        <v/>
      </c>
      <c r="G1857" s="38" t="str" cm="1">
        <f t="array" aca="1" ref="G1857" ca="1">IF(F1857="",
    "",
    IFERROR(
        IF(INDIRECT("'"&amp;F1857&amp;"'!$B$2")="Credit Limit",
            "Credit Accounts",
            IF(INDIRECT("'"&amp;F1857&amp;"'!$E$2")="Location",
                "Cash Accounts",
                IF(INDIRECT("'"&amp;F1857&amp;"'!$B$2")="Amount",
                    "Investments",
                    "Bill Accounts"
                )
            )
        ),
    "")
)</f>
        <v/>
      </c>
      <c r="I1857" s="46" t="str" cm="1">
        <f t="array" aca="1" ref="I1857" ca="1">IF(F1857&lt;&gt;"",IF(OR(G1857="Bill Accounts",G1857="Investments", G1857="Cash Accounts"),INDIRECT("'"&amp;F1857&amp;"'!$C$10"),INDIRECT("'"&amp;F1857&amp;"'!$C$8")),"")</f>
        <v/>
      </c>
      <c r="K1857" s="48">
        <f t="shared" si="87"/>
        <v>1863</v>
      </c>
      <c r="L1857" s="114" t="str" cm="1">
        <f t="array" aca="1" ref="L1857" ca="1">IF(F1857&lt;&gt;"",INDIRECT("'"&amp;F1857&amp;"'!$F$17"),"")</f>
        <v/>
      </c>
      <c r="M1857" s="116" t="str">
        <f t="shared" ca="1" si="85"/>
        <v/>
      </c>
      <c r="O1857" s="49" t="str">
        <f t="shared" ca="1" si="86"/>
        <v/>
      </c>
      <c r="P1857" s="38" t="str">
        <f>IF(E1857&lt;&gt;"",RANK(E1857,$E$3:$E$2298)+COUNTIF($E$3:E1857,E1857)-1,"")</f>
        <v/>
      </c>
    </row>
    <row r="1858" spans="4:16" x14ac:dyDescent="0.25">
      <c r="D1858" s="36" t="str" cm="1">
        <f t="array" aca="1" ref="D1858" ca="1">IFERROR(IF(INDIRECT("'"&amp;F1858&amp;"'!$C$5")&gt;0,DATE(YEAR(Dashboard!$AL$2),Dashboard!$AU$4,INDIRECT("'"&amp;F1858&amp;"'!$C$5")),""),"")</f>
        <v/>
      </c>
      <c r="G1858" s="38" t="str" cm="1">
        <f t="array" aca="1" ref="G1858" ca="1">IF(F1858="",
    "",
    IFERROR(
        IF(INDIRECT("'"&amp;F1858&amp;"'!$B$2")="Credit Limit",
            "Credit Accounts",
            IF(INDIRECT("'"&amp;F1858&amp;"'!$E$2")="Location",
                "Cash Accounts",
                IF(INDIRECT("'"&amp;F1858&amp;"'!$B$2")="Amount",
                    "Investments",
                    "Bill Accounts"
                )
            )
        ),
    "")
)</f>
        <v/>
      </c>
      <c r="I1858" s="46" t="str" cm="1">
        <f t="array" aca="1" ref="I1858" ca="1">IF(F1858&lt;&gt;"",IF(OR(G1858="Bill Accounts",G1858="Investments", G1858="Cash Accounts"),INDIRECT("'"&amp;F1858&amp;"'!$C$10"),INDIRECT("'"&amp;F1858&amp;"'!$C$8")),"")</f>
        <v/>
      </c>
      <c r="K1858" s="48">
        <f t="shared" si="87"/>
        <v>1864</v>
      </c>
      <c r="L1858" s="114" t="str" cm="1">
        <f t="array" aca="1" ref="L1858" ca="1">IF(F1858&lt;&gt;"",INDIRECT("'"&amp;F1858&amp;"'!$F$17"),"")</f>
        <v/>
      </c>
      <c r="M1858" s="116" t="str">
        <f t="shared" ca="1" si="85"/>
        <v/>
      </c>
      <c r="O1858" s="49" t="str">
        <f t="shared" ca="1" si="86"/>
        <v/>
      </c>
      <c r="P1858" s="38" t="str">
        <f>IF(E1858&lt;&gt;"",RANK(E1858,$E$3:$E$2298)+COUNTIF($E$3:E1858,E1858)-1,"")</f>
        <v/>
      </c>
    </row>
    <row r="1859" spans="4:16" x14ac:dyDescent="0.25">
      <c r="D1859" s="36" t="str" cm="1">
        <f t="array" aca="1" ref="D1859" ca="1">IFERROR(IF(INDIRECT("'"&amp;F1859&amp;"'!$C$5")&gt;0,DATE(YEAR(Dashboard!$AL$2),Dashboard!$AU$4,INDIRECT("'"&amp;F1859&amp;"'!$C$5")),""),"")</f>
        <v/>
      </c>
      <c r="G1859" s="38" t="str" cm="1">
        <f t="array" aca="1" ref="G1859" ca="1">IF(F1859="",
    "",
    IFERROR(
        IF(INDIRECT("'"&amp;F1859&amp;"'!$B$2")="Credit Limit",
            "Credit Accounts",
            IF(INDIRECT("'"&amp;F1859&amp;"'!$E$2")="Location",
                "Cash Accounts",
                IF(INDIRECT("'"&amp;F1859&amp;"'!$B$2")="Amount",
                    "Investments",
                    "Bill Accounts"
                )
            )
        ),
    "")
)</f>
        <v/>
      </c>
      <c r="I1859" s="46" t="str" cm="1">
        <f t="array" aca="1" ref="I1859" ca="1">IF(F1859&lt;&gt;"",IF(OR(G1859="Bill Accounts",G1859="Investments", G1859="Cash Accounts"),INDIRECT("'"&amp;F1859&amp;"'!$C$10"),INDIRECT("'"&amp;F1859&amp;"'!$C$8")),"")</f>
        <v/>
      </c>
      <c r="K1859" s="48">
        <f t="shared" si="87"/>
        <v>1865</v>
      </c>
      <c r="L1859" s="114" t="str" cm="1">
        <f t="array" aca="1" ref="L1859" ca="1">IF(F1859&lt;&gt;"",INDIRECT("'"&amp;F1859&amp;"'!$F$17"),"")</f>
        <v/>
      </c>
      <c r="M1859" s="116" t="str">
        <f t="shared" ca="1" si="85"/>
        <v/>
      </c>
      <c r="O1859" s="49" t="str">
        <f t="shared" ca="1" si="86"/>
        <v/>
      </c>
      <c r="P1859" s="38" t="str">
        <f>IF(E1859&lt;&gt;"",RANK(E1859,$E$3:$E$2298)+COUNTIF($E$3:E1859,E1859)-1,"")</f>
        <v/>
      </c>
    </row>
    <row r="1860" spans="4:16" x14ac:dyDescent="0.25">
      <c r="D1860" s="36" t="str" cm="1">
        <f t="array" aca="1" ref="D1860" ca="1">IFERROR(IF(INDIRECT("'"&amp;F1860&amp;"'!$C$5")&gt;0,DATE(YEAR(Dashboard!$AL$2),Dashboard!$AU$4,INDIRECT("'"&amp;F1860&amp;"'!$C$5")),""),"")</f>
        <v/>
      </c>
      <c r="G1860" s="38" t="str" cm="1">
        <f t="array" aca="1" ref="G1860" ca="1">IF(F1860="",
    "",
    IFERROR(
        IF(INDIRECT("'"&amp;F1860&amp;"'!$B$2")="Credit Limit",
            "Credit Accounts",
            IF(INDIRECT("'"&amp;F1860&amp;"'!$E$2")="Location",
                "Cash Accounts",
                IF(INDIRECT("'"&amp;F1860&amp;"'!$B$2")="Amount",
                    "Investments",
                    "Bill Accounts"
                )
            )
        ),
    "")
)</f>
        <v/>
      </c>
      <c r="I1860" s="46" t="str" cm="1">
        <f t="array" aca="1" ref="I1860" ca="1">IF(F1860&lt;&gt;"",IF(OR(G1860="Bill Accounts",G1860="Investments", G1860="Cash Accounts"),INDIRECT("'"&amp;F1860&amp;"'!$C$10"),INDIRECT("'"&amp;F1860&amp;"'!$C$8")),"")</f>
        <v/>
      </c>
      <c r="K1860" s="48">
        <f t="shared" si="87"/>
        <v>1866</v>
      </c>
      <c r="L1860" s="114" t="str" cm="1">
        <f t="array" aca="1" ref="L1860" ca="1">IF(F1860&lt;&gt;"",INDIRECT("'"&amp;F1860&amp;"'!$F$17"),"")</f>
        <v/>
      </c>
      <c r="M1860" s="116" t="str">
        <f t="shared" ref="M1860:M1923" ca="1" si="88">IF(G1860="Credit Accounts",EDATE(TODAY(),INDIRECT("'"&amp;F1860&amp;"'!$C$14")),"")</f>
        <v/>
      </c>
      <c r="O1860" s="49" t="str">
        <f t="shared" ref="O1860:O1923" ca="1" si="89">IF(D1860&lt;&gt;"",DAY(D1860),"")</f>
        <v/>
      </c>
      <c r="P1860" s="38" t="str">
        <f>IF(E1860&lt;&gt;"",RANK(E1860,$E$3:$E$2298)+COUNTIF($E$3:E1860,E1860)-1,"")</f>
        <v/>
      </c>
    </row>
    <row r="1861" spans="4:16" x14ac:dyDescent="0.25">
      <c r="D1861" s="36" t="str" cm="1">
        <f t="array" aca="1" ref="D1861" ca="1">IFERROR(IF(INDIRECT("'"&amp;F1861&amp;"'!$C$5")&gt;0,DATE(YEAR(Dashboard!$AL$2),Dashboard!$AU$4,INDIRECT("'"&amp;F1861&amp;"'!$C$5")),""),"")</f>
        <v/>
      </c>
      <c r="G1861" s="38" t="str" cm="1">
        <f t="array" aca="1" ref="G1861" ca="1">IF(F1861="",
    "",
    IFERROR(
        IF(INDIRECT("'"&amp;F1861&amp;"'!$B$2")="Credit Limit",
            "Credit Accounts",
            IF(INDIRECT("'"&amp;F1861&amp;"'!$E$2")="Location",
                "Cash Accounts",
                IF(INDIRECT("'"&amp;F1861&amp;"'!$B$2")="Amount",
                    "Investments",
                    "Bill Accounts"
                )
            )
        ),
    "")
)</f>
        <v/>
      </c>
      <c r="I1861" s="46" t="str" cm="1">
        <f t="array" aca="1" ref="I1861" ca="1">IF(F1861&lt;&gt;"",IF(OR(G1861="Bill Accounts",G1861="Investments", G1861="Cash Accounts"),INDIRECT("'"&amp;F1861&amp;"'!$C$10"),INDIRECT("'"&amp;F1861&amp;"'!$C$8")),"")</f>
        <v/>
      </c>
      <c r="K1861" s="48">
        <f t="shared" si="87"/>
        <v>1867</v>
      </c>
      <c r="L1861" s="114" t="str" cm="1">
        <f t="array" aca="1" ref="L1861" ca="1">IF(F1861&lt;&gt;"",INDIRECT("'"&amp;F1861&amp;"'!$F$17"),"")</f>
        <v/>
      </c>
      <c r="M1861" s="116" t="str">
        <f t="shared" ca="1" si="88"/>
        <v/>
      </c>
      <c r="O1861" s="49" t="str">
        <f t="shared" ca="1" si="89"/>
        <v/>
      </c>
      <c r="P1861" s="38" t="str">
        <f>IF(E1861&lt;&gt;"",RANK(E1861,$E$3:$E$2298)+COUNTIF($E$3:E1861,E1861)-1,"")</f>
        <v/>
      </c>
    </row>
    <row r="1862" spans="4:16" x14ac:dyDescent="0.25">
      <c r="D1862" s="36" t="str" cm="1">
        <f t="array" aca="1" ref="D1862" ca="1">IFERROR(IF(INDIRECT("'"&amp;F1862&amp;"'!$C$5")&gt;0,DATE(YEAR(Dashboard!$AL$2),Dashboard!$AU$4,INDIRECT("'"&amp;F1862&amp;"'!$C$5")),""),"")</f>
        <v/>
      </c>
      <c r="G1862" s="38" t="str" cm="1">
        <f t="array" aca="1" ref="G1862" ca="1">IF(F1862="",
    "",
    IFERROR(
        IF(INDIRECT("'"&amp;F1862&amp;"'!$B$2")="Credit Limit",
            "Credit Accounts",
            IF(INDIRECT("'"&amp;F1862&amp;"'!$E$2")="Location",
                "Cash Accounts",
                IF(INDIRECT("'"&amp;F1862&amp;"'!$B$2")="Amount",
                    "Investments",
                    "Bill Accounts"
                )
            )
        ),
    "")
)</f>
        <v/>
      </c>
      <c r="I1862" s="46" t="str" cm="1">
        <f t="array" aca="1" ref="I1862" ca="1">IF(F1862&lt;&gt;"",IF(OR(G1862="Bill Accounts",G1862="Investments", G1862="Cash Accounts"),INDIRECT("'"&amp;F1862&amp;"'!$C$10"),INDIRECT("'"&amp;F1862&amp;"'!$C$8")),"")</f>
        <v/>
      </c>
      <c r="K1862" s="48">
        <f t="shared" si="87"/>
        <v>1868</v>
      </c>
      <c r="L1862" s="114" t="str" cm="1">
        <f t="array" aca="1" ref="L1862" ca="1">IF(F1862&lt;&gt;"",INDIRECT("'"&amp;F1862&amp;"'!$F$17"),"")</f>
        <v/>
      </c>
      <c r="M1862" s="116" t="str">
        <f t="shared" ca="1" si="88"/>
        <v/>
      </c>
      <c r="O1862" s="49" t="str">
        <f t="shared" ca="1" si="89"/>
        <v/>
      </c>
      <c r="P1862" s="38" t="str">
        <f>IF(E1862&lt;&gt;"",RANK(E1862,$E$3:$E$2298)+COUNTIF($E$3:E1862,E1862)-1,"")</f>
        <v/>
      </c>
    </row>
    <row r="1863" spans="4:16" x14ac:dyDescent="0.25">
      <c r="D1863" s="36" t="str" cm="1">
        <f t="array" aca="1" ref="D1863" ca="1">IFERROR(IF(INDIRECT("'"&amp;F1863&amp;"'!$C$5")&gt;0,DATE(YEAR(Dashboard!$AL$2),Dashboard!$AU$4,INDIRECT("'"&amp;F1863&amp;"'!$C$5")),""),"")</f>
        <v/>
      </c>
      <c r="G1863" s="38" t="str" cm="1">
        <f t="array" aca="1" ref="G1863" ca="1">IF(F1863="",
    "",
    IFERROR(
        IF(INDIRECT("'"&amp;F1863&amp;"'!$B$2")="Credit Limit",
            "Credit Accounts",
            IF(INDIRECT("'"&amp;F1863&amp;"'!$E$2")="Location",
                "Cash Accounts",
                IF(INDIRECT("'"&amp;F1863&amp;"'!$B$2")="Amount",
                    "Investments",
                    "Bill Accounts"
                )
            )
        ),
    "")
)</f>
        <v/>
      </c>
      <c r="I1863" s="46" t="str" cm="1">
        <f t="array" aca="1" ref="I1863" ca="1">IF(F1863&lt;&gt;"",IF(OR(G1863="Bill Accounts",G1863="Investments", G1863="Cash Accounts"),INDIRECT("'"&amp;F1863&amp;"'!$C$10"),INDIRECT("'"&amp;F1863&amp;"'!$C$8")),"")</f>
        <v/>
      </c>
      <c r="K1863" s="48">
        <f t="shared" si="87"/>
        <v>1869</v>
      </c>
      <c r="L1863" s="114" t="str" cm="1">
        <f t="array" aca="1" ref="L1863" ca="1">IF(F1863&lt;&gt;"",INDIRECT("'"&amp;F1863&amp;"'!$F$17"),"")</f>
        <v/>
      </c>
      <c r="M1863" s="116" t="str">
        <f t="shared" ca="1" si="88"/>
        <v/>
      </c>
      <c r="O1863" s="49" t="str">
        <f t="shared" ca="1" si="89"/>
        <v/>
      </c>
      <c r="P1863" s="38" t="str">
        <f>IF(E1863&lt;&gt;"",RANK(E1863,$E$3:$E$2298)+COUNTIF($E$3:E1863,E1863)-1,"")</f>
        <v/>
      </c>
    </row>
    <row r="1864" spans="4:16" x14ac:dyDescent="0.25">
      <c r="D1864" s="36" t="str" cm="1">
        <f t="array" aca="1" ref="D1864" ca="1">IFERROR(IF(INDIRECT("'"&amp;F1864&amp;"'!$C$5")&gt;0,DATE(YEAR(Dashboard!$AL$2),Dashboard!$AU$4,INDIRECT("'"&amp;F1864&amp;"'!$C$5")),""),"")</f>
        <v/>
      </c>
      <c r="G1864" s="38" t="str" cm="1">
        <f t="array" aca="1" ref="G1864" ca="1">IF(F1864="",
    "",
    IFERROR(
        IF(INDIRECT("'"&amp;F1864&amp;"'!$B$2")="Credit Limit",
            "Credit Accounts",
            IF(INDIRECT("'"&amp;F1864&amp;"'!$E$2")="Location",
                "Cash Accounts",
                IF(INDIRECT("'"&amp;F1864&amp;"'!$B$2")="Amount",
                    "Investments",
                    "Bill Accounts"
                )
            )
        ),
    "")
)</f>
        <v/>
      </c>
      <c r="I1864" s="46" t="str" cm="1">
        <f t="array" aca="1" ref="I1864" ca="1">IF(F1864&lt;&gt;"",IF(OR(G1864="Bill Accounts",G1864="Investments", G1864="Cash Accounts"),INDIRECT("'"&amp;F1864&amp;"'!$C$10"),INDIRECT("'"&amp;F1864&amp;"'!$C$8")),"")</f>
        <v/>
      </c>
      <c r="K1864" s="48">
        <f t="shared" ref="K1864:K1927" si="90">SUM(K1863+1)</f>
        <v>1870</v>
      </c>
      <c r="L1864" s="114" t="str" cm="1">
        <f t="array" aca="1" ref="L1864" ca="1">IF(F1864&lt;&gt;"",INDIRECT("'"&amp;F1864&amp;"'!$F$17"),"")</f>
        <v/>
      </c>
      <c r="M1864" s="116" t="str">
        <f t="shared" ca="1" si="88"/>
        <v/>
      </c>
      <c r="O1864" s="49" t="str">
        <f t="shared" ca="1" si="89"/>
        <v/>
      </c>
      <c r="P1864" s="38" t="str">
        <f>IF(E1864&lt;&gt;"",RANK(E1864,$E$3:$E$2298)+COUNTIF($E$3:E1864,E1864)-1,"")</f>
        <v/>
      </c>
    </row>
    <row r="1865" spans="4:16" x14ac:dyDescent="0.25">
      <c r="D1865" s="36" t="str" cm="1">
        <f t="array" aca="1" ref="D1865" ca="1">IFERROR(IF(INDIRECT("'"&amp;F1865&amp;"'!$C$5")&gt;0,DATE(YEAR(Dashboard!$AL$2),Dashboard!$AU$4,INDIRECT("'"&amp;F1865&amp;"'!$C$5")),""),"")</f>
        <v/>
      </c>
      <c r="G1865" s="38" t="str" cm="1">
        <f t="array" aca="1" ref="G1865" ca="1">IF(F1865="",
    "",
    IFERROR(
        IF(INDIRECT("'"&amp;F1865&amp;"'!$B$2")="Credit Limit",
            "Credit Accounts",
            IF(INDIRECT("'"&amp;F1865&amp;"'!$E$2")="Location",
                "Cash Accounts",
                IF(INDIRECT("'"&amp;F1865&amp;"'!$B$2")="Amount",
                    "Investments",
                    "Bill Accounts"
                )
            )
        ),
    "")
)</f>
        <v/>
      </c>
      <c r="I1865" s="46" t="str" cm="1">
        <f t="array" aca="1" ref="I1865" ca="1">IF(F1865&lt;&gt;"",IF(OR(G1865="Bill Accounts",G1865="Investments", G1865="Cash Accounts"),INDIRECT("'"&amp;F1865&amp;"'!$C$10"),INDIRECT("'"&amp;F1865&amp;"'!$C$8")),"")</f>
        <v/>
      </c>
      <c r="K1865" s="48">
        <f t="shared" si="90"/>
        <v>1871</v>
      </c>
      <c r="L1865" s="114" t="str" cm="1">
        <f t="array" aca="1" ref="L1865" ca="1">IF(F1865&lt;&gt;"",INDIRECT("'"&amp;F1865&amp;"'!$F$17"),"")</f>
        <v/>
      </c>
      <c r="M1865" s="116" t="str">
        <f t="shared" ca="1" si="88"/>
        <v/>
      </c>
      <c r="O1865" s="49" t="str">
        <f t="shared" ca="1" si="89"/>
        <v/>
      </c>
      <c r="P1865" s="38" t="str">
        <f>IF(E1865&lt;&gt;"",RANK(E1865,$E$3:$E$2298)+COUNTIF($E$3:E1865,E1865)-1,"")</f>
        <v/>
      </c>
    </row>
    <row r="1866" spans="4:16" x14ac:dyDescent="0.25">
      <c r="D1866" s="36" t="str" cm="1">
        <f t="array" aca="1" ref="D1866" ca="1">IFERROR(IF(INDIRECT("'"&amp;F1866&amp;"'!$C$5")&gt;0,DATE(YEAR(Dashboard!$AL$2),Dashboard!$AU$4,INDIRECT("'"&amp;F1866&amp;"'!$C$5")),""),"")</f>
        <v/>
      </c>
      <c r="G1866" s="38" t="str" cm="1">
        <f t="array" aca="1" ref="G1866" ca="1">IF(F1866="",
    "",
    IFERROR(
        IF(INDIRECT("'"&amp;F1866&amp;"'!$B$2")="Credit Limit",
            "Credit Accounts",
            IF(INDIRECT("'"&amp;F1866&amp;"'!$E$2")="Location",
                "Cash Accounts",
                IF(INDIRECT("'"&amp;F1866&amp;"'!$B$2")="Amount",
                    "Investments",
                    "Bill Accounts"
                )
            )
        ),
    "")
)</f>
        <v/>
      </c>
      <c r="I1866" s="46" t="str" cm="1">
        <f t="array" aca="1" ref="I1866" ca="1">IF(F1866&lt;&gt;"",IF(OR(G1866="Bill Accounts",G1866="Investments", G1866="Cash Accounts"),INDIRECT("'"&amp;F1866&amp;"'!$C$10"),INDIRECT("'"&amp;F1866&amp;"'!$C$8")),"")</f>
        <v/>
      </c>
      <c r="K1866" s="48">
        <f t="shared" si="90"/>
        <v>1872</v>
      </c>
      <c r="L1866" s="114" t="str" cm="1">
        <f t="array" aca="1" ref="L1866" ca="1">IF(F1866&lt;&gt;"",INDIRECT("'"&amp;F1866&amp;"'!$F$17"),"")</f>
        <v/>
      </c>
      <c r="M1866" s="116" t="str">
        <f t="shared" ca="1" si="88"/>
        <v/>
      </c>
      <c r="O1866" s="49" t="str">
        <f t="shared" ca="1" si="89"/>
        <v/>
      </c>
      <c r="P1866" s="38" t="str">
        <f>IF(E1866&lt;&gt;"",RANK(E1866,$E$3:$E$2298)+COUNTIF($E$3:E1866,E1866)-1,"")</f>
        <v/>
      </c>
    </row>
    <row r="1867" spans="4:16" x14ac:dyDescent="0.25">
      <c r="D1867" s="36" t="str" cm="1">
        <f t="array" aca="1" ref="D1867" ca="1">IFERROR(IF(INDIRECT("'"&amp;F1867&amp;"'!$C$5")&gt;0,DATE(YEAR(Dashboard!$AL$2),Dashboard!$AU$4,INDIRECT("'"&amp;F1867&amp;"'!$C$5")),""),"")</f>
        <v/>
      </c>
      <c r="G1867" s="38" t="str" cm="1">
        <f t="array" aca="1" ref="G1867" ca="1">IF(F1867="",
    "",
    IFERROR(
        IF(INDIRECT("'"&amp;F1867&amp;"'!$B$2")="Credit Limit",
            "Credit Accounts",
            IF(INDIRECT("'"&amp;F1867&amp;"'!$E$2")="Location",
                "Cash Accounts",
                IF(INDIRECT("'"&amp;F1867&amp;"'!$B$2")="Amount",
                    "Investments",
                    "Bill Accounts"
                )
            )
        ),
    "")
)</f>
        <v/>
      </c>
      <c r="I1867" s="46" t="str" cm="1">
        <f t="array" aca="1" ref="I1867" ca="1">IF(F1867&lt;&gt;"",IF(OR(G1867="Bill Accounts",G1867="Investments", G1867="Cash Accounts"),INDIRECT("'"&amp;F1867&amp;"'!$C$10"),INDIRECT("'"&amp;F1867&amp;"'!$C$8")),"")</f>
        <v/>
      </c>
      <c r="K1867" s="48">
        <f t="shared" si="90"/>
        <v>1873</v>
      </c>
      <c r="L1867" s="114" t="str" cm="1">
        <f t="array" aca="1" ref="L1867" ca="1">IF(F1867&lt;&gt;"",INDIRECT("'"&amp;F1867&amp;"'!$F$17"),"")</f>
        <v/>
      </c>
      <c r="M1867" s="116" t="str">
        <f t="shared" ca="1" si="88"/>
        <v/>
      </c>
      <c r="O1867" s="49" t="str">
        <f t="shared" ca="1" si="89"/>
        <v/>
      </c>
      <c r="P1867" s="38" t="str">
        <f>IF(E1867&lt;&gt;"",RANK(E1867,$E$3:$E$2298)+COUNTIF($E$3:E1867,E1867)-1,"")</f>
        <v/>
      </c>
    </row>
    <row r="1868" spans="4:16" x14ac:dyDescent="0.25">
      <c r="D1868" s="36" t="str" cm="1">
        <f t="array" aca="1" ref="D1868" ca="1">IFERROR(IF(INDIRECT("'"&amp;F1868&amp;"'!$C$5")&gt;0,DATE(YEAR(Dashboard!$AL$2),Dashboard!$AU$4,INDIRECT("'"&amp;F1868&amp;"'!$C$5")),""),"")</f>
        <v/>
      </c>
      <c r="G1868" s="38" t="str" cm="1">
        <f t="array" aca="1" ref="G1868" ca="1">IF(F1868="",
    "",
    IFERROR(
        IF(INDIRECT("'"&amp;F1868&amp;"'!$B$2")="Credit Limit",
            "Credit Accounts",
            IF(INDIRECT("'"&amp;F1868&amp;"'!$E$2")="Location",
                "Cash Accounts",
                IF(INDIRECT("'"&amp;F1868&amp;"'!$B$2")="Amount",
                    "Investments",
                    "Bill Accounts"
                )
            )
        ),
    "")
)</f>
        <v/>
      </c>
      <c r="I1868" s="46" t="str" cm="1">
        <f t="array" aca="1" ref="I1868" ca="1">IF(F1868&lt;&gt;"",IF(OR(G1868="Bill Accounts",G1868="Investments", G1868="Cash Accounts"),INDIRECT("'"&amp;F1868&amp;"'!$C$10"),INDIRECT("'"&amp;F1868&amp;"'!$C$8")),"")</f>
        <v/>
      </c>
      <c r="K1868" s="48">
        <f t="shared" si="90"/>
        <v>1874</v>
      </c>
      <c r="L1868" s="114" t="str" cm="1">
        <f t="array" aca="1" ref="L1868" ca="1">IF(F1868&lt;&gt;"",INDIRECT("'"&amp;F1868&amp;"'!$F$17"),"")</f>
        <v/>
      </c>
      <c r="M1868" s="116" t="str">
        <f t="shared" ca="1" si="88"/>
        <v/>
      </c>
      <c r="O1868" s="49" t="str">
        <f t="shared" ca="1" si="89"/>
        <v/>
      </c>
      <c r="P1868" s="38" t="str">
        <f>IF(E1868&lt;&gt;"",RANK(E1868,$E$3:$E$2298)+COUNTIF($E$3:E1868,E1868)-1,"")</f>
        <v/>
      </c>
    </row>
    <row r="1869" spans="4:16" x14ac:dyDescent="0.25">
      <c r="D1869" s="36" t="str" cm="1">
        <f t="array" aca="1" ref="D1869" ca="1">IFERROR(IF(INDIRECT("'"&amp;F1869&amp;"'!$C$5")&gt;0,DATE(YEAR(Dashboard!$AL$2),Dashboard!$AU$4,INDIRECT("'"&amp;F1869&amp;"'!$C$5")),""),"")</f>
        <v/>
      </c>
      <c r="G1869" s="38" t="str" cm="1">
        <f t="array" aca="1" ref="G1869" ca="1">IF(F1869="",
    "",
    IFERROR(
        IF(INDIRECT("'"&amp;F1869&amp;"'!$B$2")="Credit Limit",
            "Credit Accounts",
            IF(INDIRECT("'"&amp;F1869&amp;"'!$E$2")="Location",
                "Cash Accounts",
                IF(INDIRECT("'"&amp;F1869&amp;"'!$B$2")="Amount",
                    "Investments",
                    "Bill Accounts"
                )
            )
        ),
    "")
)</f>
        <v/>
      </c>
      <c r="I1869" s="46" t="str" cm="1">
        <f t="array" aca="1" ref="I1869" ca="1">IF(F1869&lt;&gt;"",IF(OR(G1869="Bill Accounts",G1869="Investments", G1869="Cash Accounts"),INDIRECT("'"&amp;F1869&amp;"'!$C$10"),INDIRECT("'"&amp;F1869&amp;"'!$C$8")),"")</f>
        <v/>
      </c>
      <c r="K1869" s="48">
        <f t="shared" si="90"/>
        <v>1875</v>
      </c>
      <c r="L1869" s="114" t="str" cm="1">
        <f t="array" aca="1" ref="L1869" ca="1">IF(F1869&lt;&gt;"",INDIRECT("'"&amp;F1869&amp;"'!$F$17"),"")</f>
        <v/>
      </c>
      <c r="M1869" s="116" t="str">
        <f t="shared" ca="1" si="88"/>
        <v/>
      </c>
      <c r="O1869" s="49" t="str">
        <f t="shared" ca="1" si="89"/>
        <v/>
      </c>
      <c r="P1869" s="38" t="str">
        <f>IF(E1869&lt;&gt;"",RANK(E1869,$E$3:$E$2298)+COUNTIF($E$3:E1869,E1869)-1,"")</f>
        <v/>
      </c>
    </row>
    <row r="1870" spans="4:16" x14ac:dyDescent="0.25">
      <c r="D1870" s="36" t="str" cm="1">
        <f t="array" aca="1" ref="D1870" ca="1">IFERROR(IF(INDIRECT("'"&amp;F1870&amp;"'!$C$5")&gt;0,DATE(YEAR(Dashboard!$AL$2),Dashboard!$AU$4,INDIRECT("'"&amp;F1870&amp;"'!$C$5")),""),"")</f>
        <v/>
      </c>
      <c r="G1870" s="38" t="str" cm="1">
        <f t="array" aca="1" ref="G1870" ca="1">IF(F1870="",
    "",
    IFERROR(
        IF(INDIRECT("'"&amp;F1870&amp;"'!$B$2")="Credit Limit",
            "Credit Accounts",
            IF(INDIRECT("'"&amp;F1870&amp;"'!$E$2")="Location",
                "Cash Accounts",
                IF(INDIRECT("'"&amp;F1870&amp;"'!$B$2")="Amount",
                    "Investments",
                    "Bill Accounts"
                )
            )
        ),
    "")
)</f>
        <v/>
      </c>
      <c r="I1870" s="46" t="str" cm="1">
        <f t="array" aca="1" ref="I1870" ca="1">IF(F1870&lt;&gt;"",IF(OR(G1870="Bill Accounts",G1870="Investments", G1870="Cash Accounts"),INDIRECT("'"&amp;F1870&amp;"'!$C$10"),INDIRECT("'"&amp;F1870&amp;"'!$C$8")),"")</f>
        <v/>
      </c>
      <c r="K1870" s="48">
        <f t="shared" si="90"/>
        <v>1876</v>
      </c>
      <c r="L1870" s="114" t="str" cm="1">
        <f t="array" aca="1" ref="L1870" ca="1">IF(F1870&lt;&gt;"",INDIRECT("'"&amp;F1870&amp;"'!$F$17"),"")</f>
        <v/>
      </c>
      <c r="M1870" s="116" t="str">
        <f t="shared" ca="1" si="88"/>
        <v/>
      </c>
      <c r="O1870" s="49" t="str">
        <f t="shared" ca="1" si="89"/>
        <v/>
      </c>
      <c r="P1870" s="38" t="str">
        <f>IF(E1870&lt;&gt;"",RANK(E1870,$E$3:$E$2298)+COUNTIF($E$3:E1870,E1870)-1,"")</f>
        <v/>
      </c>
    </row>
    <row r="1871" spans="4:16" x14ac:dyDescent="0.25">
      <c r="D1871" s="36" t="str" cm="1">
        <f t="array" aca="1" ref="D1871" ca="1">IFERROR(IF(INDIRECT("'"&amp;F1871&amp;"'!$C$5")&gt;0,DATE(YEAR(Dashboard!$AL$2),Dashboard!$AU$4,INDIRECT("'"&amp;F1871&amp;"'!$C$5")),""),"")</f>
        <v/>
      </c>
      <c r="G1871" s="38" t="str" cm="1">
        <f t="array" aca="1" ref="G1871" ca="1">IF(F1871="",
    "",
    IFERROR(
        IF(INDIRECT("'"&amp;F1871&amp;"'!$B$2")="Credit Limit",
            "Credit Accounts",
            IF(INDIRECT("'"&amp;F1871&amp;"'!$E$2")="Location",
                "Cash Accounts",
                IF(INDIRECT("'"&amp;F1871&amp;"'!$B$2")="Amount",
                    "Investments",
                    "Bill Accounts"
                )
            )
        ),
    "")
)</f>
        <v/>
      </c>
      <c r="I1871" s="46" t="str" cm="1">
        <f t="array" aca="1" ref="I1871" ca="1">IF(F1871&lt;&gt;"",IF(OR(G1871="Bill Accounts",G1871="Investments", G1871="Cash Accounts"),INDIRECT("'"&amp;F1871&amp;"'!$C$10"),INDIRECT("'"&amp;F1871&amp;"'!$C$8")),"")</f>
        <v/>
      </c>
      <c r="K1871" s="48">
        <f t="shared" si="90"/>
        <v>1877</v>
      </c>
      <c r="L1871" s="114" t="str" cm="1">
        <f t="array" aca="1" ref="L1871" ca="1">IF(F1871&lt;&gt;"",INDIRECT("'"&amp;F1871&amp;"'!$F$17"),"")</f>
        <v/>
      </c>
      <c r="M1871" s="116" t="str">
        <f t="shared" ca="1" si="88"/>
        <v/>
      </c>
      <c r="O1871" s="49" t="str">
        <f t="shared" ca="1" si="89"/>
        <v/>
      </c>
      <c r="P1871" s="38" t="str">
        <f>IF(E1871&lt;&gt;"",RANK(E1871,$E$3:$E$2298)+COUNTIF($E$3:E1871,E1871)-1,"")</f>
        <v/>
      </c>
    </row>
    <row r="1872" spans="4:16" x14ac:dyDescent="0.25">
      <c r="D1872" s="36" t="str" cm="1">
        <f t="array" aca="1" ref="D1872" ca="1">IFERROR(IF(INDIRECT("'"&amp;F1872&amp;"'!$C$5")&gt;0,DATE(YEAR(Dashboard!$AL$2),Dashboard!$AU$4,INDIRECT("'"&amp;F1872&amp;"'!$C$5")),""),"")</f>
        <v/>
      </c>
      <c r="G1872" s="38" t="str" cm="1">
        <f t="array" aca="1" ref="G1872" ca="1">IF(F1872="",
    "",
    IFERROR(
        IF(INDIRECT("'"&amp;F1872&amp;"'!$B$2")="Credit Limit",
            "Credit Accounts",
            IF(INDIRECT("'"&amp;F1872&amp;"'!$E$2")="Location",
                "Cash Accounts",
                IF(INDIRECT("'"&amp;F1872&amp;"'!$B$2")="Amount",
                    "Investments",
                    "Bill Accounts"
                )
            )
        ),
    "")
)</f>
        <v/>
      </c>
      <c r="I1872" s="46" t="str" cm="1">
        <f t="array" aca="1" ref="I1872" ca="1">IF(F1872&lt;&gt;"",IF(OR(G1872="Bill Accounts",G1872="Investments", G1872="Cash Accounts"),INDIRECT("'"&amp;F1872&amp;"'!$C$10"),INDIRECT("'"&amp;F1872&amp;"'!$C$8")),"")</f>
        <v/>
      </c>
      <c r="K1872" s="48">
        <f t="shared" si="90"/>
        <v>1878</v>
      </c>
      <c r="L1872" s="114" t="str" cm="1">
        <f t="array" aca="1" ref="L1872" ca="1">IF(F1872&lt;&gt;"",INDIRECT("'"&amp;F1872&amp;"'!$F$17"),"")</f>
        <v/>
      </c>
      <c r="M1872" s="116" t="str">
        <f t="shared" ca="1" si="88"/>
        <v/>
      </c>
      <c r="O1872" s="49" t="str">
        <f t="shared" ca="1" si="89"/>
        <v/>
      </c>
      <c r="P1872" s="38" t="str">
        <f>IF(E1872&lt;&gt;"",RANK(E1872,$E$3:$E$2298)+COUNTIF($E$3:E1872,E1872)-1,"")</f>
        <v/>
      </c>
    </row>
    <row r="1873" spans="4:16" x14ac:dyDescent="0.25">
      <c r="D1873" s="36" t="str" cm="1">
        <f t="array" aca="1" ref="D1873" ca="1">IFERROR(IF(INDIRECT("'"&amp;F1873&amp;"'!$C$5")&gt;0,DATE(YEAR(Dashboard!$AL$2),Dashboard!$AU$4,INDIRECT("'"&amp;F1873&amp;"'!$C$5")),""),"")</f>
        <v/>
      </c>
      <c r="G1873" s="38" t="str" cm="1">
        <f t="array" aca="1" ref="G1873" ca="1">IF(F1873="",
    "",
    IFERROR(
        IF(INDIRECT("'"&amp;F1873&amp;"'!$B$2")="Credit Limit",
            "Credit Accounts",
            IF(INDIRECT("'"&amp;F1873&amp;"'!$E$2")="Location",
                "Cash Accounts",
                IF(INDIRECT("'"&amp;F1873&amp;"'!$B$2")="Amount",
                    "Investments",
                    "Bill Accounts"
                )
            )
        ),
    "")
)</f>
        <v/>
      </c>
      <c r="I1873" s="46" t="str" cm="1">
        <f t="array" aca="1" ref="I1873" ca="1">IF(F1873&lt;&gt;"",IF(OR(G1873="Bill Accounts",G1873="Investments", G1873="Cash Accounts"),INDIRECT("'"&amp;F1873&amp;"'!$C$10"),INDIRECT("'"&amp;F1873&amp;"'!$C$8")),"")</f>
        <v/>
      </c>
      <c r="K1873" s="48">
        <f t="shared" si="90"/>
        <v>1879</v>
      </c>
      <c r="L1873" s="114" t="str" cm="1">
        <f t="array" aca="1" ref="L1873" ca="1">IF(F1873&lt;&gt;"",INDIRECT("'"&amp;F1873&amp;"'!$F$17"),"")</f>
        <v/>
      </c>
      <c r="M1873" s="116" t="str">
        <f t="shared" ca="1" si="88"/>
        <v/>
      </c>
      <c r="O1873" s="49" t="str">
        <f t="shared" ca="1" si="89"/>
        <v/>
      </c>
      <c r="P1873" s="38" t="str">
        <f>IF(E1873&lt;&gt;"",RANK(E1873,$E$3:$E$2298)+COUNTIF($E$3:E1873,E1873)-1,"")</f>
        <v/>
      </c>
    </row>
    <row r="1874" spans="4:16" x14ac:dyDescent="0.25">
      <c r="D1874" s="36" t="str" cm="1">
        <f t="array" aca="1" ref="D1874" ca="1">IFERROR(IF(INDIRECT("'"&amp;F1874&amp;"'!$C$5")&gt;0,DATE(YEAR(Dashboard!$AL$2),Dashboard!$AU$4,INDIRECT("'"&amp;F1874&amp;"'!$C$5")),""),"")</f>
        <v/>
      </c>
      <c r="G1874" s="38" t="str" cm="1">
        <f t="array" aca="1" ref="G1874" ca="1">IF(F1874="",
    "",
    IFERROR(
        IF(INDIRECT("'"&amp;F1874&amp;"'!$B$2")="Credit Limit",
            "Credit Accounts",
            IF(INDIRECT("'"&amp;F1874&amp;"'!$E$2")="Location",
                "Cash Accounts",
                IF(INDIRECT("'"&amp;F1874&amp;"'!$B$2")="Amount",
                    "Investments",
                    "Bill Accounts"
                )
            )
        ),
    "")
)</f>
        <v/>
      </c>
      <c r="I1874" s="46" t="str" cm="1">
        <f t="array" aca="1" ref="I1874" ca="1">IF(F1874&lt;&gt;"",IF(OR(G1874="Bill Accounts",G1874="Investments", G1874="Cash Accounts"),INDIRECT("'"&amp;F1874&amp;"'!$C$10"),INDIRECT("'"&amp;F1874&amp;"'!$C$8")),"")</f>
        <v/>
      </c>
      <c r="K1874" s="48">
        <f t="shared" si="90"/>
        <v>1880</v>
      </c>
      <c r="L1874" s="114" t="str" cm="1">
        <f t="array" aca="1" ref="L1874" ca="1">IF(F1874&lt;&gt;"",INDIRECT("'"&amp;F1874&amp;"'!$F$17"),"")</f>
        <v/>
      </c>
      <c r="M1874" s="116" t="str">
        <f t="shared" ca="1" si="88"/>
        <v/>
      </c>
      <c r="O1874" s="49" t="str">
        <f t="shared" ca="1" si="89"/>
        <v/>
      </c>
      <c r="P1874" s="38" t="str">
        <f>IF(E1874&lt;&gt;"",RANK(E1874,$E$3:$E$2298)+COUNTIF($E$3:E1874,E1874)-1,"")</f>
        <v/>
      </c>
    </row>
    <row r="1875" spans="4:16" x14ac:dyDescent="0.25">
      <c r="D1875" s="36" t="str" cm="1">
        <f t="array" aca="1" ref="D1875" ca="1">IFERROR(IF(INDIRECT("'"&amp;F1875&amp;"'!$C$5")&gt;0,DATE(YEAR(Dashboard!$AL$2),Dashboard!$AU$4,INDIRECT("'"&amp;F1875&amp;"'!$C$5")),""),"")</f>
        <v/>
      </c>
      <c r="G1875" s="38" t="str" cm="1">
        <f t="array" aca="1" ref="G1875" ca="1">IF(F1875="",
    "",
    IFERROR(
        IF(INDIRECT("'"&amp;F1875&amp;"'!$B$2")="Credit Limit",
            "Credit Accounts",
            IF(INDIRECT("'"&amp;F1875&amp;"'!$E$2")="Location",
                "Cash Accounts",
                IF(INDIRECT("'"&amp;F1875&amp;"'!$B$2")="Amount",
                    "Investments",
                    "Bill Accounts"
                )
            )
        ),
    "")
)</f>
        <v/>
      </c>
      <c r="I1875" s="46" t="str" cm="1">
        <f t="array" aca="1" ref="I1875" ca="1">IF(F1875&lt;&gt;"",IF(OR(G1875="Bill Accounts",G1875="Investments", G1875="Cash Accounts"),INDIRECT("'"&amp;F1875&amp;"'!$C$10"),INDIRECT("'"&amp;F1875&amp;"'!$C$8")),"")</f>
        <v/>
      </c>
      <c r="K1875" s="48">
        <f t="shared" si="90"/>
        <v>1881</v>
      </c>
      <c r="L1875" s="114" t="str" cm="1">
        <f t="array" aca="1" ref="L1875" ca="1">IF(F1875&lt;&gt;"",INDIRECT("'"&amp;F1875&amp;"'!$F$17"),"")</f>
        <v/>
      </c>
      <c r="M1875" s="116" t="str">
        <f t="shared" ca="1" si="88"/>
        <v/>
      </c>
      <c r="O1875" s="49" t="str">
        <f t="shared" ca="1" si="89"/>
        <v/>
      </c>
      <c r="P1875" s="38" t="str">
        <f>IF(E1875&lt;&gt;"",RANK(E1875,$E$3:$E$2298)+COUNTIF($E$3:E1875,E1875)-1,"")</f>
        <v/>
      </c>
    </row>
    <row r="1876" spans="4:16" x14ac:dyDescent="0.25">
      <c r="D1876" s="36" t="str" cm="1">
        <f t="array" aca="1" ref="D1876" ca="1">IFERROR(IF(INDIRECT("'"&amp;F1876&amp;"'!$C$5")&gt;0,DATE(YEAR(Dashboard!$AL$2),Dashboard!$AU$4,INDIRECT("'"&amp;F1876&amp;"'!$C$5")),""),"")</f>
        <v/>
      </c>
      <c r="G1876" s="38" t="str" cm="1">
        <f t="array" aca="1" ref="G1876" ca="1">IF(F1876="",
    "",
    IFERROR(
        IF(INDIRECT("'"&amp;F1876&amp;"'!$B$2")="Credit Limit",
            "Credit Accounts",
            IF(INDIRECT("'"&amp;F1876&amp;"'!$E$2")="Location",
                "Cash Accounts",
                IF(INDIRECT("'"&amp;F1876&amp;"'!$B$2")="Amount",
                    "Investments",
                    "Bill Accounts"
                )
            )
        ),
    "")
)</f>
        <v/>
      </c>
      <c r="I1876" s="46" t="str" cm="1">
        <f t="array" aca="1" ref="I1876" ca="1">IF(F1876&lt;&gt;"",IF(OR(G1876="Bill Accounts",G1876="Investments", G1876="Cash Accounts"),INDIRECT("'"&amp;F1876&amp;"'!$C$10"),INDIRECT("'"&amp;F1876&amp;"'!$C$8")),"")</f>
        <v/>
      </c>
      <c r="K1876" s="48">
        <f t="shared" si="90"/>
        <v>1882</v>
      </c>
      <c r="L1876" s="114" t="str" cm="1">
        <f t="array" aca="1" ref="L1876" ca="1">IF(F1876&lt;&gt;"",INDIRECT("'"&amp;F1876&amp;"'!$F$17"),"")</f>
        <v/>
      </c>
      <c r="M1876" s="116" t="str">
        <f t="shared" ca="1" si="88"/>
        <v/>
      </c>
      <c r="O1876" s="49" t="str">
        <f t="shared" ca="1" si="89"/>
        <v/>
      </c>
      <c r="P1876" s="38" t="str">
        <f>IF(E1876&lt;&gt;"",RANK(E1876,$E$3:$E$2298)+COUNTIF($E$3:E1876,E1876)-1,"")</f>
        <v/>
      </c>
    </row>
    <row r="1877" spans="4:16" x14ac:dyDescent="0.25">
      <c r="D1877" s="36" t="str" cm="1">
        <f t="array" aca="1" ref="D1877" ca="1">IFERROR(IF(INDIRECT("'"&amp;F1877&amp;"'!$C$5")&gt;0,DATE(YEAR(Dashboard!$AL$2),Dashboard!$AU$4,INDIRECT("'"&amp;F1877&amp;"'!$C$5")),""),"")</f>
        <v/>
      </c>
      <c r="G1877" s="38" t="str" cm="1">
        <f t="array" aca="1" ref="G1877" ca="1">IF(F1877="",
    "",
    IFERROR(
        IF(INDIRECT("'"&amp;F1877&amp;"'!$B$2")="Credit Limit",
            "Credit Accounts",
            IF(INDIRECT("'"&amp;F1877&amp;"'!$E$2")="Location",
                "Cash Accounts",
                IF(INDIRECT("'"&amp;F1877&amp;"'!$B$2")="Amount",
                    "Investments",
                    "Bill Accounts"
                )
            )
        ),
    "")
)</f>
        <v/>
      </c>
      <c r="I1877" s="46" t="str" cm="1">
        <f t="array" aca="1" ref="I1877" ca="1">IF(F1877&lt;&gt;"",IF(OR(G1877="Bill Accounts",G1877="Investments", G1877="Cash Accounts"),INDIRECT("'"&amp;F1877&amp;"'!$C$10"),INDIRECT("'"&amp;F1877&amp;"'!$C$8")),"")</f>
        <v/>
      </c>
      <c r="K1877" s="48">
        <f t="shared" si="90"/>
        <v>1883</v>
      </c>
      <c r="L1877" s="114" t="str" cm="1">
        <f t="array" aca="1" ref="L1877" ca="1">IF(F1877&lt;&gt;"",INDIRECT("'"&amp;F1877&amp;"'!$F$17"),"")</f>
        <v/>
      </c>
      <c r="M1877" s="116" t="str">
        <f t="shared" ca="1" si="88"/>
        <v/>
      </c>
      <c r="O1877" s="49" t="str">
        <f t="shared" ca="1" si="89"/>
        <v/>
      </c>
      <c r="P1877" s="38" t="str">
        <f>IF(E1877&lt;&gt;"",RANK(E1877,$E$3:$E$2298)+COUNTIF($E$3:E1877,E1877)-1,"")</f>
        <v/>
      </c>
    </row>
    <row r="1878" spans="4:16" x14ac:dyDescent="0.25">
      <c r="D1878" s="36" t="str" cm="1">
        <f t="array" aca="1" ref="D1878" ca="1">IFERROR(IF(INDIRECT("'"&amp;F1878&amp;"'!$C$5")&gt;0,DATE(YEAR(Dashboard!$AL$2),Dashboard!$AU$4,INDIRECT("'"&amp;F1878&amp;"'!$C$5")),""),"")</f>
        <v/>
      </c>
      <c r="G1878" s="38" t="str" cm="1">
        <f t="array" aca="1" ref="G1878" ca="1">IF(F1878="",
    "",
    IFERROR(
        IF(INDIRECT("'"&amp;F1878&amp;"'!$B$2")="Credit Limit",
            "Credit Accounts",
            IF(INDIRECT("'"&amp;F1878&amp;"'!$E$2")="Location",
                "Cash Accounts",
                IF(INDIRECT("'"&amp;F1878&amp;"'!$B$2")="Amount",
                    "Investments",
                    "Bill Accounts"
                )
            )
        ),
    "")
)</f>
        <v/>
      </c>
      <c r="I1878" s="46" t="str" cm="1">
        <f t="array" aca="1" ref="I1878" ca="1">IF(F1878&lt;&gt;"",IF(OR(G1878="Bill Accounts",G1878="Investments", G1878="Cash Accounts"),INDIRECT("'"&amp;F1878&amp;"'!$C$10"),INDIRECT("'"&amp;F1878&amp;"'!$C$8")),"")</f>
        <v/>
      </c>
      <c r="K1878" s="48">
        <f t="shared" si="90"/>
        <v>1884</v>
      </c>
      <c r="L1878" s="114" t="str" cm="1">
        <f t="array" aca="1" ref="L1878" ca="1">IF(F1878&lt;&gt;"",INDIRECT("'"&amp;F1878&amp;"'!$F$17"),"")</f>
        <v/>
      </c>
      <c r="M1878" s="116" t="str">
        <f t="shared" ca="1" si="88"/>
        <v/>
      </c>
      <c r="O1878" s="49" t="str">
        <f t="shared" ca="1" si="89"/>
        <v/>
      </c>
      <c r="P1878" s="38" t="str">
        <f>IF(E1878&lt;&gt;"",RANK(E1878,$E$3:$E$2298)+COUNTIF($E$3:E1878,E1878)-1,"")</f>
        <v/>
      </c>
    </row>
    <row r="1879" spans="4:16" x14ac:dyDescent="0.25">
      <c r="D1879" s="36" t="str" cm="1">
        <f t="array" aca="1" ref="D1879" ca="1">IFERROR(IF(INDIRECT("'"&amp;F1879&amp;"'!$C$5")&gt;0,DATE(YEAR(Dashboard!$AL$2),Dashboard!$AU$4,INDIRECT("'"&amp;F1879&amp;"'!$C$5")),""),"")</f>
        <v/>
      </c>
      <c r="G1879" s="38" t="str" cm="1">
        <f t="array" aca="1" ref="G1879" ca="1">IF(F1879="",
    "",
    IFERROR(
        IF(INDIRECT("'"&amp;F1879&amp;"'!$B$2")="Credit Limit",
            "Credit Accounts",
            IF(INDIRECT("'"&amp;F1879&amp;"'!$E$2")="Location",
                "Cash Accounts",
                IF(INDIRECT("'"&amp;F1879&amp;"'!$B$2")="Amount",
                    "Investments",
                    "Bill Accounts"
                )
            )
        ),
    "")
)</f>
        <v/>
      </c>
      <c r="I1879" s="46" t="str" cm="1">
        <f t="array" aca="1" ref="I1879" ca="1">IF(F1879&lt;&gt;"",IF(OR(G1879="Bill Accounts",G1879="Investments", G1879="Cash Accounts"),INDIRECT("'"&amp;F1879&amp;"'!$C$10"),INDIRECT("'"&amp;F1879&amp;"'!$C$8")),"")</f>
        <v/>
      </c>
      <c r="K1879" s="48">
        <f t="shared" si="90"/>
        <v>1885</v>
      </c>
      <c r="L1879" s="114" t="str" cm="1">
        <f t="array" aca="1" ref="L1879" ca="1">IF(F1879&lt;&gt;"",INDIRECT("'"&amp;F1879&amp;"'!$F$17"),"")</f>
        <v/>
      </c>
      <c r="M1879" s="116" t="str">
        <f t="shared" ca="1" si="88"/>
        <v/>
      </c>
      <c r="O1879" s="49" t="str">
        <f t="shared" ca="1" si="89"/>
        <v/>
      </c>
      <c r="P1879" s="38" t="str">
        <f>IF(E1879&lt;&gt;"",RANK(E1879,$E$3:$E$2298)+COUNTIF($E$3:E1879,E1879)-1,"")</f>
        <v/>
      </c>
    </row>
    <row r="1880" spans="4:16" x14ac:dyDescent="0.25">
      <c r="D1880" s="36" t="str" cm="1">
        <f t="array" aca="1" ref="D1880" ca="1">IFERROR(IF(INDIRECT("'"&amp;F1880&amp;"'!$C$5")&gt;0,DATE(YEAR(Dashboard!$AL$2),Dashboard!$AU$4,INDIRECT("'"&amp;F1880&amp;"'!$C$5")),""),"")</f>
        <v/>
      </c>
      <c r="G1880" s="38" t="str" cm="1">
        <f t="array" aca="1" ref="G1880" ca="1">IF(F1880="",
    "",
    IFERROR(
        IF(INDIRECT("'"&amp;F1880&amp;"'!$B$2")="Credit Limit",
            "Credit Accounts",
            IF(INDIRECT("'"&amp;F1880&amp;"'!$E$2")="Location",
                "Cash Accounts",
                IF(INDIRECT("'"&amp;F1880&amp;"'!$B$2")="Amount",
                    "Investments",
                    "Bill Accounts"
                )
            )
        ),
    "")
)</f>
        <v/>
      </c>
      <c r="I1880" s="46" t="str" cm="1">
        <f t="array" aca="1" ref="I1880" ca="1">IF(F1880&lt;&gt;"",IF(OR(G1880="Bill Accounts",G1880="Investments", G1880="Cash Accounts"),INDIRECT("'"&amp;F1880&amp;"'!$C$10"),INDIRECT("'"&amp;F1880&amp;"'!$C$8")),"")</f>
        <v/>
      </c>
      <c r="K1880" s="48">
        <f t="shared" si="90"/>
        <v>1886</v>
      </c>
      <c r="L1880" s="114" t="str" cm="1">
        <f t="array" aca="1" ref="L1880" ca="1">IF(F1880&lt;&gt;"",INDIRECT("'"&amp;F1880&amp;"'!$F$17"),"")</f>
        <v/>
      </c>
      <c r="M1880" s="116" t="str">
        <f t="shared" ca="1" si="88"/>
        <v/>
      </c>
      <c r="O1880" s="49" t="str">
        <f t="shared" ca="1" si="89"/>
        <v/>
      </c>
      <c r="P1880" s="38" t="str">
        <f>IF(E1880&lt;&gt;"",RANK(E1880,$E$3:$E$2298)+COUNTIF($E$3:E1880,E1880)-1,"")</f>
        <v/>
      </c>
    </row>
    <row r="1881" spans="4:16" x14ac:dyDescent="0.25">
      <c r="D1881" s="36" t="str" cm="1">
        <f t="array" aca="1" ref="D1881" ca="1">IFERROR(IF(INDIRECT("'"&amp;F1881&amp;"'!$C$5")&gt;0,DATE(YEAR(Dashboard!$AL$2),Dashboard!$AU$4,INDIRECT("'"&amp;F1881&amp;"'!$C$5")),""),"")</f>
        <v/>
      </c>
      <c r="G1881" s="38" t="str" cm="1">
        <f t="array" aca="1" ref="G1881" ca="1">IF(F1881="",
    "",
    IFERROR(
        IF(INDIRECT("'"&amp;F1881&amp;"'!$B$2")="Credit Limit",
            "Credit Accounts",
            IF(INDIRECT("'"&amp;F1881&amp;"'!$E$2")="Location",
                "Cash Accounts",
                IF(INDIRECT("'"&amp;F1881&amp;"'!$B$2")="Amount",
                    "Investments",
                    "Bill Accounts"
                )
            )
        ),
    "")
)</f>
        <v/>
      </c>
      <c r="I1881" s="46" t="str" cm="1">
        <f t="array" aca="1" ref="I1881" ca="1">IF(F1881&lt;&gt;"",IF(OR(G1881="Bill Accounts",G1881="Investments", G1881="Cash Accounts"),INDIRECT("'"&amp;F1881&amp;"'!$C$10"),INDIRECT("'"&amp;F1881&amp;"'!$C$8")),"")</f>
        <v/>
      </c>
      <c r="K1881" s="48">
        <f t="shared" si="90"/>
        <v>1887</v>
      </c>
      <c r="L1881" s="114" t="str" cm="1">
        <f t="array" aca="1" ref="L1881" ca="1">IF(F1881&lt;&gt;"",INDIRECT("'"&amp;F1881&amp;"'!$F$17"),"")</f>
        <v/>
      </c>
      <c r="M1881" s="116" t="str">
        <f t="shared" ca="1" si="88"/>
        <v/>
      </c>
      <c r="O1881" s="49" t="str">
        <f t="shared" ca="1" si="89"/>
        <v/>
      </c>
      <c r="P1881" s="38" t="str">
        <f>IF(E1881&lt;&gt;"",RANK(E1881,$E$3:$E$2298)+COUNTIF($E$3:E1881,E1881)-1,"")</f>
        <v/>
      </c>
    </row>
    <row r="1882" spans="4:16" x14ac:dyDescent="0.25">
      <c r="D1882" s="36" t="str" cm="1">
        <f t="array" aca="1" ref="D1882" ca="1">IFERROR(IF(INDIRECT("'"&amp;F1882&amp;"'!$C$5")&gt;0,DATE(YEAR(Dashboard!$AL$2),Dashboard!$AU$4,INDIRECT("'"&amp;F1882&amp;"'!$C$5")),""),"")</f>
        <v/>
      </c>
      <c r="G1882" s="38" t="str" cm="1">
        <f t="array" aca="1" ref="G1882" ca="1">IF(F1882="",
    "",
    IFERROR(
        IF(INDIRECT("'"&amp;F1882&amp;"'!$B$2")="Credit Limit",
            "Credit Accounts",
            IF(INDIRECT("'"&amp;F1882&amp;"'!$E$2")="Location",
                "Cash Accounts",
                IF(INDIRECT("'"&amp;F1882&amp;"'!$B$2")="Amount",
                    "Investments",
                    "Bill Accounts"
                )
            )
        ),
    "")
)</f>
        <v/>
      </c>
      <c r="I1882" s="46" t="str" cm="1">
        <f t="array" aca="1" ref="I1882" ca="1">IF(F1882&lt;&gt;"",IF(OR(G1882="Bill Accounts",G1882="Investments", G1882="Cash Accounts"),INDIRECT("'"&amp;F1882&amp;"'!$C$10"),INDIRECT("'"&amp;F1882&amp;"'!$C$8")),"")</f>
        <v/>
      </c>
      <c r="K1882" s="48">
        <f t="shared" si="90"/>
        <v>1888</v>
      </c>
      <c r="L1882" s="114" t="str" cm="1">
        <f t="array" aca="1" ref="L1882" ca="1">IF(F1882&lt;&gt;"",INDIRECT("'"&amp;F1882&amp;"'!$F$17"),"")</f>
        <v/>
      </c>
      <c r="M1882" s="116" t="str">
        <f t="shared" ca="1" si="88"/>
        <v/>
      </c>
      <c r="O1882" s="49" t="str">
        <f t="shared" ca="1" si="89"/>
        <v/>
      </c>
      <c r="P1882" s="38" t="str">
        <f>IF(E1882&lt;&gt;"",RANK(E1882,$E$3:$E$2298)+COUNTIF($E$3:E1882,E1882)-1,"")</f>
        <v/>
      </c>
    </row>
    <row r="1883" spans="4:16" x14ac:dyDescent="0.25">
      <c r="D1883" s="36" t="str" cm="1">
        <f t="array" aca="1" ref="D1883" ca="1">IFERROR(IF(INDIRECT("'"&amp;F1883&amp;"'!$C$5")&gt;0,DATE(YEAR(Dashboard!$AL$2),Dashboard!$AU$4,INDIRECT("'"&amp;F1883&amp;"'!$C$5")),""),"")</f>
        <v/>
      </c>
      <c r="G1883" s="38" t="str" cm="1">
        <f t="array" aca="1" ref="G1883" ca="1">IF(F1883="",
    "",
    IFERROR(
        IF(INDIRECT("'"&amp;F1883&amp;"'!$B$2")="Credit Limit",
            "Credit Accounts",
            IF(INDIRECT("'"&amp;F1883&amp;"'!$E$2")="Location",
                "Cash Accounts",
                IF(INDIRECT("'"&amp;F1883&amp;"'!$B$2")="Amount",
                    "Investments",
                    "Bill Accounts"
                )
            )
        ),
    "")
)</f>
        <v/>
      </c>
      <c r="I1883" s="46" t="str" cm="1">
        <f t="array" aca="1" ref="I1883" ca="1">IF(F1883&lt;&gt;"",IF(OR(G1883="Bill Accounts",G1883="Investments", G1883="Cash Accounts"),INDIRECT("'"&amp;F1883&amp;"'!$C$10"),INDIRECT("'"&amp;F1883&amp;"'!$C$8")),"")</f>
        <v/>
      </c>
      <c r="K1883" s="48">
        <f t="shared" si="90"/>
        <v>1889</v>
      </c>
      <c r="L1883" s="114" t="str" cm="1">
        <f t="array" aca="1" ref="L1883" ca="1">IF(F1883&lt;&gt;"",INDIRECT("'"&amp;F1883&amp;"'!$F$17"),"")</f>
        <v/>
      </c>
      <c r="M1883" s="116" t="str">
        <f t="shared" ca="1" si="88"/>
        <v/>
      </c>
      <c r="O1883" s="49" t="str">
        <f t="shared" ca="1" si="89"/>
        <v/>
      </c>
      <c r="P1883" s="38" t="str">
        <f>IF(E1883&lt;&gt;"",RANK(E1883,$E$3:$E$2298)+COUNTIF($E$3:E1883,E1883)-1,"")</f>
        <v/>
      </c>
    </row>
    <row r="1884" spans="4:16" x14ac:dyDescent="0.25">
      <c r="D1884" s="36" t="str" cm="1">
        <f t="array" aca="1" ref="D1884" ca="1">IFERROR(IF(INDIRECT("'"&amp;F1884&amp;"'!$C$5")&gt;0,DATE(YEAR(Dashboard!$AL$2),Dashboard!$AU$4,INDIRECT("'"&amp;F1884&amp;"'!$C$5")),""),"")</f>
        <v/>
      </c>
      <c r="G1884" s="38" t="str" cm="1">
        <f t="array" aca="1" ref="G1884" ca="1">IF(F1884="",
    "",
    IFERROR(
        IF(INDIRECT("'"&amp;F1884&amp;"'!$B$2")="Credit Limit",
            "Credit Accounts",
            IF(INDIRECT("'"&amp;F1884&amp;"'!$E$2")="Location",
                "Cash Accounts",
                IF(INDIRECT("'"&amp;F1884&amp;"'!$B$2")="Amount",
                    "Investments",
                    "Bill Accounts"
                )
            )
        ),
    "")
)</f>
        <v/>
      </c>
      <c r="I1884" s="46" t="str" cm="1">
        <f t="array" aca="1" ref="I1884" ca="1">IF(F1884&lt;&gt;"",IF(OR(G1884="Bill Accounts",G1884="Investments", G1884="Cash Accounts"),INDIRECT("'"&amp;F1884&amp;"'!$C$10"),INDIRECT("'"&amp;F1884&amp;"'!$C$8")),"")</f>
        <v/>
      </c>
      <c r="K1884" s="48">
        <f t="shared" si="90"/>
        <v>1890</v>
      </c>
      <c r="L1884" s="114" t="str" cm="1">
        <f t="array" aca="1" ref="L1884" ca="1">IF(F1884&lt;&gt;"",INDIRECT("'"&amp;F1884&amp;"'!$F$17"),"")</f>
        <v/>
      </c>
      <c r="M1884" s="116" t="str">
        <f t="shared" ca="1" si="88"/>
        <v/>
      </c>
      <c r="O1884" s="49" t="str">
        <f t="shared" ca="1" si="89"/>
        <v/>
      </c>
      <c r="P1884" s="38" t="str">
        <f>IF(E1884&lt;&gt;"",RANK(E1884,$E$3:$E$2298)+COUNTIF($E$3:E1884,E1884)-1,"")</f>
        <v/>
      </c>
    </row>
    <row r="1885" spans="4:16" x14ac:dyDescent="0.25">
      <c r="D1885" s="36" t="str" cm="1">
        <f t="array" aca="1" ref="D1885" ca="1">IFERROR(IF(INDIRECT("'"&amp;F1885&amp;"'!$C$5")&gt;0,DATE(YEAR(Dashboard!$AL$2),Dashboard!$AU$4,INDIRECT("'"&amp;F1885&amp;"'!$C$5")),""),"")</f>
        <v/>
      </c>
      <c r="G1885" s="38" t="str" cm="1">
        <f t="array" aca="1" ref="G1885" ca="1">IF(F1885="",
    "",
    IFERROR(
        IF(INDIRECT("'"&amp;F1885&amp;"'!$B$2")="Credit Limit",
            "Credit Accounts",
            IF(INDIRECT("'"&amp;F1885&amp;"'!$E$2")="Location",
                "Cash Accounts",
                IF(INDIRECT("'"&amp;F1885&amp;"'!$B$2")="Amount",
                    "Investments",
                    "Bill Accounts"
                )
            )
        ),
    "")
)</f>
        <v/>
      </c>
      <c r="I1885" s="46" t="str" cm="1">
        <f t="array" aca="1" ref="I1885" ca="1">IF(F1885&lt;&gt;"",IF(OR(G1885="Bill Accounts",G1885="Investments", G1885="Cash Accounts"),INDIRECT("'"&amp;F1885&amp;"'!$C$10"),INDIRECT("'"&amp;F1885&amp;"'!$C$8")),"")</f>
        <v/>
      </c>
      <c r="K1885" s="48">
        <f t="shared" si="90"/>
        <v>1891</v>
      </c>
      <c r="L1885" s="114" t="str" cm="1">
        <f t="array" aca="1" ref="L1885" ca="1">IF(F1885&lt;&gt;"",INDIRECT("'"&amp;F1885&amp;"'!$F$17"),"")</f>
        <v/>
      </c>
      <c r="M1885" s="116" t="str">
        <f t="shared" ca="1" si="88"/>
        <v/>
      </c>
      <c r="O1885" s="49" t="str">
        <f t="shared" ca="1" si="89"/>
        <v/>
      </c>
      <c r="P1885" s="38" t="str">
        <f>IF(E1885&lt;&gt;"",RANK(E1885,$E$3:$E$2298)+COUNTIF($E$3:E1885,E1885)-1,"")</f>
        <v/>
      </c>
    </row>
    <row r="1886" spans="4:16" x14ac:dyDescent="0.25">
      <c r="D1886" s="36" t="str" cm="1">
        <f t="array" aca="1" ref="D1886" ca="1">IFERROR(IF(INDIRECT("'"&amp;F1886&amp;"'!$C$5")&gt;0,DATE(YEAR(Dashboard!$AL$2),Dashboard!$AU$4,INDIRECT("'"&amp;F1886&amp;"'!$C$5")),""),"")</f>
        <v/>
      </c>
      <c r="G1886" s="38" t="str" cm="1">
        <f t="array" aca="1" ref="G1886" ca="1">IF(F1886="",
    "",
    IFERROR(
        IF(INDIRECT("'"&amp;F1886&amp;"'!$B$2")="Credit Limit",
            "Credit Accounts",
            IF(INDIRECT("'"&amp;F1886&amp;"'!$E$2")="Location",
                "Cash Accounts",
                IF(INDIRECT("'"&amp;F1886&amp;"'!$B$2")="Amount",
                    "Investments",
                    "Bill Accounts"
                )
            )
        ),
    "")
)</f>
        <v/>
      </c>
      <c r="I1886" s="46" t="str" cm="1">
        <f t="array" aca="1" ref="I1886" ca="1">IF(F1886&lt;&gt;"",IF(OR(G1886="Bill Accounts",G1886="Investments", G1886="Cash Accounts"),INDIRECT("'"&amp;F1886&amp;"'!$C$10"),INDIRECT("'"&amp;F1886&amp;"'!$C$8")),"")</f>
        <v/>
      </c>
      <c r="K1886" s="48">
        <f t="shared" si="90"/>
        <v>1892</v>
      </c>
      <c r="L1886" s="114" t="str" cm="1">
        <f t="array" aca="1" ref="L1886" ca="1">IF(F1886&lt;&gt;"",INDIRECT("'"&amp;F1886&amp;"'!$F$17"),"")</f>
        <v/>
      </c>
      <c r="M1886" s="116" t="str">
        <f t="shared" ca="1" si="88"/>
        <v/>
      </c>
      <c r="O1886" s="49" t="str">
        <f t="shared" ca="1" si="89"/>
        <v/>
      </c>
      <c r="P1886" s="38" t="str">
        <f>IF(E1886&lt;&gt;"",RANK(E1886,$E$3:$E$2298)+COUNTIF($E$3:E1886,E1886)-1,"")</f>
        <v/>
      </c>
    </row>
    <row r="1887" spans="4:16" x14ac:dyDescent="0.25">
      <c r="D1887" s="36" t="str" cm="1">
        <f t="array" aca="1" ref="D1887" ca="1">IFERROR(IF(INDIRECT("'"&amp;F1887&amp;"'!$C$5")&gt;0,DATE(YEAR(Dashboard!$AL$2),Dashboard!$AU$4,INDIRECT("'"&amp;F1887&amp;"'!$C$5")),""),"")</f>
        <v/>
      </c>
      <c r="G1887" s="38" t="str" cm="1">
        <f t="array" aca="1" ref="G1887" ca="1">IF(F1887="",
    "",
    IFERROR(
        IF(INDIRECT("'"&amp;F1887&amp;"'!$B$2")="Credit Limit",
            "Credit Accounts",
            IF(INDIRECT("'"&amp;F1887&amp;"'!$E$2")="Location",
                "Cash Accounts",
                IF(INDIRECT("'"&amp;F1887&amp;"'!$B$2")="Amount",
                    "Investments",
                    "Bill Accounts"
                )
            )
        ),
    "")
)</f>
        <v/>
      </c>
      <c r="I1887" s="46" t="str" cm="1">
        <f t="array" aca="1" ref="I1887" ca="1">IF(F1887&lt;&gt;"",IF(OR(G1887="Bill Accounts",G1887="Investments", G1887="Cash Accounts"),INDIRECT("'"&amp;F1887&amp;"'!$C$10"),INDIRECT("'"&amp;F1887&amp;"'!$C$8")),"")</f>
        <v/>
      </c>
      <c r="K1887" s="48">
        <f t="shared" si="90"/>
        <v>1893</v>
      </c>
      <c r="L1887" s="114" t="str" cm="1">
        <f t="array" aca="1" ref="L1887" ca="1">IF(F1887&lt;&gt;"",INDIRECT("'"&amp;F1887&amp;"'!$F$17"),"")</f>
        <v/>
      </c>
      <c r="M1887" s="116" t="str">
        <f t="shared" ca="1" si="88"/>
        <v/>
      </c>
      <c r="O1887" s="49" t="str">
        <f t="shared" ca="1" si="89"/>
        <v/>
      </c>
      <c r="P1887" s="38" t="str">
        <f>IF(E1887&lt;&gt;"",RANK(E1887,$E$3:$E$2298)+COUNTIF($E$3:E1887,E1887)-1,"")</f>
        <v/>
      </c>
    </row>
    <row r="1888" spans="4:16" x14ac:dyDescent="0.25">
      <c r="D1888" s="36" t="str" cm="1">
        <f t="array" aca="1" ref="D1888" ca="1">IFERROR(IF(INDIRECT("'"&amp;F1888&amp;"'!$C$5")&gt;0,DATE(YEAR(Dashboard!$AL$2),Dashboard!$AU$4,INDIRECT("'"&amp;F1888&amp;"'!$C$5")),""),"")</f>
        <v/>
      </c>
      <c r="G1888" s="38" t="str" cm="1">
        <f t="array" aca="1" ref="G1888" ca="1">IF(F1888="",
    "",
    IFERROR(
        IF(INDIRECT("'"&amp;F1888&amp;"'!$B$2")="Credit Limit",
            "Credit Accounts",
            IF(INDIRECT("'"&amp;F1888&amp;"'!$E$2")="Location",
                "Cash Accounts",
                IF(INDIRECT("'"&amp;F1888&amp;"'!$B$2")="Amount",
                    "Investments",
                    "Bill Accounts"
                )
            )
        ),
    "")
)</f>
        <v/>
      </c>
      <c r="I1888" s="46" t="str" cm="1">
        <f t="array" aca="1" ref="I1888" ca="1">IF(F1888&lt;&gt;"",IF(OR(G1888="Bill Accounts",G1888="Investments", G1888="Cash Accounts"),INDIRECT("'"&amp;F1888&amp;"'!$C$10"),INDIRECT("'"&amp;F1888&amp;"'!$C$8")),"")</f>
        <v/>
      </c>
      <c r="K1888" s="48">
        <f t="shared" si="90"/>
        <v>1894</v>
      </c>
      <c r="L1888" s="114" t="str" cm="1">
        <f t="array" aca="1" ref="L1888" ca="1">IF(F1888&lt;&gt;"",INDIRECT("'"&amp;F1888&amp;"'!$F$17"),"")</f>
        <v/>
      </c>
      <c r="M1888" s="116" t="str">
        <f t="shared" ca="1" si="88"/>
        <v/>
      </c>
      <c r="O1888" s="49" t="str">
        <f t="shared" ca="1" si="89"/>
        <v/>
      </c>
      <c r="P1888" s="38" t="str">
        <f>IF(E1888&lt;&gt;"",RANK(E1888,$E$3:$E$2298)+COUNTIF($E$3:E1888,E1888)-1,"")</f>
        <v/>
      </c>
    </row>
    <row r="1889" spans="4:16" x14ac:dyDescent="0.25">
      <c r="D1889" s="36" t="str" cm="1">
        <f t="array" aca="1" ref="D1889" ca="1">IFERROR(IF(INDIRECT("'"&amp;F1889&amp;"'!$C$5")&gt;0,DATE(YEAR(Dashboard!$AL$2),Dashboard!$AU$4,INDIRECT("'"&amp;F1889&amp;"'!$C$5")),""),"")</f>
        <v/>
      </c>
      <c r="G1889" s="38" t="str" cm="1">
        <f t="array" aca="1" ref="G1889" ca="1">IF(F1889="",
    "",
    IFERROR(
        IF(INDIRECT("'"&amp;F1889&amp;"'!$B$2")="Credit Limit",
            "Credit Accounts",
            IF(INDIRECT("'"&amp;F1889&amp;"'!$E$2")="Location",
                "Cash Accounts",
                IF(INDIRECT("'"&amp;F1889&amp;"'!$B$2")="Amount",
                    "Investments",
                    "Bill Accounts"
                )
            )
        ),
    "")
)</f>
        <v/>
      </c>
      <c r="I1889" s="46" t="str" cm="1">
        <f t="array" aca="1" ref="I1889" ca="1">IF(F1889&lt;&gt;"",IF(OR(G1889="Bill Accounts",G1889="Investments", G1889="Cash Accounts"),INDIRECT("'"&amp;F1889&amp;"'!$C$10"),INDIRECT("'"&amp;F1889&amp;"'!$C$8")),"")</f>
        <v/>
      </c>
      <c r="K1889" s="48">
        <f t="shared" si="90"/>
        <v>1895</v>
      </c>
      <c r="L1889" s="114" t="str" cm="1">
        <f t="array" aca="1" ref="L1889" ca="1">IF(F1889&lt;&gt;"",INDIRECT("'"&amp;F1889&amp;"'!$F$17"),"")</f>
        <v/>
      </c>
      <c r="M1889" s="116" t="str">
        <f t="shared" ca="1" si="88"/>
        <v/>
      </c>
      <c r="O1889" s="49" t="str">
        <f t="shared" ca="1" si="89"/>
        <v/>
      </c>
      <c r="P1889" s="38" t="str">
        <f>IF(E1889&lt;&gt;"",RANK(E1889,$E$3:$E$2298)+COUNTIF($E$3:E1889,E1889)-1,"")</f>
        <v/>
      </c>
    </row>
    <row r="1890" spans="4:16" x14ac:dyDescent="0.25">
      <c r="D1890" s="36" t="str" cm="1">
        <f t="array" aca="1" ref="D1890" ca="1">IFERROR(IF(INDIRECT("'"&amp;F1890&amp;"'!$C$5")&gt;0,DATE(YEAR(Dashboard!$AL$2),Dashboard!$AU$4,INDIRECT("'"&amp;F1890&amp;"'!$C$5")),""),"")</f>
        <v/>
      </c>
      <c r="G1890" s="38" t="str" cm="1">
        <f t="array" aca="1" ref="G1890" ca="1">IF(F1890="",
    "",
    IFERROR(
        IF(INDIRECT("'"&amp;F1890&amp;"'!$B$2")="Credit Limit",
            "Credit Accounts",
            IF(INDIRECT("'"&amp;F1890&amp;"'!$E$2")="Location",
                "Cash Accounts",
                IF(INDIRECT("'"&amp;F1890&amp;"'!$B$2")="Amount",
                    "Investments",
                    "Bill Accounts"
                )
            )
        ),
    "")
)</f>
        <v/>
      </c>
      <c r="I1890" s="46" t="str" cm="1">
        <f t="array" aca="1" ref="I1890" ca="1">IF(F1890&lt;&gt;"",IF(OR(G1890="Bill Accounts",G1890="Investments", G1890="Cash Accounts"),INDIRECT("'"&amp;F1890&amp;"'!$C$10"),INDIRECT("'"&amp;F1890&amp;"'!$C$8")),"")</f>
        <v/>
      </c>
      <c r="K1890" s="48">
        <f t="shared" si="90"/>
        <v>1896</v>
      </c>
      <c r="L1890" s="114" t="str" cm="1">
        <f t="array" aca="1" ref="L1890" ca="1">IF(F1890&lt;&gt;"",INDIRECT("'"&amp;F1890&amp;"'!$F$17"),"")</f>
        <v/>
      </c>
      <c r="M1890" s="116" t="str">
        <f t="shared" ca="1" si="88"/>
        <v/>
      </c>
      <c r="O1890" s="49" t="str">
        <f t="shared" ca="1" si="89"/>
        <v/>
      </c>
      <c r="P1890" s="38" t="str">
        <f>IF(E1890&lt;&gt;"",RANK(E1890,$E$3:$E$2298)+COUNTIF($E$3:E1890,E1890)-1,"")</f>
        <v/>
      </c>
    </row>
    <row r="1891" spans="4:16" x14ac:dyDescent="0.25">
      <c r="D1891" s="36" t="str" cm="1">
        <f t="array" aca="1" ref="D1891" ca="1">IFERROR(IF(INDIRECT("'"&amp;F1891&amp;"'!$C$5")&gt;0,DATE(YEAR(Dashboard!$AL$2),Dashboard!$AU$4,INDIRECT("'"&amp;F1891&amp;"'!$C$5")),""),"")</f>
        <v/>
      </c>
      <c r="G1891" s="38" t="str" cm="1">
        <f t="array" aca="1" ref="G1891" ca="1">IF(F1891="",
    "",
    IFERROR(
        IF(INDIRECT("'"&amp;F1891&amp;"'!$B$2")="Credit Limit",
            "Credit Accounts",
            IF(INDIRECT("'"&amp;F1891&amp;"'!$E$2")="Location",
                "Cash Accounts",
                IF(INDIRECT("'"&amp;F1891&amp;"'!$B$2")="Amount",
                    "Investments",
                    "Bill Accounts"
                )
            )
        ),
    "")
)</f>
        <v/>
      </c>
      <c r="I1891" s="46" t="str" cm="1">
        <f t="array" aca="1" ref="I1891" ca="1">IF(F1891&lt;&gt;"",IF(OR(G1891="Bill Accounts",G1891="Investments", G1891="Cash Accounts"),INDIRECT("'"&amp;F1891&amp;"'!$C$10"),INDIRECT("'"&amp;F1891&amp;"'!$C$8")),"")</f>
        <v/>
      </c>
      <c r="K1891" s="48">
        <f t="shared" si="90"/>
        <v>1897</v>
      </c>
      <c r="L1891" s="114" t="str" cm="1">
        <f t="array" aca="1" ref="L1891" ca="1">IF(F1891&lt;&gt;"",INDIRECT("'"&amp;F1891&amp;"'!$F$17"),"")</f>
        <v/>
      </c>
      <c r="M1891" s="116" t="str">
        <f t="shared" ca="1" si="88"/>
        <v/>
      </c>
      <c r="O1891" s="49" t="str">
        <f t="shared" ca="1" si="89"/>
        <v/>
      </c>
      <c r="P1891" s="38" t="str">
        <f>IF(E1891&lt;&gt;"",RANK(E1891,$E$3:$E$2298)+COUNTIF($E$3:E1891,E1891)-1,"")</f>
        <v/>
      </c>
    </row>
    <row r="1892" spans="4:16" x14ac:dyDescent="0.25">
      <c r="D1892" s="36" t="str" cm="1">
        <f t="array" aca="1" ref="D1892" ca="1">IFERROR(IF(INDIRECT("'"&amp;F1892&amp;"'!$C$5")&gt;0,DATE(YEAR(Dashboard!$AL$2),Dashboard!$AU$4,INDIRECT("'"&amp;F1892&amp;"'!$C$5")),""),"")</f>
        <v/>
      </c>
      <c r="G1892" s="38" t="str" cm="1">
        <f t="array" aca="1" ref="G1892" ca="1">IF(F1892="",
    "",
    IFERROR(
        IF(INDIRECT("'"&amp;F1892&amp;"'!$B$2")="Credit Limit",
            "Credit Accounts",
            IF(INDIRECT("'"&amp;F1892&amp;"'!$E$2")="Location",
                "Cash Accounts",
                IF(INDIRECT("'"&amp;F1892&amp;"'!$B$2")="Amount",
                    "Investments",
                    "Bill Accounts"
                )
            )
        ),
    "")
)</f>
        <v/>
      </c>
      <c r="I1892" s="46" t="str" cm="1">
        <f t="array" aca="1" ref="I1892" ca="1">IF(F1892&lt;&gt;"",IF(OR(G1892="Bill Accounts",G1892="Investments", G1892="Cash Accounts"),INDIRECT("'"&amp;F1892&amp;"'!$C$10"),INDIRECT("'"&amp;F1892&amp;"'!$C$8")),"")</f>
        <v/>
      </c>
      <c r="K1892" s="48">
        <f t="shared" si="90"/>
        <v>1898</v>
      </c>
      <c r="L1892" s="114" t="str" cm="1">
        <f t="array" aca="1" ref="L1892" ca="1">IF(F1892&lt;&gt;"",INDIRECT("'"&amp;F1892&amp;"'!$F$17"),"")</f>
        <v/>
      </c>
      <c r="M1892" s="116" t="str">
        <f t="shared" ca="1" si="88"/>
        <v/>
      </c>
      <c r="O1892" s="49" t="str">
        <f t="shared" ca="1" si="89"/>
        <v/>
      </c>
      <c r="P1892" s="38" t="str">
        <f>IF(E1892&lt;&gt;"",RANK(E1892,$E$3:$E$2298)+COUNTIF($E$3:E1892,E1892)-1,"")</f>
        <v/>
      </c>
    </row>
    <row r="1893" spans="4:16" x14ac:dyDescent="0.25">
      <c r="D1893" s="36" t="str" cm="1">
        <f t="array" aca="1" ref="D1893" ca="1">IFERROR(IF(INDIRECT("'"&amp;F1893&amp;"'!$C$5")&gt;0,DATE(YEAR(Dashboard!$AL$2),Dashboard!$AU$4,INDIRECT("'"&amp;F1893&amp;"'!$C$5")),""),"")</f>
        <v/>
      </c>
      <c r="G1893" s="38" t="str" cm="1">
        <f t="array" aca="1" ref="G1893" ca="1">IF(F1893="",
    "",
    IFERROR(
        IF(INDIRECT("'"&amp;F1893&amp;"'!$B$2")="Credit Limit",
            "Credit Accounts",
            IF(INDIRECT("'"&amp;F1893&amp;"'!$E$2")="Location",
                "Cash Accounts",
                IF(INDIRECT("'"&amp;F1893&amp;"'!$B$2")="Amount",
                    "Investments",
                    "Bill Accounts"
                )
            )
        ),
    "")
)</f>
        <v/>
      </c>
      <c r="I1893" s="46" t="str" cm="1">
        <f t="array" aca="1" ref="I1893" ca="1">IF(F1893&lt;&gt;"",IF(OR(G1893="Bill Accounts",G1893="Investments", G1893="Cash Accounts"),INDIRECT("'"&amp;F1893&amp;"'!$C$10"),INDIRECT("'"&amp;F1893&amp;"'!$C$8")),"")</f>
        <v/>
      </c>
      <c r="K1893" s="48">
        <f t="shared" si="90"/>
        <v>1899</v>
      </c>
      <c r="L1893" s="114" t="str" cm="1">
        <f t="array" aca="1" ref="L1893" ca="1">IF(F1893&lt;&gt;"",INDIRECT("'"&amp;F1893&amp;"'!$F$17"),"")</f>
        <v/>
      </c>
      <c r="M1893" s="116" t="str">
        <f t="shared" ca="1" si="88"/>
        <v/>
      </c>
      <c r="O1893" s="49" t="str">
        <f t="shared" ca="1" si="89"/>
        <v/>
      </c>
      <c r="P1893" s="38" t="str">
        <f>IF(E1893&lt;&gt;"",RANK(E1893,$E$3:$E$2298)+COUNTIF($E$3:E1893,E1893)-1,"")</f>
        <v/>
      </c>
    </row>
    <row r="1894" spans="4:16" x14ac:dyDescent="0.25">
      <c r="D1894" s="36" t="str" cm="1">
        <f t="array" aca="1" ref="D1894" ca="1">IFERROR(IF(INDIRECT("'"&amp;F1894&amp;"'!$C$5")&gt;0,DATE(YEAR(Dashboard!$AL$2),Dashboard!$AU$4,INDIRECT("'"&amp;F1894&amp;"'!$C$5")),""),"")</f>
        <v/>
      </c>
      <c r="G1894" s="38" t="str" cm="1">
        <f t="array" aca="1" ref="G1894" ca="1">IF(F1894="",
    "",
    IFERROR(
        IF(INDIRECT("'"&amp;F1894&amp;"'!$B$2")="Credit Limit",
            "Credit Accounts",
            IF(INDIRECT("'"&amp;F1894&amp;"'!$E$2")="Location",
                "Cash Accounts",
                IF(INDIRECT("'"&amp;F1894&amp;"'!$B$2")="Amount",
                    "Investments",
                    "Bill Accounts"
                )
            )
        ),
    "")
)</f>
        <v/>
      </c>
      <c r="I1894" s="46" t="str" cm="1">
        <f t="array" aca="1" ref="I1894" ca="1">IF(F1894&lt;&gt;"",IF(OR(G1894="Bill Accounts",G1894="Investments", G1894="Cash Accounts"),INDIRECT("'"&amp;F1894&amp;"'!$C$10"),INDIRECT("'"&amp;F1894&amp;"'!$C$8")),"")</f>
        <v/>
      </c>
      <c r="K1894" s="48">
        <f t="shared" si="90"/>
        <v>1900</v>
      </c>
      <c r="L1894" s="114" t="str" cm="1">
        <f t="array" aca="1" ref="L1894" ca="1">IF(F1894&lt;&gt;"",INDIRECT("'"&amp;F1894&amp;"'!$F$17"),"")</f>
        <v/>
      </c>
      <c r="M1894" s="116" t="str">
        <f t="shared" ca="1" si="88"/>
        <v/>
      </c>
      <c r="O1894" s="49" t="str">
        <f t="shared" ca="1" si="89"/>
        <v/>
      </c>
      <c r="P1894" s="38" t="str">
        <f>IF(E1894&lt;&gt;"",RANK(E1894,$E$3:$E$2298)+COUNTIF($E$3:E1894,E1894)-1,"")</f>
        <v/>
      </c>
    </row>
    <row r="1895" spans="4:16" x14ac:dyDescent="0.25">
      <c r="D1895" s="36" t="str" cm="1">
        <f t="array" aca="1" ref="D1895" ca="1">IFERROR(IF(INDIRECT("'"&amp;F1895&amp;"'!$C$5")&gt;0,DATE(YEAR(Dashboard!$AL$2),Dashboard!$AU$4,INDIRECT("'"&amp;F1895&amp;"'!$C$5")),""),"")</f>
        <v/>
      </c>
      <c r="G1895" s="38" t="str" cm="1">
        <f t="array" aca="1" ref="G1895" ca="1">IF(F1895="",
    "",
    IFERROR(
        IF(INDIRECT("'"&amp;F1895&amp;"'!$B$2")="Credit Limit",
            "Credit Accounts",
            IF(INDIRECT("'"&amp;F1895&amp;"'!$E$2")="Location",
                "Cash Accounts",
                IF(INDIRECT("'"&amp;F1895&amp;"'!$B$2")="Amount",
                    "Investments",
                    "Bill Accounts"
                )
            )
        ),
    "")
)</f>
        <v/>
      </c>
      <c r="I1895" s="46" t="str" cm="1">
        <f t="array" aca="1" ref="I1895" ca="1">IF(F1895&lt;&gt;"",IF(OR(G1895="Bill Accounts",G1895="Investments", G1895="Cash Accounts"),INDIRECT("'"&amp;F1895&amp;"'!$C$10"),INDIRECT("'"&amp;F1895&amp;"'!$C$8")),"")</f>
        <v/>
      </c>
      <c r="K1895" s="48">
        <f t="shared" si="90"/>
        <v>1901</v>
      </c>
      <c r="L1895" s="114" t="str" cm="1">
        <f t="array" aca="1" ref="L1895" ca="1">IF(F1895&lt;&gt;"",INDIRECT("'"&amp;F1895&amp;"'!$F$17"),"")</f>
        <v/>
      </c>
      <c r="M1895" s="116" t="str">
        <f t="shared" ca="1" si="88"/>
        <v/>
      </c>
      <c r="O1895" s="49" t="str">
        <f t="shared" ca="1" si="89"/>
        <v/>
      </c>
      <c r="P1895" s="38" t="str">
        <f>IF(E1895&lt;&gt;"",RANK(E1895,$E$3:$E$2298)+COUNTIF($E$3:E1895,E1895)-1,"")</f>
        <v/>
      </c>
    </row>
    <row r="1896" spans="4:16" x14ac:dyDescent="0.25">
      <c r="D1896" s="36" t="str" cm="1">
        <f t="array" aca="1" ref="D1896" ca="1">IFERROR(IF(INDIRECT("'"&amp;F1896&amp;"'!$C$5")&gt;0,DATE(YEAR(Dashboard!$AL$2),Dashboard!$AU$4,INDIRECT("'"&amp;F1896&amp;"'!$C$5")),""),"")</f>
        <v/>
      </c>
      <c r="G1896" s="38" t="str" cm="1">
        <f t="array" aca="1" ref="G1896" ca="1">IF(F1896="",
    "",
    IFERROR(
        IF(INDIRECT("'"&amp;F1896&amp;"'!$B$2")="Credit Limit",
            "Credit Accounts",
            IF(INDIRECT("'"&amp;F1896&amp;"'!$E$2")="Location",
                "Cash Accounts",
                IF(INDIRECT("'"&amp;F1896&amp;"'!$B$2")="Amount",
                    "Investments",
                    "Bill Accounts"
                )
            )
        ),
    "")
)</f>
        <v/>
      </c>
      <c r="I1896" s="46" t="str" cm="1">
        <f t="array" aca="1" ref="I1896" ca="1">IF(F1896&lt;&gt;"",IF(OR(G1896="Bill Accounts",G1896="Investments", G1896="Cash Accounts"),INDIRECT("'"&amp;F1896&amp;"'!$C$10"),INDIRECT("'"&amp;F1896&amp;"'!$C$8")),"")</f>
        <v/>
      </c>
      <c r="K1896" s="48">
        <f t="shared" si="90"/>
        <v>1902</v>
      </c>
      <c r="L1896" s="114" t="str" cm="1">
        <f t="array" aca="1" ref="L1896" ca="1">IF(F1896&lt;&gt;"",INDIRECT("'"&amp;F1896&amp;"'!$F$17"),"")</f>
        <v/>
      </c>
      <c r="M1896" s="116" t="str">
        <f t="shared" ca="1" si="88"/>
        <v/>
      </c>
      <c r="O1896" s="49" t="str">
        <f t="shared" ca="1" si="89"/>
        <v/>
      </c>
      <c r="P1896" s="38" t="str">
        <f>IF(E1896&lt;&gt;"",RANK(E1896,$E$3:$E$2298)+COUNTIF($E$3:E1896,E1896)-1,"")</f>
        <v/>
      </c>
    </row>
    <row r="1897" spans="4:16" x14ac:dyDescent="0.25">
      <c r="D1897" s="36" t="str" cm="1">
        <f t="array" aca="1" ref="D1897" ca="1">IFERROR(IF(INDIRECT("'"&amp;F1897&amp;"'!$C$5")&gt;0,DATE(YEAR(Dashboard!$AL$2),Dashboard!$AU$4,INDIRECT("'"&amp;F1897&amp;"'!$C$5")),""),"")</f>
        <v/>
      </c>
      <c r="G1897" s="38" t="str" cm="1">
        <f t="array" aca="1" ref="G1897" ca="1">IF(F1897="",
    "",
    IFERROR(
        IF(INDIRECT("'"&amp;F1897&amp;"'!$B$2")="Credit Limit",
            "Credit Accounts",
            IF(INDIRECT("'"&amp;F1897&amp;"'!$E$2")="Location",
                "Cash Accounts",
                IF(INDIRECT("'"&amp;F1897&amp;"'!$B$2")="Amount",
                    "Investments",
                    "Bill Accounts"
                )
            )
        ),
    "")
)</f>
        <v/>
      </c>
      <c r="I1897" s="46" t="str" cm="1">
        <f t="array" aca="1" ref="I1897" ca="1">IF(F1897&lt;&gt;"",IF(OR(G1897="Bill Accounts",G1897="Investments", G1897="Cash Accounts"),INDIRECT("'"&amp;F1897&amp;"'!$C$10"),INDIRECT("'"&amp;F1897&amp;"'!$C$8")),"")</f>
        <v/>
      </c>
      <c r="K1897" s="48">
        <f t="shared" si="90"/>
        <v>1903</v>
      </c>
      <c r="L1897" s="114" t="str" cm="1">
        <f t="array" aca="1" ref="L1897" ca="1">IF(F1897&lt;&gt;"",INDIRECT("'"&amp;F1897&amp;"'!$F$17"),"")</f>
        <v/>
      </c>
      <c r="M1897" s="116" t="str">
        <f t="shared" ca="1" si="88"/>
        <v/>
      </c>
      <c r="O1897" s="49" t="str">
        <f t="shared" ca="1" si="89"/>
        <v/>
      </c>
      <c r="P1897" s="38" t="str">
        <f>IF(E1897&lt;&gt;"",RANK(E1897,$E$3:$E$2298)+COUNTIF($E$3:E1897,E1897)-1,"")</f>
        <v/>
      </c>
    </row>
    <row r="1898" spans="4:16" x14ac:dyDescent="0.25">
      <c r="D1898" s="36" t="str" cm="1">
        <f t="array" aca="1" ref="D1898" ca="1">IFERROR(IF(INDIRECT("'"&amp;F1898&amp;"'!$C$5")&gt;0,DATE(YEAR(Dashboard!$AL$2),Dashboard!$AU$4,INDIRECT("'"&amp;F1898&amp;"'!$C$5")),""),"")</f>
        <v/>
      </c>
      <c r="G1898" s="38" t="str" cm="1">
        <f t="array" aca="1" ref="G1898" ca="1">IF(F1898="",
    "",
    IFERROR(
        IF(INDIRECT("'"&amp;F1898&amp;"'!$B$2")="Credit Limit",
            "Credit Accounts",
            IF(INDIRECT("'"&amp;F1898&amp;"'!$E$2")="Location",
                "Cash Accounts",
                IF(INDIRECT("'"&amp;F1898&amp;"'!$B$2")="Amount",
                    "Investments",
                    "Bill Accounts"
                )
            )
        ),
    "")
)</f>
        <v/>
      </c>
      <c r="I1898" s="46" t="str" cm="1">
        <f t="array" aca="1" ref="I1898" ca="1">IF(F1898&lt;&gt;"",IF(OR(G1898="Bill Accounts",G1898="Investments", G1898="Cash Accounts"),INDIRECT("'"&amp;F1898&amp;"'!$C$10"),INDIRECT("'"&amp;F1898&amp;"'!$C$8")),"")</f>
        <v/>
      </c>
      <c r="K1898" s="48">
        <f t="shared" si="90"/>
        <v>1904</v>
      </c>
      <c r="L1898" s="114" t="str" cm="1">
        <f t="array" aca="1" ref="L1898" ca="1">IF(F1898&lt;&gt;"",INDIRECT("'"&amp;F1898&amp;"'!$F$17"),"")</f>
        <v/>
      </c>
      <c r="M1898" s="116" t="str">
        <f t="shared" ca="1" si="88"/>
        <v/>
      </c>
      <c r="O1898" s="49" t="str">
        <f t="shared" ca="1" si="89"/>
        <v/>
      </c>
      <c r="P1898" s="38" t="str">
        <f>IF(E1898&lt;&gt;"",RANK(E1898,$E$3:$E$2298)+COUNTIF($E$3:E1898,E1898)-1,"")</f>
        <v/>
      </c>
    </row>
    <row r="1899" spans="4:16" x14ac:dyDescent="0.25">
      <c r="D1899" s="36" t="str" cm="1">
        <f t="array" aca="1" ref="D1899" ca="1">IFERROR(IF(INDIRECT("'"&amp;F1899&amp;"'!$C$5")&gt;0,DATE(YEAR(Dashboard!$AL$2),Dashboard!$AU$4,INDIRECT("'"&amp;F1899&amp;"'!$C$5")),""),"")</f>
        <v/>
      </c>
      <c r="G1899" s="38" t="str" cm="1">
        <f t="array" aca="1" ref="G1899" ca="1">IF(F1899="",
    "",
    IFERROR(
        IF(INDIRECT("'"&amp;F1899&amp;"'!$B$2")="Credit Limit",
            "Credit Accounts",
            IF(INDIRECT("'"&amp;F1899&amp;"'!$E$2")="Location",
                "Cash Accounts",
                IF(INDIRECT("'"&amp;F1899&amp;"'!$B$2")="Amount",
                    "Investments",
                    "Bill Accounts"
                )
            )
        ),
    "")
)</f>
        <v/>
      </c>
      <c r="I1899" s="46" t="str" cm="1">
        <f t="array" aca="1" ref="I1899" ca="1">IF(F1899&lt;&gt;"",IF(OR(G1899="Bill Accounts",G1899="Investments", G1899="Cash Accounts"),INDIRECT("'"&amp;F1899&amp;"'!$C$10"),INDIRECT("'"&amp;F1899&amp;"'!$C$8")),"")</f>
        <v/>
      </c>
      <c r="K1899" s="48">
        <f t="shared" si="90"/>
        <v>1905</v>
      </c>
      <c r="L1899" s="114" t="str" cm="1">
        <f t="array" aca="1" ref="L1899" ca="1">IF(F1899&lt;&gt;"",INDIRECT("'"&amp;F1899&amp;"'!$F$17"),"")</f>
        <v/>
      </c>
      <c r="M1899" s="116" t="str">
        <f t="shared" ca="1" si="88"/>
        <v/>
      </c>
      <c r="O1899" s="49" t="str">
        <f t="shared" ca="1" si="89"/>
        <v/>
      </c>
      <c r="P1899" s="38" t="str">
        <f>IF(E1899&lt;&gt;"",RANK(E1899,$E$3:$E$2298)+COUNTIF($E$3:E1899,E1899)-1,"")</f>
        <v/>
      </c>
    </row>
    <row r="1900" spans="4:16" x14ac:dyDescent="0.25">
      <c r="D1900" s="36" t="str" cm="1">
        <f t="array" aca="1" ref="D1900" ca="1">IFERROR(IF(INDIRECT("'"&amp;F1900&amp;"'!$C$5")&gt;0,DATE(YEAR(Dashboard!$AL$2),Dashboard!$AU$4,INDIRECT("'"&amp;F1900&amp;"'!$C$5")),""),"")</f>
        <v/>
      </c>
      <c r="G1900" s="38" t="str" cm="1">
        <f t="array" aca="1" ref="G1900" ca="1">IF(F1900="",
    "",
    IFERROR(
        IF(INDIRECT("'"&amp;F1900&amp;"'!$B$2")="Credit Limit",
            "Credit Accounts",
            IF(INDIRECT("'"&amp;F1900&amp;"'!$E$2")="Location",
                "Cash Accounts",
                IF(INDIRECT("'"&amp;F1900&amp;"'!$B$2")="Amount",
                    "Investments",
                    "Bill Accounts"
                )
            )
        ),
    "")
)</f>
        <v/>
      </c>
      <c r="I1900" s="46" t="str" cm="1">
        <f t="array" aca="1" ref="I1900" ca="1">IF(F1900&lt;&gt;"",IF(OR(G1900="Bill Accounts",G1900="Investments", G1900="Cash Accounts"),INDIRECT("'"&amp;F1900&amp;"'!$C$10"),INDIRECT("'"&amp;F1900&amp;"'!$C$8")),"")</f>
        <v/>
      </c>
      <c r="K1900" s="48">
        <f t="shared" si="90"/>
        <v>1906</v>
      </c>
      <c r="L1900" s="114" t="str" cm="1">
        <f t="array" aca="1" ref="L1900" ca="1">IF(F1900&lt;&gt;"",INDIRECT("'"&amp;F1900&amp;"'!$F$17"),"")</f>
        <v/>
      </c>
      <c r="M1900" s="116" t="str">
        <f t="shared" ca="1" si="88"/>
        <v/>
      </c>
      <c r="O1900" s="49" t="str">
        <f t="shared" ca="1" si="89"/>
        <v/>
      </c>
      <c r="P1900" s="38" t="str">
        <f>IF(E1900&lt;&gt;"",RANK(E1900,$E$3:$E$2298)+COUNTIF($E$3:E1900,E1900)-1,"")</f>
        <v/>
      </c>
    </row>
    <row r="1901" spans="4:16" x14ac:dyDescent="0.25">
      <c r="D1901" s="36" t="str" cm="1">
        <f t="array" aca="1" ref="D1901" ca="1">IFERROR(IF(INDIRECT("'"&amp;F1901&amp;"'!$C$5")&gt;0,DATE(YEAR(Dashboard!$AL$2),Dashboard!$AU$4,INDIRECT("'"&amp;F1901&amp;"'!$C$5")),""),"")</f>
        <v/>
      </c>
      <c r="G1901" s="38" t="str" cm="1">
        <f t="array" aca="1" ref="G1901" ca="1">IF(F1901="",
    "",
    IFERROR(
        IF(INDIRECT("'"&amp;F1901&amp;"'!$B$2")="Credit Limit",
            "Credit Accounts",
            IF(INDIRECT("'"&amp;F1901&amp;"'!$E$2")="Location",
                "Cash Accounts",
                IF(INDIRECT("'"&amp;F1901&amp;"'!$B$2")="Amount",
                    "Investments",
                    "Bill Accounts"
                )
            )
        ),
    "")
)</f>
        <v/>
      </c>
      <c r="I1901" s="46" t="str" cm="1">
        <f t="array" aca="1" ref="I1901" ca="1">IF(F1901&lt;&gt;"",IF(OR(G1901="Bill Accounts",G1901="Investments", G1901="Cash Accounts"),INDIRECT("'"&amp;F1901&amp;"'!$C$10"),INDIRECT("'"&amp;F1901&amp;"'!$C$8")),"")</f>
        <v/>
      </c>
      <c r="K1901" s="48">
        <f t="shared" si="90"/>
        <v>1907</v>
      </c>
      <c r="L1901" s="114" t="str" cm="1">
        <f t="array" aca="1" ref="L1901" ca="1">IF(F1901&lt;&gt;"",INDIRECT("'"&amp;F1901&amp;"'!$F$17"),"")</f>
        <v/>
      </c>
      <c r="M1901" s="116" t="str">
        <f t="shared" ca="1" si="88"/>
        <v/>
      </c>
      <c r="O1901" s="49" t="str">
        <f t="shared" ca="1" si="89"/>
        <v/>
      </c>
      <c r="P1901" s="38" t="str">
        <f>IF(E1901&lt;&gt;"",RANK(E1901,$E$3:$E$2298)+COUNTIF($E$3:E1901,E1901)-1,"")</f>
        <v/>
      </c>
    </row>
    <row r="1902" spans="4:16" x14ac:dyDescent="0.25">
      <c r="D1902" s="36" t="str" cm="1">
        <f t="array" aca="1" ref="D1902" ca="1">IFERROR(IF(INDIRECT("'"&amp;F1902&amp;"'!$C$5")&gt;0,DATE(YEAR(Dashboard!$AL$2),Dashboard!$AU$4,INDIRECT("'"&amp;F1902&amp;"'!$C$5")),""),"")</f>
        <v/>
      </c>
      <c r="G1902" s="38" t="str" cm="1">
        <f t="array" aca="1" ref="G1902" ca="1">IF(F1902="",
    "",
    IFERROR(
        IF(INDIRECT("'"&amp;F1902&amp;"'!$B$2")="Credit Limit",
            "Credit Accounts",
            IF(INDIRECT("'"&amp;F1902&amp;"'!$E$2")="Location",
                "Cash Accounts",
                IF(INDIRECT("'"&amp;F1902&amp;"'!$B$2")="Amount",
                    "Investments",
                    "Bill Accounts"
                )
            )
        ),
    "")
)</f>
        <v/>
      </c>
      <c r="I1902" s="46" t="str" cm="1">
        <f t="array" aca="1" ref="I1902" ca="1">IF(F1902&lt;&gt;"",IF(OR(G1902="Bill Accounts",G1902="Investments", G1902="Cash Accounts"),INDIRECT("'"&amp;F1902&amp;"'!$C$10"),INDIRECT("'"&amp;F1902&amp;"'!$C$8")),"")</f>
        <v/>
      </c>
      <c r="K1902" s="48">
        <f t="shared" si="90"/>
        <v>1908</v>
      </c>
      <c r="L1902" s="114" t="str" cm="1">
        <f t="array" aca="1" ref="L1902" ca="1">IF(F1902&lt;&gt;"",INDIRECT("'"&amp;F1902&amp;"'!$F$17"),"")</f>
        <v/>
      </c>
      <c r="M1902" s="116" t="str">
        <f t="shared" ca="1" si="88"/>
        <v/>
      </c>
      <c r="O1902" s="49" t="str">
        <f t="shared" ca="1" si="89"/>
        <v/>
      </c>
      <c r="P1902" s="38" t="str">
        <f>IF(E1902&lt;&gt;"",RANK(E1902,$E$3:$E$2298)+COUNTIF($E$3:E1902,E1902)-1,"")</f>
        <v/>
      </c>
    </row>
    <row r="1903" spans="4:16" x14ac:dyDescent="0.25">
      <c r="D1903" s="36" t="str" cm="1">
        <f t="array" aca="1" ref="D1903" ca="1">IFERROR(IF(INDIRECT("'"&amp;F1903&amp;"'!$C$5")&gt;0,DATE(YEAR(Dashboard!$AL$2),Dashboard!$AU$4,INDIRECT("'"&amp;F1903&amp;"'!$C$5")),""),"")</f>
        <v/>
      </c>
      <c r="G1903" s="38" t="str" cm="1">
        <f t="array" aca="1" ref="G1903" ca="1">IF(F1903="",
    "",
    IFERROR(
        IF(INDIRECT("'"&amp;F1903&amp;"'!$B$2")="Credit Limit",
            "Credit Accounts",
            IF(INDIRECT("'"&amp;F1903&amp;"'!$E$2")="Location",
                "Cash Accounts",
                IF(INDIRECT("'"&amp;F1903&amp;"'!$B$2")="Amount",
                    "Investments",
                    "Bill Accounts"
                )
            )
        ),
    "")
)</f>
        <v/>
      </c>
      <c r="I1903" s="46" t="str" cm="1">
        <f t="array" aca="1" ref="I1903" ca="1">IF(F1903&lt;&gt;"",IF(OR(G1903="Bill Accounts",G1903="Investments", G1903="Cash Accounts"),INDIRECT("'"&amp;F1903&amp;"'!$C$10"),INDIRECT("'"&amp;F1903&amp;"'!$C$8")),"")</f>
        <v/>
      </c>
      <c r="K1903" s="48">
        <f t="shared" si="90"/>
        <v>1909</v>
      </c>
      <c r="L1903" s="114" t="str" cm="1">
        <f t="array" aca="1" ref="L1903" ca="1">IF(F1903&lt;&gt;"",INDIRECT("'"&amp;F1903&amp;"'!$F$17"),"")</f>
        <v/>
      </c>
      <c r="M1903" s="116" t="str">
        <f t="shared" ca="1" si="88"/>
        <v/>
      </c>
      <c r="O1903" s="49" t="str">
        <f t="shared" ca="1" si="89"/>
        <v/>
      </c>
      <c r="P1903" s="38" t="str">
        <f>IF(E1903&lt;&gt;"",RANK(E1903,$E$3:$E$2298)+COUNTIF($E$3:E1903,E1903)-1,"")</f>
        <v/>
      </c>
    </row>
    <row r="1904" spans="4:16" x14ac:dyDescent="0.25">
      <c r="D1904" s="36" t="str" cm="1">
        <f t="array" aca="1" ref="D1904" ca="1">IFERROR(IF(INDIRECT("'"&amp;F1904&amp;"'!$C$5")&gt;0,DATE(YEAR(Dashboard!$AL$2),Dashboard!$AU$4,INDIRECT("'"&amp;F1904&amp;"'!$C$5")),""),"")</f>
        <v/>
      </c>
      <c r="G1904" s="38" t="str" cm="1">
        <f t="array" aca="1" ref="G1904" ca="1">IF(F1904="",
    "",
    IFERROR(
        IF(INDIRECT("'"&amp;F1904&amp;"'!$B$2")="Credit Limit",
            "Credit Accounts",
            IF(INDIRECT("'"&amp;F1904&amp;"'!$E$2")="Location",
                "Cash Accounts",
                IF(INDIRECT("'"&amp;F1904&amp;"'!$B$2")="Amount",
                    "Investments",
                    "Bill Accounts"
                )
            )
        ),
    "")
)</f>
        <v/>
      </c>
      <c r="I1904" s="46" t="str" cm="1">
        <f t="array" aca="1" ref="I1904" ca="1">IF(F1904&lt;&gt;"",IF(OR(G1904="Bill Accounts",G1904="Investments", G1904="Cash Accounts"),INDIRECT("'"&amp;F1904&amp;"'!$C$10"),INDIRECT("'"&amp;F1904&amp;"'!$C$8")),"")</f>
        <v/>
      </c>
      <c r="K1904" s="48">
        <f t="shared" si="90"/>
        <v>1910</v>
      </c>
      <c r="L1904" s="114" t="str" cm="1">
        <f t="array" aca="1" ref="L1904" ca="1">IF(F1904&lt;&gt;"",INDIRECT("'"&amp;F1904&amp;"'!$F$17"),"")</f>
        <v/>
      </c>
      <c r="M1904" s="116" t="str">
        <f t="shared" ca="1" si="88"/>
        <v/>
      </c>
      <c r="O1904" s="49" t="str">
        <f t="shared" ca="1" si="89"/>
        <v/>
      </c>
      <c r="P1904" s="38" t="str">
        <f>IF(E1904&lt;&gt;"",RANK(E1904,$E$3:$E$2298)+COUNTIF($E$3:E1904,E1904)-1,"")</f>
        <v/>
      </c>
    </row>
    <row r="1905" spans="4:16" x14ac:dyDescent="0.25">
      <c r="D1905" s="36" t="str" cm="1">
        <f t="array" aca="1" ref="D1905" ca="1">IFERROR(IF(INDIRECT("'"&amp;F1905&amp;"'!$C$5")&gt;0,DATE(YEAR(Dashboard!$AL$2),Dashboard!$AU$4,INDIRECT("'"&amp;F1905&amp;"'!$C$5")),""),"")</f>
        <v/>
      </c>
      <c r="G1905" s="38" t="str" cm="1">
        <f t="array" aca="1" ref="G1905" ca="1">IF(F1905="",
    "",
    IFERROR(
        IF(INDIRECT("'"&amp;F1905&amp;"'!$B$2")="Credit Limit",
            "Credit Accounts",
            IF(INDIRECT("'"&amp;F1905&amp;"'!$E$2")="Location",
                "Cash Accounts",
                IF(INDIRECT("'"&amp;F1905&amp;"'!$B$2")="Amount",
                    "Investments",
                    "Bill Accounts"
                )
            )
        ),
    "")
)</f>
        <v/>
      </c>
      <c r="I1905" s="46" t="str" cm="1">
        <f t="array" aca="1" ref="I1905" ca="1">IF(F1905&lt;&gt;"",IF(OR(G1905="Bill Accounts",G1905="Investments", G1905="Cash Accounts"),INDIRECT("'"&amp;F1905&amp;"'!$C$10"),INDIRECT("'"&amp;F1905&amp;"'!$C$8")),"")</f>
        <v/>
      </c>
      <c r="K1905" s="48">
        <f t="shared" si="90"/>
        <v>1911</v>
      </c>
      <c r="L1905" s="114" t="str" cm="1">
        <f t="array" aca="1" ref="L1905" ca="1">IF(F1905&lt;&gt;"",INDIRECT("'"&amp;F1905&amp;"'!$F$17"),"")</f>
        <v/>
      </c>
      <c r="M1905" s="116" t="str">
        <f t="shared" ca="1" si="88"/>
        <v/>
      </c>
      <c r="O1905" s="49" t="str">
        <f t="shared" ca="1" si="89"/>
        <v/>
      </c>
      <c r="P1905" s="38" t="str">
        <f>IF(E1905&lt;&gt;"",RANK(E1905,$E$3:$E$2298)+COUNTIF($E$3:E1905,E1905)-1,"")</f>
        <v/>
      </c>
    </row>
    <row r="1906" spans="4:16" x14ac:dyDescent="0.25">
      <c r="D1906" s="36" t="str" cm="1">
        <f t="array" aca="1" ref="D1906" ca="1">IFERROR(IF(INDIRECT("'"&amp;F1906&amp;"'!$C$5")&gt;0,DATE(YEAR(Dashboard!$AL$2),Dashboard!$AU$4,INDIRECT("'"&amp;F1906&amp;"'!$C$5")),""),"")</f>
        <v/>
      </c>
      <c r="G1906" s="38" t="str" cm="1">
        <f t="array" aca="1" ref="G1906" ca="1">IF(F1906="",
    "",
    IFERROR(
        IF(INDIRECT("'"&amp;F1906&amp;"'!$B$2")="Credit Limit",
            "Credit Accounts",
            IF(INDIRECT("'"&amp;F1906&amp;"'!$E$2")="Location",
                "Cash Accounts",
                IF(INDIRECT("'"&amp;F1906&amp;"'!$B$2")="Amount",
                    "Investments",
                    "Bill Accounts"
                )
            )
        ),
    "")
)</f>
        <v/>
      </c>
      <c r="I1906" s="46" t="str" cm="1">
        <f t="array" aca="1" ref="I1906" ca="1">IF(F1906&lt;&gt;"",IF(OR(G1906="Bill Accounts",G1906="Investments", G1906="Cash Accounts"),INDIRECT("'"&amp;F1906&amp;"'!$C$10"),INDIRECT("'"&amp;F1906&amp;"'!$C$8")),"")</f>
        <v/>
      </c>
      <c r="K1906" s="48">
        <f t="shared" si="90"/>
        <v>1912</v>
      </c>
      <c r="L1906" s="114" t="str" cm="1">
        <f t="array" aca="1" ref="L1906" ca="1">IF(F1906&lt;&gt;"",INDIRECT("'"&amp;F1906&amp;"'!$F$17"),"")</f>
        <v/>
      </c>
      <c r="M1906" s="116" t="str">
        <f t="shared" ca="1" si="88"/>
        <v/>
      </c>
      <c r="O1906" s="49" t="str">
        <f t="shared" ca="1" si="89"/>
        <v/>
      </c>
      <c r="P1906" s="38" t="str">
        <f>IF(E1906&lt;&gt;"",RANK(E1906,$E$3:$E$2298)+COUNTIF($E$3:E1906,E1906)-1,"")</f>
        <v/>
      </c>
    </row>
    <row r="1907" spans="4:16" x14ac:dyDescent="0.25">
      <c r="D1907" s="36" t="str" cm="1">
        <f t="array" aca="1" ref="D1907" ca="1">IFERROR(IF(INDIRECT("'"&amp;F1907&amp;"'!$C$5")&gt;0,DATE(YEAR(Dashboard!$AL$2),Dashboard!$AU$4,INDIRECT("'"&amp;F1907&amp;"'!$C$5")),""),"")</f>
        <v/>
      </c>
      <c r="G1907" s="38" t="str" cm="1">
        <f t="array" aca="1" ref="G1907" ca="1">IF(F1907="",
    "",
    IFERROR(
        IF(INDIRECT("'"&amp;F1907&amp;"'!$B$2")="Credit Limit",
            "Credit Accounts",
            IF(INDIRECT("'"&amp;F1907&amp;"'!$E$2")="Location",
                "Cash Accounts",
                IF(INDIRECT("'"&amp;F1907&amp;"'!$B$2")="Amount",
                    "Investments",
                    "Bill Accounts"
                )
            )
        ),
    "")
)</f>
        <v/>
      </c>
      <c r="I1907" s="46" t="str" cm="1">
        <f t="array" aca="1" ref="I1907" ca="1">IF(F1907&lt;&gt;"",IF(OR(G1907="Bill Accounts",G1907="Investments", G1907="Cash Accounts"),INDIRECT("'"&amp;F1907&amp;"'!$C$10"),INDIRECT("'"&amp;F1907&amp;"'!$C$8")),"")</f>
        <v/>
      </c>
      <c r="K1907" s="48">
        <f t="shared" si="90"/>
        <v>1913</v>
      </c>
      <c r="L1907" s="114" t="str" cm="1">
        <f t="array" aca="1" ref="L1907" ca="1">IF(F1907&lt;&gt;"",INDIRECT("'"&amp;F1907&amp;"'!$F$17"),"")</f>
        <v/>
      </c>
      <c r="M1907" s="116" t="str">
        <f t="shared" ca="1" si="88"/>
        <v/>
      </c>
      <c r="O1907" s="49" t="str">
        <f t="shared" ca="1" si="89"/>
        <v/>
      </c>
      <c r="P1907" s="38" t="str">
        <f>IF(E1907&lt;&gt;"",RANK(E1907,$E$3:$E$2298)+COUNTIF($E$3:E1907,E1907)-1,"")</f>
        <v/>
      </c>
    </row>
    <row r="1908" spans="4:16" x14ac:dyDescent="0.25">
      <c r="D1908" s="36" t="str" cm="1">
        <f t="array" aca="1" ref="D1908" ca="1">IFERROR(IF(INDIRECT("'"&amp;F1908&amp;"'!$C$5")&gt;0,DATE(YEAR(Dashboard!$AL$2),Dashboard!$AU$4,INDIRECT("'"&amp;F1908&amp;"'!$C$5")),""),"")</f>
        <v/>
      </c>
      <c r="G1908" s="38" t="str" cm="1">
        <f t="array" aca="1" ref="G1908" ca="1">IF(F1908="",
    "",
    IFERROR(
        IF(INDIRECT("'"&amp;F1908&amp;"'!$B$2")="Credit Limit",
            "Credit Accounts",
            IF(INDIRECT("'"&amp;F1908&amp;"'!$E$2")="Location",
                "Cash Accounts",
                IF(INDIRECT("'"&amp;F1908&amp;"'!$B$2")="Amount",
                    "Investments",
                    "Bill Accounts"
                )
            )
        ),
    "")
)</f>
        <v/>
      </c>
      <c r="I1908" s="46" t="str" cm="1">
        <f t="array" aca="1" ref="I1908" ca="1">IF(F1908&lt;&gt;"",IF(OR(G1908="Bill Accounts",G1908="Investments", G1908="Cash Accounts"),INDIRECT("'"&amp;F1908&amp;"'!$C$10"),INDIRECT("'"&amp;F1908&amp;"'!$C$8")),"")</f>
        <v/>
      </c>
      <c r="K1908" s="48">
        <f t="shared" si="90"/>
        <v>1914</v>
      </c>
      <c r="L1908" s="114" t="str" cm="1">
        <f t="array" aca="1" ref="L1908" ca="1">IF(F1908&lt;&gt;"",INDIRECT("'"&amp;F1908&amp;"'!$F$17"),"")</f>
        <v/>
      </c>
      <c r="M1908" s="116" t="str">
        <f t="shared" ca="1" si="88"/>
        <v/>
      </c>
      <c r="O1908" s="49" t="str">
        <f t="shared" ca="1" si="89"/>
        <v/>
      </c>
      <c r="P1908" s="38" t="str">
        <f>IF(E1908&lt;&gt;"",RANK(E1908,$E$3:$E$2298)+COUNTIF($E$3:E1908,E1908)-1,"")</f>
        <v/>
      </c>
    </row>
    <row r="1909" spans="4:16" x14ac:dyDescent="0.25">
      <c r="D1909" s="36" t="str" cm="1">
        <f t="array" aca="1" ref="D1909" ca="1">IFERROR(IF(INDIRECT("'"&amp;F1909&amp;"'!$C$5")&gt;0,DATE(YEAR(Dashboard!$AL$2),Dashboard!$AU$4,INDIRECT("'"&amp;F1909&amp;"'!$C$5")),""),"")</f>
        <v/>
      </c>
      <c r="G1909" s="38" t="str" cm="1">
        <f t="array" aca="1" ref="G1909" ca="1">IF(F1909="",
    "",
    IFERROR(
        IF(INDIRECT("'"&amp;F1909&amp;"'!$B$2")="Credit Limit",
            "Credit Accounts",
            IF(INDIRECT("'"&amp;F1909&amp;"'!$E$2")="Location",
                "Cash Accounts",
                IF(INDIRECT("'"&amp;F1909&amp;"'!$B$2")="Amount",
                    "Investments",
                    "Bill Accounts"
                )
            )
        ),
    "")
)</f>
        <v/>
      </c>
      <c r="I1909" s="46" t="str" cm="1">
        <f t="array" aca="1" ref="I1909" ca="1">IF(F1909&lt;&gt;"",IF(OR(G1909="Bill Accounts",G1909="Investments", G1909="Cash Accounts"),INDIRECT("'"&amp;F1909&amp;"'!$C$10"),INDIRECT("'"&amp;F1909&amp;"'!$C$8")),"")</f>
        <v/>
      </c>
      <c r="K1909" s="48">
        <f t="shared" si="90"/>
        <v>1915</v>
      </c>
      <c r="L1909" s="114" t="str" cm="1">
        <f t="array" aca="1" ref="L1909" ca="1">IF(F1909&lt;&gt;"",INDIRECT("'"&amp;F1909&amp;"'!$F$17"),"")</f>
        <v/>
      </c>
      <c r="M1909" s="116" t="str">
        <f t="shared" ca="1" si="88"/>
        <v/>
      </c>
      <c r="O1909" s="49" t="str">
        <f t="shared" ca="1" si="89"/>
        <v/>
      </c>
      <c r="P1909" s="38" t="str">
        <f>IF(E1909&lt;&gt;"",RANK(E1909,$E$3:$E$2298)+COUNTIF($E$3:E1909,E1909)-1,"")</f>
        <v/>
      </c>
    </row>
    <row r="1910" spans="4:16" x14ac:dyDescent="0.25">
      <c r="D1910" s="36" t="str" cm="1">
        <f t="array" aca="1" ref="D1910" ca="1">IFERROR(IF(INDIRECT("'"&amp;F1910&amp;"'!$C$5")&gt;0,DATE(YEAR(Dashboard!$AL$2),Dashboard!$AU$4,INDIRECT("'"&amp;F1910&amp;"'!$C$5")),""),"")</f>
        <v/>
      </c>
      <c r="G1910" s="38" t="str" cm="1">
        <f t="array" aca="1" ref="G1910" ca="1">IF(F1910="",
    "",
    IFERROR(
        IF(INDIRECT("'"&amp;F1910&amp;"'!$B$2")="Credit Limit",
            "Credit Accounts",
            IF(INDIRECT("'"&amp;F1910&amp;"'!$E$2")="Location",
                "Cash Accounts",
                IF(INDIRECT("'"&amp;F1910&amp;"'!$B$2")="Amount",
                    "Investments",
                    "Bill Accounts"
                )
            )
        ),
    "")
)</f>
        <v/>
      </c>
      <c r="I1910" s="46" t="str" cm="1">
        <f t="array" aca="1" ref="I1910" ca="1">IF(F1910&lt;&gt;"",IF(OR(G1910="Bill Accounts",G1910="Investments", G1910="Cash Accounts"),INDIRECT("'"&amp;F1910&amp;"'!$C$10"),INDIRECT("'"&amp;F1910&amp;"'!$C$8")),"")</f>
        <v/>
      </c>
      <c r="K1910" s="48">
        <f t="shared" si="90"/>
        <v>1916</v>
      </c>
      <c r="L1910" s="114" t="str" cm="1">
        <f t="array" aca="1" ref="L1910" ca="1">IF(F1910&lt;&gt;"",INDIRECT("'"&amp;F1910&amp;"'!$F$17"),"")</f>
        <v/>
      </c>
      <c r="M1910" s="116" t="str">
        <f t="shared" ca="1" si="88"/>
        <v/>
      </c>
      <c r="O1910" s="49" t="str">
        <f t="shared" ca="1" si="89"/>
        <v/>
      </c>
      <c r="P1910" s="38" t="str">
        <f>IF(E1910&lt;&gt;"",RANK(E1910,$E$3:$E$2298)+COUNTIF($E$3:E1910,E1910)-1,"")</f>
        <v/>
      </c>
    </row>
    <row r="1911" spans="4:16" x14ac:dyDescent="0.25">
      <c r="D1911" s="36" t="str" cm="1">
        <f t="array" aca="1" ref="D1911" ca="1">IFERROR(IF(INDIRECT("'"&amp;F1911&amp;"'!$C$5")&gt;0,DATE(YEAR(Dashboard!$AL$2),Dashboard!$AU$4,INDIRECT("'"&amp;F1911&amp;"'!$C$5")),""),"")</f>
        <v/>
      </c>
      <c r="G1911" s="38" t="str" cm="1">
        <f t="array" aca="1" ref="G1911" ca="1">IF(F1911="",
    "",
    IFERROR(
        IF(INDIRECT("'"&amp;F1911&amp;"'!$B$2")="Credit Limit",
            "Credit Accounts",
            IF(INDIRECT("'"&amp;F1911&amp;"'!$E$2")="Location",
                "Cash Accounts",
                IF(INDIRECT("'"&amp;F1911&amp;"'!$B$2")="Amount",
                    "Investments",
                    "Bill Accounts"
                )
            )
        ),
    "")
)</f>
        <v/>
      </c>
      <c r="I1911" s="46" t="str" cm="1">
        <f t="array" aca="1" ref="I1911" ca="1">IF(F1911&lt;&gt;"",IF(OR(G1911="Bill Accounts",G1911="Investments", G1911="Cash Accounts"),INDIRECT("'"&amp;F1911&amp;"'!$C$10"),INDIRECT("'"&amp;F1911&amp;"'!$C$8")),"")</f>
        <v/>
      </c>
      <c r="K1911" s="48">
        <f t="shared" si="90"/>
        <v>1917</v>
      </c>
      <c r="L1911" s="114" t="str" cm="1">
        <f t="array" aca="1" ref="L1911" ca="1">IF(F1911&lt;&gt;"",INDIRECT("'"&amp;F1911&amp;"'!$F$17"),"")</f>
        <v/>
      </c>
      <c r="M1911" s="116" t="str">
        <f t="shared" ca="1" si="88"/>
        <v/>
      </c>
      <c r="O1911" s="49" t="str">
        <f t="shared" ca="1" si="89"/>
        <v/>
      </c>
      <c r="P1911" s="38" t="str">
        <f>IF(E1911&lt;&gt;"",RANK(E1911,$E$3:$E$2298)+COUNTIF($E$3:E1911,E1911)-1,"")</f>
        <v/>
      </c>
    </row>
    <row r="1912" spans="4:16" x14ac:dyDescent="0.25">
      <c r="D1912" s="36" t="str" cm="1">
        <f t="array" aca="1" ref="D1912" ca="1">IFERROR(IF(INDIRECT("'"&amp;F1912&amp;"'!$C$5")&gt;0,DATE(YEAR(Dashboard!$AL$2),Dashboard!$AU$4,INDIRECT("'"&amp;F1912&amp;"'!$C$5")),""),"")</f>
        <v/>
      </c>
      <c r="G1912" s="38" t="str" cm="1">
        <f t="array" aca="1" ref="G1912" ca="1">IF(F1912="",
    "",
    IFERROR(
        IF(INDIRECT("'"&amp;F1912&amp;"'!$B$2")="Credit Limit",
            "Credit Accounts",
            IF(INDIRECT("'"&amp;F1912&amp;"'!$E$2")="Location",
                "Cash Accounts",
                IF(INDIRECT("'"&amp;F1912&amp;"'!$B$2")="Amount",
                    "Investments",
                    "Bill Accounts"
                )
            )
        ),
    "")
)</f>
        <v/>
      </c>
      <c r="I1912" s="46" t="str" cm="1">
        <f t="array" aca="1" ref="I1912" ca="1">IF(F1912&lt;&gt;"",IF(OR(G1912="Bill Accounts",G1912="Investments", G1912="Cash Accounts"),INDIRECT("'"&amp;F1912&amp;"'!$C$10"),INDIRECT("'"&amp;F1912&amp;"'!$C$8")),"")</f>
        <v/>
      </c>
      <c r="K1912" s="48">
        <f t="shared" si="90"/>
        <v>1918</v>
      </c>
      <c r="L1912" s="114" t="str" cm="1">
        <f t="array" aca="1" ref="L1912" ca="1">IF(F1912&lt;&gt;"",INDIRECT("'"&amp;F1912&amp;"'!$F$17"),"")</f>
        <v/>
      </c>
      <c r="M1912" s="116" t="str">
        <f t="shared" ca="1" si="88"/>
        <v/>
      </c>
      <c r="O1912" s="49" t="str">
        <f t="shared" ca="1" si="89"/>
        <v/>
      </c>
      <c r="P1912" s="38" t="str">
        <f>IF(E1912&lt;&gt;"",RANK(E1912,$E$3:$E$2298)+COUNTIF($E$3:E1912,E1912)-1,"")</f>
        <v/>
      </c>
    </row>
    <row r="1913" spans="4:16" x14ac:dyDescent="0.25">
      <c r="D1913" s="36" t="str" cm="1">
        <f t="array" aca="1" ref="D1913" ca="1">IFERROR(IF(INDIRECT("'"&amp;F1913&amp;"'!$C$5")&gt;0,DATE(YEAR(Dashboard!$AL$2),Dashboard!$AU$4,INDIRECT("'"&amp;F1913&amp;"'!$C$5")),""),"")</f>
        <v/>
      </c>
      <c r="G1913" s="38" t="str" cm="1">
        <f t="array" aca="1" ref="G1913" ca="1">IF(F1913="",
    "",
    IFERROR(
        IF(INDIRECT("'"&amp;F1913&amp;"'!$B$2")="Credit Limit",
            "Credit Accounts",
            IF(INDIRECT("'"&amp;F1913&amp;"'!$E$2")="Location",
                "Cash Accounts",
                IF(INDIRECT("'"&amp;F1913&amp;"'!$B$2")="Amount",
                    "Investments",
                    "Bill Accounts"
                )
            )
        ),
    "")
)</f>
        <v/>
      </c>
      <c r="I1913" s="46" t="str" cm="1">
        <f t="array" aca="1" ref="I1913" ca="1">IF(F1913&lt;&gt;"",IF(OR(G1913="Bill Accounts",G1913="Investments", G1913="Cash Accounts"),INDIRECT("'"&amp;F1913&amp;"'!$C$10"),INDIRECT("'"&amp;F1913&amp;"'!$C$8")),"")</f>
        <v/>
      </c>
      <c r="K1913" s="48">
        <f t="shared" si="90"/>
        <v>1919</v>
      </c>
      <c r="L1913" s="114" t="str" cm="1">
        <f t="array" aca="1" ref="L1913" ca="1">IF(F1913&lt;&gt;"",INDIRECT("'"&amp;F1913&amp;"'!$F$17"),"")</f>
        <v/>
      </c>
      <c r="M1913" s="116" t="str">
        <f t="shared" ca="1" si="88"/>
        <v/>
      </c>
      <c r="O1913" s="49" t="str">
        <f t="shared" ca="1" si="89"/>
        <v/>
      </c>
      <c r="P1913" s="38" t="str">
        <f>IF(E1913&lt;&gt;"",RANK(E1913,$E$3:$E$2298)+COUNTIF($E$3:E1913,E1913)-1,"")</f>
        <v/>
      </c>
    </row>
    <row r="1914" spans="4:16" x14ac:dyDescent="0.25">
      <c r="D1914" s="36" t="str" cm="1">
        <f t="array" aca="1" ref="D1914" ca="1">IFERROR(IF(INDIRECT("'"&amp;F1914&amp;"'!$C$5")&gt;0,DATE(YEAR(Dashboard!$AL$2),Dashboard!$AU$4,INDIRECT("'"&amp;F1914&amp;"'!$C$5")),""),"")</f>
        <v/>
      </c>
      <c r="G1914" s="38" t="str" cm="1">
        <f t="array" aca="1" ref="G1914" ca="1">IF(F1914="",
    "",
    IFERROR(
        IF(INDIRECT("'"&amp;F1914&amp;"'!$B$2")="Credit Limit",
            "Credit Accounts",
            IF(INDIRECT("'"&amp;F1914&amp;"'!$E$2")="Location",
                "Cash Accounts",
                IF(INDIRECT("'"&amp;F1914&amp;"'!$B$2")="Amount",
                    "Investments",
                    "Bill Accounts"
                )
            )
        ),
    "")
)</f>
        <v/>
      </c>
      <c r="I1914" s="46" t="str" cm="1">
        <f t="array" aca="1" ref="I1914" ca="1">IF(F1914&lt;&gt;"",IF(OR(G1914="Bill Accounts",G1914="Investments", G1914="Cash Accounts"),INDIRECT("'"&amp;F1914&amp;"'!$C$10"),INDIRECT("'"&amp;F1914&amp;"'!$C$8")),"")</f>
        <v/>
      </c>
      <c r="K1914" s="48">
        <f t="shared" si="90"/>
        <v>1920</v>
      </c>
      <c r="L1914" s="114" t="str" cm="1">
        <f t="array" aca="1" ref="L1914" ca="1">IF(F1914&lt;&gt;"",INDIRECT("'"&amp;F1914&amp;"'!$F$17"),"")</f>
        <v/>
      </c>
      <c r="M1914" s="116" t="str">
        <f t="shared" ca="1" si="88"/>
        <v/>
      </c>
      <c r="O1914" s="49" t="str">
        <f t="shared" ca="1" si="89"/>
        <v/>
      </c>
      <c r="P1914" s="38" t="str">
        <f>IF(E1914&lt;&gt;"",RANK(E1914,$E$3:$E$2298)+COUNTIF($E$3:E1914,E1914)-1,"")</f>
        <v/>
      </c>
    </row>
    <row r="1915" spans="4:16" x14ac:dyDescent="0.25">
      <c r="D1915" s="36" t="str" cm="1">
        <f t="array" aca="1" ref="D1915" ca="1">IFERROR(IF(INDIRECT("'"&amp;F1915&amp;"'!$C$5")&gt;0,DATE(YEAR(Dashboard!$AL$2),Dashboard!$AU$4,INDIRECT("'"&amp;F1915&amp;"'!$C$5")),""),"")</f>
        <v/>
      </c>
      <c r="G1915" s="38" t="str" cm="1">
        <f t="array" aca="1" ref="G1915" ca="1">IF(F1915="",
    "",
    IFERROR(
        IF(INDIRECT("'"&amp;F1915&amp;"'!$B$2")="Credit Limit",
            "Credit Accounts",
            IF(INDIRECT("'"&amp;F1915&amp;"'!$E$2")="Location",
                "Cash Accounts",
                IF(INDIRECT("'"&amp;F1915&amp;"'!$B$2")="Amount",
                    "Investments",
                    "Bill Accounts"
                )
            )
        ),
    "")
)</f>
        <v/>
      </c>
      <c r="I1915" s="46" t="str" cm="1">
        <f t="array" aca="1" ref="I1915" ca="1">IF(F1915&lt;&gt;"",IF(OR(G1915="Bill Accounts",G1915="Investments", G1915="Cash Accounts"),INDIRECT("'"&amp;F1915&amp;"'!$C$10"),INDIRECT("'"&amp;F1915&amp;"'!$C$8")),"")</f>
        <v/>
      </c>
      <c r="K1915" s="48">
        <f t="shared" si="90"/>
        <v>1921</v>
      </c>
      <c r="L1915" s="114" t="str" cm="1">
        <f t="array" aca="1" ref="L1915" ca="1">IF(F1915&lt;&gt;"",INDIRECT("'"&amp;F1915&amp;"'!$F$17"),"")</f>
        <v/>
      </c>
      <c r="M1915" s="116" t="str">
        <f t="shared" ca="1" si="88"/>
        <v/>
      </c>
      <c r="O1915" s="49" t="str">
        <f t="shared" ca="1" si="89"/>
        <v/>
      </c>
      <c r="P1915" s="38" t="str">
        <f>IF(E1915&lt;&gt;"",RANK(E1915,$E$3:$E$2298)+COUNTIF($E$3:E1915,E1915)-1,"")</f>
        <v/>
      </c>
    </row>
    <row r="1916" spans="4:16" x14ac:dyDescent="0.25">
      <c r="D1916" s="36" t="str" cm="1">
        <f t="array" aca="1" ref="D1916" ca="1">IFERROR(IF(INDIRECT("'"&amp;F1916&amp;"'!$C$5")&gt;0,DATE(YEAR(Dashboard!$AL$2),Dashboard!$AU$4,INDIRECT("'"&amp;F1916&amp;"'!$C$5")),""),"")</f>
        <v/>
      </c>
      <c r="G1916" s="38" t="str" cm="1">
        <f t="array" aca="1" ref="G1916" ca="1">IF(F1916="",
    "",
    IFERROR(
        IF(INDIRECT("'"&amp;F1916&amp;"'!$B$2")="Credit Limit",
            "Credit Accounts",
            IF(INDIRECT("'"&amp;F1916&amp;"'!$E$2")="Location",
                "Cash Accounts",
                IF(INDIRECT("'"&amp;F1916&amp;"'!$B$2")="Amount",
                    "Investments",
                    "Bill Accounts"
                )
            )
        ),
    "")
)</f>
        <v/>
      </c>
      <c r="I1916" s="46" t="str" cm="1">
        <f t="array" aca="1" ref="I1916" ca="1">IF(F1916&lt;&gt;"",IF(OR(G1916="Bill Accounts",G1916="Investments", G1916="Cash Accounts"),INDIRECT("'"&amp;F1916&amp;"'!$C$10"),INDIRECT("'"&amp;F1916&amp;"'!$C$8")),"")</f>
        <v/>
      </c>
      <c r="K1916" s="48">
        <f t="shared" si="90"/>
        <v>1922</v>
      </c>
      <c r="L1916" s="114" t="str" cm="1">
        <f t="array" aca="1" ref="L1916" ca="1">IF(F1916&lt;&gt;"",INDIRECT("'"&amp;F1916&amp;"'!$F$17"),"")</f>
        <v/>
      </c>
      <c r="M1916" s="116" t="str">
        <f t="shared" ca="1" si="88"/>
        <v/>
      </c>
      <c r="O1916" s="49" t="str">
        <f t="shared" ca="1" si="89"/>
        <v/>
      </c>
      <c r="P1916" s="38" t="str">
        <f>IF(E1916&lt;&gt;"",RANK(E1916,$E$3:$E$2298)+COUNTIF($E$3:E1916,E1916)-1,"")</f>
        <v/>
      </c>
    </row>
    <row r="1917" spans="4:16" x14ac:dyDescent="0.25">
      <c r="D1917" s="36" t="str" cm="1">
        <f t="array" aca="1" ref="D1917" ca="1">IFERROR(IF(INDIRECT("'"&amp;F1917&amp;"'!$C$5")&gt;0,DATE(YEAR(Dashboard!$AL$2),Dashboard!$AU$4,INDIRECT("'"&amp;F1917&amp;"'!$C$5")),""),"")</f>
        <v/>
      </c>
      <c r="G1917" s="38" t="str" cm="1">
        <f t="array" aca="1" ref="G1917" ca="1">IF(F1917="",
    "",
    IFERROR(
        IF(INDIRECT("'"&amp;F1917&amp;"'!$B$2")="Credit Limit",
            "Credit Accounts",
            IF(INDIRECT("'"&amp;F1917&amp;"'!$E$2")="Location",
                "Cash Accounts",
                IF(INDIRECT("'"&amp;F1917&amp;"'!$B$2")="Amount",
                    "Investments",
                    "Bill Accounts"
                )
            )
        ),
    "")
)</f>
        <v/>
      </c>
      <c r="I1917" s="46" t="str" cm="1">
        <f t="array" aca="1" ref="I1917" ca="1">IF(F1917&lt;&gt;"",IF(OR(G1917="Bill Accounts",G1917="Investments", G1917="Cash Accounts"),INDIRECT("'"&amp;F1917&amp;"'!$C$10"),INDIRECT("'"&amp;F1917&amp;"'!$C$8")),"")</f>
        <v/>
      </c>
      <c r="K1917" s="48">
        <f t="shared" si="90"/>
        <v>1923</v>
      </c>
      <c r="L1917" s="114" t="str" cm="1">
        <f t="array" aca="1" ref="L1917" ca="1">IF(F1917&lt;&gt;"",INDIRECT("'"&amp;F1917&amp;"'!$F$17"),"")</f>
        <v/>
      </c>
      <c r="M1917" s="116" t="str">
        <f t="shared" ca="1" si="88"/>
        <v/>
      </c>
      <c r="O1917" s="49" t="str">
        <f t="shared" ca="1" si="89"/>
        <v/>
      </c>
      <c r="P1917" s="38" t="str">
        <f>IF(E1917&lt;&gt;"",RANK(E1917,$E$3:$E$2298)+COUNTIF($E$3:E1917,E1917)-1,"")</f>
        <v/>
      </c>
    </row>
    <row r="1918" spans="4:16" x14ac:dyDescent="0.25">
      <c r="D1918" s="36" t="str" cm="1">
        <f t="array" aca="1" ref="D1918" ca="1">IFERROR(IF(INDIRECT("'"&amp;F1918&amp;"'!$C$5")&gt;0,DATE(YEAR(Dashboard!$AL$2),Dashboard!$AU$4,INDIRECT("'"&amp;F1918&amp;"'!$C$5")),""),"")</f>
        <v/>
      </c>
      <c r="G1918" s="38" t="str" cm="1">
        <f t="array" aca="1" ref="G1918" ca="1">IF(F1918="",
    "",
    IFERROR(
        IF(INDIRECT("'"&amp;F1918&amp;"'!$B$2")="Credit Limit",
            "Credit Accounts",
            IF(INDIRECT("'"&amp;F1918&amp;"'!$E$2")="Location",
                "Cash Accounts",
                IF(INDIRECT("'"&amp;F1918&amp;"'!$B$2")="Amount",
                    "Investments",
                    "Bill Accounts"
                )
            )
        ),
    "")
)</f>
        <v/>
      </c>
      <c r="I1918" s="46" t="str" cm="1">
        <f t="array" aca="1" ref="I1918" ca="1">IF(F1918&lt;&gt;"",IF(OR(G1918="Bill Accounts",G1918="Investments", G1918="Cash Accounts"),INDIRECT("'"&amp;F1918&amp;"'!$C$10"),INDIRECT("'"&amp;F1918&amp;"'!$C$8")),"")</f>
        <v/>
      </c>
      <c r="K1918" s="48">
        <f t="shared" si="90"/>
        <v>1924</v>
      </c>
      <c r="L1918" s="114" t="str" cm="1">
        <f t="array" aca="1" ref="L1918" ca="1">IF(F1918&lt;&gt;"",INDIRECT("'"&amp;F1918&amp;"'!$F$17"),"")</f>
        <v/>
      </c>
      <c r="M1918" s="116" t="str">
        <f t="shared" ca="1" si="88"/>
        <v/>
      </c>
      <c r="O1918" s="49" t="str">
        <f t="shared" ca="1" si="89"/>
        <v/>
      </c>
      <c r="P1918" s="38" t="str">
        <f>IF(E1918&lt;&gt;"",RANK(E1918,$E$3:$E$2298)+COUNTIF($E$3:E1918,E1918)-1,"")</f>
        <v/>
      </c>
    </row>
    <row r="1919" spans="4:16" x14ac:dyDescent="0.25">
      <c r="D1919" s="36" t="str" cm="1">
        <f t="array" aca="1" ref="D1919" ca="1">IFERROR(IF(INDIRECT("'"&amp;F1919&amp;"'!$C$5")&gt;0,DATE(YEAR(Dashboard!$AL$2),Dashboard!$AU$4,INDIRECT("'"&amp;F1919&amp;"'!$C$5")),""),"")</f>
        <v/>
      </c>
      <c r="G1919" s="38" t="str" cm="1">
        <f t="array" aca="1" ref="G1919" ca="1">IF(F1919="",
    "",
    IFERROR(
        IF(INDIRECT("'"&amp;F1919&amp;"'!$B$2")="Credit Limit",
            "Credit Accounts",
            IF(INDIRECT("'"&amp;F1919&amp;"'!$E$2")="Location",
                "Cash Accounts",
                IF(INDIRECT("'"&amp;F1919&amp;"'!$B$2")="Amount",
                    "Investments",
                    "Bill Accounts"
                )
            )
        ),
    "")
)</f>
        <v/>
      </c>
      <c r="I1919" s="46" t="str" cm="1">
        <f t="array" aca="1" ref="I1919" ca="1">IF(F1919&lt;&gt;"",IF(OR(G1919="Bill Accounts",G1919="Investments", G1919="Cash Accounts"),INDIRECT("'"&amp;F1919&amp;"'!$C$10"),INDIRECT("'"&amp;F1919&amp;"'!$C$8")),"")</f>
        <v/>
      </c>
      <c r="K1919" s="48">
        <f t="shared" si="90"/>
        <v>1925</v>
      </c>
      <c r="L1919" s="114" t="str" cm="1">
        <f t="array" aca="1" ref="L1919" ca="1">IF(F1919&lt;&gt;"",INDIRECT("'"&amp;F1919&amp;"'!$F$17"),"")</f>
        <v/>
      </c>
      <c r="M1919" s="116" t="str">
        <f t="shared" ca="1" si="88"/>
        <v/>
      </c>
      <c r="O1919" s="49" t="str">
        <f t="shared" ca="1" si="89"/>
        <v/>
      </c>
      <c r="P1919" s="38" t="str">
        <f>IF(E1919&lt;&gt;"",RANK(E1919,$E$3:$E$2298)+COUNTIF($E$3:E1919,E1919)-1,"")</f>
        <v/>
      </c>
    </row>
    <row r="1920" spans="4:16" x14ac:dyDescent="0.25">
      <c r="D1920" s="36" t="str" cm="1">
        <f t="array" aca="1" ref="D1920" ca="1">IFERROR(IF(INDIRECT("'"&amp;F1920&amp;"'!$C$5")&gt;0,DATE(YEAR(Dashboard!$AL$2),Dashboard!$AU$4,INDIRECT("'"&amp;F1920&amp;"'!$C$5")),""),"")</f>
        <v/>
      </c>
      <c r="G1920" s="38" t="str" cm="1">
        <f t="array" aca="1" ref="G1920" ca="1">IF(F1920="",
    "",
    IFERROR(
        IF(INDIRECT("'"&amp;F1920&amp;"'!$B$2")="Credit Limit",
            "Credit Accounts",
            IF(INDIRECT("'"&amp;F1920&amp;"'!$E$2")="Location",
                "Cash Accounts",
                IF(INDIRECT("'"&amp;F1920&amp;"'!$B$2")="Amount",
                    "Investments",
                    "Bill Accounts"
                )
            )
        ),
    "")
)</f>
        <v/>
      </c>
      <c r="I1920" s="46" t="str" cm="1">
        <f t="array" aca="1" ref="I1920" ca="1">IF(F1920&lt;&gt;"",IF(OR(G1920="Bill Accounts",G1920="Investments", G1920="Cash Accounts"),INDIRECT("'"&amp;F1920&amp;"'!$C$10"),INDIRECT("'"&amp;F1920&amp;"'!$C$8")),"")</f>
        <v/>
      </c>
      <c r="K1920" s="48">
        <f t="shared" si="90"/>
        <v>1926</v>
      </c>
      <c r="L1920" s="114" t="str" cm="1">
        <f t="array" aca="1" ref="L1920" ca="1">IF(F1920&lt;&gt;"",INDIRECT("'"&amp;F1920&amp;"'!$F$17"),"")</f>
        <v/>
      </c>
      <c r="M1920" s="116" t="str">
        <f t="shared" ca="1" si="88"/>
        <v/>
      </c>
      <c r="O1920" s="49" t="str">
        <f t="shared" ca="1" si="89"/>
        <v/>
      </c>
      <c r="P1920" s="38" t="str">
        <f>IF(E1920&lt;&gt;"",RANK(E1920,$E$3:$E$2298)+COUNTIF($E$3:E1920,E1920)-1,"")</f>
        <v/>
      </c>
    </row>
    <row r="1921" spans="4:16" x14ac:dyDescent="0.25">
      <c r="D1921" s="36" t="str" cm="1">
        <f t="array" aca="1" ref="D1921" ca="1">IFERROR(IF(INDIRECT("'"&amp;F1921&amp;"'!$C$5")&gt;0,DATE(YEAR(Dashboard!$AL$2),Dashboard!$AU$4,INDIRECT("'"&amp;F1921&amp;"'!$C$5")),""),"")</f>
        <v/>
      </c>
      <c r="G1921" s="38" t="str" cm="1">
        <f t="array" aca="1" ref="G1921" ca="1">IF(F1921="",
    "",
    IFERROR(
        IF(INDIRECT("'"&amp;F1921&amp;"'!$B$2")="Credit Limit",
            "Credit Accounts",
            IF(INDIRECT("'"&amp;F1921&amp;"'!$E$2")="Location",
                "Cash Accounts",
                IF(INDIRECT("'"&amp;F1921&amp;"'!$B$2")="Amount",
                    "Investments",
                    "Bill Accounts"
                )
            )
        ),
    "")
)</f>
        <v/>
      </c>
      <c r="I1921" s="46" t="str" cm="1">
        <f t="array" aca="1" ref="I1921" ca="1">IF(F1921&lt;&gt;"",IF(OR(G1921="Bill Accounts",G1921="Investments", G1921="Cash Accounts"),INDIRECT("'"&amp;F1921&amp;"'!$C$10"),INDIRECT("'"&amp;F1921&amp;"'!$C$8")),"")</f>
        <v/>
      </c>
      <c r="K1921" s="48">
        <f t="shared" si="90"/>
        <v>1927</v>
      </c>
      <c r="L1921" s="114" t="str" cm="1">
        <f t="array" aca="1" ref="L1921" ca="1">IF(F1921&lt;&gt;"",INDIRECT("'"&amp;F1921&amp;"'!$F$17"),"")</f>
        <v/>
      </c>
      <c r="M1921" s="116" t="str">
        <f t="shared" ca="1" si="88"/>
        <v/>
      </c>
      <c r="O1921" s="49" t="str">
        <f t="shared" ca="1" si="89"/>
        <v/>
      </c>
      <c r="P1921" s="38" t="str">
        <f>IF(E1921&lt;&gt;"",RANK(E1921,$E$3:$E$2298)+COUNTIF($E$3:E1921,E1921)-1,"")</f>
        <v/>
      </c>
    </row>
    <row r="1922" spans="4:16" x14ac:dyDescent="0.25">
      <c r="D1922" s="36" t="str" cm="1">
        <f t="array" aca="1" ref="D1922" ca="1">IFERROR(IF(INDIRECT("'"&amp;F1922&amp;"'!$C$5")&gt;0,DATE(YEAR(Dashboard!$AL$2),Dashboard!$AU$4,INDIRECT("'"&amp;F1922&amp;"'!$C$5")),""),"")</f>
        <v/>
      </c>
      <c r="G1922" s="38" t="str" cm="1">
        <f t="array" aca="1" ref="G1922" ca="1">IF(F1922="",
    "",
    IFERROR(
        IF(INDIRECT("'"&amp;F1922&amp;"'!$B$2")="Credit Limit",
            "Credit Accounts",
            IF(INDIRECT("'"&amp;F1922&amp;"'!$E$2")="Location",
                "Cash Accounts",
                IF(INDIRECT("'"&amp;F1922&amp;"'!$B$2")="Amount",
                    "Investments",
                    "Bill Accounts"
                )
            )
        ),
    "")
)</f>
        <v/>
      </c>
      <c r="I1922" s="46" t="str" cm="1">
        <f t="array" aca="1" ref="I1922" ca="1">IF(F1922&lt;&gt;"",IF(OR(G1922="Bill Accounts",G1922="Investments", G1922="Cash Accounts"),INDIRECT("'"&amp;F1922&amp;"'!$C$10"),INDIRECT("'"&amp;F1922&amp;"'!$C$8")),"")</f>
        <v/>
      </c>
      <c r="K1922" s="48">
        <f t="shared" si="90"/>
        <v>1928</v>
      </c>
      <c r="L1922" s="114" t="str" cm="1">
        <f t="array" aca="1" ref="L1922" ca="1">IF(F1922&lt;&gt;"",INDIRECT("'"&amp;F1922&amp;"'!$F$17"),"")</f>
        <v/>
      </c>
      <c r="M1922" s="116" t="str">
        <f t="shared" ca="1" si="88"/>
        <v/>
      </c>
      <c r="O1922" s="49" t="str">
        <f t="shared" ca="1" si="89"/>
        <v/>
      </c>
      <c r="P1922" s="38" t="str">
        <f>IF(E1922&lt;&gt;"",RANK(E1922,$E$3:$E$2298)+COUNTIF($E$3:E1922,E1922)-1,"")</f>
        <v/>
      </c>
    </row>
    <row r="1923" spans="4:16" x14ac:dyDescent="0.25">
      <c r="D1923" s="36" t="str" cm="1">
        <f t="array" aca="1" ref="D1923" ca="1">IFERROR(IF(INDIRECT("'"&amp;F1923&amp;"'!$C$5")&gt;0,DATE(YEAR(Dashboard!$AL$2),Dashboard!$AU$4,INDIRECT("'"&amp;F1923&amp;"'!$C$5")),""),"")</f>
        <v/>
      </c>
      <c r="G1923" s="38" t="str" cm="1">
        <f t="array" aca="1" ref="G1923" ca="1">IF(F1923="",
    "",
    IFERROR(
        IF(INDIRECT("'"&amp;F1923&amp;"'!$B$2")="Credit Limit",
            "Credit Accounts",
            IF(INDIRECT("'"&amp;F1923&amp;"'!$E$2")="Location",
                "Cash Accounts",
                IF(INDIRECT("'"&amp;F1923&amp;"'!$B$2")="Amount",
                    "Investments",
                    "Bill Accounts"
                )
            )
        ),
    "")
)</f>
        <v/>
      </c>
      <c r="I1923" s="46" t="str" cm="1">
        <f t="array" aca="1" ref="I1923" ca="1">IF(F1923&lt;&gt;"",IF(OR(G1923="Bill Accounts",G1923="Investments", G1923="Cash Accounts"),INDIRECT("'"&amp;F1923&amp;"'!$C$10"),INDIRECT("'"&amp;F1923&amp;"'!$C$8")),"")</f>
        <v/>
      </c>
      <c r="K1923" s="48">
        <f t="shared" si="90"/>
        <v>1929</v>
      </c>
      <c r="L1923" s="114" t="str" cm="1">
        <f t="array" aca="1" ref="L1923" ca="1">IF(F1923&lt;&gt;"",INDIRECT("'"&amp;F1923&amp;"'!$F$17"),"")</f>
        <v/>
      </c>
      <c r="M1923" s="116" t="str">
        <f t="shared" ca="1" si="88"/>
        <v/>
      </c>
      <c r="O1923" s="49" t="str">
        <f t="shared" ca="1" si="89"/>
        <v/>
      </c>
      <c r="P1923" s="38" t="str">
        <f>IF(E1923&lt;&gt;"",RANK(E1923,$E$3:$E$2298)+COUNTIF($E$3:E1923,E1923)-1,"")</f>
        <v/>
      </c>
    </row>
    <row r="1924" spans="4:16" x14ac:dyDescent="0.25">
      <c r="D1924" s="36" t="str" cm="1">
        <f t="array" aca="1" ref="D1924" ca="1">IFERROR(IF(INDIRECT("'"&amp;F1924&amp;"'!$C$5")&gt;0,DATE(YEAR(Dashboard!$AL$2),Dashboard!$AU$4,INDIRECT("'"&amp;F1924&amp;"'!$C$5")),""),"")</f>
        <v/>
      </c>
      <c r="G1924" s="38" t="str" cm="1">
        <f t="array" aca="1" ref="G1924" ca="1">IF(F1924="",
    "",
    IFERROR(
        IF(INDIRECT("'"&amp;F1924&amp;"'!$B$2")="Credit Limit",
            "Credit Accounts",
            IF(INDIRECT("'"&amp;F1924&amp;"'!$E$2")="Location",
                "Cash Accounts",
                IF(INDIRECT("'"&amp;F1924&amp;"'!$B$2")="Amount",
                    "Investments",
                    "Bill Accounts"
                )
            )
        ),
    "")
)</f>
        <v/>
      </c>
      <c r="I1924" s="46" t="str" cm="1">
        <f t="array" aca="1" ref="I1924" ca="1">IF(F1924&lt;&gt;"",IF(OR(G1924="Bill Accounts",G1924="Investments", G1924="Cash Accounts"),INDIRECT("'"&amp;F1924&amp;"'!$C$10"),INDIRECT("'"&amp;F1924&amp;"'!$C$8")),"")</f>
        <v/>
      </c>
      <c r="K1924" s="48">
        <f t="shared" si="90"/>
        <v>1930</v>
      </c>
      <c r="L1924" s="114" t="str" cm="1">
        <f t="array" aca="1" ref="L1924" ca="1">IF(F1924&lt;&gt;"",INDIRECT("'"&amp;F1924&amp;"'!$F$17"),"")</f>
        <v/>
      </c>
      <c r="M1924" s="116" t="str">
        <f t="shared" ref="M1924:M1987" ca="1" si="91">IF(G1924="Credit Accounts",EDATE(TODAY(),INDIRECT("'"&amp;F1924&amp;"'!$C$14")),"")</f>
        <v/>
      </c>
      <c r="O1924" s="49" t="str">
        <f t="shared" ref="O1924:O1987" ca="1" si="92">IF(D1924&lt;&gt;"",DAY(D1924),"")</f>
        <v/>
      </c>
      <c r="P1924" s="38" t="str">
        <f>IF(E1924&lt;&gt;"",RANK(E1924,$E$3:$E$2298)+COUNTIF($E$3:E1924,E1924)-1,"")</f>
        <v/>
      </c>
    </row>
    <row r="1925" spans="4:16" x14ac:dyDescent="0.25">
      <c r="D1925" s="36" t="str" cm="1">
        <f t="array" aca="1" ref="D1925" ca="1">IFERROR(IF(INDIRECT("'"&amp;F1925&amp;"'!$C$5")&gt;0,DATE(YEAR(Dashboard!$AL$2),Dashboard!$AU$4,INDIRECT("'"&amp;F1925&amp;"'!$C$5")),""),"")</f>
        <v/>
      </c>
      <c r="G1925" s="38" t="str" cm="1">
        <f t="array" aca="1" ref="G1925" ca="1">IF(F1925="",
    "",
    IFERROR(
        IF(INDIRECT("'"&amp;F1925&amp;"'!$B$2")="Credit Limit",
            "Credit Accounts",
            IF(INDIRECT("'"&amp;F1925&amp;"'!$E$2")="Location",
                "Cash Accounts",
                IF(INDIRECT("'"&amp;F1925&amp;"'!$B$2")="Amount",
                    "Investments",
                    "Bill Accounts"
                )
            )
        ),
    "")
)</f>
        <v/>
      </c>
      <c r="I1925" s="46" t="str" cm="1">
        <f t="array" aca="1" ref="I1925" ca="1">IF(F1925&lt;&gt;"",IF(OR(G1925="Bill Accounts",G1925="Investments", G1925="Cash Accounts"),INDIRECT("'"&amp;F1925&amp;"'!$C$10"),INDIRECT("'"&amp;F1925&amp;"'!$C$8")),"")</f>
        <v/>
      </c>
      <c r="K1925" s="48">
        <f t="shared" si="90"/>
        <v>1931</v>
      </c>
      <c r="L1925" s="114" t="str" cm="1">
        <f t="array" aca="1" ref="L1925" ca="1">IF(F1925&lt;&gt;"",INDIRECT("'"&amp;F1925&amp;"'!$F$17"),"")</f>
        <v/>
      </c>
      <c r="M1925" s="116" t="str">
        <f t="shared" ca="1" si="91"/>
        <v/>
      </c>
      <c r="O1925" s="49" t="str">
        <f t="shared" ca="1" si="92"/>
        <v/>
      </c>
      <c r="P1925" s="38" t="str">
        <f>IF(E1925&lt;&gt;"",RANK(E1925,$E$3:$E$2298)+COUNTIF($E$3:E1925,E1925)-1,"")</f>
        <v/>
      </c>
    </row>
    <row r="1926" spans="4:16" x14ac:dyDescent="0.25">
      <c r="D1926" s="36" t="str" cm="1">
        <f t="array" aca="1" ref="D1926" ca="1">IFERROR(IF(INDIRECT("'"&amp;F1926&amp;"'!$C$5")&gt;0,DATE(YEAR(Dashboard!$AL$2),Dashboard!$AU$4,INDIRECT("'"&amp;F1926&amp;"'!$C$5")),""),"")</f>
        <v/>
      </c>
      <c r="G1926" s="38" t="str" cm="1">
        <f t="array" aca="1" ref="G1926" ca="1">IF(F1926="",
    "",
    IFERROR(
        IF(INDIRECT("'"&amp;F1926&amp;"'!$B$2")="Credit Limit",
            "Credit Accounts",
            IF(INDIRECT("'"&amp;F1926&amp;"'!$E$2")="Location",
                "Cash Accounts",
                IF(INDIRECT("'"&amp;F1926&amp;"'!$B$2")="Amount",
                    "Investments",
                    "Bill Accounts"
                )
            )
        ),
    "")
)</f>
        <v/>
      </c>
      <c r="I1926" s="46" t="str" cm="1">
        <f t="array" aca="1" ref="I1926" ca="1">IF(F1926&lt;&gt;"",IF(OR(G1926="Bill Accounts",G1926="Investments", G1926="Cash Accounts"),INDIRECT("'"&amp;F1926&amp;"'!$C$10"),INDIRECT("'"&amp;F1926&amp;"'!$C$8")),"")</f>
        <v/>
      </c>
      <c r="K1926" s="48">
        <f t="shared" si="90"/>
        <v>1932</v>
      </c>
      <c r="L1926" s="114" t="str" cm="1">
        <f t="array" aca="1" ref="L1926" ca="1">IF(F1926&lt;&gt;"",INDIRECT("'"&amp;F1926&amp;"'!$F$17"),"")</f>
        <v/>
      </c>
      <c r="M1926" s="116" t="str">
        <f t="shared" ca="1" si="91"/>
        <v/>
      </c>
      <c r="O1926" s="49" t="str">
        <f t="shared" ca="1" si="92"/>
        <v/>
      </c>
      <c r="P1926" s="38" t="str">
        <f>IF(E1926&lt;&gt;"",RANK(E1926,$E$3:$E$2298)+COUNTIF($E$3:E1926,E1926)-1,"")</f>
        <v/>
      </c>
    </row>
    <row r="1927" spans="4:16" x14ac:dyDescent="0.25">
      <c r="D1927" s="36" t="str" cm="1">
        <f t="array" aca="1" ref="D1927" ca="1">IFERROR(IF(INDIRECT("'"&amp;F1927&amp;"'!$C$5")&gt;0,DATE(YEAR(Dashboard!$AL$2),Dashboard!$AU$4,INDIRECT("'"&amp;F1927&amp;"'!$C$5")),""),"")</f>
        <v/>
      </c>
      <c r="G1927" s="38" t="str" cm="1">
        <f t="array" aca="1" ref="G1927" ca="1">IF(F1927="",
    "",
    IFERROR(
        IF(INDIRECT("'"&amp;F1927&amp;"'!$B$2")="Credit Limit",
            "Credit Accounts",
            IF(INDIRECT("'"&amp;F1927&amp;"'!$E$2")="Location",
                "Cash Accounts",
                IF(INDIRECT("'"&amp;F1927&amp;"'!$B$2")="Amount",
                    "Investments",
                    "Bill Accounts"
                )
            )
        ),
    "")
)</f>
        <v/>
      </c>
      <c r="I1927" s="46" t="str" cm="1">
        <f t="array" aca="1" ref="I1927" ca="1">IF(F1927&lt;&gt;"",IF(OR(G1927="Bill Accounts",G1927="Investments", G1927="Cash Accounts"),INDIRECT("'"&amp;F1927&amp;"'!$C$10"),INDIRECT("'"&amp;F1927&amp;"'!$C$8")),"")</f>
        <v/>
      </c>
      <c r="K1927" s="48">
        <f t="shared" si="90"/>
        <v>1933</v>
      </c>
      <c r="L1927" s="114" t="str" cm="1">
        <f t="array" aca="1" ref="L1927" ca="1">IF(F1927&lt;&gt;"",INDIRECT("'"&amp;F1927&amp;"'!$F$17"),"")</f>
        <v/>
      </c>
      <c r="M1927" s="116" t="str">
        <f t="shared" ca="1" si="91"/>
        <v/>
      </c>
      <c r="O1927" s="49" t="str">
        <f t="shared" ca="1" si="92"/>
        <v/>
      </c>
      <c r="P1927" s="38" t="str">
        <f>IF(E1927&lt;&gt;"",RANK(E1927,$E$3:$E$2298)+COUNTIF($E$3:E1927,E1927)-1,"")</f>
        <v/>
      </c>
    </row>
    <row r="1928" spans="4:16" x14ac:dyDescent="0.25">
      <c r="D1928" s="36" t="str" cm="1">
        <f t="array" aca="1" ref="D1928" ca="1">IFERROR(IF(INDIRECT("'"&amp;F1928&amp;"'!$C$5")&gt;0,DATE(YEAR(Dashboard!$AL$2),Dashboard!$AU$4,INDIRECT("'"&amp;F1928&amp;"'!$C$5")),""),"")</f>
        <v/>
      </c>
      <c r="G1928" s="38" t="str" cm="1">
        <f t="array" aca="1" ref="G1928" ca="1">IF(F1928="",
    "",
    IFERROR(
        IF(INDIRECT("'"&amp;F1928&amp;"'!$B$2")="Credit Limit",
            "Credit Accounts",
            IF(INDIRECT("'"&amp;F1928&amp;"'!$E$2")="Location",
                "Cash Accounts",
                IF(INDIRECT("'"&amp;F1928&amp;"'!$B$2")="Amount",
                    "Investments",
                    "Bill Accounts"
                )
            )
        ),
    "")
)</f>
        <v/>
      </c>
      <c r="I1928" s="46" t="str" cm="1">
        <f t="array" aca="1" ref="I1928" ca="1">IF(F1928&lt;&gt;"",IF(OR(G1928="Bill Accounts",G1928="Investments", G1928="Cash Accounts"),INDIRECT("'"&amp;F1928&amp;"'!$C$10"),INDIRECT("'"&amp;F1928&amp;"'!$C$8")),"")</f>
        <v/>
      </c>
      <c r="K1928" s="48">
        <f t="shared" ref="K1928:K1991" si="93">SUM(K1927+1)</f>
        <v>1934</v>
      </c>
      <c r="L1928" s="114" t="str" cm="1">
        <f t="array" aca="1" ref="L1928" ca="1">IF(F1928&lt;&gt;"",INDIRECT("'"&amp;F1928&amp;"'!$F$17"),"")</f>
        <v/>
      </c>
      <c r="M1928" s="116" t="str">
        <f t="shared" ca="1" si="91"/>
        <v/>
      </c>
      <c r="O1928" s="49" t="str">
        <f t="shared" ca="1" si="92"/>
        <v/>
      </c>
      <c r="P1928" s="38" t="str">
        <f>IF(E1928&lt;&gt;"",RANK(E1928,$E$3:$E$2298)+COUNTIF($E$3:E1928,E1928)-1,"")</f>
        <v/>
      </c>
    </row>
    <row r="1929" spans="4:16" x14ac:dyDescent="0.25">
      <c r="D1929" s="36" t="str" cm="1">
        <f t="array" aca="1" ref="D1929" ca="1">IFERROR(IF(INDIRECT("'"&amp;F1929&amp;"'!$C$5")&gt;0,DATE(YEAR(Dashboard!$AL$2),Dashboard!$AU$4,INDIRECT("'"&amp;F1929&amp;"'!$C$5")),""),"")</f>
        <v/>
      </c>
      <c r="G1929" s="38" t="str" cm="1">
        <f t="array" aca="1" ref="G1929" ca="1">IF(F1929="",
    "",
    IFERROR(
        IF(INDIRECT("'"&amp;F1929&amp;"'!$B$2")="Credit Limit",
            "Credit Accounts",
            IF(INDIRECT("'"&amp;F1929&amp;"'!$E$2")="Location",
                "Cash Accounts",
                IF(INDIRECT("'"&amp;F1929&amp;"'!$B$2")="Amount",
                    "Investments",
                    "Bill Accounts"
                )
            )
        ),
    "")
)</f>
        <v/>
      </c>
      <c r="I1929" s="46" t="str" cm="1">
        <f t="array" aca="1" ref="I1929" ca="1">IF(F1929&lt;&gt;"",IF(OR(G1929="Bill Accounts",G1929="Investments", G1929="Cash Accounts"),INDIRECT("'"&amp;F1929&amp;"'!$C$10"),INDIRECT("'"&amp;F1929&amp;"'!$C$8")),"")</f>
        <v/>
      </c>
      <c r="K1929" s="48">
        <f t="shared" si="93"/>
        <v>1935</v>
      </c>
      <c r="L1929" s="114" t="str" cm="1">
        <f t="array" aca="1" ref="L1929" ca="1">IF(F1929&lt;&gt;"",INDIRECT("'"&amp;F1929&amp;"'!$F$17"),"")</f>
        <v/>
      </c>
      <c r="M1929" s="116" t="str">
        <f t="shared" ca="1" si="91"/>
        <v/>
      </c>
      <c r="O1929" s="49" t="str">
        <f t="shared" ca="1" si="92"/>
        <v/>
      </c>
      <c r="P1929" s="38" t="str">
        <f>IF(E1929&lt;&gt;"",RANK(E1929,$E$3:$E$2298)+COUNTIF($E$3:E1929,E1929)-1,"")</f>
        <v/>
      </c>
    </row>
    <row r="1930" spans="4:16" x14ac:dyDescent="0.25">
      <c r="D1930" s="36" t="str" cm="1">
        <f t="array" aca="1" ref="D1930" ca="1">IFERROR(IF(INDIRECT("'"&amp;F1930&amp;"'!$C$5")&gt;0,DATE(YEAR(Dashboard!$AL$2),Dashboard!$AU$4,INDIRECT("'"&amp;F1930&amp;"'!$C$5")),""),"")</f>
        <v/>
      </c>
      <c r="G1930" s="38" t="str" cm="1">
        <f t="array" aca="1" ref="G1930" ca="1">IF(F1930="",
    "",
    IFERROR(
        IF(INDIRECT("'"&amp;F1930&amp;"'!$B$2")="Credit Limit",
            "Credit Accounts",
            IF(INDIRECT("'"&amp;F1930&amp;"'!$E$2")="Location",
                "Cash Accounts",
                IF(INDIRECT("'"&amp;F1930&amp;"'!$B$2")="Amount",
                    "Investments",
                    "Bill Accounts"
                )
            )
        ),
    "")
)</f>
        <v/>
      </c>
      <c r="I1930" s="46" t="str" cm="1">
        <f t="array" aca="1" ref="I1930" ca="1">IF(F1930&lt;&gt;"",IF(OR(G1930="Bill Accounts",G1930="Investments", G1930="Cash Accounts"),INDIRECT("'"&amp;F1930&amp;"'!$C$10"),INDIRECT("'"&amp;F1930&amp;"'!$C$8")),"")</f>
        <v/>
      </c>
      <c r="K1930" s="48">
        <f t="shared" si="93"/>
        <v>1936</v>
      </c>
      <c r="L1930" s="114" t="str" cm="1">
        <f t="array" aca="1" ref="L1930" ca="1">IF(F1930&lt;&gt;"",INDIRECT("'"&amp;F1930&amp;"'!$F$17"),"")</f>
        <v/>
      </c>
      <c r="M1930" s="116" t="str">
        <f t="shared" ca="1" si="91"/>
        <v/>
      </c>
      <c r="O1930" s="49" t="str">
        <f t="shared" ca="1" si="92"/>
        <v/>
      </c>
      <c r="P1930" s="38" t="str">
        <f>IF(E1930&lt;&gt;"",RANK(E1930,$E$3:$E$2298)+COUNTIF($E$3:E1930,E1930)-1,"")</f>
        <v/>
      </c>
    </row>
    <row r="1931" spans="4:16" x14ac:dyDescent="0.25">
      <c r="D1931" s="36" t="str" cm="1">
        <f t="array" aca="1" ref="D1931" ca="1">IFERROR(IF(INDIRECT("'"&amp;F1931&amp;"'!$C$5")&gt;0,DATE(YEAR(Dashboard!$AL$2),Dashboard!$AU$4,INDIRECT("'"&amp;F1931&amp;"'!$C$5")),""),"")</f>
        <v/>
      </c>
      <c r="G1931" s="38" t="str" cm="1">
        <f t="array" aca="1" ref="G1931" ca="1">IF(F1931="",
    "",
    IFERROR(
        IF(INDIRECT("'"&amp;F1931&amp;"'!$B$2")="Credit Limit",
            "Credit Accounts",
            IF(INDIRECT("'"&amp;F1931&amp;"'!$E$2")="Location",
                "Cash Accounts",
                IF(INDIRECT("'"&amp;F1931&amp;"'!$B$2")="Amount",
                    "Investments",
                    "Bill Accounts"
                )
            )
        ),
    "")
)</f>
        <v/>
      </c>
      <c r="I1931" s="46" t="str" cm="1">
        <f t="array" aca="1" ref="I1931" ca="1">IF(F1931&lt;&gt;"",IF(OR(G1931="Bill Accounts",G1931="Investments", G1931="Cash Accounts"),INDIRECT("'"&amp;F1931&amp;"'!$C$10"),INDIRECT("'"&amp;F1931&amp;"'!$C$8")),"")</f>
        <v/>
      </c>
      <c r="K1931" s="48">
        <f t="shared" si="93"/>
        <v>1937</v>
      </c>
      <c r="L1931" s="114" t="str" cm="1">
        <f t="array" aca="1" ref="L1931" ca="1">IF(F1931&lt;&gt;"",INDIRECT("'"&amp;F1931&amp;"'!$F$17"),"")</f>
        <v/>
      </c>
      <c r="M1931" s="116" t="str">
        <f t="shared" ca="1" si="91"/>
        <v/>
      </c>
      <c r="O1931" s="49" t="str">
        <f t="shared" ca="1" si="92"/>
        <v/>
      </c>
      <c r="P1931" s="38" t="str">
        <f>IF(E1931&lt;&gt;"",RANK(E1931,$E$3:$E$2298)+COUNTIF($E$3:E1931,E1931)-1,"")</f>
        <v/>
      </c>
    </row>
    <row r="1932" spans="4:16" x14ac:dyDescent="0.25">
      <c r="D1932" s="36" t="str" cm="1">
        <f t="array" aca="1" ref="D1932" ca="1">IFERROR(IF(INDIRECT("'"&amp;F1932&amp;"'!$C$5")&gt;0,DATE(YEAR(Dashboard!$AL$2),Dashboard!$AU$4,INDIRECT("'"&amp;F1932&amp;"'!$C$5")),""),"")</f>
        <v/>
      </c>
      <c r="G1932" s="38" t="str" cm="1">
        <f t="array" aca="1" ref="G1932" ca="1">IF(F1932="",
    "",
    IFERROR(
        IF(INDIRECT("'"&amp;F1932&amp;"'!$B$2")="Credit Limit",
            "Credit Accounts",
            IF(INDIRECT("'"&amp;F1932&amp;"'!$E$2")="Location",
                "Cash Accounts",
                IF(INDIRECT("'"&amp;F1932&amp;"'!$B$2")="Amount",
                    "Investments",
                    "Bill Accounts"
                )
            )
        ),
    "")
)</f>
        <v/>
      </c>
      <c r="I1932" s="46" t="str" cm="1">
        <f t="array" aca="1" ref="I1932" ca="1">IF(F1932&lt;&gt;"",IF(OR(G1932="Bill Accounts",G1932="Investments", G1932="Cash Accounts"),INDIRECT("'"&amp;F1932&amp;"'!$C$10"),INDIRECT("'"&amp;F1932&amp;"'!$C$8")),"")</f>
        <v/>
      </c>
      <c r="K1932" s="48">
        <f t="shared" si="93"/>
        <v>1938</v>
      </c>
      <c r="L1932" s="114" t="str" cm="1">
        <f t="array" aca="1" ref="L1932" ca="1">IF(F1932&lt;&gt;"",INDIRECT("'"&amp;F1932&amp;"'!$F$17"),"")</f>
        <v/>
      </c>
      <c r="M1932" s="116" t="str">
        <f t="shared" ca="1" si="91"/>
        <v/>
      </c>
      <c r="O1932" s="49" t="str">
        <f t="shared" ca="1" si="92"/>
        <v/>
      </c>
      <c r="P1932" s="38" t="str">
        <f>IF(E1932&lt;&gt;"",RANK(E1932,$E$3:$E$2298)+COUNTIF($E$3:E1932,E1932)-1,"")</f>
        <v/>
      </c>
    </row>
    <row r="1933" spans="4:16" x14ac:dyDescent="0.25">
      <c r="D1933" s="36" t="str" cm="1">
        <f t="array" aca="1" ref="D1933" ca="1">IFERROR(IF(INDIRECT("'"&amp;F1933&amp;"'!$C$5")&gt;0,DATE(YEAR(Dashboard!$AL$2),Dashboard!$AU$4,INDIRECT("'"&amp;F1933&amp;"'!$C$5")),""),"")</f>
        <v/>
      </c>
      <c r="G1933" s="38" t="str" cm="1">
        <f t="array" aca="1" ref="G1933" ca="1">IF(F1933="",
    "",
    IFERROR(
        IF(INDIRECT("'"&amp;F1933&amp;"'!$B$2")="Credit Limit",
            "Credit Accounts",
            IF(INDIRECT("'"&amp;F1933&amp;"'!$E$2")="Location",
                "Cash Accounts",
                IF(INDIRECT("'"&amp;F1933&amp;"'!$B$2")="Amount",
                    "Investments",
                    "Bill Accounts"
                )
            )
        ),
    "")
)</f>
        <v/>
      </c>
      <c r="I1933" s="46" t="str" cm="1">
        <f t="array" aca="1" ref="I1933" ca="1">IF(F1933&lt;&gt;"",IF(OR(G1933="Bill Accounts",G1933="Investments", G1933="Cash Accounts"),INDIRECT("'"&amp;F1933&amp;"'!$C$10"),INDIRECT("'"&amp;F1933&amp;"'!$C$8")),"")</f>
        <v/>
      </c>
      <c r="K1933" s="48">
        <f t="shared" si="93"/>
        <v>1939</v>
      </c>
      <c r="L1933" s="114" t="str" cm="1">
        <f t="array" aca="1" ref="L1933" ca="1">IF(F1933&lt;&gt;"",INDIRECT("'"&amp;F1933&amp;"'!$F$17"),"")</f>
        <v/>
      </c>
      <c r="M1933" s="116" t="str">
        <f t="shared" ca="1" si="91"/>
        <v/>
      </c>
      <c r="O1933" s="49" t="str">
        <f t="shared" ca="1" si="92"/>
        <v/>
      </c>
      <c r="P1933" s="38" t="str">
        <f>IF(E1933&lt;&gt;"",RANK(E1933,$E$3:$E$2298)+COUNTIF($E$3:E1933,E1933)-1,"")</f>
        <v/>
      </c>
    </row>
    <row r="1934" spans="4:16" x14ac:dyDescent="0.25">
      <c r="D1934" s="36" t="str" cm="1">
        <f t="array" aca="1" ref="D1934" ca="1">IFERROR(IF(INDIRECT("'"&amp;F1934&amp;"'!$C$5")&gt;0,DATE(YEAR(Dashboard!$AL$2),Dashboard!$AU$4,INDIRECT("'"&amp;F1934&amp;"'!$C$5")),""),"")</f>
        <v/>
      </c>
      <c r="G1934" s="38" t="str" cm="1">
        <f t="array" aca="1" ref="G1934" ca="1">IF(F1934="",
    "",
    IFERROR(
        IF(INDIRECT("'"&amp;F1934&amp;"'!$B$2")="Credit Limit",
            "Credit Accounts",
            IF(INDIRECT("'"&amp;F1934&amp;"'!$E$2")="Location",
                "Cash Accounts",
                IF(INDIRECT("'"&amp;F1934&amp;"'!$B$2")="Amount",
                    "Investments",
                    "Bill Accounts"
                )
            )
        ),
    "")
)</f>
        <v/>
      </c>
      <c r="I1934" s="46" t="str" cm="1">
        <f t="array" aca="1" ref="I1934" ca="1">IF(F1934&lt;&gt;"",IF(OR(G1934="Bill Accounts",G1934="Investments", G1934="Cash Accounts"),INDIRECT("'"&amp;F1934&amp;"'!$C$10"),INDIRECT("'"&amp;F1934&amp;"'!$C$8")),"")</f>
        <v/>
      </c>
      <c r="K1934" s="48">
        <f t="shared" si="93"/>
        <v>1940</v>
      </c>
      <c r="L1934" s="114" t="str" cm="1">
        <f t="array" aca="1" ref="L1934" ca="1">IF(F1934&lt;&gt;"",INDIRECT("'"&amp;F1934&amp;"'!$F$17"),"")</f>
        <v/>
      </c>
      <c r="M1934" s="116" t="str">
        <f t="shared" ca="1" si="91"/>
        <v/>
      </c>
      <c r="O1934" s="49" t="str">
        <f t="shared" ca="1" si="92"/>
        <v/>
      </c>
      <c r="P1934" s="38" t="str">
        <f>IF(E1934&lt;&gt;"",RANK(E1934,$E$3:$E$2298)+COUNTIF($E$3:E1934,E1934)-1,"")</f>
        <v/>
      </c>
    </row>
    <row r="1935" spans="4:16" x14ac:dyDescent="0.25">
      <c r="D1935" s="36" t="str" cm="1">
        <f t="array" aca="1" ref="D1935" ca="1">IFERROR(IF(INDIRECT("'"&amp;F1935&amp;"'!$C$5")&gt;0,DATE(YEAR(Dashboard!$AL$2),Dashboard!$AU$4,INDIRECT("'"&amp;F1935&amp;"'!$C$5")),""),"")</f>
        <v/>
      </c>
      <c r="G1935" s="38" t="str" cm="1">
        <f t="array" aca="1" ref="G1935" ca="1">IF(F1935="",
    "",
    IFERROR(
        IF(INDIRECT("'"&amp;F1935&amp;"'!$B$2")="Credit Limit",
            "Credit Accounts",
            IF(INDIRECT("'"&amp;F1935&amp;"'!$E$2")="Location",
                "Cash Accounts",
                IF(INDIRECT("'"&amp;F1935&amp;"'!$B$2")="Amount",
                    "Investments",
                    "Bill Accounts"
                )
            )
        ),
    "")
)</f>
        <v/>
      </c>
      <c r="I1935" s="46" t="str" cm="1">
        <f t="array" aca="1" ref="I1935" ca="1">IF(F1935&lt;&gt;"",IF(OR(G1935="Bill Accounts",G1935="Investments", G1935="Cash Accounts"),INDIRECT("'"&amp;F1935&amp;"'!$C$10"),INDIRECT("'"&amp;F1935&amp;"'!$C$8")),"")</f>
        <v/>
      </c>
      <c r="K1935" s="48">
        <f t="shared" si="93"/>
        <v>1941</v>
      </c>
      <c r="L1935" s="114" t="str" cm="1">
        <f t="array" aca="1" ref="L1935" ca="1">IF(F1935&lt;&gt;"",INDIRECT("'"&amp;F1935&amp;"'!$F$17"),"")</f>
        <v/>
      </c>
      <c r="M1935" s="116" t="str">
        <f t="shared" ca="1" si="91"/>
        <v/>
      </c>
      <c r="O1935" s="49" t="str">
        <f t="shared" ca="1" si="92"/>
        <v/>
      </c>
      <c r="P1935" s="38" t="str">
        <f>IF(E1935&lt;&gt;"",RANK(E1935,$E$3:$E$2298)+COUNTIF($E$3:E1935,E1935)-1,"")</f>
        <v/>
      </c>
    </row>
    <row r="1936" spans="4:16" x14ac:dyDescent="0.25">
      <c r="D1936" s="36" t="str" cm="1">
        <f t="array" aca="1" ref="D1936" ca="1">IFERROR(IF(INDIRECT("'"&amp;F1936&amp;"'!$C$5")&gt;0,DATE(YEAR(Dashboard!$AL$2),Dashboard!$AU$4,INDIRECT("'"&amp;F1936&amp;"'!$C$5")),""),"")</f>
        <v/>
      </c>
      <c r="G1936" s="38" t="str" cm="1">
        <f t="array" aca="1" ref="G1936" ca="1">IF(F1936="",
    "",
    IFERROR(
        IF(INDIRECT("'"&amp;F1936&amp;"'!$B$2")="Credit Limit",
            "Credit Accounts",
            IF(INDIRECT("'"&amp;F1936&amp;"'!$E$2")="Location",
                "Cash Accounts",
                IF(INDIRECT("'"&amp;F1936&amp;"'!$B$2")="Amount",
                    "Investments",
                    "Bill Accounts"
                )
            )
        ),
    "")
)</f>
        <v/>
      </c>
      <c r="I1936" s="46" t="str" cm="1">
        <f t="array" aca="1" ref="I1936" ca="1">IF(F1936&lt;&gt;"",IF(OR(G1936="Bill Accounts",G1936="Investments", G1936="Cash Accounts"),INDIRECT("'"&amp;F1936&amp;"'!$C$10"),INDIRECT("'"&amp;F1936&amp;"'!$C$8")),"")</f>
        <v/>
      </c>
      <c r="K1936" s="48">
        <f t="shared" si="93"/>
        <v>1942</v>
      </c>
      <c r="L1936" s="114" t="str" cm="1">
        <f t="array" aca="1" ref="L1936" ca="1">IF(F1936&lt;&gt;"",INDIRECT("'"&amp;F1936&amp;"'!$F$17"),"")</f>
        <v/>
      </c>
      <c r="M1936" s="116" t="str">
        <f t="shared" ca="1" si="91"/>
        <v/>
      </c>
      <c r="O1936" s="49" t="str">
        <f t="shared" ca="1" si="92"/>
        <v/>
      </c>
      <c r="P1936" s="38" t="str">
        <f>IF(E1936&lt;&gt;"",RANK(E1936,$E$3:$E$2298)+COUNTIF($E$3:E1936,E1936)-1,"")</f>
        <v/>
      </c>
    </row>
    <row r="1937" spans="4:16" x14ac:dyDescent="0.25">
      <c r="D1937" s="36" t="str" cm="1">
        <f t="array" aca="1" ref="D1937" ca="1">IFERROR(IF(INDIRECT("'"&amp;F1937&amp;"'!$C$5")&gt;0,DATE(YEAR(Dashboard!$AL$2),Dashboard!$AU$4,INDIRECT("'"&amp;F1937&amp;"'!$C$5")),""),"")</f>
        <v/>
      </c>
      <c r="G1937" s="38" t="str" cm="1">
        <f t="array" aca="1" ref="G1937" ca="1">IF(F1937="",
    "",
    IFERROR(
        IF(INDIRECT("'"&amp;F1937&amp;"'!$B$2")="Credit Limit",
            "Credit Accounts",
            IF(INDIRECT("'"&amp;F1937&amp;"'!$E$2")="Location",
                "Cash Accounts",
                IF(INDIRECT("'"&amp;F1937&amp;"'!$B$2")="Amount",
                    "Investments",
                    "Bill Accounts"
                )
            )
        ),
    "")
)</f>
        <v/>
      </c>
      <c r="I1937" s="46" t="str" cm="1">
        <f t="array" aca="1" ref="I1937" ca="1">IF(F1937&lt;&gt;"",IF(OR(G1937="Bill Accounts",G1937="Investments", G1937="Cash Accounts"),INDIRECT("'"&amp;F1937&amp;"'!$C$10"),INDIRECT("'"&amp;F1937&amp;"'!$C$8")),"")</f>
        <v/>
      </c>
      <c r="K1937" s="48">
        <f t="shared" si="93"/>
        <v>1943</v>
      </c>
      <c r="L1937" s="114" t="str" cm="1">
        <f t="array" aca="1" ref="L1937" ca="1">IF(F1937&lt;&gt;"",INDIRECT("'"&amp;F1937&amp;"'!$F$17"),"")</f>
        <v/>
      </c>
      <c r="M1937" s="116" t="str">
        <f t="shared" ca="1" si="91"/>
        <v/>
      </c>
      <c r="O1937" s="49" t="str">
        <f t="shared" ca="1" si="92"/>
        <v/>
      </c>
      <c r="P1937" s="38" t="str">
        <f>IF(E1937&lt;&gt;"",RANK(E1937,$E$3:$E$2298)+COUNTIF($E$3:E1937,E1937)-1,"")</f>
        <v/>
      </c>
    </row>
    <row r="1938" spans="4:16" x14ac:dyDescent="0.25">
      <c r="D1938" s="36" t="str" cm="1">
        <f t="array" aca="1" ref="D1938" ca="1">IFERROR(IF(INDIRECT("'"&amp;F1938&amp;"'!$C$5")&gt;0,DATE(YEAR(Dashboard!$AL$2),Dashboard!$AU$4,INDIRECT("'"&amp;F1938&amp;"'!$C$5")),""),"")</f>
        <v/>
      </c>
      <c r="G1938" s="38" t="str" cm="1">
        <f t="array" aca="1" ref="G1938" ca="1">IF(F1938="",
    "",
    IFERROR(
        IF(INDIRECT("'"&amp;F1938&amp;"'!$B$2")="Credit Limit",
            "Credit Accounts",
            IF(INDIRECT("'"&amp;F1938&amp;"'!$E$2")="Location",
                "Cash Accounts",
                IF(INDIRECT("'"&amp;F1938&amp;"'!$B$2")="Amount",
                    "Investments",
                    "Bill Accounts"
                )
            )
        ),
    "")
)</f>
        <v/>
      </c>
      <c r="I1938" s="46" t="str" cm="1">
        <f t="array" aca="1" ref="I1938" ca="1">IF(F1938&lt;&gt;"",IF(OR(G1938="Bill Accounts",G1938="Investments", G1938="Cash Accounts"),INDIRECT("'"&amp;F1938&amp;"'!$C$10"),INDIRECT("'"&amp;F1938&amp;"'!$C$8")),"")</f>
        <v/>
      </c>
      <c r="K1938" s="48">
        <f t="shared" si="93"/>
        <v>1944</v>
      </c>
      <c r="L1938" s="114" t="str" cm="1">
        <f t="array" aca="1" ref="L1938" ca="1">IF(F1938&lt;&gt;"",INDIRECT("'"&amp;F1938&amp;"'!$F$17"),"")</f>
        <v/>
      </c>
      <c r="M1938" s="116" t="str">
        <f t="shared" ca="1" si="91"/>
        <v/>
      </c>
      <c r="O1938" s="49" t="str">
        <f t="shared" ca="1" si="92"/>
        <v/>
      </c>
      <c r="P1938" s="38" t="str">
        <f>IF(E1938&lt;&gt;"",RANK(E1938,$E$3:$E$2298)+COUNTIF($E$3:E1938,E1938)-1,"")</f>
        <v/>
      </c>
    </row>
    <row r="1939" spans="4:16" x14ac:dyDescent="0.25">
      <c r="D1939" s="36" t="str" cm="1">
        <f t="array" aca="1" ref="D1939" ca="1">IFERROR(IF(INDIRECT("'"&amp;F1939&amp;"'!$C$5")&gt;0,DATE(YEAR(Dashboard!$AL$2),Dashboard!$AU$4,INDIRECT("'"&amp;F1939&amp;"'!$C$5")),""),"")</f>
        <v/>
      </c>
      <c r="G1939" s="38" t="str" cm="1">
        <f t="array" aca="1" ref="G1939" ca="1">IF(F1939="",
    "",
    IFERROR(
        IF(INDIRECT("'"&amp;F1939&amp;"'!$B$2")="Credit Limit",
            "Credit Accounts",
            IF(INDIRECT("'"&amp;F1939&amp;"'!$E$2")="Location",
                "Cash Accounts",
                IF(INDIRECT("'"&amp;F1939&amp;"'!$B$2")="Amount",
                    "Investments",
                    "Bill Accounts"
                )
            )
        ),
    "")
)</f>
        <v/>
      </c>
      <c r="I1939" s="46" t="str" cm="1">
        <f t="array" aca="1" ref="I1939" ca="1">IF(F1939&lt;&gt;"",IF(OR(G1939="Bill Accounts",G1939="Investments", G1939="Cash Accounts"),INDIRECT("'"&amp;F1939&amp;"'!$C$10"),INDIRECT("'"&amp;F1939&amp;"'!$C$8")),"")</f>
        <v/>
      </c>
      <c r="K1939" s="48">
        <f t="shared" si="93"/>
        <v>1945</v>
      </c>
      <c r="L1939" s="114" t="str" cm="1">
        <f t="array" aca="1" ref="L1939" ca="1">IF(F1939&lt;&gt;"",INDIRECT("'"&amp;F1939&amp;"'!$F$17"),"")</f>
        <v/>
      </c>
      <c r="M1939" s="116" t="str">
        <f t="shared" ca="1" si="91"/>
        <v/>
      </c>
      <c r="O1939" s="49" t="str">
        <f t="shared" ca="1" si="92"/>
        <v/>
      </c>
      <c r="P1939" s="38" t="str">
        <f>IF(E1939&lt;&gt;"",RANK(E1939,$E$3:$E$2298)+COUNTIF($E$3:E1939,E1939)-1,"")</f>
        <v/>
      </c>
    </row>
    <row r="1940" spans="4:16" x14ac:dyDescent="0.25">
      <c r="D1940" s="36" t="str" cm="1">
        <f t="array" aca="1" ref="D1940" ca="1">IFERROR(IF(INDIRECT("'"&amp;F1940&amp;"'!$C$5")&gt;0,DATE(YEAR(Dashboard!$AL$2),Dashboard!$AU$4,INDIRECT("'"&amp;F1940&amp;"'!$C$5")),""),"")</f>
        <v/>
      </c>
      <c r="G1940" s="38" t="str" cm="1">
        <f t="array" aca="1" ref="G1940" ca="1">IF(F1940="",
    "",
    IFERROR(
        IF(INDIRECT("'"&amp;F1940&amp;"'!$B$2")="Credit Limit",
            "Credit Accounts",
            IF(INDIRECT("'"&amp;F1940&amp;"'!$E$2")="Location",
                "Cash Accounts",
                IF(INDIRECT("'"&amp;F1940&amp;"'!$B$2")="Amount",
                    "Investments",
                    "Bill Accounts"
                )
            )
        ),
    "")
)</f>
        <v/>
      </c>
      <c r="I1940" s="46" t="str" cm="1">
        <f t="array" aca="1" ref="I1940" ca="1">IF(F1940&lt;&gt;"",IF(OR(G1940="Bill Accounts",G1940="Investments", G1940="Cash Accounts"),INDIRECT("'"&amp;F1940&amp;"'!$C$10"),INDIRECT("'"&amp;F1940&amp;"'!$C$8")),"")</f>
        <v/>
      </c>
      <c r="K1940" s="48">
        <f t="shared" si="93"/>
        <v>1946</v>
      </c>
      <c r="L1940" s="114" t="str" cm="1">
        <f t="array" aca="1" ref="L1940" ca="1">IF(F1940&lt;&gt;"",INDIRECT("'"&amp;F1940&amp;"'!$F$17"),"")</f>
        <v/>
      </c>
      <c r="M1940" s="116" t="str">
        <f t="shared" ca="1" si="91"/>
        <v/>
      </c>
      <c r="O1940" s="49" t="str">
        <f t="shared" ca="1" si="92"/>
        <v/>
      </c>
      <c r="P1940" s="38" t="str">
        <f>IF(E1940&lt;&gt;"",RANK(E1940,$E$3:$E$2298)+COUNTIF($E$3:E1940,E1940)-1,"")</f>
        <v/>
      </c>
    </row>
    <row r="1941" spans="4:16" x14ac:dyDescent="0.25">
      <c r="D1941" s="36" t="str" cm="1">
        <f t="array" aca="1" ref="D1941" ca="1">IFERROR(IF(INDIRECT("'"&amp;F1941&amp;"'!$C$5")&gt;0,DATE(YEAR(Dashboard!$AL$2),Dashboard!$AU$4,INDIRECT("'"&amp;F1941&amp;"'!$C$5")),""),"")</f>
        <v/>
      </c>
      <c r="G1941" s="38" t="str" cm="1">
        <f t="array" aca="1" ref="G1941" ca="1">IF(F1941="",
    "",
    IFERROR(
        IF(INDIRECT("'"&amp;F1941&amp;"'!$B$2")="Credit Limit",
            "Credit Accounts",
            IF(INDIRECT("'"&amp;F1941&amp;"'!$E$2")="Location",
                "Cash Accounts",
                IF(INDIRECT("'"&amp;F1941&amp;"'!$B$2")="Amount",
                    "Investments",
                    "Bill Accounts"
                )
            )
        ),
    "")
)</f>
        <v/>
      </c>
      <c r="I1941" s="46" t="str" cm="1">
        <f t="array" aca="1" ref="I1941" ca="1">IF(F1941&lt;&gt;"",IF(OR(G1941="Bill Accounts",G1941="Investments", G1941="Cash Accounts"),INDIRECT("'"&amp;F1941&amp;"'!$C$10"),INDIRECT("'"&amp;F1941&amp;"'!$C$8")),"")</f>
        <v/>
      </c>
      <c r="K1941" s="48">
        <f t="shared" si="93"/>
        <v>1947</v>
      </c>
      <c r="L1941" s="114" t="str" cm="1">
        <f t="array" aca="1" ref="L1941" ca="1">IF(F1941&lt;&gt;"",INDIRECT("'"&amp;F1941&amp;"'!$F$17"),"")</f>
        <v/>
      </c>
      <c r="M1941" s="116" t="str">
        <f t="shared" ca="1" si="91"/>
        <v/>
      </c>
      <c r="O1941" s="49" t="str">
        <f t="shared" ca="1" si="92"/>
        <v/>
      </c>
      <c r="P1941" s="38" t="str">
        <f>IF(E1941&lt;&gt;"",RANK(E1941,$E$3:$E$2298)+COUNTIF($E$3:E1941,E1941)-1,"")</f>
        <v/>
      </c>
    </row>
    <row r="1942" spans="4:16" x14ac:dyDescent="0.25">
      <c r="D1942" s="36" t="str" cm="1">
        <f t="array" aca="1" ref="D1942" ca="1">IFERROR(IF(INDIRECT("'"&amp;F1942&amp;"'!$C$5")&gt;0,DATE(YEAR(Dashboard!$AL$2),Dashboard!$AU$4,INDIRECT("'"&amp;F1942&amp;"'!$C$5")),""),"")</f>
        <v/>
      </c>
      <c r="G1942" s="38" t="str" cm="1">
        <f t="array" aca="1" ref="G1942" ca="1">IF(F1942="",
    "",
    IFERROR(
        IF(INDIRECT("'"&amp;F1942&amp;"'!$B$2")="Credit Limit",
            "Credit Accounts",
            IF(INDIRECT("'"&amp;F1942&amp;"'!$E$2")="Location",
                "Cash Accounts",
                IF(INDIRECT("'"&amp;F1942&amp;"'!$B$2")="Amount",
                    "Investments",
                    "Bill Accounts"
                )
            )
        ),
    "")
)</f>
        <v/>
      </c>
      <c r="I1942" s="46" t="str" cm="1">
        <f t="array" aca="1" ref="I1942" ca="1">IF(F1942&lt;&gt;"",IF(OR(G1942="Bill Accounts",G1942="Investments", G1942="Cash Accounts"),INDIRECT("'"&amp;F1942&amp;"'!$C$10"),INDIRECT("'"&amp;F1942&amp;"'!$C$8")),"")</f>
        <v/>
      </c>
      <c r="K1942" s="48">
        <f t="shared" si="93"/>
        <v>1948</v>
      </c>
      <c r="L1942" s="114" t="str" cm="1">
        <f t="array" aca="1" ref="L1942" ca="1">IF(F1942&lt;&gt;"",INDIRECT("'"&amp;F1942&amp;"'!$F$17"),"")</f>
        <v/>
      </c>
      <c r="M1942" s="116" t="str">
        <f t="shared" ca="1" si="91"/>
        <v/>
      </c>
      <c r="O1942" s="49" t="str">
        <f t="shared" ca="1" si="92"/>
        <v/>
      </c>
      <c r="P1942" s="38" t="str">
        <f>IF(E1942&lt;&gt;"",RANK(E1942,$E$3:$E$2298)+COUNTIF($E$3:E1942,E1942)-1,"")</f>
        <v/>
      </c>
    </row>
    <row r="1943" spans="4:16" x14ac:dyDescent="0.25">
      <c r="D1943" s="36" t="str" cm="1">
        <f t="array" aca="1" ref="D1943" ca="1">IFERROR(IF(INDIRECT("'"&amp;F1943&amp;"'!$C$5")&gt;0,DATE(YEAR(Dashboard!$AL$2),Dashboard!$AU$4,INDIRECT("'"&amp;F1943&amp;"'!$C$5")),""),"")</f>
        <v/>
      </c>
      <c r="G1943" s="38" t="str" cm="1">
        <f t="array" aca="1" ref="G1943" ca="1">IF(F1943="",
    "",
    IFERROR(
        IF(INDIRECT("'"&amp;F1943&amp;"'!$B$2")="Credit Limit",
            "Credit Accounts",
            IF(INDIRECT("'"&amp;F1943&amp;"'!$E$2")="Location",
                "Cash Accounts",
                IF(INDIRECT("'"&amp;F1943&amp;"'!$B$2")="Amount",
                    "Investments",
                    "Bill Accounts"
                )
            )
        ),
    "")
)</f>
        <v/>
      </c>
      <c r="I1943" s="46" t="str" cm="1">
        <f t="array" aca="1" ref="I1943" ca="1">IF(F1943&lt;&gt;"",IF(OR(G1943="Bill Accounts",G1943="Investments", G1943="Cash Accounts"),INDIRECT("'"&amp;F1943&amp;"'!$C$10"),INDIRECT("'"&amp;F1943&amp;"'!$C$8")),"")</f>
        <v/>
      </c>
      <c r="K1943" s="48">
        <f t="shared" si="93"/>
        <v>1949</v>
      </c>
      <c r="L1943" s="114" t="str" cm="1">
        <f t="array" aca="1" ref="L1943" ca="1">IF(F1943&lt;&gt;"",INDIRECT("'"&amp;F1943&amp;"'!$F$17"),"")</f>
        <v/>
      </c>
      <c r="M1943" s="116" t="str">
        <f t="shared" ca="1" si="91"/>
        <v/>
      </c>
      <c r="O1943" s="49" t="str">
        <f t="shared" ca="1" si="92"/>
        <v/>
      </c>
      <c r="P1943" s="38" t="str">
        <f>IF(E1943&lt;&gt;"",RANK(E1943,$E$3:$E$2298)+COUNTIF($E$3:E1943,E1943)-1,"")</f>
        <v/>
      </c>
    </row>
    <row r="1944" spans="4:16" x14ac:dyDescent="0.25">
      <c r="D1944" s="36" t="str" cm="1">
        <f t="array" aca="1" ref="D1944" ca="1">IFERROR(IF(INDIRECT("'"&amp;F1944&amp;"'!$C$5")&gt;0,DATE(YEAR(Dashboard!$AL$2),Dashboard!$AU$4,INDIRECT("'"&amp;F1944&amp;"'!$C$5")),""),"")</f>
        <v/>
      </c>
      <c r="G1944" s="38" t="str" cm="1">
        <f t="array" aca="1" ref="G1944" ca="1">IF(F1944="",
    "",
    IFERROR(
        IF(INDIRECT("'"&amp;F1944&amp;"'!$B$2")="Credit Limit",
            "Credit Accounts",
            IF(INDIRECT("'"&amp;F1944&amp;"'!$E$2")="Location",
                "Cash Accounts",
                IF(INDIRECT("'"&amp;F1944&amp;"'!$B$2")="Amount",
                    "Investments",
                    "Bill Accounts"
                )
            )
        ),
    "")
)</f>
        <v/>
      </c>
      <c r="I1944" s="46" t="str" cm="1">
        <f t="array" aca="1" ref="I1944" ca="1">IF(F1944&lt;&gt;"",IF(OR(G1944="Bill Accounts",G1944="Investments", G1944="Cash Accounts"),INDIRECT("'"&amp;F1944&amp;"'!$C$10"),INDIRECT("'"&amp;F1944&amp;"'!$C$8")),"")</f>
        <v/>
      </c>
      <c r="K1944" s="48">
        <f t="shared" si="93"/>
        <v>1950</v>
      </c>
      <c r="L1944" s="114" t="str" cm="1">
        <f t="array" aca="1" ref="L1944" ca="1">IF(F1944&lt;&gt;"",INDIRECT("'"&amp;F1944&amp;"'!$F$17"),"")</f>
        <v/>
      </c>
      <c r="M1944" s="116" t="str">
        <f t="shared" ca="1" si="91"/>
        <v/>
      </c>
      <c r="O1944" s="49" t="str">
        <f t="shared" ca="1" si="92"/>
        <v/>
      </c>
      <c r="P1944" s="38" t="str">
        <f>IF(E1944&lt;&gt;"",RANK(E1944,$E$3:$E$2298)+COUNTIF($E$3:E1944,E1944)-1,"")</f>
        <v/>
      </c>
    </row>
    <row r="1945" spans="4:16" x14ac:dyDescent="0.25">
      <c r="D1945" s="36" t="str" cm="1">
        <f t="array" aca="1" ref="D1945" ca="1">IFERROR(IF(INDIRECT("'"&amp;F1945&amp;"'!$C$5")&gt;0,DATE(YEAR(Dashboard!$AL$2),Dashboard!$AU$4,INDIRECT("'"&amp;F1945&amp;"'!$C$5")),""),"")</f>
        <v/>
      </c>
      <c r="G1945" s="38" t="str" cm="1">
        <f t="array" aca="1" ref="G1945" ca="1">IF(F1945="",
    "",
    IFERROR(
        IF(INDIRECT("'"&amp;F1945&amp;"'!$B$2")="Credit Limit",
            "Credit Accounts",
            IF(INDIRECT("'"&amp;F1945&amp;"'!$E$2")="Location",
                "Cash Accounts",
                IF(INDIRECT("'"&amp;F1945&amp;"'!$B$2")="Amount",
                    "Investments",
                    "Bill Accounts"
                )
            )
        ),
    "")
)</f>
        <v/>
      </c>
      <c r="I1945" s="46" t="str" cm="1">
        <f t="array" aca="1" ref="I1945" ca="1">IF(F1945&lt;&gt;"",IF(OR(G1945="Bill Accounts",G1945="Investments", G1945="Cash Accounts"),INDIRECT("'"&amp;F1945&amp;"'!$C$10"),INDIRECT("'"&amp;F1945&amp;"'!$C$8")),"")</f>
        <v/>
      </c>
      <c r="K1945" s="48">
        <f t="shared" si="93"/>
        <v>1951</v>
      </c>
      <c r="L1945" s="114" t="str" cm="1">
        <f t="array" aca="1" ref="L1945" ca="1">IF(F1945&lt;&gt;"",INDIRECT("'"&amp;F1945&amp;"'!$F$17"),"")</f>
        <v/>
      </c>
      <c r="M1945" s="116" t="str">
        <f t="shared" ca="1" si="91"/>
        <v/>
      </c>
      <c r="O1945" s="49" t="str">
        <f t="shared" ca="1" si="92"/>
        <v/>
      </c>
      <c r="P1945" s="38" t="str">
        <f>IF(E1945&lt;&gt;"",RANK(E1945,$E$3:$E$2298)+COUNTIF($E$3:E1945,E1945)-1,"")</f>
        <v/>
      </c>
    </row>
    <row r="1946" spans="4:16" x14ac:dyDescent="0.25">
      <c r="D1946" s="36" t="str" cm="1">
        <f t="array" aca="1" ref="D1946" ca="1">IFERROR(IF(INDIRECT("'"&amp;F1946&amp;"'!$C$5")&gt;0,DATE(YEAR(Dashboard!$AL$2),Dashboard!$AU$4,INDIRECT("'"&amp;F1946&amp;"'!$C$5")),""),"")</f>
        <v/>
      </c>
      <c r="G1946" s="38" t="str" cm="1">
        <f t="array" aca="1" ref="G1946" ca="1">IF(F1946="",
    "",
    IFERROR(
        IF(INDIRECT("'"&amp;F1946&amp;"'!$B$2")="Credit Limit",
            "Credit Accounts",
            IF(INDIRECT("'"&amp;F1946&amp;"'!$E$2")="Location",
                "Cash Accounts",
                IF(INDIRECT("'"&amp;F1946&amp;"'!$B$2")="Amount",
                    "Investments",
                    "Bill Accounts"
                )
            )
        ),
    "")
)</f>
        <v/>
      </c>
      <c r="I1946" s="46" t="str" cm="1">
        <f t="array" aca="1" ref="I1946" ca="1">IF(F1946&lt;&gt;"",IF(OR(G1946="Bill Accounts",G1946="Investments", G1946="Cash Accounts"),INDIRECT("'"&amp;F1946&amp;"'!$C$10"),INDIRECT("'"&amp;F1946&amp;"'!$C$8")),"")</f>
        <v/>
      </c>
      <c r="K1946" s="48">
        <f t="shared" si="93"/>
        <v>1952</v>
      </c>
      <c r="L1946" s="114" t="str" cm="1">
        <f t="array" aca="1" ref="L1946" ca="1">IF(F1946&lt;&gt;"",INDIRECT("'"&amp;F1946&amp;"'!$F$17"),"")</f>
        <v/>
      </c>
      <c r="M1946" s="116" t="str">
        <f t="shared" ca="1" si="91"/>
        <v/>
      </c>
      <c r="O1946" s="49" t="str">
        <f t="shared" ca="1" si="92"/>
        <v/>
      </c>
      <c r="P1946" s="38" t="str">
        <f>IF(E1946&lt;&gt;"",RANK(E1946,$E$3:$E$2298)+COUNTIF($E$3:E1946,E1946)-1,"")</f>
        <v/>
      </c>
    </row>
    <row r="1947" spans="4:16" x14ac:dyDescent="0.25">
      <c r="D1947" s="36" t="str" cm="1">
        <f t="array" aca="1" ref="D1947" ca="1">IFERROR(IF(INDIRECT("'"&amp;F1947&amp;"'!$C$5")&gt;0,DATE(YEAR(Dashboard!$AL$2),Dashboard!$AU$4,INDIRECT("'"&amp;F1947&amp;"'!$C$5")),""),"")</f>
        <v/>
      </c>
      <c r="G1947" s="38" t="str" cm="1">
        <f t="array" aca="1" ref="G1947" ca="1">IF(F1947="",
    "",
    IFERROR(
        IF(INDIRECT("'"&amp;F1947&amp;"'!$B$2")="Credit Limit",
            "Credit Accounts",
            IF(INDIRECT("'"&amp;F1947&amp;"'!$E$2")="Location",
                "Cash Accounts",
                IF(INDIRECT("'"&amp;F1947&amp;"'!$B$2")="Amount",
                    "Investments",
                    "Bill Accounts"
                )
            )
        ),
    "")
)</f>
        <v/>
      </c>
      <c r="I1947" s="46" t="str" cm="1">
        <f t="array" aca="1" ref="I1947" ca="1">IF(F1947&lt;&gt;"",IF(OR(G1947="Bill Accounts",G1947="Investments", G1947="Cash Accounts"),INDIRECT("'"&amp;F1947&amp;"'!$C$10"),INDIRECT("'"&amp;F1947&amp;"'!$C$8")),"")</f>
        <v/>
      </c>
      <c r="K1947" s="48">
        <f t="shared" si="93"/>
        <v>1953</v>
      </c>
      <c r="L1947" s="114" t="str" cm="1">
        <f t="array" aca="1" ref="L1947" ca="1">IF(F1947&lt;&gt;"",INDIRECT("'"&amp;F1947&amp;"'!$F$17"),"")</f>
        <v/>
      </c>
      <c r="M1947" s="116" t="str">
        <f t="shared" ca="1" si="91"/>
        <v/>
      </c>
      <c r="O1947" s="49" t="str">
        <f t="shared" ca="1" si="92"/>
        <v/>
      </c>
      <c r="P1947" s="38" t="str">
        <f>IF(E1947&lt;&gt;"",RANK(E1947,$E$3:$E$2298)+COUNTIF($E$3:E1947,E1947)-1,"")</f>
        <v/>
      </c>
    </row>
    <row r="1948" spans="4:16" x14ac:dyDescent="0.25">
      <c r="D1948" s="36" t="str" cm="1">
        <f t="array" aca="1" ref="D1948" ca="1">IFERROR(IF(INDIRECT("'"&amp;F1948&amp;"'!$C$5")&gt;0,DATE(YEAR(Dashboard!$AL$2),Dashboard!$AU$4,INDIRECT("'"&amp;F1948&amp;"'!$C$5")),""),"")</f>
        <v/>
      </c>
      <c r="G1948" s="38" t="str" cm="1">
        <f t="array" aca="1" ref="G1948" ca="1">IF(F1948="",
    "",
    IFERROR(
        IF(INDIRECT("'"&amp;F1948&amp;"'!$B$2")="Credit Limit",
            "Credit Accounts",
            IF(INDIRECT("'"&amp;F1948&amp;"'!$E$2")="Location",
                "Cash Accounts",
                IF(INDIRECT("'"&amp;F1948&amp;"'!$B$2")="Amount",
                    "Investments",
                    "Bill Accounts"
                )
            )
        ),
    "")
)</f>
        <v/>
      </c>
      <c r="I1948" s="46" t="str" cm="1">
        <f t="array" aca="1" ref="I1948" ca="1">IF(F1948&lt;&gt;"",IF(OR(G1948="Bill Accounts",G1948="Investments", G1948="Cash Accounts"),INDIRECT("'"&amp;F1948&amp;"'!$C$10"),INDIRECT("'"&amp;F1948&amp;"'!$C$8")),"")</f>
        <v/>
      </c>
      <c r="K1948" s="48">
        <f t="shared" si="93"/>
        <v>1954</v>
      </c>
      <c r="L1948" s="114" t="str" cm="1">
        <f t="array" aca="1" ref="L1948" ca="1">IF(F1948&lt;&gt;"",INDIRECT("'"&amp;F1948&amp;"'!$F$17"),"")</f>
        <v/>
      </c>
      <c r="M1948" s="116" t="str">
        <f t="shared" ca="1" si="91"/>
        <v/>
      </c>
      <c r="O1948" s="49" t="str">
        <f t="shared" ca="1" si="92"/>
        <v/>
      </c>
      <c r="P1948" s="38" t="str">
        <f>IF(E1948&lt;&gt;"",RANK(E1948,$E$3:$E$2298)+COUNTIF($E$3:E1948,E1948)-1,"")</f>
        <v/>
      </c>
    </row>
    <row r="1949" spans="4:16" x14ac:dyDescent="0.25">
      <c r="D1949" s="36" t="str" cm="1">
        <f t="array" aca="1" ref="D1949" ca="1">IFERROR(IF(INDIRECT("'"&amp;F1949&amp;"'!$C$5")&gt;0,DATE(YEAR(Dashboard!$AL$2),Dashboard!$AU$4,INDIRECT("'"&amp;F1949&amp;"'!$C$5")),""),"")</f>
        <v/>
      </c>
      <c r="G1949" s="38" t="str" cm="1">
        <f t="array" aca="1" ref="G1949" ca="1">IF(F1949="",
    "",
    IFERROR(
        IF(INDIRECT("'"&amp;F1949&amp;"'!$B$2")="Credit Limit",
            "Credit Accounts",
            IF(INDIRECT("'"&amp;F1949&amp;"'!$E$2")="Location",
                "Cash Accounts",
                IF(INDIRECT("'"&amp;F1949&amp;"'!$B$2")="Amount",
                    "Investments",
                    "Bill Accounts"
                )
            )
        ),
    "")
)</f>
        <v/>
      </c>
      <c r="I1949" s="46" t="str" cm="1">
        <f t="array" aca="1" ref="I1949" ca="1">IF(F1949&lt;&gt;"",IF(OR(G1949="Bill Accounts",G1949="Investments", G1949="Cash Accounts"),INDIRECT("'"&amp;F1949&amp;"'!$C$10"),INDIRECT("'"&amp;F1949&amp;"'!$C$8")),"")</f>
        <v/>
      </c>
      <c r="K1949" s="48">
        <f t="shared" si="93"/>
        <v>1955</v>
      </c>
      <c r="L1949" s="114" t="str" cm="1">
        <f t="array" aca="1" ref="L1949" ca="1">IF(F1949&lt;&gt;"",INDIRECT("'"&amp;F1949&amp;"'!$F$17"),"")</f>
        <v/>
      </c>
      <c r="M1949" s="116" t="str">
        <f t="shared" ca="1" si="91"/>
        <v/>
      </c>
      <c r="O1949" s="49" t="str">
        <f t="shared" ca="1" si="92"/>
        <v/>
      </c>
      <c r="P1949" s="38" t="str">
        <f>IF(E1949&lt;&gt;"",RANK(E1949,$E$3:$E$2298)+COUNTIF($E$3:E1949,E1949)-1,"")</f>
        <v/>
      </c>
    </row>
    <row r="1950" spans="4:16" x14ac:dyDescent="0.25">
      <c r="D1950" s="36" t="str" cm="1">
        <f t="array" aca="1" ref="D1950" ca="1">IFERROR(IF(INDIRECT("'"&amp;F1950&amp;"'!$C$5")&gt;0,DATE(YEAR(Dashboard!$AL$2),Dashboard!$AU$4,INDIRECT("'"&amp;F1950&amp;"'!$C$5")),""),"")</f>
        <v/>
      </c>
      <c r="G1950" s="38" t="str" cm="1">
        <f t="array" aca="1" ref="G1950" ca="1">IF(F1950="",
    "",
    IFERROR(
        IF(INDIRECT("'"&amp;F1950&amp;"'!$B$2")="Credit Limit",
            "Credit Accounts",
            IF(INDIRECT("'"&amp;F1950&amp;"'!$E$2")="Location",
                "Cash Accounts",
                IF(INDIRECT("'"&amp;F1950&amp;"'!$B$2")="Amount",
                    "Investments",
                    "Bill Accounts"
                )
            )
        ),
    "")
)</f>
        <v/>
      </c>
      <c r="I1950" s="46" t="str" cm="1">
        <f t="array" aca="1" ref="I1950" ca="1">IF(F1950&lt;&gt;"",IF(OR(G1950="Bill Accounts",G1950="Investments", G1950="Cash Accounts"),INDIRECT("'"&amp;F1950&amp;"'!$C$10"),INDIRECT("'"&amp;F1950&amp;"'!$C$8")),"")</f>
        <v/>
      </c>
      <c r="K1950" s="48">
        <f t="shared" si="93"/>
        <v>1956</v>
      </c>
      <c r="L1950" s="114" t="str" cm="1">
        <f t="array" aca="1" ref="L1950" ca="1">IF(F1950&lt;&gt;"",INDIRECT("'"&amp;F1950&amp;"'!$F$17"),"")</f>
        <v/>
      </c>
      <c r="M1950" s="116" t="str">
        <f t="shared" ca="1" si="91"/>
        <v/>
      </c>
      <c r="O1950" s="49" t="str">
        <f t="shared" ca="1" si="92"/>
        <v/>
      </c>
      <c r="P1950" s="38" t="str">
        <f>IF(E1950&lt;&gt;"",RANK(E1950,$E$3:$E$2298)+COUNTIF($E$3:E1950,E1950)-1,"")</f>
        <v/>
      </c>
    </row>
    <row r="1951" spans="4:16" x14ac:dyDescent="0.25">
      <c r="D1951" s="36" t="str" cm="1">
        <f t="array" aca="1" ref="D1951" ca="1">IFERROR(IF(INDIRECT("'"&amp;F1951&amp;"'!$C$5")&gt;0,DATE(YEAR(Dashboard!$AL$2),Dashboard!$AU$4,INDIRECT("'"&amp;F1951&amp;"'!$C$5")),""),"")</f>
        <v/>
      </c>
      <c r="G1951" s="38" t="str" cm="1">
        <f t="array" aca="1" ref="G1951" ca="1">IF(F1951="",
    "",
    IFERROR(
        IF(INDIRECT("'"&amp;F1951&amp;"'!$B$2")="Credit Limit",
            "Credit Accounts",
            IF(INDIRECT("'"&amp;F1951&amp;"'!$E$2")="Location",
                "Cash Accounts",
                IF(INDIRECT("'"&amp;F1951&amp;"'!$B$2")="Amount",
                    "Investments",
                    "Bill Accounts"
                )
            )
        ),
    "")
)</f>
        <v/>
      </c>
      <c r="I1951" s="46" t="str" cm="1">
        <f t="array" aca="1" ref="I1951" ca="1">IF(F1951&lt;&gt;"",IF(OR(G1951="Bill Accounts",G1951="Investments", G1951="Cash Accounts"),INDIRECT("'"&amp;F1951&amp;"'!$C$10"),INDIRECT("'"&amp;F1951&amp;"'!$C$8")),"")</f>
        <v/>
      </c>
      <c r="K1951" s="48">
        <f t="shared" si="93"/>
        <v>1957</v>
      </c>
      <c r="L1951" s="114" t="str" cm="1">
        <f t="array" aca="1" ref="L1951" ca="1">IF(F1951&lt;&gt;"",INDIRECT("'"&amp;F1951&amp;"'!$F$17"),"")</f>
        <v/>
      </c>
      <c r="M1951" s="116" t="str">
        <f t="shared" ca="1" si="91"/>
        <v/>
      </c>
      <c r="O1951" s="49" t="str">
        <f t="shared" ca="1" si="92"/>
        <v/>
      </c>
      <c r="P1951" s="38" t="str">
        <f>IF(E1951&lt;&gt;"",RANK(E1951,$E$3:$E$2298)+COUNTIF($E$3:E1951,E1951)-1,"")</f>
        <v/>
      </c>
    </row>
    <row r="1952" spans="4:16" x14ac:dyDescent="0.25">
      <c r="D1952" s="36" t="str" cm="1">
        <f t="array" aca="1" ref="D1952" ca="1">IFERROR(IF(INDIRECT("'"&amp;F1952&amp;"'!$C$5")&gt;0,DATE(YEAR(Dashboard!$AL$2),Dashboard!$AU$4,INDIRECT("'"&amp;F1952&amp;"'!$C$5")),""),"")</f>
        <v/>
      </c>
      <c r="G1952" s="38" t="str" cm="1">
        <f t="array" aca="1" ref="G1952" ca="1">IF(F1952="",
    "",
    IFERROR(
        IF(INDIRECT("'"&amp;F1952&amp;"'!$B$2")="Credit Limit",
            "Credit Accounts",
            IF(INDIRECT("'"&amp;F1952&amp;"'!$E$2")="Location",
                "Cash Accounts",
                IF(INDIRECT("'"&amp;F1952&amp;"'!$B$2")="Amount",
                    "Investments",
                    "Bill Accounts"
                )
            )
        ),
    "")
)</f>
        <v/>
      </c>
      <c r="I1952" s="46" t="str" cm="1">
        <f t="array" aca="1" ref="I1952" ca="1">IF(F1952&lt;&gt;"",IF(OR(G1952="Bill Accounts",G1952="Investments", G1952="Cash Accounts"),INDIRECT("'"&amp;F1952&amp;"'!$C$10"),INDIRECT("'"&amp;F1952&amp;"'!$C$8")),"")</f>
        <v/>
      </c>
      <c r="K1952" s="48">
        <f t="shared" si="93"/>
        <v>1958</v>
      </c>
      <c r="L1952" s="114" t="str" cm="1">
        <f t="array" aca="1" ref="L1952" ca="1">IF(F1952&lt;&gt;"",INDIRECT("'"&amp;F1952&amp;"'!$F$17"),"")</f>
        <v/>
      </c>
      <c r="M1952" s="116" t="str">
        <f t="shared" ca="1" si="91"/>
        <v/>
      </c>
      <c r="O1952" s="49" t="str">
        <f t="shared" ca="1" si="92"/>
        <v/>
      </c>
      <c r="P1952" s="38" t="str">
        <f>IF(E1952&lt;&gt;"",RANK(E1952,$E$3:$E$2298)+COUNTIF($E$3:E1952,E1952)-1,"")</f>
        <v/>
      </c>
    </row>
    <row r="1953" spans="4:16" x14ac:dyDescent="0.25">
      <c r="D1953" s="36" t="str" cm="1">
        <f t="array" aca="1" ref="D1953" ca="1">IFERROR(IF(INDIRECT("'"&amp;F1953&amp;"'!$C$5")&gt;0,DATE(YEAR(Dashboard!$AL$2),Dashboard!$AU$4,INDIRECT("'"&amp;F1953&amp;"'!$C$5")),""),"")</f>
        <v/>
      </c>
      <c r="G1953" s="38" t="str" cm="1">
        <f t="array" aca="1" ref="G1953" ca="1">IF(F1953="",
    "",
    IFERROR(
        IF(INDIRECT("'"&amp;F1953&amp;"'!$B$2")="Credit Limit",
            "Credit Accounts",
            IF(INDIRECT("'"&amp;F1953&amp;"'!$E$2")="Location",
                "Cash Accounts",
                IF(INDIRECT("'"&amp;F1953&amp;"'!$B$2")="Amount",
                    "Investments",
                    "Bill Accounts"
                )
            )
        ),
    "")
)</f>
        <v/>
      </c>
      <c r="I1953" s="46" t="str" cm="1">
        <f t="array" aca="1" ref="I1953" ca="1">IF(F1953&lt;&gt;"",IF(OR(G1953="Bill Accounts",G1953="Investments", G1953="Cash Accounts"),INDIRECT("'"&amp;F1953&amp;"'!$C$10"),INDIRECT("'"&amp;F1953&amp;"'!$C$8")),"")</f>
        <v/>
      </c>
      <c r="K1953" s="48">
        <f t="shared" si="93"/>
        <v>1959</v>
      </c>
      <c r="L1953" s="114" t="str" cm="1">
        <f t="array" aca="1" ref="L1953" ca="1">IF(F1953&lt;&gt;"",INDIRECT("'"&amp;F1953&amp;"'!$F$17"),"")</f>
        <v/>
      </c>
      <c r="M1953" s="116" t="str">
        <f t="shared" ca="1" si="91"/>
        <v/>
      </c>
      <c r="O1953" s="49" t="str">
        <f t="shared" ca="1" si="92"/>
        <v/>
      </c>
      <c r="P1953" s="38" t="str">
        <f>IF(E1953&lt;&gt;"",RANK(E1953,$E$3:$E$2298)+COUNTIF($E$3:E1953,E1953)-1,"")</f>
        <v/>
      </c>
    </row>
    <row r="1954" spans="4:16" x14ac:dyDescent="0.25">
      <c r="D1954" s="36" t="str" cm="1">
        <f t="array" aca="1" ref="D1954" ca="1">IFERROR(IF(INDIRECT("'"&amp;F1954&amp;"'!$C$5")&gt;0,DATE(YEAR(Dashboard!$AL$2),Dashboard!$AU$4,INDIRECT("'"&amp;F1954&amp;"'!$C$5")),""),"")</f>
        <v/>
      </c>
      <c r="G1954" s="38" t="str" cm="1">
        <f t="array" aca="1" ref="G1954" ca="1">IF(F1954="",
    "",
    IFERROR(
        IF(INDIRECT("'"&amp;F1954&amp;"'!$B$2")="Credit Limit",
            "Credit Accounts",
            IF(INDIRECT("'"&amp;F1954&amp;"'!$E$2")="Location",
                "Cash Accounts",
                IF(INDIRECT("'"&amp;F1954&amp;"'!$B$2")="Amount",
                    "Investments",
                    "Bill Accounts"
                )
            )
        ),
    "")
)</f>
        <v/>
      </c>
      <c r="I1954" s="46" t="str" cm="1">
        <f t="array" aca="1" ref="I1954" ca="1">IF(F1954&lt;&gt;"",IF(OR(G1954="Bill Accounts",G1954="Investments", G1954="Cash Accounts"),INDIRECT("'"&amp;F1954&amp;"'!$C$10"),INDIRECT("'"&amp;F1954&amp;"'!$C$8")),"")</f>
        <v/>
      </c>
      <c r="K1954" s="48">
        <f t="shared" si="93"/>
        <v>1960</v>
      </c>
      <c r="L1954" s="114" t="str" cm="1">
        <f t="array" aca="1" ref="L1954" ca="1">IF(F1954&lt;&gt;"",INDIRECT("'"&amp;F1954&amp;"'!$F$17"),"")</f>
        <v/>
      </c>
      <c r="M1954" s="116" t="str">
        <f t="shared" ca="1" si="91"/>
        <v/>
      </c>
      <c r="O1954" s="49" t="str">
        <f t="shared" ca="1" si="92"/>
        <v/>
      </c>
      <c r="P1954" s="38" t="str">
        <f>IF(E1954&lt;&gt;"",RANK(E1954,$E$3:$E$2298)+COUNTIF($E$3:E1954,E1954)-1,"")</f>
        <v/>
      </c>
    </row>
    <row r="1955" spans="4:16" x14ac:dyDescent="0.25">
      <c r="D1955" s="36" t="str" cm="1">
        <f t="array" aca="1" ref="D1955" ca="1">IFERROR(IF(INDIRECT("'"&amp;F1955&amp;"'!$C$5")&gt;0,DATE(YEAR(Dashboard!$AL$2),Dashboard!$AU$4,INDIRECT("'"&amp;F1955&amp;"'!$C$5")),""),"")</f>
        <v/>
      </c>
      <c r="G1955" s="38" t="str" cm="1">
        <f t="array" aca="1" ref="G1955" ca="1">IF(F1955="",
    "",
    IFERROR(
        IF(INDIRECT("'"&amp;F1955&amp;"'!$B$2")="Credit Limit",
            "Credit Accounts",
            IF(INDIRECT("'"&amp;F1955&amp;"'!$E$2")="Location",
                "Cash Accounts",
                IF(INDIRECT("'"&amp;F1955&amp;"'!$B$2")="Amount",
                    "Investments",
                    "Bill Accounts"
                )
            )
        ),
    "")
)</f>
        <v/>
      </c>
      <c r="I1955" s="46" t="str" cm="1">
        <f t="array" aca="1" ref="I1955" ca="1">IF(F1955&lt;&gt;"",IF(OR(G1955="Bill Accounts",G1955="Investments", G1955="Cash Accounts"),INDIRECT("'"&amp;F1955&amp;"'!$C$10"),INDIRECT("'"&amp;F1955&amp;"'!$C$8")),"")</f>
        <v/>
      </c>
      <c r="K1955" s="48">
        <f t="shared" si="93"/>
        <v>1961</v>
      </c>
      <c r="L1955" s="114" t="str" cm="1">
        <f t="array" aca="1" ref="L1955" ca="1">IF(F1955&lt;&gt;"",INDIRECT("'"&amp;F1955&amp;"'!$F$17"),"")</f>
        <v/>
      </c>
      <c r="M1955" s="116" t="str">
        <f t="shared" ca="1" si="91"/>
        <v/>
      </c>
      <c r="O1955" s="49" t="str">
        <f t="shared" ca="1" si="92"/>
        <v/>
      </c>
      <c r="P1955" s="38" t="str">
        <f>IF(E1955&lt;&gt;"",RANK(E1955,$E$3:$E$2298)+COUNTIF($E$3:E1955,E1955)-1,"")</f>
        <v/>
      </c>
    </row>
    <row r="1956" spans="4:16" x14ac:dyDescent="0.25">
      <c r="D1956" s="36" t="str" cm="1">
        <f t="array" aca="1" ref="D1956" ca="1">IFERROR(IF(INDIRECT("'"&amp;F1956&amp;"'!$C$5")&gt;0,DATE(YEAR(Dashboard!$AL$2),Dashboard!$AU$4,INDIRECT("'"&amp;F1956&amp;"'!$C$5")),""),"")</f>
        <v/>
      </c>
      <c r="G1956" s="38" t="str" cm="1">
        <f t="array" aca="1" ref="G1956" ca="1">IF(F1956="",
    "",
    IFERROR(
        IF(INDIRECT("'"&amp;F1956&amp;"'!$B$2")="Credit Limit",
            "Credit Accounts",
            IF(INDIRECT("'"&amp;F1956&amp;"'!$E$2")="Location",
                "Cash Accounts",
                IF(INDIRECT("'"&amp;F1956&amp;"'!$B$2")="Amount",
                    "Investments",
                    "Bill Accounts"
                )
            )
        ),
    "")
)</f>
        <v/>
      </c>
      <c r="I1956" s="46" t="str" cm="1">
        <f t="array" aca="1" ref="I1956" ca="1">IF(F1956&lt;&gt;"",IF(OR(G1956="Bill Accounts",G1956="Investments", G1956="Cash Accounts"),INDIRECT("'"&amp;F1956&amp;"'!$C$10"),INDIRECT("'"&amp;F1956&amp;"'!$C$8")),"")</f>
        <v/>
      </c>
      <c r="K1956" s="48">
        <f t="shared" si="93"/>
        <v>1962</v>
      </c>
      <c r="L1956" s="114" t="str" cm="1">
        <f t="array" aca="1" ref="L1956" ca="1">IF(F1956&lt;&gt;"",INDIRECT("'"&amp;F1956&amp;"'!$F$17"),"")</f>
        <v/>
      </c>
      <c r="M1956" s="116" t="str">
        <f t="shared" ca="1" si="91"/>
        <v/>
      </c>
      <c r="O1956" s="49" t="str">
        <f t="shared" ca="1" si="92"/>
        <v/>
      </c>
      <c r="P1956" s="38" t="str">
        <f>IF(E1956&lt;&gt;"",RANK(E1956,$E$3:$E$2298)+COUNTIF($E$3:E1956,E1956)-1,"")</f>
        <v/>
      </c>
    </row>
    <row r="1957" spans="4:16" x14ac:dyDescent="0.25">
      <c r="D1957" s="36" t="str" cm="1">
        <f t="array" aca="1" ref="D1957" ca="1">IFERROR(IF(INDIRECT("'"&amp;F1957&amp;"'!$C$5")&gt;0,DATE(YEAR(Dashboard!$AL$2),Dashboard!$AU$4,INDIRECT("'"&amp;F1957&amp;"'!$C$5")),""),"")</f>
        <v/>
      </c>
      <c r="G1957" s="38" t="str" cm="1">
        <f t="array" aca="1" ref="G1957" ca="1">IF(F1957="",
    "",
    IFERROR(
        IF(INDIRECT("'"&amp;F1957&amp;"'!$B$2")="Credit Limit",
            "Credit Accounts",
            IF(INDIRECT("'"&amp;F1957&amp;"'!$E$2")="Location",
                "Cash Accounts",
                IF(INDIRECT("'"&amp;F1957&amp;"'!$B$2")="Amount",
                    "Investments",
                    "Bill Accounts"
                )
            )
        ),
    "")
)</f>
        <v/>
      </c>
      <c r="I1957" s="46" t="str" cm="1">
        <f t="array" aca="1" ref="I1957" ca="1">IF(F1957&lt;&gt;"",IF(OR(G1957="Bill Accounts",G1957="Investments", G1957="Cash Accounts"),INDIRECT("'"&amp;F1957&amp;"'!$C$10"),INDIRECT("'"&amp;F1957&amp;"'!$C$8")),"")</f>
        <v/>
      </c>
      <c r="K1957" s="48">
        <f t="shared" si="93"/>
        <v>1963</v>
      </c>
      <c r="L1957" s="114" t="str" cm="1">
        <f t="array" aca="1" ref="L1957" ca="1">IF(F1957&lt;&gt;"",INDIRECT("'"&amp;F1957&amp;"'!$F$17"),"")</f>
        <v/>
      </c>
      <c r="M1957" s="116" t="str">
        <f t="shared" ca="1" si="91"/>
        <v/>
      </c>
      <c r="O1957" s="49" t="str">
        <f t="shared" ca="1" si="92"/>
        <v/>
      </c>
      <c r="P1957" s="38" t="str">
        <f>IF(E1957&lt;&gt;"",RANK(E1957,$E$3:$E$2298)+COUNTIF($E$3:E1957,E1957)-1,"")</f>
        <v/>
      </c>
    </row>
    <row r="1958" spans="4:16" x14ac:dyDescent="0.25">
      <c r="D1958" s="36" t="str" cm="1">
        <f t="array" aca="1" ref="D1958" ca="1">IFERROR(IF(INDIRECT("'"&amp;F1958&amp;"'!$C$5")&gt;0,DATE(YEAR(Dashboard!$AL$2),Dashboard!$AU$4,INDIRECT("'"&amp;F1958&amp;"'!$C$5")),""),"")</f>
        <v/>
      </c>
      <c r="G1958" s="38" t="str" cm="1">
        <f t="array" aca="1" ref="G1958" ca="1">IF(F1958="",
    "",
    IFERROR(
        IF(INDIRECT("'"&amp;F1958&amp;"'!$B$2")="Credit Limit",
            "Credit Accounts",
            IF(INDIRECT("'"&amp;F1958&amp;"'!$E$2")="Location",
                "Cash Accounts",
                IF(INDIRECT("'"&amp;F1958&amp;"'!$B$2")="Amount",
                    "Investments",
                    "Bill Accounts"
                )
            )
        ),
    "")
)</f>
        <v/>
      </c>
      <c r="I1958" s="46" t="str" cm="1">
        <f t="array" aca="1" ref="I1958" ca="1">IF(F1958&lt;&gt;"",IF(OR(G1958="Bill Accounts",G1958="Investments", G1958="Cash Accounts"),INDIRECT("'"&amp;F1958&amp;"'!$C$10"),INDIRECT("'"&amp;F1958&amp;"'!$C$8")),"")</f>
        <v/>
      </c>
      <c r="K1958" s="48">
        <f t="shared" si="93"/>
        <v>1964</v>
      </c>
      <c r="L1958" s="114" t="str" cm="1">
        <f t="array" aca="1" ref="L1958" ca="1">IF(F1958&lt;&gt;"",INDIRECT("'"&amp;F1958&amp;"'!$F$17"),"")</f>
        <v/>
      </c>
      <c r="M1958" s="116" t="str">
        <f t="shared" ca="1" si="91"/>
        <v/>
      </c>
      <c r="O1958" s="49" t="str">
        <f t="shared" ca="1" si="92"/>
        <v/>
      </c>
      <c r="P1958" s="38" t="str">
        <f>IF(E1958&lt;&gt;"",RANK(E1958,$E$3:$E$2298)+COUNTIF($E$3:E1958,E1958)-1,"")</f>
        <v/>
      </c>
    </row>
    <row r="1959" spans="4:16" x14ac:dyDescent="0.25">
      <c r="D1959" s="36" t="str" cm="1">
        <f t="array" aca="1" ref="D1959" ca="1">IFERROR(IF(INDIRECT("'"&amp;F1959&amp;"'!$C$5")&gt;0,DATE(YEAR(Dashboard!$AL$2),Dashboard!$AU$4,INDIRECT("'"&amp;F1959&amp;"'!$C$5")),""),"")</f>
        <v/>
      </c>
      <c r="G1959" s="38" t="str" cm="1">
        <f t="array" aca="1" ref="G1959" ca="1">IF(F1959="",
    "",
    IFERROR(
        IF(INDIRECT("'"&amp;F1959&amp;"'!$B$2")="Credit Limit",
            "Credit Accounts",
            IF(INDIRECT("'"&amp;F1959&amp;"'!$E$2")="Location",
                "Cash Accounts",
                IF(INDIRECT("'"&amp;F1959&amp;"'!$B$2")="Amount",
                    "Investments",
                    "Bill Accounts"
                )
            )
        ),
    "")
)</f>
        <v/>
      </c>
      <c r="I1959" s="46" t="str" cm="1">
        <f t="array" aca="1" ref="I1959" ca="1">IF(F1959&lt;&gt;"",IF(OR(G1959="Bill Accounts",G1959="Investments", G1959="Cash Accounts"),INDIRECT("'"&amp;F1959&amp;"'!$C$10"),INDIRECT("'"&amp;F1959&amp;"'!$C$8")),"")</f>
        <v/>
      </c>
      <c r="K1959" s="48">
        <f t="shared" si="93"/>
        <v>1965</v>
      </c>
      <c r="L1959" s="114" t="str" cm="1">
        <f t="array" aca="1" ref="L1959" ca="1">IF(F1959&lt;&gt;"",INDIRECT("'"&amp;F1959&amp;"'!$F$17"),"")</f>
        <v/>
      </c>
      <c r="M1959" s="116" t="str">
        <f t="shared" ca="1" si="91"/>
        <v/>
      </c>
      <c r="O1959" s="49" t="str">
        <f t="shared" ca="1" si="92"/>
        <v/>
      </c>
      <c r="P1959" s="38" t="str">
        <f>IF(E1959&lt;&gt;"",RANK(E1959,$E$3:$E$2298)+COUNTIF($E$3:E1959,E1959)-1,"")</f>
        <v/>
      </c>
    </row>
    <row r="1960" spans="4:16" x14ac:dyDescent="0.25">
      <c r="D1960" s="36" t="str" cm="1">
        <f t="array" aca="1" ref="D1960" ca="1">IFERROR(IF(INDIRECT("'"&amp;F1960&amp;"'!$C$5")&gt;0,DATE(YEAR(Dashboard!$AL$2),Dashboard!$AU$4,INDIRECT("'"&amp;F1960&amp;"'!$C$5")),""),"")</f>
        <v/>
      </c>
      <c r="G1960" s="38" t="str" cm="1">
        <f t="array" aca="1" ref="G1960" ca="1">IF(F1960="",
    "",
    IFERROR(
        IF(INDIRECT("'"&amp;F1960&amp;"'!$B$2")="Credit Limit",
            "Credit Accounts",
            IF(INDIRECT("'"&amp;F1960&amp;"'!$E$2")="Location",
                "Cash Accounts",
                IF(INDIRECT("'"&amp;F1960&amp;"'!$B$2")="Amount",
                    "Investments",
                    "Bill Accounts"
                )
            )
        ),
    "")
)</f>
        <v/>
      </c>
      <c r="I1960" s="46" t="str" cm="1">
        <f t="array" aca="1" ref="I1960" ca="1">IF(F1960&lt;&gt;"",IF(OR(G1960="Bill Accounts",G1960="Investments", G1960="Cash Accounts"),INDIRECT("'"&amp;F1960&amp;"'!$C$10"),INDIRECT("'"&amp;F1960&amp;"'!$C$8")),"")</f>
        <v/>
      </c>
      <c r="K1960" s="48">
        <f t="shared" si="93"/>
        <v>1966</v>
      </c>
      <c r="L1960" s="114" t="str" cm="1">
        <f t="array" aca="1" ref="L1960" ca="1">IF(F1960&lt;&gt;"",INDIRECT("'"&amp;F1960&amp;"'!$F$17"),"")</f>
        <v/>
      </c>
      <c r="M1960" s="116" t="str">
        <f t="shared" ca="1" si="91"/>
        <v/>
      </c>
      <c r="O1960" s="49" t="str">
        <f t="shared" ca="1" si="92"/>
        <v/>
      </c>
      <c r="P1960" s="38" t="str">
        <f>IF(E1960&lt;&gt;"",RANK(E1960,$E$3:$E$2298)+COUNTIF($E$3:E1960,E1960)-1,"")</f>
        <v/>
      </c>
    </row>
    <row r="1961" spans="4:16" x14ac:dyDescent="0.25">
      <c r="D1961" s="36" t="str" cm="1">
        <f t="array" aca="1" ref="D1961" ca="1">IFERROR(IF(INDIRECT("'"&amp;F1961&amp;"'!$C$5")&gt;0,DATE(YEAR(Dashboard!$AL$2),Dashboard!$AU$4,INDIRECT("'"&amp;F1961&amp;"'!$C$5")),""),"")</f>
        <v/>
      </c>
      <c r="G1961" s="38" t="str" cm="1">
        <f t="array" aca="1" ref="G1961" ca="1">IF(F1961="",
    "",
    IFERROR(
        IF(INDIRECT("'"&amp;F1961&amp;"'!$B$2")="Credit Limit",
            "Credit Accounts",
            IF(INDIRECT("'"&amp;F1961&amp;"'!$E$2")="Location",
                "Cash Accounts",
                IF(INDIRECT("'"&amp;F1961&amp;"'!$B$2")="Amount",
                    "Investments",
                    "Bill Accounts"
                )
            )
        ),
    "")
)</f>
        <v/>
      </c>
      <c r="I1961" s="46" t="str" cm="1">
        <f t="array" aca="1" ref="I1961" ca="1">IF(F1961&lt;&gt;"",IF(OR(G1961="Bill Accounts",G1961="Investments", G1961="Cash Accounts"),INDIRECT("'"&amp;F1961&amp;"'!$C$10"),INDIRECT("'"&amp;F1961&amp;"'!$C$8")),"")</f>
        <v/>
      </c>
      <c r="K1961" s="48">
        <f t="shared" si="93"/>
        <v>1967</v>
      </c>
      <c r="L1961" s="114" t="str" cm="1">
        <f t="array" aca="1" ref="L1961" ca="1">IF(F1961&lt;&gt;"",INDIRECT("'"&amp;F1961&amp;"'!$F$17"),"")</f>
        <v/>
      </c>
      <c r="M1961" s="116" t="str">
        <f t="shared" ca="1" si="91"/>
        <v/>
      </c>
      <c r="O1961" s="49" t="str">
        <f t="shared" ca="1" si="92"/>
        <v/>
      </c>
      <c r="P1961" s="38" t="str">
        <f>IF(E1961&lt;&gt;"",RANK(E1961,$E$3:$E$2298)+COUNTIF($E$3:E1961,E1961)-1,"")</f>
        <v/>
      </c>
    </row>
    <row r="1962" spans="4:16" x14ac:dyDescent="0.25">
      <c r="D1962" s="36" t="str" cm="1">
        <f t="array" aca="1" ref="D1962" ca="1">IFERROR(IF(INDIRECT("'"&amp;F1962&amp;"'!$C$5")&gt;0,DATE(YEAR(Dashboard!$AL$2),Dashboard!$AU$4,INDIRECT("'"&amp;F1962&amp;"'!$C$5")),""),"")</f>
        <v/>
      </c>
      <c r="G1962" s="38" t="str" cm="1">
        <f t="array" aca="1" ref="G1962" ca="1">IF(F1962="",
    "",
    IFERROR(
        IF(INDIRECT("'"&amp;F1962&amp;"'!$B$2")="Credit Limit",
            "Credit Accounts",
            IF(INDIRECT("'"&amp;F1962&amp;"'!$E$2")="Location",
                "Cash Accounts",
                IF(INDIRECT("'"&amp;F1962&amp;"'!$B$2")="Amount",
                    "Investments",
                    "Bill Accounts"
                )
            )
        ),
    "")
)</f>
        <v/>
      </c>
      <c r="I1962" s="46" t="str" cm="1">
        <f t="array" aca="1" ref="I1962" ca="1">IF(F1962&lt;&gt;"",IF(OR(G1962="Bill Accounts",G1962="Investments", G1962="Cash Accounts"),INDIRECT("'"&amp;F1962&amp;"'!$C$10"),INDIRECT("'"&amp;F1962&amp;"'!$C$8")),"")</f>
        <v/>
      </c>
      <c r="K1962" s="48">
        <f t="shared" si="93"/>
        <v>1968</v>
      </c>
      <c r="L1962" s="114" t="str" cm="1">
        <f t="array" aca="1" ref="L1962" ca="1">IF(F1962&lt;&gt;"",INDIRECT("'"&amp;F1962&amp;"'!$F$17"),"")</f>
        <v/>
      </c>
      <c r="M1962" s="116" t="str">
        <f t="shared" ca="1" si="91"/>
        <v/>
      </c>
      <c r="O1962" s="49" t="str">
        <f t="shared" ca="1" si="92"/>
        <v/>
      </c>
      <c r="P1962" s="38" t="str">
        <f>IF(E1962&lt;&gt;"",RANK(E1962,$E$3:$E$2298)+COUNTIF($E$3:E1962,E1962)-1,"")</f>
        <v/>
      </c>
    </row>
    <row r="1963" spans="4:16" x14ac:dyDescent="0.25">
      <c r="D1963" s="36" t="str" cm="1">
        <f t="array" aca="1" ref="D1963" ca="1">IFERROR(IF(INDIRECT("'"&amp;F1963&amp;"'!$C$5")&gt;0,DATE(YEAR(Dashboard!$AL$2),Dashboard!$AU$4,INDIRECT("'"&amp;F1963&amp;"'!$C$5")),""),"")</f>
        <v/>
      </c>
      <c r="G1963" s="38" t="str" cm="1">
        <f t="array" aca="1" ref="G1963" ca="1">IF(F1963="",
    "",
    IFERROR(
        IF(INDIRECT("'"&amp;F1963&amp;"'!$B$2")="Credit Limit",
            "Credit Accounts",
            IF(INDIRECT("'"&amp;F1963&amp;"'!$E$2")="Location",
                "Cash Accounts",
                IF(INDIRECT("'"&amp;F1963&amp;"'!$B$2")="Amount",
                    "Investments",
                    "Bill Accounts"
                )
            )
        ),
    "")
)</f>
        <v/>
      </c>
      <c r="I1963" s="46" t="str" cm="1">
        <f t="array" aca="1" ref="I1963" ca="1">IF(F1963&lt;&gt;"",IF(OR(G1963="Bill Accounts",G1963="Investments", G1963="Cash Accounts"),INDIRECT("'"&amp;F1963&amp;"'!$C$10"),INDIRECT("'"&amp;F1963&amp;"'!$C$8")),"")</f>
        <v/>
      </c>
      <c r="K1963" s="48">
        <f t="shared" si="93"/>
        <v>1969</v>
      </c>
      <c r="L1963" s="114" t="str" cm="1">
        <f t="array" aca="1" ref="L1963" ca="1">IF(F1963&lt;&gt;"",INDIRECT("'"&amp;F1963&amp;"'!$F$17"),"")</f>
        <v/>
      </c>
      <c r="M1963" s="116" t="str">
        <f t="shared" ca="1" si="91"/>
        <v/>
      </c>
      <c r="O1963" s="49" t="str">
        <f t="shared" ca="1" si="92"/>
        <v/>
      </c>
      <c r="P1963" s="38" t="str">
        <f>IF(E1963&lt;&gt;"",RANK(E1963,$E$3:$E$2298)+COUNTIF($E$3:E1963,E1963)-1,"")</f>
        <v/>
      </c>
    </row>
    <row r="1964" spans="4:16" x14ac:dyDescent="0.25">
      <c r="D1964" s="36" t="str" cm="1">
        <f t="array" aca="1" ref="D1964" ca="1">IFERROR(IF(INDIRECT("'"&amp;F1964&amp;"'!$C$5")&gt;0,DATE(YEAR(Dashboard!$AL$2),Dashboard!$AU$4,INDIRECT("'"&amp;F1964&amp;"'!$C$5")),""),"")</f>
        <v/>
      </c>
      <c r="G1964" s="38" t="str" cm="1">
        <f t="array" aca="1" ref="G1964" ca="1">IF(F1964="",
    "",
    IFERROR(
        IF(INDIRECT("'"&amp;F1964&amp;"'!$B$2")="Credit Limit",
            "Credit Accounts",
            IF(INDIRECT("'"&amp;F1964&amp;"'!$E$2")="Location",
                "Cash Accounts",
                IF(INDIRECT("'"&amp;F1964&amp;"'!$B$2")="Amount",
                    "Investments",
                    "Bill Accounts"
                )
            )
        ),
    "")
)</f>
        <v/>
      </c>
      <c r="I1964" s="46" t="str" cm="1">
        <f t="array" aca="1" ref="I1964" ca="1">IF(F1964&lt;&gt;"",IF(OR(G1964="Bill Accounts",G1964="Investments", G1964="Cash Accounts"),INDIRECT("'"&amp;F1964&amp;"'!$C$10"),INDIRECT("'"&amp;F1964&amp;"'!$C$8")),"")</f>
        <v/>
      </c>
      <c r="K1964" s="48">
        <f t="shared" si="93"/>
        <v>1970</v>
      </c>
      <c r="L1964" s="114" t="str" cm="1">
        <f t="array" aca="1" ref="L1964" ca="1">IF(F1964&lt;&gt;"",INDIRECT("'"&amp;F1964&amp;"'!$F$17"),"")</f>
        <v/>
      </c>
      <c r="M1964" s="116" t="str">
        <f t="shared" ca="1" si="91"/>
        <v/>
      </c>
      <c r="O1964" s="49" t="str">
        <f t="shared" ca="1" si="92"/>
        <v/>
      </c>
      <c r="P1964" s="38" t="str">
        <f>IF(E1964&lt;&gt;"",RANK(E1964,$E$3:$E$2298)+COUNTIF($E$3:E1964,E1964)-1,"")</f>
        <v/>
      </c>
    </row>
    <row r="1965" spans="4:16" x14ac:dyDescent="0.25">
      <c r="D1965" s="36" t="str" cm="1">
        <f t="array" aca="1" ref="D1965" ca="1">IFERROR(IF(INDIRECT("'"&amp;F1965&amp;"'!$C$5")&gt;0,DATE(YEAR(Dashboard!$AL$2),Dashboard!$AU$4,INDIRECT("'"&amp;F1965&amp;"'!$C$5")),""),"")</f>
        <v/>
      </c>
      <c r="G1965" s="38" t="str" cm="1">
        <f t="array" aca="1" ref="G1965" ca="1">IF(F1965="",
    "",
    IFERROR(
        IF(INDIRECT("'"&amp;F1965&amp;"'!$B$2")="Credit Limit",
            "Credit Accounts",
            IF(INDIRECT("'"&amp;F1965&amp;"'!$E$2")="Location",
                "Cash Accounts",
                IF(INDIRECT("'"&amp;F1965&amp;"'!$B$2")="Amount",
                    "Investments",
                    "Bill Accounts"
                )
            )
        ),
    "")
)</f>
        <v/>
      </c>
      <c r="I1965" s="46" t="str" cm="1">
        <f t="array" aca="1" ref="I1965" ca="1">IF(F1965&lt;&gt;"",IF(OR(G1965="Bill Accounts",G1965="Investments", G1965="Cash Accounts"),INDIRECT("'"&amp;F1965&amp;"'!$C$10"),INDIRECT("'"&amp;F1965&amp;"'!$C$8")),"")</f>
        <v/>
      </c>
      <c r="K1965" s="48">
        <f t="shared" si="93"/>
        <v>1971</v>
      </c>
      <c r="L1965" s="114" t="str" cm="1">
        <f t="array" aca="1" ref="L1965" ca="1">IF(F1965&lt;&gt;"",INDIRECT("'"&amp;F1965&amp;"'!$F$17"),"")</f>
        <v/>
      </c>
      <c r="M1965" s="116" t="str">
        <f t="shared" ca="1" si="91"/>
        <v/>
      </c>
      <c r="O1965" s="49" t="str">
        <f t="shared" ca="1" si="92"/>
        <v/>
      </c>
      <c r="P1965" s="38" t="str">
        <f>IF(E1965&lt;&gt;"",RANK(E1965,$E$3:$E$2298)+COUNTIF($E$3:E1965,E1965)-1,"")</f>
        <v/>
      </c>
    </row>
    <row r="1966" spans="4:16" x14ac:dyDescent="0.25">
      <c r="D1966" s="36" t="str" cm="1">
        <f t="array" aca="1" ref="D1966" ca="1">IFERROR(IF(INDIRECT("'"&amp;F1966&amp;"'!$C$5")&gt;0,DATE(YEAR(Dashboard!$AL$2),Dashboard!$AU$4,INDIRECT("'"&amp;F1966&amp;"'!$C$5")),""),"")</f>
        <v/>
      </c>
      <c r="G1966" s="38" t="str" cm="1">
        <f t="array" aca="1" ref="G1966" ca="1">IF(F1966="",
    "",
    IFERROR(
        IF(INDIRECT("'"&amp;F1966&amp;"'!$B$2")="Credit Limit",
            "Credit Accounts",
            IF(INDIRECT("'"&amp;F1966&amp;"'!$E$2")="Location",
                "Cash Accounts",
                IF(INDIRECT("'"&amp;F1966&amp;"'!$B$2")="Amount",
                    "Investments",
                    "Bill Accounts"
                )
            )
        ),
    "")
)</f>
        <v/>
      </c>
      <c r="I1966" s="46" t="str" cm="1">
        <f t="array" aca="1" ref="I1966" ca="1">IF(F1966&lt;&gt;"",IF(OR(G1966="Bill Accounts",G1966="Investments", G1966="Cash Accounts"),INDIRECT("'"&amp;F1966&amp;"'!$C$10"),INDIRECT("'"&amp;F1966&amp;"'!$C$8")),"")</f>
        <v/>
      </c>
      <c r="K1966" s="48">
        <f t="shared" si="93"/>
        <v>1972</v>
      </c>
      <c r="L1966" s="114" t="str" cm="1">
        <f t="array" aca="1" ref="L1966" ca="1">IF(F1966&lt;&gt;"",INDIRECT("'"&amp;F1966&amp;"'!$F$17"),"")</f>
        <v/>
      </c>
      <c r="M1966" s="116" t="str">
        <f t="shared" ca="1" si="91"/>
        <v/>
      </c>
      <c r="O1966" s="49" t="str">
        <f t="shared" ca="1" si="92"/>
        <v/>
      </c>
      <c r="P1966" s="38" t="str">
        <f>IF(E1966&lt;&gt;"",RANK(E1966,$E$3:$E$2298)+COUNTIF($E$3:E1966,E1966)-1,"")</f>
        <v/>
      </c>
    </row>
    <row r="1967" spans="4:16" x14ac:dyDescent="0.25">
      <c r="D1967" s="36" t="str" cm="1">
        <f t="array" aca="1" ref="D1967" ca="1">IFERROR(IF(INDIRECT("'"&amp;F1967&amp;"'!$C$5")&gt;0,DATE(YEAR(Dashboard!$AL$2),Dashboard!$AU$4,INDIRECT("'"&amp;F1967&amp;"'!$C$5")),""),"")</f>
        <v/>
      </c>
      <c r="G1967" s="38" t="str" cm="1">
        <f t="array" aca="1" ref="G1967" ca="1">IF(F1967="",
    "",
    IFERROR(
        IF(INDIRECT("'"&amp;F1967&amp;"'!$B$2")="Credit Limit",
            "Credit Accounts",
            IF(INDIRECT("'"&amp;F1967&amp;"'!$E$2")="Location",
                "Cash Accounts",
                IF(INDIRECT("'"&amp;F1967&amp;"'!$B$2")="Amount",
                    "Investments",
                    "Bill Accounts"
                )
            )
        ),
    "")
)</f>
        <v/>
      </c>
      <c r="I1967" s="46" t="str" cm="1">
        <f t="array" aca="1" ref="I1967" ca="1">IF(F1967&lt;&gt;"",IF(OR(G1967="Bill Accounts",G1967="Investments", G1967="Cash Accounts"),INDIRECT("'"&amp;F1967&amp;"'!$C$10"),INDIRECT("'"&amp;F1967&amp;"'!$C$8")),"")</f>
        <v/>
      </c>
      <c r="K1967" s="48">
        <f t="shared" si="93"/>
        <v>1973</v>
      </c>
      <c r="L1967" s="114" t="str" cm="1">
        <f t="array" aca="1" ref="L1967" ca="1">IF(F1967&lt;&gt;"",INDIRECT("'"&amp;F1967&amp;"'!$F$17"),"")</f>
        <v/>
      </c>
      <c r="M1967" s="116" t="str">
        <f t="shared" ca="1" si="91"/>
        <v/>
      </c>
      <c r="O1967" s="49" t="str">
        <f t="shared" ca="1" si="92"/>
        <v/>
      </c>
      <c r="P1967" s="38" t="str">
        <f>IF(E1967&lt;&gt;"",RANK(E1967,$E$3:$E$2298)+COUNTIF($E$3:E1967,E1967)-1,"")</f>
        <v/>
      </c>
    </row>
    <row r="1968" spans="4:16" x14ac:dyDescent="0.25">
      <c r="D1968" s="36" t="str" cm="1">
        <f t="array" aca="1" ref="D1968" ca="1">IFERROR(IF(INDIRECT("'"&amp;F1968&amp;"'!$C$5")&gt;0,DATE(YEAR(Dashboard!$AL$2),Dashboard!$AU$4,INDIRECT("'"&amp;F1968&amp;"'!$C$5")),""),"")</f>
        <v/>
      </c>
      <c r="G1968" s="38" t="str" cm="1">
        <f t="array" aca="1" ref="G1968" ca="1">IF(F1968="",
    "",
    IFERROR(
        IF(INDIRECT("'"&amp;F1968&amp;"'!$B$2")="Credit Limit",
            "Credit Accounts",
            IF(INDIRECT("'"&amp;F1968&amp;"'!$E$2")="Location",
                "Cash Accounts",
                IF(INDIRECT("'"&amp;F1968&amp;"'!$B$2")="Amount",
                    "Investments",
                    "Bill Accounts"
                )
            )
        ),
    "")
)</f>
        <v/>
      </c>
      <c r="I1968" s="46" t="str" cm="1">
        <f t="array" aca="1" ref="I1968" ca="1">IF(F1968&lt;&gt;"",IF(OR(G1968="Bill Accounts",G1968="Investments", G1968="Cash Accounts"),INDIRECT("'"&amp;F1968&amp;"'!$C$10"),INDIRECT("'"&amp;F1968&amp;"'!$C$8")),"")</f>
        <v/>
      </c>
      <c r="K1968" s="48">
        <f t="shared" si="93"/>
        <v>1974</v>
      </c>
      <c r="L1968" s="114" t="str" cm="1">
        <f t="array" aca="1" ref="L1968" ca="1">IF(F1968&lt;&gt;"",INDIRECT("'"&amp;F1968&amp;"'!$F$17"),"")</f>
        <v/>
      </c>
      <c r="M1968" s="116" t="str">
        <f t="shared" ca="1" si="91"/>
        <v/>
      </c>
      <c r="O1968" s="49" t="str">
        <f t="shared" ca="1" si="92"/>
        <v/>
      </c>
      <c r="P1968" s="38" t="str">
        <f>IF(E1968&lt;&gt;"",RANK(E1968,$E$3:$E$2298)+COUNTIF($E$3:E1968,E1968)-1,"")</f>
        <v/>
      </c>
    </row>
    <row r="1969" spans="4:16" x14ac:dyDescent="0.25">
      <c r="D1969" s="36" t="str" cm="1">
        <f t="array" aca="1" ref="D1969" ca="1">IFERROR(IF(INDIRECT("'"&amp;F1969&amp;"'!$C$5")&gt;0,DATE(YEAR(Dashboard!$AL$2),Dashboard!$AU$4,INDIRECT("'"&amp;F1969&amp;"'!$C$5")),""),"")</f>
        <v/>
      </c>
      <c r="G1969" s="38" t="str" cm="1">
        <f t="array" aca="1" ref="G1969" ca="1">IF(F1969="",
    "",
    IFERROR(
        IF(INDIRECT("'"&amp;F1969&amp;"'!$B$2")="Credit Limit",
            "Credit Accounts",
            IF(INDIRECT("'"&amp;F1969&amp;"'!$E$2")="Location",
                "Cash Accounts",
                IF(INDIRECT("'"&amp;F1969&amp;"'!$B$2")="Amount",
                    "Investments",
                    "Bill Accounts"
                )
            )
        ),
    "")
)</f>
        <v/>
      </c>
      <c r="I1969" s="46" t="str" cm="1">
        <f t="array" aca="1" ref="I1969" ca="1">IF(F1969&lt;&gt;"",IF(OR(G1969="Bill Accounts",G1969="Investments", G1969="Cash Accounts"),INDIRECT("'"&amp;F1969&amp;"'!$C$10"),INDIRECT("'"&amp;F1969&amp;"'!$C$8")),"")</f>
        <v/>
      </c>
      <c r="K1969" s="48">
        <f t="shared" si="93"/>
        <v>1975</v>
      </c>
      <c r="L1969" s="114" t="str" cm="1">
        <f t="array" aca="1" ref="L1969" ca="1">IF(F1969&lt;&gt;"",INDIRECT("'"&amp;F1969&amp;"'!$F$17"),"")</f>
        <v/>
      </c>
      <c r="M1969" s="116" t="str">
        <f t="shared" ca="1" si="91"/>
        <v/>
      </c>
      <c r="O1969" s="49" t="str">
        <f t="shared" ca="1" si="92"/>
        <v/>
      </c>
      <c r="P1969" s="38" t="str">
        <f>IF(E1969&lt;&gt;"",RANK(E1969,$E$3:$E$2298)+COUNTIF($E$3:E1969,E1969)-1,"")</f>
        <v/>
      </c>
    </row>
    <row r="1970" spans="4:16" x14ac:dyDescent="0.25">
      <c r="D1970" s="36" t="str" cm="1">
        <f t="array" aca="1" ref="D1970" ca="1">IFERROR(IF(INDIRECT("'"&amp;F1970&amp;"'!$C$5")&gt;0,DATE(YEAR(Dashboard!$AL$2),Dashboard!$AU$4,INDIRECT("'"&amp;F1970&amp;"'!$C$5")),""),"")</f>
        <v/>
      </c>
      <c r="G1970" s="38" t="str" cm="1">
        <f t="array" aca="1" ref="G1970" ca="1">IF(F1970="",
    "",
    IFERROR(
        IF(INDIRECT("'"&amp;F1970&amp;"'!$B$2")="Credit Limit",
            "Credit Accounts",
            IF(INDIRECT("'"&amp;F1970&amp;"'!$E$2")="Location",
                "Cash Accounts",
                IF(INDIRECT("'"&amp;F1970&amp;"'!$B$2")="Amount",
                    "Investments",
                    "Bill Accounts"
                )
            )
        ),
    "")
)</f>
        <v/>
      </c>
      <c r="I1970" s="46" t="str" cm="1">
        <f t="array" aca="1" ref="I1970" ca="1">IF(F1970&lt;&gt;"",IF(OR(G1970="Bill Accounts",G1970="Investments", G1970="Cash Accounts"),INDIRECT("'"&amp;F1970&amp;"'!$C$10"),INDIRECT("'"&amp;F1970&amp;"'!$C$8")),"")</f>
        <v/>
      </c>
      <c r="K1970" s="48">
        <f t="shared" si="93"/>
        <v>1976</v>
      </c>
      <c r="L1970" s="114" t="str" cm="1">
        <f t="array" aca="1" ref="L1970" ca="1">IF(F1970&lt;&gt;"",INDIRECT("'"&amp;F1970&amp;"'!$F$17"),"")</f>
        <v/>
      </c>
      <c r="M1970" s="116" t="str">
        <f t="shared" ca="1" si="91"/>
        <v/>
      </c>
      <c r="O1970" s="49" t="str">
        <f t="shared" ca="1" si="92"/>
        <v/>
      </c>
      <c r="P1970" s="38" t="str">
        <f>IF(E1970&lt;&gt;"",RANK(E1970,$E$3:$E$2298)+COUNTIF($E$3:E1970,E1970)-1,"")</f>
        <v/>
      </c>
    </row>
    <row r="1971" spans="4:16" x14ac:dyDescent="0.25">
      <c r="D1971" s="36" t="str" cm="1">
        <f t="array" aca="1" ref="D1971" ca="1">IFERROR(IF(INDIRECT("'"&amp;F1971&amp;"'!$C$5")&gt;0,DATE(YEAR(Dashboard!$AL$2),Dashboard!$AU$4,INDIRECT("'"&amp;F1971&amp;"'!$C$5")),""),"")</f>
        <v/>
      </c>
      <c r="G1971" s="38" t="str" cm="1">
        <f t="array" aca="1" ref="G1971" ca="1">IF(F1971="",
    "",
    IFERROR(
        IF(INDIRECT("'"&amp;F1971&amp;"'!$B$2")="Credit Limit",
            "Credit Accounts",
            IF(INDIRECT("'"&amp;F1971&amp;"'!$E$2")="Location",
                "Cash Accounts",
                IF(INDIRECT("'"&amp;F1971&amp;"'!$B$2")="Amount",
                    "Investments",
                    "Bill Accounts"
                )
            )
        ),
    "")
)</f>
        <v/>
      </c>
      <c r="I1971" s="46" t="str" cm="1">
        <f t="array" aca="1" ref="I1971" ca="1">IF(F1971&lt;&gt;"",IF(OR(G1971="Bill Accounts",G1971="Investments", G1971="Cash Accounts"),INDIRECT("'"&amp;F1971&amp;"'!$C$10"),INDIRECT("'"&amp;F1971&amp;"'!$C$8")),"")</f>
        <v/>
      </c>
      <c r="K1971" s="48">
        <f t="shared" si="93"/>
        <v>1977</v>
      </c>
      <c r="L1971" s="114" t="str" cm="1">
        <f t="array" aca="1" ref="L1971" ca="1">IF(F1971&lt;&gt;"",INDIRECT("'"&amp;F1971&amp;"'!$F$17"),"")</f>
        <v/>
      </c>
      <c r="M1971" s="116" t="str">
        <f t="shared" ca="1" si="91"/>
        <v/>
      </c>
      <c r="O1971" s="49" t="str">
        <f t="shared" ca="1" si="92"/>
        <v/>
      </c>
      <c r="P1971" s="38" t="str">
        <f>IF(E1971&lt;&gt;"",RANK(E1971,$E$3:$E$2298)+COUNTIF($E$3:E1971,E1971)-1,"")</f>
        <v/>
      </c>
    </row>
    <row r="1972" spans="4:16" x14ac:dyDescent="0.25">
      <c r="D1972" s="36" t="str" cm="1">
        <f t="array" aca="1" ref="D1972" ca="1">IFERROR(IF(INDIRECT("'"&amp;F1972&amp;"'!$C$5")&gt;0,DATE(YEAR(Dashboard!$AL$2),Dashboard!$AU$4,INDIRECT("'"&amp;F1972&amp;"'!$C$5")),""),"")</f>
        <v/>
      </c>
      <c r="G1972" s="38" t="str" cm="1">
        <f t="array" aca="1" ref="G1972" ca="1">IF(F1972="",
    "",
    IFERROR(
        IF(INDIRECT("'"&amp;F1972&amp;"'!$B$2")="Credit Limit",
            "Credit Accounts",
            IF(INDIRECT("'"&amp;F1972&amp;"'!$E$2")="Location",
                "Cash Accounts",
                IF(INDIRECT("'"&amp;F1972&amp;"'!$B$2")="Amount",
                    "Investments",
                    "Bill Accounts"
                )
            )
        ),
    "")
)</f>
        <v/>
      </c>
      <c r="I1972" s="46" t="str" cm="1">
        <f t="array" aca="1" ref="I1972" ca="1">IF(F1972&lt;&gt;"",IF(OR(G1972="Bill Accounts",G1972="Investments", G1972="Cash Accounts"),INDIRECT("'"&amp;F1972&amp;"'!$C$10"),INDIRECT("'"&amp;F1972&amp;"'!$C$8")),"")</f>
        <v/>
      </c>
      <c r="K1972" s="48">
        <f t="shared" si="93"/>
        <v>1978</v>
      </c>
      <c r="L1972" s="114" t="str" cm="1">
        <f t="array" aca="1" ref="L1972" ca="1">IF(F1972&lt;&gt;"",INDIRECT("'"&amp;F1972&amp;"'!$F$17"),"")</f>
        <v/>
      </c>
      <c r="M1972" s="116" t="str">
        <f t="shared" ca="1" si="91"/>
        <v/>
      </c>
      <c r="O1972" s="49" t="str">
        <f t="shared" ca="1" si="92"/>
        <v/>
      </c>
      <c r="P1972" s="38" t="str">
        <f>IF(E1972&lt;&gt;"",RANK(E1972,$E$3:$E$2298)+COUNTIF($E$3:E1972,E1972)-1,"")</f>
        <v/>
      </c>
    </row>
    <row r="1973" spans="4:16" x14ac:dyDescent="0.25">
      <c r="D1973" s="36" t="str" cm="1">
        <f t="array" aca="1" ref="D1973" ca="1">IFERROR(IF(INDIRECT("'"&amp;F1973&amp;"'!$C$5")&gt;0,DATE(YEAR(Dashboard!$AL$2),Dashboard!$AU$4,INDIRECT("'"&amp;F1973&amp;"'!$C$5")),""),"")</f>
        <v/>
      </c>
      <c r="G1973" s="38" t="str" cm="1">
        <f t="array" aca="1" ref="G1973" ca="1">IF(F1973="",
    "",
    IFERROR(
        IF(INDIRECT("'"&amp;F1973&amp;"'!$B$2")="Credit Limit",
            "Credit Accounts",
            IF(INDIRECT("'"&amp;F1973&amp;"'!$E$2")="Location",
                "Cash Accounts",
                IF(INDIRECT("'"&amp;F1973&amp;"'!$B$2")="Amount",
                    "Investments",
                    "Bill Accounts"
                )
            )
        ),
    "")
)</f>
        <v/>
      </c>
      <c r="I1973" s="46" t="str" cm="1">
        <f t="array" aca="1" ref="I1973" ca="1">IF(F1973&lt;&gt;"",IF(OR(G1973="Bill Accounts",G1973="Investments", G1973="Cash Accounts"),INDIRECT("'"&amp;F1973&amp;"'!$C$10"),INDIRECT("'"&amp;F1973&amp;"'!$C$8")),"")</f>
        <v/>
      </c>
      <c r="K1973" s="48">
        <f t="shared" si="93"/>
        <v>1979</v>
      </c>
      <c r="L1973" s="114" t="str" cm="1">
        <f t="array" aca="1" ref="L1973" ca="1">IF(F1973&lt;&gt;"",INDIRECT("'"&amp;F1973&amp;"'!$F$17"),"")</f>
        <v/>
      </c>
      <c r="M1973" s="116" t="str">
        <f t="shared" ca="1" si="91"/>
        <v/>
      </c>
      <c r="O1973" s="49" t="str">
        <f t="shared" ca="1" si="92"/>
        <v/>
      </c>
      <c r="P1973" s="38" t="str">
        <f>IF(E1973&lt;&gt;"",RANK(E1973,$E$3:$E$2298)+COUNTIF($E$3:E1973,E1973)-1,"")</f>
        <v/>
      </c>
    </row>
    <row r="1974" spans="4:16" x14ac:dyDescent="0.25">
      <c r="D1974" s="36" t="str" cm="1">
        <f t="array" aca="1" ref="D1974" ca="1">IFERROR(IF(INDIRECT("'"&amp;F1974&amp;"'!$C$5")&gt;0,DATE(YEAR(Dashboard!$AL$2),Dashboard!$AU$4,INDIRECT("'"&amp;F1974&amp;"'!$C$5")),""),"")</f>
        <v/>
      </c>
      <c r="G1974" s="38" t="str" cm="1">
        <f t="array" aca="1" ref="G1974" ca="1">IF(F1974="",
    "",
    IFERROR(
        IF(INDIRECT("'"&amp;F1974&amp;"'!$B$2")="Credit Limit",
            "Credit Accounts",
            IF(INDIRECT("'"&amp;F1974&amp;"'!$E$2")="Location",
                "Cash Accounts",
                IF(INDIRECT("'"&amp;F1974&amp;"'!$B$2")="Amount",
                    "Investments",
                    "Bill Accounts"
                )
            )
        ),
    "")
)</f>
        <v/>
      </c>
      <c r="I1974" s="46" t="str" cm="1">
        <f t="array" aca="1" ref="I1974" ca="1">IF(F1974&lt;&gt;"",IF(OR(G1974="Bill Accounts",G1974="Investments", G1974="Cash Accounts"),INDIRECT("'"&amp;F1974&amp;"'!$C$10"),INDIRECT("'"&amp;F1974&amp;"'!$C$8")),"")</f>
        <v/>
      </c>
      <c r="K1974" s="48">
        <f t="shared" si="93"/>
        <v>1980</v>
      </c>
      <c r="L1974" s="114" t="str" cm="1">
        <f t="array" aca="1" ref="L1974" ca="1">IF(F1974&lt;&gt;"",INDIRECT("'"&amp;F1974&amp;"'!$F$17"),"")</f>
        <v/>
      </c>
      <c r="M1974" s="116" t="str">
        <f t="shared" ca="1" si="91"/>
        <v/>
      </c>
      <c r="O1974" s="49" t="str">
        <f t="shared" ca="1" si="92"/>
        <v/>
      </c>
      <c r="P1974" s="38" t="str">
        <f>IF(E1974&lt;&gt;"",RANK(E1974,$E$3:$E$2298)+COUNTIF($E$3:E1974,E1974)-1,"")</f>
        <v/>
      </c>
    </row>
    <row r="1975" spans="4:16" x14ac:dyDescent="0.25">
      <c r="D1975" s="36" t="str" cm="1">
        <f t="array" aca="1" ref="D1975" ca="1">IFERROR(IF(INDIRECT("'"&amp;F1975&amp;"'!$C$5")&gt;0,DATE(YEAR(Dashboard!$AL$2),Dashboard!$AU$4,INDIRECT("'"&amp;F1975&amp;"'!$C$5")),""),"")</f>
        <v/>
      </c>
      <c r="G1975" s="38" t="str" cm="1">
        <f t="array" aca="1" ref="G1975" ca="1">IF(F1975="",
    "",
    IFERROR(
        IF(INDIRECT("'"&amp;F1975&amp;"'!$B$2")="Credit Limit",
            "Credit Accounts",
            IF(INDIRECT("'"&amp;F1975&amp;"'!$E$2")="Location",
                "Cash Accounts",
                IF(INDIRECT("'"&amp;F1975&amp;"'!$B$2")="Amount",
                    "Investments",
                    "Bill Accounts"
                )
            )
        ),
    "")
)</f>
        <v/>
      </c>
      <c r="I1975" s="46" t="str" cm="1">
        <f t="array" aca="1" ref="I1975" ca="1">IF(F1975&lt;&gt;"",IF(OR(G1975="Bill Accounts",G1975="Investments", G1975="Cash Accounts"),INDIRECT("'"&amp;F1975&amp;"'!$C$10"),INDIRECT("'"&amp;F1975&amp;"'!$C$8")),"")</f>
        <v/>
      </c>
      <c r="K1975" s="48">
        <f t="shared" si="93"/>
        <v>1981</v>
      </c>
      <c r="L1975" s="114" t="str" cm="1">
        <f t="array" aca="1" ref="L1975" ca="1">IF(F1975&lt;&gt;"",INDIRECT("'"&amp;F1975&amp;"'!$F$17"),"")</f>
        <v/>
      </c>
      <c r="M1975" s="116" t="str">
        <f t="shared" ca="1" si="91"/>
        <v/>
      </c>
      <c r="O1975" s="49" t="str">
        <f t="shared" ca="1" si="92"/>
        <v/>
      </c>
      <c r="P1975" s="38" t="str">
        <f>IF(E1975&lt;&gt;"",RANK(E1975,$E$3:$E$2298)+COUNTIF($E$3:E1975,E1975)-1,"")</f>
        <v/>
      </c>
    </row>
    <row r="1976" spans="4:16" x14ac:dyDescent="0.25">
      <c r="D1976" s="36" t="str" cm="1">
        <f t="array" aca="1" ref="D1976" ca="1">IFERROR(IF(INDIRECT("'"&amp;F1976&amp;"'!$C$5")&gt;0,DATE(YEAR(Dashboard!$AL$2),Dashboard!$AU$4,INDIRECT("'"&amp;F1976&amp;"'!$C$5")),""),"")</f>
        <v/>
      </c>
      <c r="G1976" s="38" t="str" cm="1">
        <f t="array" aca="1" ref="G1976" ca="1">IF(F1976="",
    "",
    IFERROR(
        IF(INDIRECT("'"&amp;F1976&amp;"'!$B$2")="Credit Limit",
            "Credit Accounts",
            IF(INDIRECT("'"&amp;F1976&amp;"'!$E$2")="Location",
                "Cash Accounts",
                IF(INDIRECT("'"&amp;F1976&amp;"'!$B$2")="Amount",
                    "Investments",
                    "Bill Accounts"
                )
            )
        ),
    "")
)</f>
        <v/>
      </c>
      <c r="I1976" s="46" t="str" cm="1">
        <f t="array" aca="1" ref="I1976" ca="1">IF(F1976&lt;&gt;"",IF(OR(G1976="Bill Accounts",G1976="Investments", G1976="Cash Accounts"),INDIRECT("'"&amp;F1976&amp;"'!$C$10"),INDIRECT("'"&amp;F1976&amp;"'!$C$8")),"")</f>
        <v/>
      </c>
      <c r="K1976" s="48">
        <f t="shared" si="93"/>
        <v>1982</v>
      </c>
      <c r="L1976" s="114" t="str" cm="1">
        <f t="array" aca="1" ref="L1976" ca="1">IF(F1976&lt;&gt;"",INDIRECT("'"&amp;F1976&amp;"'!$F$17"),"")</f>
        <v/>
      </c>
      <c r="M1976" s="116" t="str">
        <f t="shared" ca="1" si="91"/>
        <v/>
      </c>
      <c r="O1976" s="49" t="str">
        <f t="shared" ca="1" si="92"/>
        <v/>
      </c>
      <c r="P1976" s="38" t="str">
        <f>IF(E1976&lt;&gt;"",RANK(E1976,$E$3:$E$2298)+COUNTIF($E$3:E1976,E1976)-1,"")</f>
        <v/>
      </c>
    </row>
    <row r="1977" spans="4:16" x14ac:dyDescent="0.25">
      <c r="D1977" s="36" t="str" cm="1">
        <f t="array" aca="1" ref="D1977" ca="1">IFERROR(IF(INDIRECT("'"&amp;F1977&amp;"'!$C$5")&gt;0,DATE(YEAR(Dashboard!$AL$2),Dashboard!$AU$4,INDIRECT("'"&amp;F1977&amp;"'!$C$5")),""),"")</f>
        <v/>
      </c>
      <c r="G1977" s="38" t="str" cm="1">
        <f t="array" aca="1" ref="G1977" ca="1">IF(F1977="",
    "",
    IFERROR(
        IF(INDIRECT("'"&amp;F1977&amp;"'!$B$2")="Credit Limit",
            "Credit Accounts",
            IF(INDIRECT("'"&amp;F1977&amp;"'!$E$2")="Location",
                "Cash Accounts",
                IF(INDIRECT("'"&amp;F1977&amp;"'!$B$2")="Amount",
                    "Investments",
                    "Bill Accounts"
                )
            )
        ),
    "")
)</f>
        <v/>
      </c>
      <c r="I1977" s="46" t="str" cm="1">
        <f t="array" aca="1" ref="I1977" ca="1">IF(F1977&lt;&gt;"",IF(OR(G1977="Bill Accounts",G1977="Investments", G1977="Cash Accounts"),INDIRECT("'"&amp;F1977&amp;"'!$C$10"),INDIRECT("'"&amp;F1977&amp;"'!$C$8")),"")</f>
        <v/>
      </c>
      <c r="K1977" s="48">
        <f t="shared" si="93"/>
        <v>1983</v>
      </c>
      <c r="L1977" s="114" t="str" cm="1">
        <f t="array" aca="1" ref="L1977" ca="1">IF(F1977&lt;&gt;"",INDIRECT("'"&amp;F1977&amp;"'!$F$17"),"")</f>
        <v/>
      </c>
      <c r="M1977" s="116" t="str">
        <f t="shared" ca="1" si="91"/>
        <v/>
      </c>
      <c r="O1977" s="49" t="str">
        <f t="shared" ca="1" si="92"/>
        <v/>
      </c>
      <c r="P1977" s="38" t="str">
        <f>IF(E1977&lt;&gt;"",RANK(E1977,$E$3:$E$2298)+COUNTIF($E$3:E1977,E1977)-1,"")</f>
        <v/>
      </c>
    </row>
    <row r="1978" spans="4:16" x14ac:dyDescent="0.25">
      <c r="D1978" s="36" t="str" cm="1">
        <f t="array" aca="1" ref="D1978" ca="1">IFERROR(IF(INDIRECT("'"&amp;F1978&amp;"'!$C$5")&gt;0,DATE(YEAR(Dashboard!$AL$2),Dashboard!$AU$4,INDIRECT("'"&amp;F1978&amp;"'!$C$5")),""),"")</f>
        <v/>
      </c>
      <c r="G1978" s="38" t="str" cm="1">
        <f t="array" aca="1" ref="G1978" ca="1">IF(F1978="",
    "",
    IFERROR(
        IF(INDIRECT("'"&amp;F1978&amp;"'!$B$2")="Credit Limit",
            "Credit Accounts",
            IF(INDIRECT("'"&amp;F1978&amp;"'!$E$2")="Location",
                "Cash Accounts",
                IF(INDIRECT("'"&amp;F1978&amp;"'!$B$2")="Amount",
                    "Investments",
                    "Bill Accounts"
                )
            )
        ),
    "")
)</f>
        <v/>
      </c>
      <c r="I1978" s="46" t="str" cm="1">
        <f t="array" aca="1" ref="I1978" ca="1">IF(F1978&lt;&gt;"",IF(OR(G1978="Bill Accounts",G1978="Investments", G1978="Cash Accounts"),INDIRECT("'"&amp;F1978&amp;"'!$C$10"),INDIRECT("'"&amp;F1978&amp;"'!$C$8")),"")</f>
        <v/>
      </c>
      <c r="K1978" s="48">
        <f t="shared" si="93"/>
        <v>1984</v>
      </c>
      <c r="L1978" s="114" t="str" cm="1">
        <f t="array" aca="1" ref="L1978" ca="1">IF(F1978&lt;&gt;"",INDIRECT("'"&amp;F1978&amp;"'!$F$17"),"")</f>
        <v/>
      </c>
      <c r="M1978" s="116" t="str">
        <f t="shared" ca="1" si="91"/>
        <v/>
      </c>
      <c r="O1978" s="49" t="str">
        <f t="shared" ca="1" si="92"/>
        <v/>
      </c>
      <c r="P1978" s="38" t="str">
        <f>IF(E1978&lt;&gt;"",RANK(E1978,$E$3:$E$2298)+COUNTIF($E$3:E1978,E1978)-1,"")</f>
        <v/>
      </c>
    </row>
    <row r="1979" spans="4:16" x14ac:dyDescent="0.25">
      <c r="D1979" s="36" t="str" cm="1">
        <f t="array" aca="1" ref="D1979" ca="1">IFERROR(IF(INDIRECT("'"&amp;F1979&amp;"'!$C$5")&gt;0,DATE(YEAR(Dashboard!$AL$2),Dashboard!$AU$4,INDIRECT("'"&amp;F1979&amp;"'!$C$5")),""),"")</f>
        <v/>
      </c>
      <c r="G1979" s="38" t="str" cm="1">
        <f t="array" aca="1" ref="G1979" ca="1">IF(F1979="",
    "",
    IFERROR(
        IF(INDIRECT("'"&amp;F1979&amp;"'!$B$2")="Credit Limit",
            "Credit Accounts",
            IF(INDIRECT("'"&amp;F1979&amp;"'!$E$2")="Location",
                "Cash Accounts",
                IF(INDIRECT("'"&amp;F1979&amp;"'!$B$2")="Amount",
                    "Investments",
                    "Bill Accounts"
                )
            )
        ),
    "")
)</f>
        <v/>
      </c>
      <c r="I1979" s="46" t="str" cm="1">
        <f t="array" aca="1" ref="I1979" ca="1">IF(F1979&lt;&gt;"",IF(OR(G1979="Bill Accounts",G1979="Investments", G1979="Cash Accounts"),INDIRECT("'"&amp;F1979&amp;"'!$C$10"),INDIRECT("'"&amp;F1979&amp;"'!$C$8")),"")</f>
        <v/>
      </c>
      <c r="K1979" s="48">
        <f t="shared" si="93"/>
        <v>1985</v>
      </c>
      <c r="L1979" s="114" t="str" cm="1">
        <f t="array" aca="1" ref="L1979" ca="1">IF(F1979&lt;&gt;"",INDIRECT("'"&amp;F1979&amp;"'!$F$17"),"")</f>
        <v/>
      </c>
      <c r="M1979" s="116" t="str">
        <f t="shared" ca="1" si="91"/>
        <v/>
      </c>
      <c r="O1979" s="49" t="str">
        <f t="shared" ca="1" si="92"/>
        <v/>
      </c>
      <c r="P1979" s="38" t="str">
        <f>IF(E1979&lt;&gt;"",RANK(E1979,$E$3:$E$2298)+COUNTIF($E$3:E1979,E1979)-1,"")</f>
        <v/>
      </c>
    </row>
    <row r="1980" spans="4:16" x14ac:dyDescent="0.25">
      <c r="D1980" s="36" t="str" cm="1">
        <f t="array" aca="1" ref="D1980" ca="1">IFERROR(IF(INDIRECT("'"&amp;F1980&amp;"'!$C$5")&gt;0,DATE(YEAR(Dashboard!$AL$2),Dashboard!$AU$4,INDIRECT("'"&amp;F1980&amp;"'!$C$5")),""),"")</f>
        <v/>
      </c>
      <c r="G1980" s="38" t="str" cm="1">
        <f t="array" aca="1" ref="G1980" ca="1">IF(F1980="",
    "",
    IFERROR(
        IF(INDIRECT("'"&amp;F1980&amp;"'!$B$2")="Credit Limit",
            "Credit Accounts",
            IF(INDIRECT("'"&amp;F1980&amp;"'!$E$2")="Location",
                "Cash Accounts",
                IF(INDIRECT("'"&amp;F1980&amp;"'!$B$2")="Amount",
                    "Investments",
                    "Bill Accounts"
                )
            )
        ),
    "")
)</f>
        <v/>
      </c>
      <c r="I1980" s="46" t="str" cm="1">
        <f t="array" aca="1" ref="I1980" ca="1">IF(F1980&lt;&gt;"",IF(OR(G1980="Bill Accounts",G1980="Investments", G1980="Cash Accounts"),INDIRECT("'"&amp;F1980&amp;"'!$C$10"),INDIRECT("'"&amp;F1980&amp;"'!$C$8")),"")</f>
        <v/>
      </c>
      <c r="K1980" s="48">
        <f t="shared" si="93"/>
        <v>1986</v>
      </c>
      <c r="L1980" s="114" t="str" cm="1">
        <f t="array" aca="1" ref="L1980" ca="1">IF(F1980&lt;&gt;"",INDIRECT("'"&amp;F1980&amp;"'!$F$17"),"")</f>
        <v/>
      </c>
      <c r="M1980" s="116" t="str">
        <f t="shared" ca="1" si="91"/>
        <v/>
      </c>
      <c r="O1980" s="49" t="str">
        <f t="shared" ca="1" si="92"/>
        <v/>
      </c>
      <c r="P1980" s="38" t="str">
        <f>IF(E1980&lt;&gt;"",RANK(E1980,$E$3:$E$2298)+COUNTIF($E$3:E1980,E1980)-1,"")</f>
        <v/>
      </c>
    </row>
    <row r="1981" spans="4:16" x14ac:dyDescent="0.25">
      <c r="D1981" s="36" t="str" cm="1">
        <f t="array" aca="1" ref="D1981" ca="1">IFERROR(IF(INDIRECT("'"&amp;F1981&amp;"'!$C$5")&gt;0,DATE(YEAR(Dashboard!$AL$2),Dashboard!$AU$4,INDIRECT("'"&amp;F1981&amp;"'!$C$5")),""),"")</f>
        <v/>
      </c>
      <c r="G1981" s="38" t="str" cm="1">
        <f t="array" aca="1" ref="G1981" ca="1">IF(F1981="",
    "",
    IFERROR(
        IF(INDIRECT("'"&amp;F1981&amp;"'!$B$2")="Credit Limit",
            "Credit Accounts",
            IF(INDIRECT("'"&amp;F1981&amp;"'!$E$2")="Location",
                "Cash Accounts",
                IF(INDIRECT("'"&amp;F1981&amp;"'!$B$2")="Amount",
                    "Investments",
                    "Bill Accounts"
                )
            )
        ),
    "")
)</f>
        <v/>
      </c>
      <c r="I1981" s="46" t="str" cm="1">
        <f t="array" aca="1" ref="I1981" ca="1">IF(F1981&lt;&gt;"",IF(OR(G1981="Bill Accounts",G1981="Investments", G1981="Cash Accounts"),INDIRECT("'"&amp;F1981&amp;"'!$C$10"),INDIRECT("'"&amp;F1981&amp;"'!$C$8")),"")</f>
        <v/>
      </c>
      <c r="K1981" s="48">
        <f t="shared" si="93"/>
        <v>1987</v>
      </c>
      <c r="L1981" s="114" t="str" cm="1">
        <f t="array" aca="1" ref="L1981" ca="1">IF(F1981&lt;&gt;"",INDIRECT("'"&amp;F1981&amp;"'!$F$17"),"")</f>
        <v/>
      </c>
      <c r="M1981" s="116" t="str">
        <f t="shared" ca="1" si="91"/>
        <v/>
      </c>
      <c r="O1981" s="49" t="str">
        <f t="shared" ca="1" si="92"/>
        <v/>
      </c>
      <c r="P1981" s="38" t="str">
        <f>IF(E1981&lt;&gt;"",RANK(E1981,$E$3:$E$2298)+COUNTIF($E$3:E1981,E1981)-1,"")</f>
        <v/>
      </c>
    </row>
    <row r="1982" spans="4:16" x14ac:dyDescent="0.25">
      <c r="D1982" s="36" t="str" cm="1">
        <f t="array" aca="1" ref="D1982" ca="1">IFERROR(IF(INDIRECT("'"&amp;F1982&amp;"'!$C$5")&gt;0,DATE(YEAR(Dashboard!$AL$2),Dashboard!$AU$4,INDIRECT("'"&amp;F1982&amp;"'!$C$5")),""),"")</f>
        <v/>
      </c>
      <c r="G1982" s="38" t="str" cm="1">
        <f t="array" aca="1" ref="G1982" ca="1">IF(F1982="",
    "",
    IFERROR(
        IF(INDIRECT("'"&amp;F1982&amp;"'!$B$2")="Credit Limit",
            "Credit Accounts",
            IF(INDIRECT("'"&amp;F1982&amp;"'!$E$2")="Location",
                "Cash Accounts",
                IF(INDIRECT("'"&amp;F1982&amp;"'!$B$2")="Amount",
                    "Investments",
                    "Bill Accounts"
                )
            )
        ),
    "")
)</f>
        <v/>
      </c>
      <c r="I1982" s="46" t="str" cm="1">
        <f t="array" aca="1" ref="I1982" ca="1">IF(F1982&lt;&gt;"",IF(OR(G1982="Bill Accounts",G1982="Investments", G1982="Cash Accounts"),INDIRECT("'"&amp;F1982&amp;"'!$C$10"),INDIRECT("'"&amp;F1982&amp;"'!$C$8")),"")</f>
        <v/>
      </c>
      <c r="K1982" s="48">
        <f t="shared" si="93"/>
        <v>1988</v>
      </c>
      <c r="L1982" s="114" t="str" cm="1">
        <f t="array" aca="1" ref="L1982" ca="1">IF(F1982&lt;&gt;"",INDIRECT("'"&amp;F1982&amp;"'!$F$17"),"")</f>
        <v/>
      </c>
      <c r="M1982" s="116" t="str">
        <f t="shared" ca="1" si="91"/>
        <v/>
      </c>
      <c r="O1982" s="49" t="str">
        <f t="shared" ca="1" si="92"/>
        <v/>
      </c>
      <c r="P1982" s="38" t="str">
        <f>IF(E1982&lt;&gt;"",RANK(E1982,$E$3:$E$2298)+COUNTIF($E$3:E1982,E1982)-1,"")</f>
        <v/>
      </c>
    </row>
    <row r="1983" spans="4:16" x14ac:dyDescent="0.25">
      <c r="D1983" s="36" t="str" cm="1">
        <f t="array" aca="1" ref="D1983" ca="1">IFERROR(IF(INDIRECT("'"&amp;F1983&amp;"'!$C$5")&gt;0,DATE(YEAR(Dashboard!$AL$2),Dashboard!$AU$4,INDIRECT("'"&amp;F1983&amp;"'!$C$5")),""),"")</f>
        <v/>
      </c>
      <c r="G1983" s="38" t="str" cm="1">
        <f t="array" aca="1" ref="G1983" ca="1">IF(F1983="",
    "",
    IFERROR(
        IF(INDIRECT("'"&amp;F1983&amp;"'!$B$2")="Credit Limit",
            "Credit Accounts",
            IF(INDIRECT("'"&amp;F1983&amp;"'!$E$2")="Location",
                "Cash Accounts",
                IF(INDIRECT("'"&amp;F1983&amp;"'!$B$2")="Amount",
                    "Investments",
                    "Bill Accounts"
                )
            )
        ),
    "")
)</f>
        <v/>
      </c>
      <c r="I1983" s="46" t="str" cm="1">
        <f t="array" aca="1" ref="I1983" ca="1">IF(F1983&lt;&gt;"",IF(OR(G1983="Bill Accounts",G1983="Investments", G1983="Cash Accounts"),INDIRECT("'"&amp;F1983&amp;"'!$C$10"),INDIRECT("'"&amp;F1983&amp;"'!$C$8")),"")</f>
        <v/>
      </c>
      <c r="K1983" s="48">
        <f t="shared" si="93"/>
        <v>1989</v>
      </c>
      <c r="L1983" s="114" t="str" cm="1">
        <f t="array" aca="1" ref="L1983" ca="1">IF(F1983&lt;&gt;"",INDIRECT("'"&amp;F1983&amp;"'!$F$17"),"")</f>
        <v/>
      </c>
      <c r="M1983" s="116" t="str">
        <f t="shared" ca="1" si="91"/>
        <v/>
      </c>
      <c r="O1983" s="49" t="str">
        <f t="shared" ca="1" si="92"/>
        <v/>
      </c>
      <c r="P1983" s="38" t="str">
        <f>IF(E1983&lt;&gt;"",RANK(E1983,$E$3:$E$2298)+COUNTIF($E$3:E1983,E1983)-1,"")</f>
        <v/>
      </c>
    </row>
    <row r="1984" spans="4:16" x14ac:dyDescent="0.25">
      <c r="D1984" s="36" t="str" cm="1">
        <f t="array" aca="1" ref="D1984" ca="1">IFERROR(IF(INDIRECT("'"&amp;F1984&amp;"'!$C$5")&gt;0,DATE(YEAR(Dashboard!$AL$2),Dashboard!$AU$4,INDIRECT("'"&amp;F1984&amp;"'!$C$5")),""),"")</f>
        <v/>
      </c>
      <c r="G1984" s="38" t="str" cm="1">
        <f t="array" aca="1" ref="G1984" ca="1">IF(F1984="",
    "",
    IFERROR(
        IF(INDIRECT("'"&amp;F1984&amp;"'!$B$2")="Credit Limit",
            "Credit Accounts",
            IF(INDIRECT("'"&amp;F1984&amp;"'!$E$2")="Location",
                "Cash Accounts",
                IF(INDIRECT("'"&amp;F1984&amp;"'!$B$2")="Amount",
                    "Investments",
                    "Bill Accounts"
                )
            )
        ),
    "")
)</f>
        <v/>
      </c>
      <c r="I1984" s="46" t="str" cm="1">
        <f t="array" aca="1" ref="I1984" ca="1">IF(F1984&lt;&gt;"",IF(OR(G1984="Bill Accounts",G1984="Investments", G1984="Cash Accounts"),INDIRECT("'"&amp;F1984&amp;"'!$C$10"),INDIRECT("'"&amp;F1984&amp;"'!$C$8")),"")</f>
        <v/>
      </c>
      <c r="K1984" s="48">
        <f t="shared" si="93"/>
        <v>1990</v>
      </c>
      <c r="L1984" s="114" t="str" cm="1">
        <f t="array" aca="1" ref="L1984" ca="1">IF(F1984&lt;&gt;"",INDIRECT("'"&amp;F1984&amp;"'!$F$17"),"")</f>
        <v/>
      </c>
      <c r="M1984" s="116" t="str">
        <f t="shared" ca="1" si="91"/>
        <v/>
      </c>
      <c r="O1984" s="49" t="str">
        <f t="shared" ca="1" si="92"/>
        <v/>
      </c>
      <c r="P1984" s="38" t="str">
        <f>IF(E1984&lt;&gt;"",RANK(E1984,$E$3:$E$2298)+COUNTIF($E$3:E1984,E1984)-1,"")</f>
        <v/>
      </c>
    </row>
    <row r="1985" spans="4:16" x14ac:dyDescent="0.25">
      <c r="D1985" s="36" t="str" cm="1">
        <f t="array" aca="1" ref="D1985" ca="1">IFERROR(IF(INDIRECT("'"&amp;F1985&amp;"'!$C$5")&gt;0,DATE(YEAR(Dashboard!$AL$2),Dashboard!$AU$4,INDIRECT("'"&amp;F1985&amp;"'!$C$5")),""),"")</f>
        <v/>
      </c>
      <c r="G1985" s="38" t="str" cm="1">
        <f t="array" aca="1" ref="G1985" ca="1">IF(F1985="",
    "",
    IFERROR(
        IF(INDIRECT("'"&amp;F1985&amp;"'!$B$2")="Credit Limit",
            "Credit Accounts",
            IF(INDIRECT("'"&amp;F1985&amp;"'!$E$2")="Location",
                "Cash Accounts",
                IF(INDIRECT("'"&amp;F1985&amp;"'!$B$2")="Amount",
                    "Investments",
                    "Bill Accounts"
                )
            )
        ),
    "")
)</f>
        <v/>
      </c>
      <c r="I1985" s="46" t="str" cm="1">
        <f t="array" aca="1" ref="I1985" ca="1">IF(F1985&lt;&gt;"",IF(OR(G1985="Bill Accounts",G1985="Investments", G1985="Cash Accounts"),INDIRECT("'"&amp;F1985&amp;"'!$C$10"),INDIRECT("'"&amp;F1985&amp;"'!$C$8")),"")</f>
        <v/>
      </c>
      <c r="K1985" s="48">
        <f t="shared" si="93"/>
        <v>1991</v>
      </c>
      <c r="L1985" s="114" t="str" cm="1">
        <f t="array" aca="1" ref="L1985" ca="1">IF(F1985&lt;&gt;"",INDIRECT("'"&amp;F1985&amp;"'!$F$17"),"")</f>
        <v/>
      </c>
      <c r="M1985" s="116" t="str">
        <f t="shared" ca="1" si="91"/>
        <v/>
      </c>
      <c r="O1985" s="49" t="str">
        <f t="shared" ca="1" si="92"/>
        <v/>
      </c>
      <c r="P1985" s="38" t="str">
        <f>IF(E1985&lt;&gt;"",RANK(E1985,$E$3:$E$2298)+COUNTIF($E$3:E1985,E1985)-1,"")</f>
        <v/>
      </c>
    </row>
    <row r="1986" spans="4:16" x14ac:dyDescent="0.25">
      <c r="D1986" s="36" t="str" cm="1">
        <f t="array" aca="1" ref="D1986" ca="1">IFERROR(IF(INDIRECT("'"&amp;F1986&amp;"'!$C$5")&gt;0,DATE(YEAR(Dashboard!$AL$2),Dashboard!$AU$4,INDIRECT("'"&amp;F1986&amp;"'!$C$5")),""),"")</f>
        <v/>
      </c>
      <c r="G1986" s="38" t="str" cm="1">
        <f t="array" aca="1" ref="G1986" ca="1">IF(F1986="",
    "",
    IFERROR(
        IF(INDIRECT("'"&amp;F1986&amp;"'!$B$2")="Credit Limit",
            "Credit Accounts",
            IF(INDIRECT("'"&amp;F1986&amp;"'!$E$2")="Location",
                "Cash Accounts",
                IF(INDIRECT("'"&amp;F1986&amp;"'!$B$2")="Amount",
                    "Investments",
                    "Bill Accounts"
                )
            )
        ),
    "")
)</f>
        <v/>
      </c>
      <c r="I1986" s="46" t="str" cm="1">
        <f t="array" aca="1" ref="I1986" ca="1">IF(F1986&lt;&gt;"",IF(OR(G1986="Bill Accounts",G1986="Investments", G1986="Cash Accounts"),INDIRECT("'"&amp;F1986&amp;"'!$C$10"),INDIRECT("'"&amp;F1986&amp;"'!$C$8")),"")</f>
        <v/>
      </c>
      <c r="K1986" s="48">
        <f t="shared" si="93"/>
        <v>1992</v>
      </c>
      <c r="L1986" s="114" t="str" cm="1">
        <f t="array" aca="1" ref="L1986" ca="1">IF(F1986&lt;&gt;"",INDIRECT("'"&amp;F1986&amp;"'!$F$17"),"")</f>
        <v/>
      </c>
      <c r="M1986" s="116" t="str">
        <f t="shared" ca="1" si="91"/>
        <v/>
      </c>
      <c r="O1986" s="49" t="str">
        <f t="shared" ca="1" si="92"/>
        <v/>
      </c>
      <c r="P1986" s="38" t="str">
        <f>IF(E1986&lt;&gt;"",RANK(E1986,$E$3:$E$2298)+COUNTIF($E$3:E1986,E1986)-1,"")</f>
        <v/>
      </c>
    </row>
    <row r="1987" spans="4:16" x14ac:dyDescent="0.25">
      <c r="D1987" s="36" t="str" cm="1">
        <f t="array" aca="1" ref="D1987" ca="1">IFERROR(IF(INDIRECT("'"&amp;F1987&amp;"'!$C$5")&gt;0,DATE(YEAR(Dashboard!$AL$2),Dashboard!$AU$4,INDIRECT("'"&amp;F1987&amp;"'!$C$5")),""),"")</f>
        <v/>
      </c>
      <c r="G1987" s="38" t="str" cm="1">
        <f t="array" aca="1" ref="G1987" ca="1">IF(F1987="",
    "",
    IFERROR(
        IF(INDIRECT("'"&amp;F1987&amp;"'!$B$2")="Credit Limit",
            "Credit Accounts",
            IF(INDIRECT("'"&amp;F1987&amp;"'!$E$2")="Location",
                "Cash Accounts",
                IF(INDIRECT("'"&amp;F1987&amp;"'!$B$2")="Amount",
                    "Investments",
                    "Bill Accounts"
                )
            )
        ),
    "")
)</f>
        <v/>
      </c>
      <c r="I1987" s="46" t="str" cm="1">
        <f t="array" aca="1" ref="I1987" ca="1">IF(F1987&lt;&gt;"",IF(OR(G1987="Bill Accounts",G1987="Investments", G1987="Cash Accounts"),INDIRECT("'"&amp;F1987&amp;"'!$C$10"),INDIRECT("'"&amp;F1987&amp;"'!$C$8")),"")</f>
        <v/>
      </c>
      <c r="K1987" s="48">
        <f t="shared" si="93"/>
        <v>1993</v>
      </c>
      <c r="L1987" s="114" t="str" cm="1">
        <f t="array" aca="1" ref="L1987" ca="1">IF(F1987&lt;&gt;"",INDIRECT("'"&amp;F1987&amp;"'!$F$17"),"")</f>
        <v/>
      </c>
      <c r="M1987" s="116" t="str">
        <f t="shared" ca="1" si="91"/>
        <v/>
      </c>
      <c r="O1987" s="49" t="str">
        <f t="shared" ca="1" si="92"/>
        <v/>
      </c>
      <c r="P1987" s="38" t="str">
        <f>IF(E1987&lt;&gt;"",RANK(E1987,$E$3:$E$2298)+COUNTIF($E$3:E1987,E1987)-1,"")</f>
        <v/>
      </c>
    </row>
    <row r="1988" spans="4:16" x14ac:dyDescent="0.25">
      <c r="D1988" s="36" t="str" cm="1">
        <f t="array" aca="1" ref="D1988" ca="1">IFERROR(IF(INDIRECT("'"&amp;F1988&amp;"'!$C$5")&gt;0,DATE(YEAR(Dashboard!$AL$2),Dashboard!$AU$4,INDIRECT("'"&amp;F1988&amp;"'!$C$5")),""),"")</f>
        <v/>
      </c>
      <c r="G1988" s="38" t="str" cm="1">
        <f t="array" aca="1" ref="G1988" ca="1">IF(F1988="",
    "",
    IFERROR(
        IF(INDIRECT("'"&amp;F1988&amp;"'!$B$2")="Credit Limit",
            "Credit Accounts",
            IF(INDIRECT("'"&amp;F1988&amp;"'!$E$2")="Location",
                "Cash Accounts",
                IF(INDIRECT("'"&amp;F1988&amp;"'!$B$2")="Amount",
                    "Investments",
                    "Bill Accounts"
                )
            )
        ),
    "")
)</f>
        <v/>
      </c>
      <c r="I1988" s="46" t="str" cm="1">
        <f t="array" aca="1" ref="I1988" ca="1">IF(F1988&lt;&gt;"",IF(OR(G1988="Bill Accounts",G1988="Investments", G1988="Cash Accounts"),INDIRECT("'"&amp;F1988&amp;"'!$C$10"),INDIRECT("'"&amp;F1988&amp;"'!$C$8")),"")</f>
        <v/>
      </c>
      <c r="K1988" s="48">
        <f t="shared" si="93"/>
        <v>1994</v>
      </c>
      <c r="L1988" s="114" t="str" cm="1">
        <f t="array" aca="1" ref="L1988" ca="1">IF(F1988&lt;&gt;"",INDIRECT("'"&amp;F1988&amp;"'!$F$17"),"")</f>
        <v/>
      </c>
      <c r="M1988" s="116" t="str">
        <f t="shared" ref="M1988:M2051" ca="1" si="94">IF(G1988="Credit Accounts",EDATE(TODAY(),INDIRECT("'"&amp;F1988&amp;"'!$C$14")),"")</f>
        <v/>
      </c>
      <c r="O1988" s="49" t="str">
        <f t="shared" ref="O1988:O2051" ca="1" si="95">IF(D1988&lt;&gt;"",DAY(D1988),"")</f>
        <v/>
      </c>
      <c r="P1988" s="38" t="str">
        <f>IF(E1988&lt;&gt;"",RANK(E1988,$E$3:$E$2298)+COUNTIF($E$3:E1988,E1988)-1,"")</f>
        <v/>
      </c>
    </row>
    <row r="1989" spans="4:16" x14ac:dyDescent="0.25">
      <c r="D1989" s="36" t="str" cm="1">
        <f t="array" aca="1" ref="D1989" ca="1">IFERROR(IF(INDIRECT("'"&amp;F1989&amp;"'!$C$5")&gt;0,DATE(YEAR(Dashboard!$AL$2),Dashboard!$AU$4,INDIRECT("'"&amp;F1989&amp;"'!$C$5")),""),"")</f>
        <v/>
      </c>
      <c r="G1989" s="38" t="str" cm="1">
        <f t="array" aca="1" ref="G1989" ca="1">IF(F1989="",
    "",
    IFERROR(
        IF(INDIRECT("'"&amp;F1989&amp;"'!$B$2")="Credit Limit",
            "Credit Accounts",
            IF(INDIRECT("'"&amp;F1989&amp;"'!$E$2")="Location",
                "Cash Accounts",
                IF(INDIRECT("'"&amp;F1989&amp;"'!$B$2")="Amount",
                    "Investments",
                    "Bill Accounts"
                )
            )
        ),
    "")
)</f>
        <v/>
      </c>
      <c r="I1989" s="46" t="str" cm="1">
        <f t="array" aca="1" ref="I1989" ca="1">IF(F1989&lt;&gt;"",IF(OR(G1989="Bill Accounts",G1989="Investments", G1989="Cash Accounts"),INDIRECT("'"&amp;F1989&amp;"'!$C$10"),INDIRECT("'"&amp;F1989&amp;"'!$C$8")),"")</f>
        <v/>
      </c>
      <c r="K1989" s="48">
        <f t="shared" si="93"/>
        <v>1995</v>
      </c>
      <c r="L1989" s="114" t="str" cm="1">
        <f t="array" aca="1" ref="L1989" ca="1">IF(F1989&lt;&gt;"",INDIRECT("'"&amp;F1989&amp;"'!$F$17"),"")</f>
        <v/>
      </c>
      <c r="M1989" s="116" t="str">
        <f t="shared" ca="1" si="94"/>
        <v/>
      </c>
      <c r="O1989" s="49" t="str">
        <f t="shared" ca="1" si="95"/>
        <v/>
      </c>
      <c r="P1989" s="38" t="str">
        <f>IF(E1989&lt;&gt;"",RANK(E1989,$E$3:$E$2298)+COUNTIF($E$3:E1989,E1989)-1,"")</f>
        <v/>
      </c>
    </row>
    <row r="1990" spans="4:16" x14ac:dyDescent="0.25">
      <c r="D1990" s="36" t="str" cm="1">
        <f t="array" aca="1" ref="D1990" ca="1">IFERROR(IF(INDIRECT("'"&amp;F1990&amp;"'!$C$5")&gt;0,DATE(YEAR(Dashboard!$AL$2),Dashboard!$AU$4,INDIRECT("'"&amp;F1990&amp;"'!$C$5")),""),"")</f>
        <v/>
      </c>
      <c r="G1990" s="38" t="str" cm="1">
        <f t="array" aca="1" ref="G1990" ca="1">IF(F1990="",
    "",
    IFERROR(
        IF(INDIRECT("'"&amp;F1990&amp;"'!$B$2")="Credit Limit",
            "Credit Accounts",
            IF(INDIRECT("'"&amp;F1990&amp;"'!$E$2")="Location",
                "Cash Accounts",
                IF(INDIRECT("'"&amp;F1990&amp;"'!$B$2")="Amount",
                    "Investments",
                    "Bill Accounts"
                )
            )
        ),
    "")
)</f>
        <v/>
      </c>
      <c r="I1990" s="46" t="str" cm="1">
        <f t="array" aca="1" ref="I1990" ca="1">IF(F1990&lt;&gt;"",IF(OR(G1990="Bill Accounts",G1990="Investments", G1990="Cash Accounts"),INDIRECT("'"&amp;F1990&amp;"'!$C$10"),INDIRECT("'"&amp;F1990&amp;"'!$C$8")),"")</f>
        <v/>
      </c>
      <c r="K1990" s="48">
        <f t="shared" si="93"/>
        <v>1996</v>
      </c>
      <c r="L1990" s="114" t="str" cm="1">
        <f t="array" aca="1" ref="L1990" ca="1">IF(F1990&lt;&gt;"",INDIRECT("'"&amp;F1990&amp;"'!$F$17"),"")</f>
        <v/>
      </c>
      <c r="M1990" s="116" t="str">
        <f t="shared" ca="1" si="94"/>
        <v/>
      </c>
      <c r="O1990" s="49" t="str">
        <f t="shared" ca="1" si="95"/>
        <v/>
      </c>
      <c r="P1990" s="38" t="str">
        <f>IF(E1990&lt;&gt;"",RANK(E1990,$E$3:$E$2298)+COUNTIF($E$3:E1990,E1990)-1,"")</f>
        <v/>
      </c>
    </row>
    <row r="1991" spans="4:16" x14ac:dyDescent="0.25">
      <c r="D1991" s="36" t="str" cm="1">
        <f t="array" aca="1" ref="D1991" ca="1">IFERROR(IF(INDIRECT("'"&amp;F1991&amp;"'!$C$5")&gt;0,DATE(YEAR(Dashboard!$AL$2),Dashboard!$AU$4,INDIRECT("'"&amp;F1991&amp;"'!$C$5")),""),"")</f>
        <v/>
      </c>
      <c r="G1991" s="38" t="str" cm="1">
        <f t="array" aca="1" ref="G1991" ca="1">IF(F1991="",
    "",
    IFERROR(
        IF(INDIRECT("'"&amp;F1991&amp;"'!$B$2")="Credit Limit",
            "Credit Accounts",
            IF(INDIRECT("'"&amp;F1991&amp;"'!$E$2")="Location",
                "Cash Accounts",
                IF(INDIRECT("'"&amp;F1991&amp;"'!$B$2")="Amount",
                    "Investments",
                    "Bill Accounts"
                )
            )
        ),
    "")
)</f>
        <v/>
      </c>
      <c r="I1991" s="46" t="str" cm="1">
        <f t="array" aca="1" ref="I1991" ca="1">IF(F1991&lt;&gt;"",IF(OR(G1991="Bill Accounts",G1991="Investments", G1991="Cash Accounts"),INDIRECT("'"&amp;F1991&amp;"'!$C$10"),INDIRECT("'"&amp;F1991&amp;"'!$C$8")),"")</f>
        <v/>
      </c>
      <c r="K1991" s="48">
        <f t="shared" si="93"/>
        <v>1997</v>
      </c>
      <c r="L1991" s="114" t="str" cm="1">
        <f t="array" aca="1" ref="L1991" ca="1">IF(F1991&lt;&gt;"",INDIRECT("'"&amp;F1991&amp;"'!$F$17"),"")</f>
        <v/>
      </c>
      <c r="M1991" s="116" t="str">
        <f t="shared" ca="1" si="94"/>
        <v/>
      </c>
      <c r="O1991" s="49" t="str">
        <f t="shared" ca="1" si="95"/>
        <v/>
      </c>
      <c r="P1991" s="38" t="str">
        <f>IF(E1991&lt;&gt;"",RANK(E1991,$E$3:$E$2298)+COUNTIF($E$3:E1991,E1991)-1,"")</f>
        <v/>
      </c>
    </row>
    <row r="1992" spans="4:16" x14ac:dyDescent="0.25">
      <c r="D1992" s="36" t="str" cm="1">
        <f t="array" aca="1" ref="D1992" ca="1">IFERROR(IF(INDIRECT("'"&amp;F1992&amp;"'!$C$5")&gt;0,DATE(YEAR(Dashboard!$AL$2),Dashboard!$AU$4,INDIRECT("'"&amp;F1992&amp;"'!$C$5")),""),"")</f>
        <v/>
      </c>
      <c r="G1992" s="38" t="str" cm="1">
        <f t="array" aca="1" ref="G1992" ca="1">IF(F1992="",
    "",
    IFERROR(
        IF(INDIRECT("'"&amp;F1992&amp;"'!$B$2")="Credit Limit",
            "Credit Accounts",
            IF(INDIRECT("'"&amp;F1992&amp;"'!$E$2")="Location",
                "Cash Accounts",
                IF(INDIRECT("'"&amp;F1992&amp;"'!$B$2")="Amount",
                    "Investments",
                    "Bill Accounts"
                )
            )
        ),
    "")
)</f>
        <v/>
      </c>
      <c r="I1992" s="46" t="str" cm="1">
        <f t="array" aca="1" ref="I1992" ca="1">IF(F1992&lt;&gt;"",IF(OR(G1992="Bill Accounts",G1992="Investments", G1992="Cash Accounts"),INDIRECT("'"&amp;F1992&amp;"'!$C$10"),INDIRECT("'"&amp;F1992&amp;"'!$C$8")),"")</f>
        <v/>
      </c>
      <c r="K1992" s="48">
        <f t="shared" ref="K1992:K2055" si="96">SUM(K1991+1)</f>
        <v>1998</v>
      </c>
      <c r="L1992" s="114" t="str" cm="1">
        <f t="array" aca="1" ref="L1992" ca="1">IF(F1992&lt;&gt;"",INDIRECT("'"&amp;F1992&amp;"'!$F$17"),"")</f>
        <v/>
      </c>
      <c r="M1992" s="116" t="str">
        <f t="shared" ca="1" si="94"/>
        <v/>
      </c>
      <c r="O1992" s="49" t="str">
        <f t="shared" ca="1" si="95"/>
        <v/>
      </c>
      <c r="P1992" s="38" t="str">
        <f>IF(E1992&lt;&gt;"",RANK(E1992,$E$3:$E$2298)+COUNTIF($E$3:E1992,E1992)-1,"")</f>
        <v/>
      </c>
    </row>
    <row r="1993" spans="4:16" x14ac:dyDescent="0.25">
      <c r="D1993" s="36" t="str" cm="1">
        <f t="array" aca="1" ref="D1993" ca="1">IFERROR(IF(INDIRECT("'"&amp;F1993&amp;"'!$C$5")&gt;0,DATE(YEAR(Dashboard!$AL$2),Dashboard!$AU$4,INDIRECT("'"&amp;F1993&amp;"'!$C$5")),""),"")</f>
        <v/>
      </c>
      <c r="G1993" s="38" t="str" cm="1">
        <f t="array" aca="1" ref="G1993" ca="1">IF(F1993="",
    "",
    IFERROR(
        IF(INDIRECT("'"&amp;F1993&amp;"'!$B$2")="Credit Limit",
            "Credit Accounts",
            IF(INDIRECT("'"&amp;F1993&amp;"'!$E$2")="Location",
                "Cash Accounts",
                IF(INDIRECT("'"&amp;F1993&amp;"'!$B$2")="Amount",
                    "Investments",
                    "Bill Accounts"
                )
            )
        ),
    "")
)</f>
        <v/>
      </c>
      <c r="I1993" s="46" t="str" cm="1">
        <f t="array" aca="1" ref="I1993" ca="1">IF(F1993&lt;&gt;"",IF(OR(G1993="Bill Accounts",G1993="Investments", G1993="Cash Accounts"),INDIRECT("'"&amp;F1993&amp;"'!$C$10"),INDIRECT("'"&amp;F1993&amp;"'!$C$8")),"")</f>
        <v/>
      </c>
      <c r="K1993" s="48">
        <f t="shared" si="96"/>
        <v>1999</v>
      </c>
      <c r="L1993" s="114" t="str" cm="1">
        <f t="array" aca="1" ref="L1993" ca="1">IF(F1993&lt;&gt;"",INDIRECT("'"&amp;F1993&amp;"'!$F$17"),"")</f>
        <v/>
      </c>
      <c r="M1993" s="116" t="str">
        <f t="shared" ca="1" si="94"/>
        <v/>
      </c>
      <c r="O1993" s="49" t="str">
        <f t="shared" ca="1" si="95"/>
        <v/>
      </c>
      <c r="P1993" s="38" t="str">
        <f>IF(E1993&lt;&gt;"",RANK(E1993,$E$3:$E$2298)+COUNTIF($E$3:E1993,E1993)-1,"")</f>
        <v/>
      </c>
    </row>
    <row r="1994" spans="4:16" x14ac:dyDescent="0.25">
      <c r="D1994" s="36" t="str" cm="1">
        <f t="array" aca="1" ref="D1994" ca="1">IFERROR(IF(INDIRECT("'"&amp;F1994&amp;"'!$C$5")&gt;0,DATE(YEAR(Dashboard!$AL$2),Dashboard!$AU$4,INDIRECT("'"&amp;F1994&amp;"'!$C$5")),""),"")</f>
        <v/>
      </c>
      <c r="G1994" s="38" t="str" cm="1">
        <f t="array" aca="1" ref="G1994" ca="1">IF(F1994="",
    "",
    IFERROR(
        IF(INDIRECT("'"&amp;F1994&amp;"'!$B$2")="Credit Limit",
            "Credit Accounts",
            IF(INDIRECT("'"&amp;F1994&amp;"'!$E$2")="Location",
                "Cash Accounts",
                IF(INDIRECT("'"&amp;F1994&amp;"'!$B$2")="Amount",
                    "Investments",
                    "Bill Accounts"
                )
            )
        ),
    "")
)</f>
        <v/>
      </c>
      <c r="I1994" s="46" t="str" cm="1">
        <f t="array" aca="1" ref="I1994" ca="1">IF(F1994&lt;&gt;"",IF(OR(G1994="Bill Accounts",G1994="Investments", G1994="Cash Accounts"),INDIRECT("'"&amp;F1994&amp;"'!$C$10"),INDIRECT("'"&amp;F1994&amp;"'!$C$8")),"")</f>
        <v/>
      </c>
      <c r="K1994" s="48">
        <f t="shared" si="96"/>
        <v>2000</v>
      </c>
      <c r="L1994" s="114" t="str" cm="1">
        <f t="array" aca="1" ref="L1994" ca="1">IF(F1994&lt;&gt;"",INDIRECT("'"&amp;F1994&amp;"'!$F$17"),"")</f>
        <v/>
      </c>
      <c r="M1994" s="116" t="str">
        <f t="shared" ca="1" si="94"/>
        <v/>
      </c>
      <c r="O1994" s="49" t="str">
        <f t="shared" ca="1" si="95"/>
        <v/>
      </c>
      <c r="P1994" s="38" t="str">
        <f>IF(E1994&lt;&gt;"",RANK(E1994,$E$3:$E$2298)+COUNTIF($E$3:E1994,E1994)-1,"")</f>
        <v/>
      </c>
    </row>
    <row r="1995" spans="4:16" x14ac:dyDescent="0.25">
      <c r="D1995" s="36" t="str" cm="1">
        <f t="array" aca="1" ref="D1995" ca="1">IFERROR(IF(INDIRECT("'"&amp;F1995&amp;"'!$C$5")&gt;0,DATE(YEAR(Dashboard!$AL$2),Dashboard!$AU$4,INDIRECT("'"&amp;F1995&amp;"'!$C$5")),""),"")</f>
        <v/>
      </c>
      <c r="G1995" s="38" t="str" cm="1">
        <f t="array" aca="1" ref="G1995" ca="1">IF(F1995="",
    "",
    IFERROR(
        IF(INDIRECT("'"&amp;F1995&amp;"'!$B$2")="Credit Limit",
            "Credit Accounts",
            IF(INDIRECT("'"&amp;F1995&amp;"'!$E$2")="Location",
                "Cash Accounts",
                IF(INDIRECT("'"&amp;F1995&amp;"'!$B$2")="Amount",
                    "Investments",
                    "Bill Accounts"
                )
            )
        ),
    "")
)</f>
        <v/>
      </c>
      <c r="I1995" s="46" t="str" cm="1">
        <f t="array" aca="1" ref="I1995" ca="1">IF(F1995&lt;&gt;"",IF(OR(G1995="Bill Accounts",G1995="Investments", G1995="Cash Accounts"),INDIRECT("'"&amp;F1995&amp;"'!$C$10"),INDIRECT("'"&amp;F1995&amp;"'!$C$8")),"")</f>
        <v/>
      </c>
      <c r="K1995" s="48">
        <f t="shared" si="96"/>
        <v>2001</v>
      </c>
      <c r="L1995" s="114" t="str" cm="1">
        <f t="array" aca="1" ref="L1995" ca="1">IF(F1995&lt;&gt;"",INDIRECT("'"&amp;F1995&amp;"'!$F$17"),"")</f>
        <v/>
      </c>
      <c r="M1995" s="116" t="str">
        <f t="shared" ca="1" si="94"/>
        <v/>
      </c>
      <c r="O1995" s="49" t="str">
        <f t="shared" ca="1" si="95"/>
        <v/>
      </c>
      <c r="P1995" s="38" t="str">
        <f>IF(E1995&lt;&gt;"",RANK(E1995,$E$3:$E$2298)+COUNTIF($E$3:E1995,E1995)-1,"")</f>
        <v/>
      </c>
    </row>
    <row r="1996" spans="4:16" x14ac:dyDescent="0.25">
      <c r="D1996" s="36" t="str" cm="1">
        <f t="array" aca="1" ref="D1996" ca="1">IFERROR(IF(INDIRECT("'"&amp;F1996&amp;"'!$C$5")&gt;0,DATE(YEAR(Dashboard!$AL$2),Dashboard!$AU$4,INDIRECT("'"&amp;F1996&amp;"'!$C$5")),""),"")</f>
        <v/>
      </c>
      <c r="G1996" s="38" t="str" cm="1">
        <f t="array" aca="1" ref="G1996" ca="1">IF(F1996="",
    "",
    IFERROR(
        IF(INDIRECT("'"&amp;F1996&amp;"'!$B$2")="Credit Limit",
            "Credit Accounts",
            IF(INDIRECT("'"&amp;F1996&amp;"'!$E$2")="Location",
                "Cash Accounts",
                IF(INDIRECT("'"&amp;F1996&amp;"'!$B$2")="Amount",
                    "Investments",
                    "Bill Accounts"
                )
            )
        ),
    "")
)</f>
        <v/>
      </c>
      <c r="I1996" s="46" t="str" cm="1">
        <f t="array" aca="1" ref="I1996" ca="1">IF(F1996&lt;&gt;"",IF(OR(G1996="Bill Accounts",G1996="Investments", G1996="Cash Accounts"),INDIRECT("'"&amp;F1996&amp;"'!$C$10"),INDIRECT("'"&amp;F1996&amp;"'!$C$8")),"")</f>
        <v/>
      </c>
      <c r="K1996" s="48">
        <f t="shared" si="96"/>
        <v>2002</v>
      </c>
      <c r="L1996" s="114" t="str" cm="1">
        <f t="array" aca="1" ref="L1996" ca="1">IF(F1996&lt;&gt;"",INDIRECT("'"&amp;F1996&amp;"'!$F$17"),"")</f>
        <v/>
      </c>
      <c r="M1996" s="116" t="str">
        <f t="shared" ca="1" si="94"/>
        <v/>
      </c>
      <c r="O1996" s="49" t="str">
        <f t="shared" ca="1" si="95"/>
        <v/>
      </c>
      <c r="P1996" s="38" t="str">
        <f>IF(E1996&lt;&gt;"",RANK(E1996,$E$3:$E$2298)+COUNTIF($E$3:E1996,E1996)-1,"")</f>
        <v/>
      </c>
    </row>
    <row r="1997" spans="4:16" x14ac:dyDescent="0.25">
      <c r="D1997" s="36" t="str" cm="1">
        <f t="array" aca="1" ref="D1997" ca="1">IFERROR(IF(INDIRECT("'"&amp;F1997&amp;"'!$C$5")&gt;0,DATE(YEAR(Dashboard!$AL$2),Dashboard!$AU$4,INDIRECT("'"&amp;F1997&amp;"'!$C$5")),""),"")</f>
        <v/>
      </c>
      <c r="G1997" s="38" t="str" cm="1">
        <f t="array" aca="1" ref="G1997" ca="1">IF(F1997="",
    "",
    IFERROR(
        IF(INDIRECT("'"&amp;F1997&amp;"'!$B$2")="Credit Limit",
            "Credit Accounts",
            IF(INDIRECT("'"&amp;F1997&amp;"'!$E$2")="Location",
                "Cash Accounts",
                IF(INDIRECT("'"&amp;F1997&amp;"'!$B$2")="Amount",
                    "Investments",
                    "Bill Accounts"
                )
            )
        ),
    "")
)</f>
        <v/>
      </c>
      <c r="I1997" s="46" t="str" cm="1">
        <f t="array" aca="1" ref="I1997" ca="1">IF(F1997&lt;&gt;"",IF(OR(G1997="Bill Accounts",G1997="Investments", G1997="Cash Accounts"),INDIRECT("'"&amp;F1997&amp;"'!$C$10"),INDIRECT("'"&amp;F1997&amp;"'!$C$8")),"")</f>
        <v/>
      </c>
      <c r="K1997" s="48">
        <f t="shared" si="96"/>
        <v>2003</v>
      </c>
      <c r="L1997" s="114" t="str" cm="1">
        <f t="array" aca="1" ref="L1997" ca="1">IF(F1997&lt;&gt;"",INDIRECT("'"&amp;F1997&amp;"'!$F$17"),"")</f>
        <v/>
      </c>
      <c r="M1997" s="116" t="str">
        <f t="shared" ca="1" si="94"/>
        <v/>
      </c>
      <c r="O1997" s="49" t="str">
        <f t="shared" ca="1" si="95"/>
        <v/>
      </c>
      <c r="P1997" s="38" t="str">
        <f>IF(E1997&lt;&gt;"",RANK(E1997,$E$3:$E$2298)+COUNTIF($E$3:E1997,E1997)-1,"")</f>
        <v/>
      </c>
    </row>
    <row r="1998" spans="4:16" x14ac:dyDescent="0.25">
      <c r="D1998" s="36" t="str" cm="1">
        <f t="array" aca="1" ref="D1998" ca="1">IFERROR(IF(INDIRECT("'"&amp;F1998&amp;"'!$C$5")&gt;0,DATE(YEAR(Dashboard!$AL$2),Dashboard!$AU$4,INDIRECT("'"&amp;F1998&amp;"'!$C$5")),""),"")</f>
        <v/>
      </c>
      <c r="G1998" s="38" t="str" cm="1">
        <f t="array" aca="1" ref="G1998" ca="1">IF(F1998="",
    "",
    IFERROR(
        IF(INDIRECT("'"&amp;F1998&amp;"'!$B$2")="Credit Limit",
            "Credit Accounts",
            IF(INDIRECT("'"&amp;F1998&amp;"'!$E$2")="Location",
                "Cash Accounts",
                IF(INDIRECT("'"&amp;F1998&amp;"'!$B$2")="Amount",
                    "Investments",
                    "Bill Accounts"
                )
            )
        ),
    "")
)</f>
        <v/>
      </c>
      <c r="I1998" s="46" t="str" cm="1">
        <f t="array" aca="1" ref="I1998" ca="1">IF(F1998&lt;&gt;"",IF(OR(G1998="Bill Accounts",G1998="Investments", G1998="Cash Accounts"),INDIRECT("'"&amp;F1998&amp;"'!$C$10"),INDIRECT("'"&amp;F1998&amp;"'!$C$8")),"")</f>
        <v/>
      </c>
      <c r="K1998" s="48">
        <f t="shared" si="96"/>
        <v>2004</v>
      </c>
      <c r="L1998" s="114" t="str" cm="1">
        <f t="array" aca="1" ref="L1998" ca="1">IF(F1998&lt;&gt;"",INDIRECT("'"&amp;F1998&amp;"'!$F$17"),"")</f>
        <v/>
      </c>
      <c r="M1998" s="116" t="str">
        <f t="shared" ca="1" si="94"/>
        <v/>
      </c>
      <c r="O1998" s="49" t="str">
        <f t="shared" ca="1" si="95"/>
        <v/>
      </c>
      <c r="P1998" s="38" t="str">
        <f>IF(E1998&lt;&gt;"",RANK(E1998,$E$3:$E$2298)+COUNTIF($E$3:E1998,E1998)-1,"")</f>
        <v/>
      </c>
    </row>
    <row r="1999" spans="4:16" x14ac:dyDescent="0.25">
      <c r="D1999" s="36" t="str" cm="1">
        <f t="array" aca="1" ref="D1999" ca="1">IFERROR(IF(INDIRECT("'"&amp;F1999&amp;"'!$C$5")&gt;0,DATE(YEAR(Dashboard!$AL$2),Dashboard!$AU$4,INDIRECT("'"&amp;F1999&amp;"'!$C$5")),""),"")</f>
        <v/>
      </c>
      <c r="G1999" s="38" t="str" cm="1">
        <f t="array" aca="1" ref="G1999" ca="1">IF(F1999="",
    "",
    IFERROR(
        IF(INDIRECT("'"&amp;F1999&amp;"'!$B$2")="Credit Limit",
            "Credit Accounts",
            IF(INDIRECT("'"&amp;F1999&amp;"'!$E$2")="Location",
                "Cash Accounts",
                IF(INDIRECT("'"&amp;F1999&amp;"'!$B$2")="Amount",
                    "Investments",
                    "Bill Accounts"
                )
            )
        ),
    "")
)</f>
        <v/>
      </c>
      <c r="I1999" s="46" t="str" cm="1">
        <f t="array" aca="1" ref="I1999" ca="1">IF(F1999&lt;&gt;"",IF(OR(G1999="Bill Accounts",G1999="Investments", G1999="Cash Accounts"),INDIRECT("'"&amp;F1999&amp;"'!$C$10"),INDIRECT("'"&amp;F1999&amp;"'!$C$8")),"")</f>
        <v/>
      </c>
      <c r="K1999" s="48">
        <f t="shared" si="96"/>
        <v>2005</v>
      </c>
      <c r="L1999" s="114" t="str" cm="1">
        <f t="array" aca="1" ref="L1999" ca="1">IF(F1999&lt;&gt;"",INDIRECT("'"&amp;F1999&amp;"'!$F$17"),"")</f>
        <v/>
      </c>
      <c r="M1999" s="116" t="str">
        <f t="shared" ca="1" si="94"/>
        <v/>
      </c>
      <c r="O1999" s="49" t="str">
        <f t="shared" ca="1" si="95"/>
        <v/>
      </c>
      <c r="P1999" s="38" t="str">
        <f>IF(E1999&lt;&gt;"",RANK(E1999,$E$3:$E$2298)+COUNTIF($E$3:E1999,E1999)-1,"")</f>
        <v/>
      </c>
    </row>
    <row r="2000" spans="4:16" x14ac:dyDescent="0.25">
      <c r="D2000" s="36" t="str" cm="1">
        <f t="array" aca="1" ref="D2000" ca="1">IFERROR(IF(INDIRECT("'"&amp;F2000&amp;"'!$C$5")&gt;0,DATE(YEAR(Dashboard!$AL$2),Dashboard!$AU$4,INDIRECT("'"&amp;F2000&amp;"'!$C$5")),""),"")</f>
        <v/>
      </c>
      <c r="G2000" s="38" t="str" cm="1">
        <f t="array" aca="1" ref="G2000" ca="1">IF(F2000="",
    "",
    IFERROR(
        IF(INDIRECT("'"&amp;F2000&amp;"'!$B$2")="Credit Limit",
            "Credit Accounts",
            IF(INDIRECT("'"&amp;F2000&amp;"'!$E$2")="Location",
                "Cash Accounts",
                IF(INDIRECT("'"&amp;F2000&amp;"'!$B$2")="Amount",
                    "Investments",
                    "Bill Accounts"
                )
            )
        ),
    "")
)</f>
        <v/>
      </c>
      <c r="I2000" s="46" t="str" cm="1">
        <f t="array" aca="1" ref="I2000" ca="1">IF(F2000&lt;&gt;"",IF(OR(G2000="Bill Accounts",G2000="Investments", G2000="Cash Accounts"),INDIRECT("'"&amp;F2000&amp;"'!$C$10"),INDIRECT("'"&amp;F2000&amp;"'!$C$8")),"")</f>
        <v/>
      </c>
      <c r="K2000" s="48">
        <f t="shared" si="96"/>
        <v>2006</v>
      </c>
      <c r="L2000" s="114" t="str" cm="1">
        <f t="array" aca="1" ref="L2000" ca="1">IF(F2000&lt;&gt;"",INDIRECT("'"&amp;F2000&amp;"'!$F$17"),"")</f>
        <v/>
      </c>
      <c r="M2000" s="116" t="str">
        <f t="shared" ca="1" si="94"/>
        <v/>
      </c>
      <c r="O2000" s="49" t="str">
        <f t="shared" ca="1" si="95"/>
        <v/>
      </c>
      <c r="P2000" s="38" t="str">
        <f>IF(E2000&lt;&gt;"",RANK(E2000,$E$3:$E$2298)+COUNTIF($E$3:E2000,E2000)-1,"")</f>
        <v/>
      </c>
    </row>
    <row r="2001" spans="4:16" x14ac:dyDescent="0.25">
      <c r="D2001" s="36" t="str" cm="1">
        <f t="array" aca="1" ref="D2001" ca="1">IFERROR(IF(INDIRECT("'"&amp;F2001&amp;"'!$C$5")&gt;0,DATE(YEAR(Dashboard!$AL$2),Dashboard!$AU$4,INDIRECT("'"&amp;F2001&amp;"'!$C$5")),""),"")</f>
        <v/>
      </c>
      <c r="G2001" s="38" t="str" cm="1">
        <f t="array" aca="1" ref="G2001" ca="1">IF(F2001="",
    "",
    IFERROR(
        IF(INDIRECT("'"&amp;F2001&amp;"'!$B$2")="Credit Limit",
            "Credit Accounts",
            IF(INDIRECT("'"&amp;F2001&amp;"'!$E$2")="Location",
                "Cash Accounts",
                IF(INDIRECT("'"&amp;F2001&amp;"'!$B$2")="Amount",
                    "Investments",
                    "Bill Accounts"
                )
            )
        ),
    "")
)</f>
        <v/>
      </c>
      <c r="I2001" s="46" t="str" cm="1">
        <f t="array" aca="1" ref="I2001" ca="1">IF(F2001&lt;&gt;"",IF(OR(G2001="Bill Accounts",G2001="Investments", G2001="Cash Accounts"),INDIRECT("'"&amp;F2001&amp;"'!$C$10"),INDIRECT("'"&amp;F2001&amp;"'!$C$8")),"")</f>
        <v/>
      </c>
      <c r="K2001" s="48">
        <f t="shared" si="96"/>
        <v>2007</v>
      </c>
      <c r="L2001" s="114" t="str" cm="1">
        <f t="array" aca="1" ref="L2001" ca="1">IF(F2001&lt;&gt;"",INDIRECT("'"&amp;F2001&amp;"'!$F$17"),"")</f>
        <v/>
      </c>
      <c r="M2001" s="116" t="str">
        <f t="shared" ca="1" si="94"/>
        <v/>
      </c>
      <c r="O2001" s="49" t="str">
        <f t="shared" ca="1" si="95"/>
        <v/>
      </c>
      <c r="P2001" s="38" t="str">
        <f>IF(E2001&lt;&gt;"",RANK(E2001,$E$3:$E$2298)+COUNTIF($E$3:E2001,E2001)-1,"")</f>
        <v/>
      </c>
    </row>
    <row r="2002" spans="4:16" x14ac:dyDescent="0.25">
      <c r="D2002" s="36" t="str" cm="1">
        <f t="array" aca="1" ref="D2002" ca="1">IFERROR(IF(INDIRECT("'"&amp;F2002&amp;"'!$C$5")&gt;0,DATE(YEAR(Dashboard!$AL$2),Dashboard!$AU$4,INDIRECT("'"&amp;F2002&amp;"'!$C$5")),""),"")</f>
        <v/>
      </c>
      <c r="G2002" s="38" t="str" cm="1">
        <f t="array" aca="1" ref="G2002" ca="1">IF(F2002="",
    "",
    IFERROR(
        IF(INDIRECT("'"&amp;F2002&amp;"'!$B$2")="Credit Limit",
            "Credit Accounts",
            IF(INDIRECT("'"&amp;F2002&amp;"'!$E$2")="Location",
                "Cash Accounts",
                IF(INDIRECT("'"&amp;F2002&amp;"'!$B$2")="Amount",
                    "Investments",
                    "Bill Accounts"
                )
            )
        ),
    "")
)</f>
        <v/>
      </c>
      <c r="I2002" s="46" t="str" cm="1">
        <f t="array" aca="1" ref="I2002" ca="1">IF(F2002&lt;&gt;"",IF(OR(G2002="Bill Accounts",G2002="Investments", G2002="Cash Accounts"),INDIRECT("'"&amp;F2002&amp;"'!$C$10"),INDIRECT("'"&amp;F2002&amp;"'!$C$8")),"")</f>
        <v/>
      </c>
      <c r="K2002" s="48">
        <f t="shared" si="96"/>
        <v>2008</v>
      </c>
      <c r="L2002" s="114" t="str" cm="1">
        <f t="array" aca="1" ref="L2002" ca="1">IF(F2002&lt;&gt;"",INDIRECT("'"&amp;F2002&amp;"'!$F$17"),"")</f>
        <v/>
      </c>
      <c r="M2002" s="116" t="str">
        <f t="shared" ca="1" si="94"/>
        <v/>
      </c>
      <c r="O2002" s="49" t="str">
        <f t="shared" ca="1" si="95"/>
        <v/>
      </c>
      <c r="P2002" s="38" t="str">
        <f>IF(E2002&lt;&gt;"",RANK(E2002,$E$3:$E$2298)+COUNTIF($E$3:E2002,E2002)-1,"")</f>
        <v/>
      </c>
    </row>
    <row r="2003" spans="4:16" x14ac:dyDescent="0.25">
      <c r="D2003" s="36" t="str" cm="1">
        <f t="array" aca="1" ref="D2003" ca="1">IFERROR(IF(INDIRECT("'"&amp;F2003&amp;"'!$C$5")&gt;0,DATE(YEAR(Dashboard!$AL$2),Dashboard!$AU$4,INDIRECT("'"&amp;F2003&amp;"'!$C$5")),""),"")</f>
        <v/>
      </c>
      <c r="G2003" s="38" t="str" cm="1">
        <f t="array" aca="1" ref="G2003" ca="1">IF(F2003="",
    "",
    IFERROR(
        IF(INDIRECT("'"&amp;F2003&amp;"'!$B$2")="Credit Limit",
            "Credit Accounts",
            IF(INDIRECT("'"&amp;F2003&amp;"'!$E$2")="Location",
                "Cash Accounts",
                IF(INDIRECT("'"&amp;F2003&amp;"'!$B$2")="Amount",
                    "Investments",
                    "Bill Accounts"
                )
            )
        ),
    "")
)</f>
        <v/>
      </c>
      <c r="I2003" s="46" t="str" cm="1">
        <f t="array" aca="1" ref="I2003" ca="1">IF(F2003&lt;&gt;"",IF(OR(G2003="Bill Accounts",G2003="Investments", G2003="Cash Accounts"),INDIRECT("'"&amp;F2003&amp;"'!$C$10"),INDIRECT("'"&amp;F2003&amp;"'!$C$8")),"")</f>
        <v/>
      </c>
      <c r="K2003" s="48">
        <f t="shared" si="96"/>
        <v>2009</v>
      </c>
      <c r="L2003" s="114" t="str" cm="1">
        <f t="array" aca="1" ref="L2003" ca="1">IF(F2003&lt;&gt;"",INDIRECT("'"&amp;F2003&amp;"'!$F$17"),"")</f>
        <v/>
      </c>
      <c r="M2003" s="116" t="str">
        <f t="shared" ca="1" si="94"/>
        <v/>
      </c>
      <c r="O2003" s="49" t="str">
        <f t="shared" ca="1" si="95"/>
        <v/>
      </c>
      <c r="P2003" s="38" t="str">
        <f>IF(E2003&lt;&gt;"",RANK(E2003,$E$3:$E$2298)+COUNTIF($E$3:E2003,E2003)-1,"")</f>
        <v/>
      </c>
    </row>
    <row r="2004" spans="4:16" x14ac:dyDescent="0.25">
      <c r="D2004" s="36" t="str" cm="1">
        <f t="array" aca="1" ref="D2004" ca="1">IFERROR(IF(INDIRECT("'"&amp;F2004&amp;"'!$C$5")&gt;0,DATE(YEAR(Dashboard!$AL$2),Dashboard!$AU$4,INDIRECT("'"&amp;F2004&amp;"'!$C$5")),""),"")</f>
        <v/>
      </c>
      <c r="G2004" s="38" t="str" cm="1">
        <f t="array" aca="1" ref="G2004" ca="1">IF(F2004="",
    "",
    IFERROR(
        IF(INDIRECT("'"&amp;F2004&amp;"'!$B$2")="Credit Limit",
            "Credit Accounts",
            IF(INDIRECT("'"&amp;F2004&amp;"'!$E$2")="Location",
                "Cash Accounts",
                IF(INDIRECT("'"&amp;F2004&amp;"'!$B$2")="Amount",
                    "Investments",
                    "Bill Accounts"
                )
            )
        ),
    "")
)</f>
        <v/>
      </c>
      <c r="I2004" s="46" t="str" cm="1">
        <f t="array" aca="1" ref="I2004" ca="1">IF(F2004&lt;&gt;"",IF(OR(G2004="Bill Accounts",G2004="Investments", G2004="Cash Accounts"),INDIRECT("'"&amp;F2004&amp;"'!$C$10"),INDIRECT("'"&amp;F2004&amp;"'!$C$8")),"")</f>
        <v/>
      </c>
      <c r="K2004" s="48">
        <f t="shared" si="96"/>
        <v>2010</v>
      </c>
      <c r="L2004" s="114" t="str" cm="1">
        <f t="array" aca="1" ref="L2004" ca="1">IF(F2004&lt;&gt;"",INDIRECT("'"&amp;F2004&amp;"'!$F$17"),"")</f>
        <v/>
      </c>
      <c r="M2004" s="116" t="str">
        <f t="shared" ca="1" si="94"/>
        <v/>
      </c>
      <c r="O2004" s="49" t="str">
        <f t="shared" ca="1" si="95"/>
        <v/>
      </c>
      <c r="P2004" s="38" t="str">
        <f>IF(E2004&lt;&gt;"",RANK(E2004,$E$3:$E$2298)+COUNTIF($E$3:E2004,E2004)-1,"")</f>
        <v/>
      </c>
    </row>
    <row r="2005" spans="4:16" x14ac:dyDescent="0.25">
      <c r="D2005" s="36" t="str" cm="1">
        <f t="array" aca="1" ref="D2005" ca="1">IFERROR(IF(INDIRECT("'"&amp;F2005&amp;"'!$C$5")&gt;0,DATE(YEAR(Dashboard!$AL$2),Dashboard!$AU$4,INDIRECT("'"&amp;F2005&amp;"'!$C$5")),""),"")</f>
        <v/>
      </c>
      <c r="G2005" s="38" t="str" cm="1">
        <f t="array" aca="1" ref="G2005" ca="1">IF(F2005="",
    "",
    IFERROR(
        IF(INDIRECT("'"&amp;F2005&amp;"'!$B$2")="Credit Limit",
            "Credit Accounts",
            IF(INDIRECT("'"&amp;F2005&amp;"'!$E$2")="Location",
                "Cash Accounts",
                IF(INDIRECT("'"&amp;F2005&amp;"'!$B$2")="Amount",
                    "Investments",
                    "Bill Accounts"
                )
            )
        ),
    "")
)</f>
        <v/>
      </c>
      <c r="I2005" s="46" t="str" cm="1">
        <f t="array" aca="1" ref="I2005" ca="1">IF(F2005&lt;&gt;"",IF(OR(G2005="Bill Accounts",G2005="Investments", G2005="Cash Accounts"),INDIRECT("'"&amp;F2005&amp;"'!$C$10"),INDIRECT("'"&amp;F2005&amp;"'!$C$8")),"")</f>
        <v/>
      </c>
      <c r="K2005" s="48">
        <f t="shared" si="96"/>
        <v>2011</v>
      </c>
      <c r="L2005" s="114" t="str" cm="1">
        <f t="array" aca="1" ref="L2005" ca="1">IF(F2005&lt;&gt;"",INDIRECT("'"&amp;F2005&amp;"'!$F$17"),"")</f>
        <v/>
      </c>
      <c r="M2005" s="116" t="str">
        <f t="shared" ca="1" si="94"/>
        <v/>
      </c>
      <c r="O2005" s="49" t="str">
        <f t="shared" ca="1" si="95"/>
        <v/>
      </c>
      <c r="P2005" s="38" t="str">
        <f>IF(E2005&lt;&gt;"",RANK(E2005,$E$3:$E$2298)+COUNTIF($E$3:E2005,E2005)-1,"")</f>
        <v/>
      </c>
    </row>
    <row r="2006" spans="4:16" x14ac:dyDescent="0.25">
      <c r="D2006" s="36" t="str" cm="1">
        <f t="array" aca="1" ref="D2006" ca="1">IFERROR(IF(INDIRECT("'"&amp;F2006&amp;"'!$C$5")&gt;0,DATE(YEAR(Dashboard!$AL$2),Dashboard!$AU$4,INDIRECT("'"&amp;F2006&amp;"'!$C$5")),""),"")</f>
        <v/>
      </c>
      <c r="G2006" s="38" t="str" cm="1">
        <f t="array" aca="1" ref="G2006" ca="1">IF(F2006="",
    "",
    IFERROR(
        IF(INDIRECT("'"&amp;F2006&amp;"'!$B$2")="Credit Limit",
            "Credit Accounts",
            IF(INDIRECT("'"&amp;F2006&amp;"'!$E$2")="Location",
                "Cash Accounts",
                IF(INDIRECT("'"&amp;F2006&amp;"'!$B$2")="Amount",
                    "Investments",
                    "Bill Accounts"
                )
            )
        ),
    "")
)</f>
        <v/>
      </c>
      <c r="I2006" s="46" t="str" cm="1">
        <f t="array" aca="1" ref="I2006" ca="1">IF(F2006&lt;&gt;"",IF(OR(G2006="Bill Accounts",G2006="Investments", G2006="Cash Accounts"),INDIRECT("'"&amp;F2006&amp;"'!$C$10"),INDIRECT("'"&amp;F2006&amp;"'!$C$8")),"")</f>
        <v/>
      </c>
      <c r="K2006" s="48">
        <f t="shared" si="96"/>
        <v>2012</v>
      </c>
      <c r="L2006" s="114" t="str" cm="1">
        <f t="array" aca="1" ref="L2006" ca="1">IF(F2006&lt;&gt;"",INDIRECT("'"&amp;F2006&amp;"'!$F$17"),"")</f>
        <v/>
      </c>
      <c r="M2006" s="116" t="str">
        <f t="shared" ca="1" si="94"/>
        <v/>
      </c>
      <c r="O2006" s="49" t="str">
        <f t="shared" ca="1" si="95"/>
        <v/>
      </c>
      <c r="P2006" s="38" t="str">
        <f>IF(E2006&lt;&gt;"",RANK(E2006,$E$3:$E$2298)+COUNTIF($E$3:E2006,E2006)-1,"")</f>
        <v/>
      </c>
    </row>
    <row r="2007" spans="4:16" x14ac:dyDescent="0.25">
      <c r="D2007" s="36" t="str" cm="1">
        <f t="array" aca="1" ref="D2007" ca="1">IFERROR(IF(INDIRECT("'"&amp;F2007&amp;"'!$C$5")&gt;0,DATE(YEAR(Dashboard!$AL$2),Dashboard!$AU$4,INDIRECT("'"&amp;F2007&amp;"'!$C$5")),""),"")</f>
        <v/>
      </c>
      <c r="G2007" s="38" t="str" cm="1">
        <f t="array" aca="1" ref="G2007" ca="1">IF(F2007="",
    "",
    IFERROR(
        IF(INDIRECT("'"&amp;F2007&amp;"'!$B$2")="Credit Limit",
            "Credit Accounts",
            IF(INDIRECT("'"&amp;F2007&amp;"'!$E$2")="Location",
                "Cash Accounts",
                IF(INDIRECT("'"&amp;F2007&amp;"'!$B$2")="Amount",
                    "Investments",
                    "Bill Accounts"
                )
            )
        ),
    "")
)</f>
        <v/>
      </c>
      <c r="I2007" s="46" t="str" cm="1">
        <f t="array" aca="1" ref="I2007" ca="1">IF(F2007&lt;&gt;"",IF(OR(G2007="Bill Accounts",G2007="Investments", G2007="Cash Accounts"),INDIRECT("'"&amp;F2007&amp;"'!$C$10"),INDIRECT("'"&amp;F2007&amp;"'!$C$8")),"")</f>
        <v/>
      </c>
      <c r="K2007" s="48">
        <f t="shared" si="96"/>
        <v>2013</v>
      </c>
      <c r="L2007" s="114" t="str" cm="1">
        <f t="array" aca="1" ref="L2007" ca="1">IF(F2007&lt;&gt;"",INDIRECT("'"&amp;F2007&amp;"'!$F$17"),"")</f>
        <v/>
      </c>
      <c r="M2007" s="116" t="str">
        <f t="shared" ca="1" si="94"/>
        <v/>
      </c>
      <c r="O2007" s="49" t="str">
        <f t="shared" ca="1" si="95"/>
        <v/>
      </c>
      <c r="P2007" s="38" t="str">
        <f>IF(E2007&lt;&gt;"",RANK(E2007,$E$3:$E$2298)+COUNTIF($E$3:E2007,E2007)-1,"")</f>
        <v/>
      </c>
    </row>
    <row r="2008" spans="4:16" x14ac:dyDescent="0.25">
      <c r="D2008" s="36" t="str" cm="1">
        <f t="array" aca="1" ref="D2008" ca="1">IFERROR(IF(INDIRECT("'"&amp;F2008&amp;"'!$C$5")&gt;0,DATE(YEAR(Dashboard!$AL$2),Dashboard!$AU$4,INDIRECT("'"&amp;F2008&amp;"'!$C$5")),""),"")</f>
        <v/>
      </c>
      <c r="G2008" s="38" t="str" cm="1">
        <f t="array" aca="1" ref="G2008" ca="1">IF(F2008="",
    "",
    IFERROR(
        IF(INDIRECT("'"&amp;F2008&amp;"'!$B$2")="Credit Limit",
            "Credit Accounts",
            IF(INDIRECT("'"&amp;F2008&amp;"'!$E$2")="Location",
                "Cash Accounts",
                IF(INDIRECT("'"&amp;F2008&amp;"'!$B$2")="Amount",
                    "Investments",
                    "Bill Accounts"
                )
            )
        ),
    "")
)</f>
        <v/>
      </c>
      <c r="I2008" s="46" t="str" cm="1">
        <f t="array" aca="1" ref="I2008" ca="1">IF(F2008&lt;&gt;"",IF(OR(G2008="Bill Accounts",G2008="Investments", G2008="Cash Accounts"),INDIRECT("'"&amp;F2008&amp;"'!$C$10"),INDIRECT("'"&amp;F2008&amp;"'!$C$8")),"")</f>
        <v/>
      </c>
      <c r="K2008" s="48">
        <f t="shared" si="96"/>
        <v>2014</v>
      </c>
      <c r="L2008" s="114" t="str" cm="1">
        <f t="array" aca="1" ref="L2008" ca="1">IF(F2008&lt;&gt;"",INDIRECT("'"&amp;F2008&amp;"'!$F$17"),"")</f>
        <v/>
      </c>
      <c r="M2008" s="116" t="str">
        <f t="shared" ca="1" si="94"/>
        <v/>
      </c>
      <c r="O2008" s="49" t="str">
        <f t="shared" ca="1" si="95"/>
        <v/>
      </c>
      <c r="P2008" s="38" t="str">
        <f>IF(E2008&lt;&gt;"",RANK(E2008,$E$3:$E$2298)+COUNTIF($E$3:E2008,E2008)-1,"")</f>
        <v/>
      </c>
    </row>
    <row r="2009" spans="4:16" x14ac:dyDescent="0.25">
      <c r="D2009" s="36" t="str" cm="1">
        <f t="array" aca="1" ref="D2009" ca="1">IFERROR(IF(INDIRECT("'"&amp;F2009&amp;"'!$C$5")&gt;0,DATE(YEAR(Dashboard!$AL$2),Dashboard!$AU$4,INDIRECT("'"&amp;F2009&amp;"'!$C$5")),""),"")</f>
        <v/>
      </c>
      <c r="G2009" s="38" t="str" cm="1">
        <f t="array" aca="1" ref="G2009" ca="1">IF(F2009="",
    "",
    IFERROR(
        IF(INDIRECT("'"&amp;F2009&amp;"'!$B$2")="Credit Limit",
            "Credit Accounts",
            IF(INDIRECT("'"&amp;F2009&amp;"'!$E$2")="Location",
                "Cash Accounts",
                IF(INDIRECT("'"&amp;F2009&amp;"'!$B$2")="Amount",
                    "Investments",
                    "Bill Accounts"
                )
            )
        ),
    "")
)</f>
        <v/>
      </c>
      <c r="I2009" s="46" t="str" cm="1">
        <f t="array" aca="1" ref="I2009" ca="1">IF(F2009&lt;&gt;"",IF(OR(G2009="Bill Accounts",G2009="Investments", G2009="Cash Accounts"),INDIRECT("'"&amp;F2009&amp;"'!$C$10"),INDIRECT("'"&amp;F2009&amp;"'!$C$8")),"")</f>
        <v/>
      </c>
      <c r="K2009" s="48">
        <f t="shared" si="96"/>
        <v>2015</v>
      </c>
      <c r="L2009" s="114" t="str" cm="1">
        <f t="array" aca="1" ref="L2009" ca="1">IF(F2009&lt;&gt;"",INDIRECT("'"&amp;F2009&amp;"'!$F$17"),"")</f>
        <v/>
      </c>
      <c r="M2009" s="116" t="str">
        <f t="shared" ca="1" si="94"/>
        <v/>
      </c>
      <c r="O2009" s="49" t="str">
        <f t="shared" ca="1" si="95"/>
        <v/>
      </c>
      <c r="P2009" s="38" t="str">
        <f>IF(E2009&lt;&gt;"",RANK(E2009,$E$3:$E$2298)+COUNTIF($E$3:E2009,E2009)-1,"")</f>
        <v/>
      </c>
    </row>
    <row r="2010" spans="4:16" x14ac:dyDescent="0.25">
      <c r="D2010" s="36" t="str" cm="1">
        <f t="array" aca="1" ref="D2010" ca="1">IFERROR(IF(INDIRECT("'"&amp;F2010&amp;"'!$C$5")&gt;0,DATE(YEAR(Dashboard!$AL$2),Dashboard!$AU$4,INDIRECT("'"&amp;F2010&amp;"'!$C$5")),""),"")</f>
        <v/>
      </c>
      <c r="G2010" s="38" t="str" cm="1">
        <f t="array" aca="1" ref="G2010" ca="1">IF(F2010="",
    "",
    IFERROR(
        IF(INDIRECT("'"&amp;F2010&amp;"'!$B$2")="Credit Limit",
            "Credit Accounts",
            IF(INDIRECT("'"&amp;F2010&amp;"'!$E$2")="Location",
                "Cash Accounts",
                IF(INDIRECT("'"&amp;F2010&amp;"'!$B$2")="Amount",
                    "Investments",
                    "Bill Accounts"
                )
            )
        ),
    "")
)</f>
        <v/>
      </c>
      <c r="I2010" s="46" t="str" cm="1">
        <f t="array" aca="1" ref="I2010" ca="1">IF(F2010&lt;&gt;"",IF(OR(G2010="Bill Accounts",G2010="Investments", G2010="Cash Accounts"),INDIRECT("'"&amp;F2010&amp;"'!$C$10"),INDIRECT("'"&amp;F2010&amp;"'!$C$8")),"")</f>
        <v/>
      </c>
      <c r="K2010" s="48">
        <f t="shared" si="96"/>
        <v>2016</v>
      </c>
      <c r="L2010" s="114" t="str" cm="1">
        <f t="array" aca="1" ref="L2010" ca="1">IF(F2010&lt;&gt;"",INDIRECT("'"&amp;F2010&amp;"'!$F$17"),"")</f>
        <v/>
      </c>
      <c r="M2010" s="116" t="str">
        <f t="shared" ca="1" si="94"/>
        <v/>
      </c>
      <c r="O2010" s="49" t="str">
        <f t="shared" ca="1" si="95"/>
        <v/>
      </c>
      <c r="P2010" s="38" t="str">
        <f>IF(E2010&lt;&gt;"",RANK(E2010,$E$3:$E$2298)+COUNTIF($E$3:E2010,E2010)-1,"")</f>
        <v/>
      </c>
    </row>
    <row r="2011" spans="4:16" x14ac:dyDescent="0.25">
      <c r="D2011" s="36" t="str" cm="1">
        <f t="array" aca="1" ref="D2011" ca="1">IFERROR(IF(INDIRECT("'"&amp;F2011&amp;"'!$C$5")&gt;0,DATE(YEAR(Dashboard!$AL$2),Dashboard!$AU$4,INDIRECT("'"&amp;F2011&amp;"'!$C$5")),""),"")</f>
        <v/>
      </c>
      <c r="G2011" s="38" t="str" cm="1">
        <f t="array" aca="1" ref="G2011" ca="1">IF(F2011="",
    "",
    IFERROR(
        IF(INDIRECT("'"&amp;F2011&amp;"'!$B$2")="Credit Limit",
            "Credit Accounts",
            IF(INDIRECT("'"&amp;F2011&amp;"'!$E$2")="Location",
                "Cash Accounts",
                IF(INDIRECT("'"&amp;F2011&amp;"'!$B$2")="Amount",
                    "Investments",
                    "Bill Accounts"
                )
            )
        ),
    "")
)</f>
        <v/>
      </c>
      <c r="I2011" s="46" t="str" cm="1">
        <f t="array" aca="1" ref="I2011" ca="1">IF(F2011&lt;&gt;"",IF(OR(G2011="Bill Accounts",G2011="Investments", G2011="Cash Accounts"),INDIRECT("'"&amp;F2011&amp;"'!$C$10"),INDIRECT("'"&amp;F2011&amp;"'!$C$8")),"")</f>
        <v/>
      </c>
      <c r="K2011" s="48">
        <f t="shared" si="96"/>
        <v>2017</v>
      </c>
      <c r="L2011" s="114" t="str" cm="1">
        <f t="array" aca="1" ref="L2011" ca="1">IF(F2011&lt;&gt;"",INDIRECT("'"&amp;F2011&amp;"'!$F$17"),"")</f>
        <v/>
      </c>
      <c r="M2011" s="116" t="str">
        <f t="shared" ca="1" si="94"/>
        <v/>
      </c>
      <c r="O2011" s="49" t="str">
        <f t="shared" ca="1" si="95"/>
        <v/>
      </c>
      <c r="P2011" s="38" t="str">
        <f>IF(E2011&lt;&gt;"",RANK(E2011,$E$3:$E$2298)+COUNTIF($E$3:E2011,E2011)-1,"")</f>
        <v/>
      </c>
    </row>
    <row r="2012" spans="4:16" x14ac:dyDescent="0.25">
      <c r="D2012" s="36" t="str" cm="1">
        <f t="array" aca="1" ref="D2012" ca="1">IFERROR(IF(INDIRECT("'"&amp;F2012&amp;"'!$C$5")&gt;0,DATE(YEAR(Dashboard!$AL$2),Dashboard!$AU$4,INDIRECT("'"&amp;F2012&amp;"'!$C$5")),""),"")</f>
        <v/>
      </c>
      <c r="G2012" s="38" t="str" cm="1">
        <f t="array" aca="1" ref="G2012" ca="1">IF(F2012="",
    "",
    IFERROR(
        IF(INDIRECT("'"&amp;F2012&amp;"'!$B$2")="Credit Limit",
            "Credit Accounts",
            IF(INDIRECT("'"&amp;F2012&amp;"'!$E$2")="Location",
                "Cash Accounts",
                IF(INDIRECT("'"&amp;F2012&amp;"'!$B$2")="Amount",
                    "Investments",
                    "Bill Accounts"
                )
            )
        ),
    "")
)</f>
        <v/>
      </c>
      <c r="I2012" s="46" t="str" cm="1">
        <f t="array" aca="1" ref="I2012" ca="1">IF(F2012&lt;&gt;"",IF(OR(G2012="Bill Accounts",G2012="Investments", G2012="Cash Accounts"),INDIRECT("'"&amp;F2012&amp;"'!$C$10"),INDIRECT("'"&amp;F2012&amp;"'!$C$8")),"")</f>
        <v/>
      </c>
      <c r="K2012" s="48">
        <f t="shared" si="96"/>
        <v>2018</v>
      </c>
      <c r="L2012" s="114" t="str" cm="1">
        <f t="array" aca="1" ref="L2012" ca="1">IF(F2012&lt;&gt;"",INDIRECT("'"&amp;F2012&amp;"'!$F$17"),"")</f>
        <v/>
      </c>
      <c r="M2012" s="116" t="str">
        <f t="shared" ca="1" si="94"/>
        <v/>
      </c>
      <c r="O2012" s="49" t="str">
        <f t="shared" ca="1" si="95"/>
        <v/>
      </c>
      <c r="P2012" s="38" t="str">
        <f>IF(E2012&lt;&gt;"",RANK(E2012,$E$3:$E$2298)+COUNTIF($E$3:E2012,E2012)-1,"")</f>
        <v/>
      </c>
    </row>
    <row r="2013" spans="4:16" x14ac:dyDescent="0.25">
      <c r="D2013" s="36" t="str" cm="1">
        <f t="array" aca="1" ref="D2013" ca="1">IFERROR(IF(INDIRECT("'"&amp;F2013&amp;"'!$C$5")&gt;0,DATE(YEAR(Dashboard!$AL$2),Dashboard!$AU$4,INDIRECT("'"&amp;F2013&amp;"'!$C$5")),""),"")</f>
        <v/>
      </c>
      <c r="G2013" s="38" t="str" cm="1">
        <f t="array" aca="1" ref="G2013" ca="1">IF(F2013="",
    "",
    IFERROR(
        IF(INDIRECT("'"&amp;F2013&amp;"'!$B$2")="Credit Limit",
            "Credit Accounts",
            IF(INDIRECT("'"&amp;F2013&amp;"'!$E$2")="Location",
                "Cash Accounts",
                IF(INDIRECT("'"&amp;F2013&amp;"'!$B$2")="Amount",
                    "Investments",
                    "Bill Accounts"
                )
            )
        ),
    "")
)</f>
        <v/>
      </c>
      <c r="I2013" s="46" t="str" cm="1">
        <f t="array" aca="1" ref="I2013" ca="1">IF(F2013&lt;&gt;"",IF(OR(G2013="Bill Accounts",G2013="Investments", G2013="Cash Accounts"),INDIRECT("'"&amp;F2013&amp;"'!$C$10"),INDIRECT("'"&amp;F2013&amp;"'!$C$8")),"")</f>
        <v/>
      </c>
      <c r="K2013" s="48">
        <f t="shared" si="96"/>
        <v>2019</v>
      </c>
      <c r="L2013" s="114" t="str" cm="1">
        <f t="array" aca="1" ref="L2013" ca="1">IF(F2013&lt;&gt;"",INDIRECT("'"&amp;F2013&amp;"'!$F$17"),"")</f>
        <v/>
      </c>
      <c r="M2013" s="116" t="str">
        <f t="shared" ca="1" si="94"/>
        <v/>
      </c>
      <c r="O2013" s="49" t="str">
        <f t="shared" ca="1" si="95"/>
        <v/>
      </c>
      <c r="P2013" s="38" t="str">
        <f>IF(E2013&lt;&gt;"",RANK(E2013,$E$3:$E$2298)+COUNTIF($E$3:E2013,E2013)-1,"")</f>
        <v/>
      </c>
    </row>
    <row r="2014" spans="4:16" x14ac:dyDescent="0.25">
      <c r="D2014" s="36" t="str" cm="1">
        <f t="array" aca="1" ref="D2014" ca="1">IFERROR(IF(INDIRECT("'"&amp;F2014&amp;"'!$C$5")&gt;0,DATE(YEAR(Dashboard!$AL$2),Dashboard!$AU$4,INDIRECT("'"&amp;F2014&amp;"'!$C$5")),""),"")</f>
        <v/>
      </c>
      <c r="G2014" s="38" t="str" cm="1">
        <f t="array" aca="1" ref="G2014" ca="1">IF(F2014="",
    "",
    IFERROR(
        IF(INDIRECT("'"&amp;F2014&amp;"'!$B$2")="Credit Limit",
            "Credit Accounts",
            IF(INDIRECT("'"&amp;F2014&amp;"'!$E$2")="Location",
                "Cash Accounts",
                IF(INDIRECT("'"&amp;F2014&amp;"'!$B$2")="Amount",
                    "Investments",
                    "Bill Accounts"
                )
            )
        ),
    "")
)</f>
        <v/>
      </c>
      <c r="I2014" s="46" t="str" cm="1">
        <f t="array" aca="1" ref="I2014" ca="1">IF(F2014&lt;&gt;"",IF(OR(G2014="Bill Accounts",G2014="Investments", G2014="Cash Accounts"),INDIRECT("'"&amp;F2014&amp;"'!$C$10"),INDIRECT("'"&amp;F2014&amp;"'!$C$8")),"")</f>
        <v/>
      </c>
      <c r="K2014" s="48">
        <f t="shared" si="96"/>
        <v>2020</v>
      </c>
      <c r="L2014" s="114" t="str" cm="1">
        <f t="array" aca="1" ref="L2014" ca="1">IF(F2014&lt;&gt;"",INDIRECT("'"&amp;F2014&amp;"'!$F$17"),"")</f>
        <v/>
      </c>
      <c r="M2014" s="116" t="str">
        <f t="shared" ca="1" si="94"/>
        <v/>
      </c>
      <c r="O2014" s="49" t="str">
        <f t="shared" ca="1" si="95"/>
        <v/>
      </c>
      <c r="P2014" s="38" t="str">
        <f>IF(E2014&lt;&gt;"",RANK(E2014,$E$3:$E$2298)+COUNTIF($E$3:E2014,E2014)-1,"")</f>
        <v/>
      </c>
    </row>
    <row r="2015" spans="4:16" x14ac:dyDescent="0.25">
      <c r="D2015" s="36" t="str" cm="1">
        <f t="array" aca="1" ref="D2015" ca="1">IFERROR(IF(INDIRECT("'"&amp;F2015&amp;"'!$C$5")&gt;0,DATE(YEAR(Dashboard!$AL$2),Dashboard!$AU$4,INDIRECT("'"&amp;F2015&amp;"'!$C$5")),""),"")</f>
        <v/>
      </c>
      <c r="G2015" s="38" t="str" cm="1">
        <f t="array" aca="1" ref="G2015" ca="1">IF(F2015="",
    "",
    IFERROR(
        IF(INDIRECT("'"&amp;F2015&amp;"'!$B$2")="Credit Limit",
            "Credit Accounts",
            IF(INDIRECT("'"&amp;F2015&amp;"'!$E$2")="Location",
                "Cash Accounts",
                IF(INDIRECT("'"&amp;F2015&amp;"'!$B$2")="Amount",
                    "Investments",
                    "Bill Accounts"
                )
            )
        ),
    "")
)</f>
        <v/>
      </c>
      <c r="I2015" s="46" t="str" cm="1">
        <f t="array" aca="1" ref="I2015" ca="1">IF(F2015&lt;&gt;"",IF(OR(G2015="Bill Accounts",G2015="Investments", G2015="Cash Accounts"),INDIRECT("'"&amp;F2015&amp;"'!$C$10"),INDIRECT("'"&amp;F2015&amp;"'!$C$8")),"")</f>
        <v/>
      </c>
      <c r="K2015" s="48">
        <f t="shared" si="96"/>
        <v>2021</v>
      </c>
      <c r="L2015" s="114" t="str" cm="1">
        <f t="array" aca="1" ref="L2015" ca="1">IF(F2015&lt;&gt;"",INDIRECT("'"&amp;F2015&amp;"'!$F$17"),"")</f>
        <v/>
      </c>
      <c r="M2015" s="116" t="str">
        <f t="shared" ca="1" si="94"/>
        <v/>
      </c>
      <c r="O2015" s="49" t="str">
        <f t="shared" ca="1" si="95"/>
        <v/>
      </c>
      <c r="P2015" s="38" t="str">
        <f>IF(E2015&lt;&gt;"",RANK(E2015,$E$3:$E$2298)+COUNTIF($E$3:E2015,E2015)-1,"")</f>
        <v/>
      </c>
    </row>
    <row r="2016" spans="4:16" x14ac:dyDescent="0.25">
      <c r="D2016" s="36" t="str" cm="1">
        <f t="array" aca="1" ref="D2016" ca="1">IFERROR(IF(INDIRECT("'"&amp;F2016&amp;"'!$C$5")&gt;0,DATE(YEAR(Dashboard!$AL$2),Dashboard!$AU$4,INDIRECT("'"&amp;F2016&amp;"'!$C$5")),""),"")</f>
        <v/>
      </c>
      <c r="G2016" s="38" t="str" cm="1">
        <f t="array" aca="1" ref="G2016" ca="1">IF(F2016="",
    "",
    IFERROR(
        IF(INDIRECT("'"&amp;F2016&amp;"'!$B$2")="Credit Limit",
            "Credit Accounts",
            IF(INDIRECT("'"&amp;F2016&amp;"'!$E$2")="Location",
                "Cash Accounts",
                IF(INDIRECT("'"&amp;F2016&amp;"'!$B$2")="Amount",
                    "Investments",
                    "Bill Accounts"
                )
            )
        ),
    "")
)</f>
        <v/>
      </c>
      <c r="I2016" s="46" t="str" cm="1">
        <f t="array" aca="1" ref="I2016" ca="1">IF(F2016&lt;&gt;"",IF(OR(G2016="Bill Accounts",G2016="Investments", G2016="Cash Accounts"),INDIRECT("'"&amp;F2016&amp;"'!$C$10"),INDIRECT("'"&amp;F2016&amp;"'!$C$8")),"")</f>
        <v/>
      </c>
      <c r="K2016" s="48">
        <f t="shared" si="96"/>
        <v>2022</v>
      </c>
      <c r="L2016" s="114" t="str" cm="1">
        <f t="array" aca="1" ref="L2016" ca="1">IF(F2016&lt;&gt;"",INDIRECT("'"&amp;F2016&amp;"'!$F$17"),"")</f>
        <v/>
      </c>
      <c r="M2016" s="116" t="str">
        <f t="shared" ca="1" si="94"/>
        <v/>
      </c>
      <c r="O2016" s="49" t="str">
        <f t="shared" ca="1" si="95"/>
        <v/>
      </c>
      <c r="P2016" s="38" t="str">
        <f>IF(E2016&lt;&gt;"",RANK(E2016,$E$3:$E$2298)+COUNTIF($E$3:E2016,E2016)-1,"")</f>
        <v/>
      </c>
    </row>
    <row r="2017" spans="4:16" x14ac:dyDescent="0.25">
      <c r="D2017" s="36" t="str" cm="1">
        <f t="array" aca="1" ref="D2017" ca="1">IFERROR(IF(INDIRECT("'"&amp;F2017&amp;"'!$C$5")&gt;0,DATE(YEAR(Dashboard!$AL$2),Dashboard!$AU$4,INDIRECT("'"&amp;F2017&amp;"'!$C$5")),""),"")</f>
        <v/>
      </c>
      <c r="G2017" s="38" t="str" cm="1">
        <f t="array" aca="1" ref="G2017" ca="1">IF(F2017="",
    "",
    IFERROR(
        IF(INDIRECT("'"&amp;F2017&amp;"'!$B$2")="Credit Limit",
            "Credit Accounts",
            IF(INDIRECT("'"&amp;F2017&amp;"'!$E$2")="Location",
                "Cash Accounts",
                IF(INDIRECT("'"&amp;F2017&amp;"'!$B$2")="Amount",
                    "Investments",
                    "Bill Accounts"
                )
            )
        ),
    "")
)</f>
        <v/>
      </c>
      <c r="I2017" s="46" t="str" cm="1">
        <f t="array" aca="1" ref="I2017" ca="1">IF(F2017&lt;&gt;"",IF(OR(G2017="Bill Accounts",G2017="Investments", G2017="Cash Accounts"),INDIRECT("'"&amp;F2017&amp;"'!$C$10"),INDIRECT("'"&amp;F2017&amp;"'!$C$8")),"")</f>
        <v/>
      </c>
      <c r="K2017" s="48">
        <f t="shared" si="96"/>
        <v>2023</v>
      </c>
      <c r="L2017" s="114" t="str" cm="1">
        <f t="array" aca="1" ref="L2017" ca="1">IF(F2017&lt;&gt;"",INDIRECT("'"&amp;F2017&amp;"'!$F$17"),"")</f>
        <v/>
      </c>
      <c r="M2017" s="116" t="str">
        <f t="shared" ca="1" si="94"/>
        <v/>
      </c>
      <c r="O2017" s="49" t="str">
        <f t="shared" ca="1" si="95"/>
        <v/>
      </c>
      <c r="P2017" s="38" t="str">
        <f>IF(E2017&lt;&gt;"",RANK(E2017,$E$3:$E$2298)+COUNTIF($E$3:E2017,E2017)-1,"")</f>
        <v/>
      </c>
    </row>
    <row r="2018" spans="4:16" x14ac:dyDescent="0.25">
      <c r="D2018" s="36" t="str" cm="1">
        <f t="array" aca="1" ref="D2018" ca="1">IFERROR(IF(INDIRECT("'"&amp;F2018&amp;"'!$C$5")&gt;0,DATE(YEAR(Dashboard!$AL$2),Dashboard!$AU$4,INDIRECT("'"&amp;F2018&amp;"'!$C$5")),""),"")</f>
        <v/>
      </c>
      <c r="G2018" s="38" t="str" cm="1">
        <f t="array" aca="1" ref="G2018" ca="1">IF(F2018="",
    "",
    IFERROR(
        IF(INDIRECT("'"&amp;F2018&amp;"'!$B$2")="Credit Limit",
            "Credit Accounts",
            IF(INDIRECT("'"&amp;F2018&amp;"'!$E$2")="Location",
                "Cash Accounts",
                IF(INDIRECT("'"&amp;F2018&amp;"'!$B$2")="Amount",
                    "Investments",
                    "Bill Accounts"
                )
            )
        ),
    "")
)</f>
        <v/>
      </c>
      <c r="I2018" s="46" t="str" cm="1">
        <f t="array" aca="1" ref="I2018" ca="1">IF(F2018&lt;&gt;"",IF(OR(G2018="Bill Accounts",G2018="Investments", G2018="Cash Accounts"),INDIRECT("'"&amp;F2018&amp;"'!$C$10"),INDIRECT("'"&amp;F2018&amp;"'!$C$8")),"")</f>
        <v/>
      </c>
      <c r="K2018" s="48">
        <f t="shared" si="96"/>
        <v>2024</v>
      </c>
      <c r="L2018" s="114" t="str" cm="1">
        <f t="array" aca="1" ref="L2018" ca="1">IF(F2018&lt;&gt;"",INDIRECT("'"&amp;F2018&amp;"'!$F$17"),"")</f>
        <v/>
      </c>
      <c r="M2018" s="116" t="str">
        <f t="shared" ca="1" si="94"/>
        <v/>
      </c>
      <c r="O2018" s="49" t="str">
        <f t="shared" ca="1" si="95"/>
        <v/>
      </c>
      <c r="P2018" s="38" t="str">
        <f>IF(E2018&lt;&gt;"",RANK(E2018,$E$3:$E$2298)+COUNTIF($E$3:E2018,E2018)-1,"")</f>
        <v/>
      </c>
    </row>
    <row r="2019" spans="4:16" x14ac:dyDescent="0.25">
      <c r="D2019" s="36" t="str" cm="1">
        <f t="array" aca="1" ref="D2019" ca="1">IFERROR(IF(INDIRECT("'"&amp;F2019&amp;"'!$C$5")&gt;0,DATE(YEAR(Dashboard!$AL$2),Dashboard!$AU$4,INDIRECT("'"&amp;F2019&amp;"'!$C$5")),""),"")</f>
        <v/>
      </c>
      <c r="G2019" s="38" t="str" cm="1">
        <f t="array" aca="1" ref="G2019" ca="1">IF(F2019="",
    "",
    IFERROR(
        IF(INDIRECT("'"&amp;F2019&amp;"'!$B$2")="Credit Limit",
            "Credit Accounts",
            IF(INDIRECT("'"&amp;F2019&amp;"'!$E$2")="Location",
                "Cash Accounts",
                IF(INDIRECT("'"&amp;F2019&amp;"'!$B$2")="Amount",
                    "Investments",
                    "Bill Accounts"
                )
            )
        ),
    "")
)</f>
        <v/>
      </c>
      <c r="I2019" s="46" t="str" cm="1">
        <f t="array" aca="1" ref="I2019" ca="1">IF(F2019&lt;&gt;"",IF(OR(G2019="Bill Accounts",G2019="Investments", G2019="Cash Accounts"),INDIRECT("'"&amp;F2019&amp;"'!$C$10"),INDIRECT("'"&amp;F2019&amp;"'!$C$8")),"")</f>
        <v/>
      </c>
      <c r="K2019" s="48">
        <f t="shared" si="96"/>
        <v>2025</v>
      </c>
      <c r="L2019" s="114" t="str" cm="1">
        <f t="array" aca="1" ref="L2019" ca="1">IF(F2019&lt;&gt;"",INDIRECT("'"&amp;F2019&amp;"'!$F$17"),"")</f>
        <v/>
      </c>
      <c r="M2019" s="116" t="str">
        <f t="shared" ca="1" si="94"/>
        <v/>
      </c>
      <c r="O2019" s="49" t="str">
        <f t="shared" ca="1" si="95"/>
        <v/>
      </c>
      <c r="P2019" s="38" t="str">
        <f>IF(E2019&lt;&gt;"",RANK(E2019,$E$3:$E$2298)+COUNTIF($E$3:E2019,E2019)-1,"")</f>
        <v/>
      </c>
    </row>
    <row r="2020" spans="4:16" x14ac:dyDescent="0.25">
      <c r="D2020" s="36" t="str" cm="1">
        <f t="array" aca="1" ref="D2020" ca="1">IFERROR(IF(INDIRECT("'"&amp;F2020&amp;"'!$C$5")&gt;0,DATE(YEAR(Dashboard!$AL$2),Dashboard!$AU$4,INDIRECT("'"&amp;F2020&amp;"'!$C$5")),""),"")</f>
        <v/>
      </c>
      <c r="G2020" s="38" t="str" cm="1">
        <f t="array" aca="1" ref="G2020" ca="1">IF(F2020="",
    "",
    IFERROR(
        IF(INDIRECT("'"&amp;F2020&amp;"'!$B$2")="Credit Limit",
            "Credit Accounts",
            IF(INDIRECT("'"&amp;F2020&amp;"'!$E$2")="Location",
                "Cash Accounts",
                IF(INDIRECT("'"&amp;F2020&amp;"'!$B$2")="Amount",
                    "Investments",
                    "Bill Accounts"
                )
            )
        ),
    "")
)</f>
        <v/>
      </c>
      <c r="I2020" s="46" t="str" cm="1">
        <f t="array" aca="1" ref="I2020" ca="1">IF(F2020&lt;&gt;"",IF(OR(G2020="Bill Accounts",G2020="Investments", G2020="Cash Accounts"),INDIRECT("'"&amp;F2020&amp;"'!$C$10"),INDIRECT("'"&amp;F2020&amp;"'!$C$8")),"")</f>
        <v/>
      </c>
      <c r="K2020" s="48">
        <f t="shared" si="96"/>
        <v>2026</v>
      </c>
      <c r="L2020" s="114" t="str" cm="1">
        <f t="array" aca="1" ref="L2020" ca="1">IF(F2020&lt;&gt;"",INDIRECT("'"&amp;F2020&amp;"'!$F$17"),"")</f>
        <v/>
      </c>
      <c r="M2020" s="116" t="str">
        <f t="shared" ca="1" si="94"/>
        <v/>
      </c>
      <c r="O2020" s="49" t="str">
        <f t="shared" ca="1" si="95"/>
        <v/>
      </c>
      <c r="P2020" s="38" t="str">
        <f>IF(E2020&lt;&gt;"",RANK(E2020,$E$3:$E$2298)+COUNTIF($E$3:E2020,E2020)-1,"")</f>
        <v/>
      </c>
    </row>
    <row r="2021" spans="4:16" x14ac:dyDescent="0.25">
      <c r="D2021" s="36" t="str" cm="1">
        <f t="array" aca="1" ref="D2021" ca="1">IFERROR(IF(INDIRECT("'"&amp;F2021&amp;"'!$C$5")&gt;0,DATE(YEAR(Dashboard!$AL$2),Dashboard!$AU$4,INDIRECT("'"&amp;F2021&amp;"'!$C$5")),""),"")</f>
        <v/>
      </c>
      <c r="G2021" s="38" t="str" cm="1">
        <f t="array" aca="1" ref="G2021" ca="1">IF(F2021="",
    "",
    IFERROR(
        IF(INDIRECT("'"&amp;F2021&amp;"'!$B$2")="Credit Limit",
            "Credit Accounts",
            IF(INDIRECT("'"&amp;F2021&amp;"'!$E$2")="Location",
                "Cash Accounts",
                IF(INDIRECT("'"&amp;F2021&amp;"'!$B$2")="Amount",
                    "Investments",
                    "Bill Accounts"
                )
            )
        ),
    "")
)</f>
        <v/>
      </c>
      <c r="I2021" s="46" t="str" cm="1">
        <f t="array" aca="1" ref="I2021" ca="1">IF(F2021&lt;&gt;"",IF(OR(G2021="Bill Accounts",G2021="Investments", G2021="Cash Accounts"),INDIRECT("'"&amp;F2021&amp;"'!$C$10"),INDIRECT("'"&amp;F2021&amp;"'!$C$8")),"")</f>
        <v/>
      </c>
      <c r="K2021" s="48">
        <f t="shared" si="96"/>
        <v>2027</v>
      </c>
      <c r="L2021" s="114" t="str" cm="1">
        <f t="array" aca="1" ref="L2021" ca="1">IF(F2021&lt;&gt;"",INDIRECT("'"&amp;F2021&amp;"'!$F$17"),"")</f>
        <v/>
      </c>
      <c r="M2021" s="116" t="str">
        <f t="shared" ca="1" si="94"/>
        <v/>
      </c>
      <c r="O2021" s="49" t="str">
        <f t="shared" ca="1" si="95"/>
        <v/>
      </c>
      <c r="P2021" s="38" t="str">
        <f>IF(E2021&lt;&gt;"",RANK(E2021,$E$3:$E$2298)+COUNTIF($E$3:E2021,E2021)-1,"")</f>
        <v/>
      </c>
    </row>
    <row r="2022" spans="4:16" x14ac:dyDescent="0.25">
      <c r="D2022" s="36" t="str" cm="1">
        <f t="array" aca="1" ref="D2022" ca="1">IFERROR(IF(INDIRECT("'"&amp;F2022&amp;"'!$C$5")&gt;0,DATE(YEAR(Dashboard!$AL$2),Dashboard!$AU$4,INDIRECT("'"&amp;F2022&amp;"'!$C$5")),""),"")</f>
        <v/>
      </c>
      <c r="G2022" s="38" t="str" cm="1">
        <f t="array" aca="1" ref="G2022" ca="1">IF(F2022="",
    "",
    IFERROR(
        IF(INDIRECT("'"&amp;F2022&amp;"'!$B$2")="Credit Limit",
            "Credit Accounts",
            IF(INDIRECT("'"&amp;F2022&amp;"'!$E$2")="Location",
                "Cash Accounts",
                IF(INDIRECT("'"&amp;F2022&amp;"'!$B$2")="Amount",
                    "Investments",
                    "Bill Accounts"
                )
            )
        ),
    "")
)</f>
        <v/>
      </c>
      <c r="I2022" s="46" t="str" cm="1">
        <f t="array" aca="1" ref="I2022" ca="1">IF(F2022&lt;&gt;"",IF(OR(G2022="Bill Accounts",G2022="Investments", G2022="Cash Accounts"),INDIRECT("'"&amp;F2022&amp;"'!$C$10"),INDIRECT("'"&amp;F2022&amp;"'!$C$8")),"")</f>
        <v/>
      </c>
      <c r="K2022" s="48">
        <f t="shared" si="96"/>
        <v>2028</v>
      </c>
      <c r="L2022" s="114" t="str" cm="1">
        <f t="array" aca="1" ref="L2022" ca="1">IF(F2022&lt;&gt;"",INDIRECT("'"&amp;F2022&amp;"'!$F$17"),"")</f>
        <v/>
      </c>
      <c r="M2022" s="116" t="str">
        <f t="shared" ca="1" si="94"/>
        <v/>
      </c>
      <c r="O2022" s="49" t="str">
        <f t="shared" ca="1" si="95"/>
        <v/>
      </c>
      <c r="P2022" s="38" t="str">
        <f>IF(E2022&lt;&gt;"",RANK(E2022,$E$3:$E$2298)+COUNTIF($E$3:E2022,E2022)-1,"")</f>
        <v/>
      </c>
    </row>
    <row r="2023" spans="4:16" x14ac:dyDescent="0.25">
      <c r="D2023" s="36" t="str" cm="1">
        <f t="array" aca="1" ref="D2023" ca="1">IFERROR(IF(INDIRECT("'"&amp;F2023&amp;"'!$C$5")&gt;0,DATE(YEAR(Dashboard!$AL$2),Dashboard!$AU$4,INDIRECT("'"&amp;F2023&amp;"'!$C$5")),""),"")</f>
        <v/>
      </c>
      <c r="G2023" s="38" t="str" cm="1">
        <f t="array" aca="1" ref="G2023" ca="1">IF(F2023="",
    "",
    IFERROR(
        IF(INDIRECT("'"&amp;F2023&amp;"'!$B$2")="Credit Limit",
            "Credit Accounts",
            IF(INDIRECT("'"&amp;F2023&amp;"'!$E$2")="Location",
                "Cash Accounts",
                IF(INDIRECT("'"&amp;F2023&amp;"'!$B$2")="Amount",
                    "Investments",
                    "Bill Accounts"
                )
            )
        ),
    "")
)</f>
        <v/>
      </c>
      <c r="I2023" s="46" t="str" cm="1">
        <f t="array" aca="1" ref="I2023" ca="1">IF(F2023&lt;&gt;"",IF(OR(G2023="Bill Accounts",G2023="Investments", G2023="Cash Accounts"),INDIRECT("'"&amp;F2023&amp;"'!$C$10"),INDIRECT("'"&amp;F2023&amp;"'!$C$8")),"")</f>
        <v/>
      </c>
      <c r="K2023" s="48">
        <f t="shared" si="96"/>
        <v>2029</v>
      </c>
      <c r="L2023" s="114" t="str" cm="1">
        <f t="array" aca="1" ref="L2023" ca="1">IF(F2023&lt;&gt;"",INDIRECT("'"&amp;F2023&amp;"'!$F$17"),"")</f>
        <v/>
      </c>
      <c r="M2023" s="116" t="str">
        <f t="shared" ca="1" si="94"/>
        <v/>
      </c>
      <c r="O2023" s="49" t="str">
        <f t="shared" ca="1" si="95"/>
        <v/>
      </c>
      <c r="P2023" s="38" t="str">
        <f>IF(E2023&lt;&gt;"",RANK(E2023,$E$3:$E$2298)+COUNTIF($E$3:E2023,E2023)-1,"")</f>
        <v/>
      </c>
    </row>
    <row r="2024" spans="4:16" x14ac:dyDescent="0.25">
      <c r="D2024" s="36" t="str" cm="1">
        <f t="array" aca="1" ref="D2024" ca="1">IFERROR(IF(INDIRECT("'"&amp;F2024&amp;"'!$C$5")&gt;0,DATE(YEAR(Dashboard!$AL$2),Dashboard!$AU$4,INDIRECT("'"&amp;F2024&amp;"'!$C$5")),""),"")</f>
        <v/>
      </c>
      <c r="G2024" s="38" t="str" cm="1">
        <f t="array" aca="1" ref="G2024" ca="1">IF(F2024="",
    "",
    IFERROR(
        IF(INDIRECT("'"&amp;F2024&amp;"'!$B$2")="Credit Limit",
            "Credit Accounts",
            IF(INDIRECT("'"&amp;F2024&amp;"'!$E$2")="Location",
                "Cash Accounts",
                IF(INDIRECT("'"&amp;F2024&amp;"'!$B$2")="Amount",
                    "Investments",
                    "Bill Accounts"
                )
            )
        ),
    "")
)</f>
        <v/>
      </c>
      <c r="I2024" s="46" t="str" cm="1">
        <f t="array" aca="1" ref="I2024" ca="1">IF(F2024&lt;&gt;"",IF(OR(G2024="Bill Accounts",G2024="Investments", G2024="Cash Accounts"),INDIRECT("'"&amp;F2024&amp;"'!$C$10"),INDIRECT("'"&amp;F2024&amp;"'!$C$8")),"")</f>
        <v/>
      </c>
      <c r="K2024" s="48">
        <f t="shared" si="96"/>
        <v>2030</v>
      </c>
      <c r="L2024" s="114" t="str" cm="1">
        <f t="array" aca="1" ref="L2024" ca="1">IF(F2024&lt;&gt;"",INDIRECT("'"&amp;F2024&amp;"'!$F$17"),"")</f>
        <v/>
      </c>
      <c r="M2024" s="116" t="str">
        <f t="shared" ca="1" si="94"/>
        <v/>
      </c>
      <c r="O2024" s="49" t="str">
        <f t="shared" ca="1" si="95"/>
        <v/>
      </c>
      <c r="P2024" s="38" t="str">
        <f>IF(E2024&lt;&gt;"",RANK(E2024,$E$3:$E$2298)+COUNTIF($E$3:E2024,E2024)-1,"")</f>
        <v/>
      </c>
    </row>
    <row r="2025" spans="4:16" x14ac:dyDescent="0.25">
      <c r="D2025" s="36" t="str" cm="1">
        <f t="array" aca="1" ref="D2025" ca="1">IFERROR(IF(INDIRECT("'"&amp;F2025&amp;"'!$C$5")&gt;0,DATE(YEAR(Dashboard!$AL$2),Dashboard!$AU$4,INDIRECT("'"&amp;F2025&amp;"'!$C$5")),""),"")</f>
        <v/>
      </c>
      <c r="G2025" s="38" t="str" cm="1">
        <f t="array" aca="1" ref="G2025" ca="1">IF(F2025="",
    "",
    IFERROR(
        IF(INDIRECT("'"&amp;F2025&amp;"'!$B$2")="Credit Limit",
            "Credit Accounts",
            IF(INDIRECT("'"&amp;F2025&amp;"'!$E$2")="Location",
                "Cash Accounts",
                IF(INDIRECT("'"&amp;F2025&amp;"'!$B$2")="Amount",
                    "Investments",
                    "Bill Accounts"
                )
            )
        ),
    "")
)</f>
        <v/>
      </c>
      <c r="I2025" s="46" t="str" cm="1">
        <f t="array" aca="1" ref="I2025" ca="1">IF(F2025&lt;&gt;"",IF(OR(G2025="Bill Accounts",G2025="Investments", G2025="Cash Accounts"),INDIRECT("'"&amp;F2025&amp;"'!$C$10"),INDIRECT("'"&amp;F2025&amp;"'!$C$8")),"")</f>
        <v/>
      </c>
      <c r="K2025" s="48">
        <f t="shared" si="96"/>
        <v>2031</v>
      </c>
      <c r="L2025" s="114" t="str" cm="1">
        <f t="array" aca="1" ref="L2025" ca="1">IF(F2025&lt;&gt;"",INDIRECT("'"&amp;F2025&amp;"'!$F$17"),"")</f>
        <v/>
      </c>
      <c r="M2025" s="116" t="str">
        <f t="shared" ca="1" si="94"/>
        <v/>
      </c>
      <c r="O2025" s="49" t="str">
        <f t="shared" ca="1" si="95"/>
        <v/>
      </c>
      <c r="P2025" s="38" t="str">
        <f>IF(E2025&lt;&gt;"",RANK(E2025,$E$3:$E$2298)+COUNTIF($E$3:E2025,E2025)-1,"")</f>
        <v/>
      </c>
    </row>
    <row r="2026" spans="4:16" x14ac:dyDescent="0.25">
      <c r="D2026" s="36" t="str" cm="1">
        <f t="array" aca="1" ref="D2026" ca="1">IFERROR(IF(INDIRECT("'"&amp;F2026&amp;"'!$C$5")&gt;0,DATE(YEAR(Dashboard!$AL$2),Dashboard!$AU$4,INDIRECT("'"&amp;F2026&amp;"'!$C$5")),""),"")</f>
        <v/>
      </c>
      <c r="G2026" s="38" t="str" cm="1">
        <f t="array" aca="1" ref="G2026" ca="1">IF(F2026="",
    "",
    IFERROR(
        IF(INDIRECT("'"&amp;F2026&amp;"'!$B$2")="Credit Limit",
            "Credit Accounts",
            IF(INDIRECT("'"&amp;F2026&amp;"'!$E$2")="Location",
                "Cash Accounts",
                IF(INDIRECT("'"&amp;F2026&amp;"'!$B$2")="Amount",
                    "Investments",
                    "Bill Accounts"
                )
            )
        ),
    "")
)</f>
        <v/>
      </c>
      <c r="I2026" s="46" t="str" cm="1">
        <f t="array" aca="1" ref="I2026" ca="1">IF(F2026&lt;&gt;"",IF(OR(G2026="Bill Accounts",G2026="Investments", G2026="Cash Accounts"),INDIRECT("'"&amp;F2026&amp;"'!$C$10"),INDIRECT("'"&amp;F2026&amp;"'!$C$8")),"")</f>
        <v/>
      </c>
      <c r="K2026" s="48">
        <f t="shared" si="96"/>
        <v>2032</v>
      </c>
      <c r="L2026" s="114" t="str" cm="1">
        <f t="array" aca="1" ref="L2026" ca="1">IF(F2026&lt;&gt;"",INDIRECT("'"&amp;F2026&amp;"'!$F$17"),"")</f>
        <v/>
      </c>
      <c r="M2026" s="116" t="str">
        <f t="shared" ca="1" si="94"/>
        <v/>
      </c>
      <c r="O2026" s="49" t="str">
        <f t="shared" ca="1" si="95"/>
        <v/>
      </c>
      <c r="P2026" s="38" t="str">
        <f>IF(E2026&lt;&gt;"",RANK(E2026,$E$3:$E$2298)+COUNTIF($E$3:E2026,E2026)-1,"")</f>
        <v/>
      </c>
    </row>
    <row r="2027" spans="4:16" x14ac:dyDescent="0.25">
      <c r="D2027" s="36" t="str" cm="1">
        <f t="array" aca="1" ref="D2027" ca="1">IFERROR(IF(INDIRECT("'"&amp;F2027&amp;"'!$C$5")&gt;0,DATE(YEAR(Dashboard!$AL$2),Dashboard!$AU$4,INDIRECT("'"&amp;F2027&amp;"'!$C$5")),""),"")</f>
        <v/>
      </c>
      <c r="G2027" s="38" t="str" cm="1">
        <f t="array" aca="1" ref="G2027" ca="1">IF(F2027="",
    "",
    IFERROR(
        IF(INDIRECT("'"&amp;F2027&amp;"'!$B$2")="Credit Limit",
            "Credit Accounts",
            IF(INDIRECT("'"&amp;F2027&amp;"'!$E$2")="Location",
                "Cash Accounts",
                IF(INDIRECT("'"&amp;F2027&amp;"'!$B$2")="Amount",
                    "Investments",
                    "Bill Accounts"
                )
            )
        ),
    "")
)</f>
        <v/>
      </c>
      <c r="I2027" s="46" t="str" cm="1">
        <f t="array" aca="1" ref="I2027" ca="1">IF(F2027&lt;&gt;"",IF(OR(G2027="Bill Accounts",G2027="Investments", G2027="Cash Accounts"),INDIRECT("'"&amp;F2027&amp;"'!$C$10"),INDIRECT("'"&amp;F2027&amp;"'!$C$8")),"")</f>
        <v/>
      </c>
      <c r="K2027" s="48">
        <f t="shared" si="96"/>
        <v>2033</v>
      </c>
      <c r="L2027" s="114" t="str" cm="1">
        <f t="array" aca="1" ref="L2027" ca="1">IF(F2027&lt;&gt;"",INDIRECT("'"&amp;F2027&amp;"'!$F$17"),"")</f>
        <v/>
      </c>
      <c r="M2027" s="116" t="str">
        <f t="shared" ca="1" si="94"/>
        <v/>
      </c>
      <c r="O2027" s="49" t="str">
        <f t="shared" ca="1" si="95"/>
        <v/>
      </c>
      <c r="P2027" s="38" t="str">
        <f>IF(E2027&lt;&gt;"",RANK(E2027,$E$3:$E$2298)+COUNTIF($E$3:E2027,E2027)-1,"")</f>
        <v/>
      </c>
    </row>
    <row r="2028" spans="4:16" x14ac:dyDescent="0.25">
      <c r="D2028" s="36" t="str" cm="1">
        <f t="array" aca="1" ref="D2028" ca="1">IFERROR(IF(INDIRECT("'"&amp;F2028&amp;"'!$C$5")&gt;0,DATE(YEAR(Dashboard!$AL$2),Dashboard!$AU$4,INDIRECT("'"&amp;F2028&amp;"'!$C$5")),""),"")</f>
        <v/>
      </c>
      <c r="G2028" s="38" t="str" cm="1">
        <f t="array" aca="1" ref="G2028" ca="1">IF(F2028="",
    "",
    IFERROR(
        IF(INDIRECT("'"&amp;F2028&amp;"'!$B$2")="Credit Limit",
            "Credit Accounts",
            IF(INDIRECT("'"&amp;F2028&amp;"'!$E$2")="Location",
                "Cash Accounts",
                IF(INDIRECT("'"&amp;F2028&amp;"'!$B$2")="Amount",
                    "Investments",
                    "Bill Accounts"
                )
            )
        ),
    "")
)</f>
        <v/>
      </c>
      <c r="I2028" s="46" t="str" cm="1">
        <f t="array" aca="1" ref="I2028" ca="1">IF(F2028&lt;&gt;"",IF(OR(G2028="Bill Accounts",G2028="Investments", G2028="Cash Accounts"),INDIRECT("'"&amp;F2028&amp;"'!$C$10"),INDIRECT("'"&amp;F2028&amp;"'!$C$8")),"")</f>
        <v/>
      </c>
      <c r="K2028" s="48">
        <f t="shared" si="96"/>
        <v>2034</v>
      </c>
      <c r="L2028" s="114" t="str" cm="1">
        <f t="array" aca="1" ref="L2028" ca="1">IF(F2028&lt;&gt;"",INDIRECT("'"&amp;F2028&amp;"'!$F$17"),"")</f>
        <v/>
      </c>
      <c r="M2028" s="116" t="str">
        <f t="shared" ca="1" si="94"/>
        <v/>
      </c>
      <c r="O2028" s="49" t="str">
        <f t="shared" ca="1" si="95"/>
        <v/>
      </c>
      <c r="P2028" s="38" t="str">
        <f>IF(E2028&lt;&gt;"",RANK(E2028,$E$3:$E$2298)+COUNTIF($E$3:E2028,E2028)-1,"")</f>
        <v/>
      </c>
    </row>
    <row r="2029" spans="4:16" x14ac:dyDescent="0.25">
      <c r="D2029" s="36" t="str" cm="1">
        <f t="array" aca="1" ref="D2029" ca="1">IFERROR(IF(INDIRECT("'"&amp;F2029&amp;"'!$C$5")&gt;0,DATE(YEAR(Dashboard!$AL$2),Dashboard!$AU$4,INDIRECT("'"&amp;F2029&amp;"'!$C$5")),""),"")</f>
        <v/>
      </c>
      <c r="G2029" s="38" t="str" cm="1">
        <f t="array" aca="1" ref="G2029" ca="1">IF(F2029="",
    "",
    IFERROR(
        IF(INDIRECT("'"&amp;F2029&amp;"'!$B$2")="Credit Limit",
            "Credit Accounts",
            IF(INDIRECT("'"&amp;F2029&amp;"'!$E$2")="Location",
                "Cash Accounts",
                IF(INDIRECT("'"&amp;F2029&amp;"'!$B$2")="Amount",
                    "Investments",
                    "Bill Accounts"
                )
            )
        ),
    "")
)</f>
        <v/>
      </c>
      <c r="I2029" s="46" t="str" cm="1">
        <f t="array" aca="1" ref="I2029" ca="1">IF(F2029&lt;&gt;"",IF(OR(G2029="Bill Accounts",G2029="Investments", G2029="Cash Accounts"),INDIRECT("'"&amp;F2029&amp;"'!$C$10"),INDIRECT("'"&amp;F2029&amp;"'!$C$8")),"")</f>
        <v/>
      </c>
      <c r="K2029" s="48">
        <f t="shared" si="96"/>
        <v>2035</v>
      </c>
      <c r="L2029" s="114" t="str" cm="1">
        <f t="array" aca="1" ref="L2029" ca="1">IF(F2029&lt;&gt;"",INDIRECT("'"&amp;F2029&amp;"'!$F$17"),"")</f>
        <v/>
      </c>
      <c r="M2029" s="116" t="str">
        <f t="shared" ca="1" si="94"/>
        <v/>
      </c>
      <c r="O2029" s="49" t="str">
        <f t="shared" ca="1" si="95"/>
        <v/>
      </c>
      <c r="P2029" s="38" t="str">
        <f>IF(E2029&lt;&gt;"",RANK(E2029,$E$3:$E$2298)+COUNTIF($E$3:E2029,E2029)-1,"")</f>
        <v/>
      </c>
    </row>
    <row r="2030" spans="4:16" x14ac:dyDescent="0.25">
      <c r="D2030" s="36" t="str" cm="1">
        <f t="array" aca="1" ref="D2030" ca="1">IFERROR(IF(INDIRECT("'"&amp;F2030&amp;"'!$C$5")&gt;0,DATE(YEAR(Dashboard!$AL$2),Dashboard!$AU$4,INDIRECT("'"&amp;F2030&amp;"'!$C$5")),""),"")</f>
        <v/>
      </c>
      <c r="G2030" s="38" t="str" cm="1">
        <f t="array" aca="1" ref="G2030" ca="1">IF(F2030="",
    "",
    IFERROR(
        IF(INDIRECT("'"&amp;F2030&amp;"'!$B$2")="Credit Limit",
            "Credit Accounts",
            IF(INDIRECT("'"&amp;F2030&amp;"'!$E$2")="Location",
                "Cash Accounts",
                IF(INDIRECT("'"&amp;F2030&amp;"'!$B$2")="Amount",
                    "Investments",
                    "Bill Accounts"
                )
            )
        ),
    "")
)</f>
        <v/>
      </c>
      <c r="I2030" s="46" t="str" cm="1">
        <f t="array" aca="1" ref="I2030" ca="1">IF(F2030&lt;&gt;"",IF(OR(G2030="Bill Accounts",G2030="Investments", G2030="Cash Accounts"),INDIRECT("'"&amp;F2030&amp;"'!$C$10"),INDIRECT("'"&amp;F2030&amp;"'!$C$8")),"")</f>
        <v/>
      </c>
      <c r="K2030" s="48">
        <f t="shared" si="96"/>
        <v>2036</v>
      </c>
      <c r="L2030" s="114" t="str" cm="1">
        <f t="array" aca="1" ref="L2030" ca="1">IF(F2030&lt;&gt;"",INDIRECT("'"&amp;F2030&amp;"'!$F$17"),"")</f>
        <v/>
      </c>
      <c r="M2030" s="116" t="str">
        <f t="shared" ca="1" si="94"/>
        <v/>
      </c>
      <c r="O2030" s="49" t="str">
        <f t="shared" ca="1" si="95"/>
        <v/>
      </c>
      <c r="P2030" s="38" t="str">
        <f>IF(E2030&lt;&gt;"",RANK(E2030,$E$3:$E$2298)+COUNTIF($E$3:E2030,E2030)-1,"")</f>
        <v/>
      </c>
    </row>
    <row r="2031" spans="4:16" x14ac:dyDescent="0.25">
      <c r="D2031" s="36" t="str" cm="1">
        <f t="array" aca="1" ref="D2031" ca="1">IFERROR(IF(INDIRECT("'"&amp;F2031&amp;"'!$C$5")&gt;0,DATE(YEAR(Dashboard!$AL$2),Dashboard!$AU$4,INDIRECT("'"&amp;F2031&amp;"'!$C$5")),""),"")</f>
        <v/>
      </c>
      <c r="G2031" s="38" t="str" cm="1">
        <f t="array" aca="1" ref="G2031" ca="1">IF(F2031="",
    "",
    IFERROR(
        IF(INDIRECT("'"&amp;F2031&amp;"'!$B$2")="Credit Limit",
            "Credit Accounts",
            IF(INDIRECT("'"&amp;F2031&amp;"'!$E$2")="Location",
                "Cash Accounts",
                IF(INDIRECT("'"&amp;F2031&amp;"'!$B$2")="Amount",
                    "Investments",
                    "Bill Accounts"
                )
            )
        ),
    "")
)</f>
        <v/>
      </c>
      <c r="I2031" s="46" t="str" cm="1">
        <f t="array" aca="1" ref="I2031" ca="1">IF(F2031&lt;&gt;"",IF(OR(G2031="Bill Accounts",G2031="Investments", G2031="Cash Accounts"),INDIRECT("'"&amp;F2031&amp;"'!$C$10"),INDIRECT("'"&amp;F2031&amp;"'!$C$8")),"")</f>
        <v/>
      </c>
      <c r="K2031" s="48">
        <f t="shared" si="96"/>
        <v>2037</v>
      </c>
      <c r="L2031" s="114" t="str" cm="1">
        <f t="array" aca="1" ref="L2031" ca="1">IF(F2031&lt;&gt;"",INDIRECT("'"&amp;F2031&amp;"'!$F$17"),"")</f>
        <v/>
      </c>
      <c r="M2031" s="116" t="str">
        <f t="shared" ca="1" si="94"/>
        <v/>
      </c>
      <c r="O2031" s="49" t="str">
        <f t="shared" ca="1" si="95"/>
        <v/>
      </c>
      <c r="P2031" s="38" t="str">
        <f>IF(E2031&lt;&gt;"",RANK(E2031,$E$3:$E$2298)+COUNTIF($E$3:E2031,E2031)-1,"")</f>
        <v/>
      </c>
    </row>
    <row r="2032" spans="4:16" x14ac:dyDescent="0.25">
      <c r="D2032" s="36" t="str" cm="1">
        <f t="array" aca="1" ref="D2032" ca="1">IFERROR(IF(INDIRECT("'"&amp;F2032&amp;"'!$C$5")&gt;0,DATE(YEAR(Dashboard!$AL$2),Dashboard!$AU$4,INDIRECT("'"&amp;F2032&amp;"'!$C$5")),""),"")</f>
        <v/>
      </c>
      <c r="G2032" s="38" t="str" cm="1">
        <f t="array" aca="1" ref="G2032" ca="1">IF(F2032="",
    "",
    IFERROR(
        IF(INDIRECT("'"&amp;F2032&amp;"'!$B$2")="Credit Limit",
            "Credit Accounts",
            IF(INDIRECT("'"&amp;F2032&amp;"'!$E$2")="Location",
                "Cash Accounts",
                IF(INDIRECT("'"&amp;F2032&amp;"'!$B$2")="Amount",
                    "Investments",
                    "Bill Accounts"
                )
            )
        ),
    "")
)</f>
        <v/>
      </c>
      <c r="I2032" s="46" t="str" cm="1">
        <f t="array" aca="1" ref="I2032" ca="1">IF(F2032&lt;&gt;"",IF(OR(G2032="Bill Accounts",G2032="Investments", G2032="Cash Accounts"),INDIRECT("'"&amp;F2032&amp;"'!$C$10"),INDIRECT("'"&amp;F2032&amp;"'!$C$8")),"")</f>
        <v/>
      </c>
      <c r="K2032" s="48">
        <f t="shared" si="96"/>
        <v>2038</v>
      </c>
      <c r="L2032" s="114" t="str" cm="1">
        <f t="array" aca="1" ref="L2032" ca="1">IF(F2032&lt;&gt;"",INDIRECT("'"&amp;F2032&amp;"'!$F$17"),"")</f>
        <v/>
      </c>
      <c r="M2032" s="116" t="str">
        <f t="shared" ca="1" si="94"/>
        <v/>
      </c>
      <c r="O2032" s="49" t="str">
        <f t="shared" ca="1" si="95"/>
        <v/>
      </c>
      <c r="P2032" s="38" t="str">
        <f>IF(E2032&lt;&gt;"",RANK(E2032,$E$3:$E$2298)+COUNTIF($E$3:E2032,E2032)-1,"")</f>
        <v/>
      </c>
    </row>
    <row r="2033" spans="4:16" x14ac:dyDescent="0.25">
      <c r="D2033" s="36" t="str" cm="1">
        <f t="array" aca="1" ref="D2033" ca="1">IFERROR(IF(INDIRECT("'"&amp;F2033&amp;"'!$C$5")&gt;0,DATE(YEAR(Dashboard!$AL$2),Dashboard!$AU$4,INDIRECT("'"&amp;F2033&amp;"'!$C$5")),""),"")</f>
        <v/>
      </c>
      <c r="G2033" s="38" t="str" cm="1">
        <f t="array" aca="1" ref="G2033" ca="1">IF(F2033="",
    "",
    IFERROR(
        IF(INDIRECT("'"&amp;F2033&amp;"'!$B$2")="Credit Limit",
            "Credit Accounts",
            IF(INDIRECT("'"&amp;F2033&amp;"'!$E$2")="Location",
                "Cash Accounts",
                IF(INDIRECT("'"&amp;F2033&amp;"'!$B$2")="Amount",
                    "Investments",
                    "Bill Accounts"
                )
            )
        ),
    "")
)</f>
        <v/>
      </c>
      <c r="I2033" s="46" t="str" cm="1">
        <f t="array" aca="1" ref="I2033" ca="1">IF(F2033&lt;&gt;"",IF(OR(G2033="Bill Accounts",G2033="Investments", G2033="Cash Accounts"),INDIRECT("'"&amp;F2033&amp;"'!$C$10"),INDIRECT("'"&amp;F2033&amp;"'!$C$8")),"")</f>
        <v/>
      </c>
      <c r="K2033" s="48">
        <f t="shared" si="96"/>
        <v>2039</v>
      </c>
      <c r="L2033" s="114" t="str" cm="1">
        <f t="array" aca="1" ref="L2033" ca="1">IF(F2033&lt;&gt;"",INDIRECT("'"&amp;F2033&amp;"'!$F$17"),"")</f>
        <v/>
      </c>
      <c r="M2033" s="116" t="str">
        <f t="shared" ca="1" si="94"/>
        <v/>
      </c>
      <c r="O2033" s="49" t="str">
        <f t="shared" ca="1" si="95"/>
        <v/>
      </c>
      <c r="P2033" s="38" t="str">
        <f>IF(E2033&lt;&gt;"",RANK(E2033,$E$3:$E$2298)+COUNTIF($E$3:E2033,E2033)-1,"")</f>
        <v/>
      </c>
    </row>
    <row r="2034" spans="4:16" x14ac:dyDescent="0.25">
      <c r="D2034" s="36" t="str" cm="1">
        <f t="array" aca="1" ref="D2034" ca="1">IFERROR(IF(INDIRECT("'"&amp;F2034&amp;"'!$C$5")&gt;0,DATE(YEAR(Dashboard!$AL$2),Dashboard!$AU$4,INDIRECT("'"&amp;F2034&amp;"'!$C$5")),""),"")</f>
        <v/>
      </c>
      <c r="G2034" s="38" t="str" cm="1">
        <f t="array" aca="1" ref="G2034" ca="1">IF(F2034="",
    "",
    IFERROR(
        IF(INDIRECT("'"&amp;F2034&amp;"'!$B$2")="Credit Limit",
            "Credit Accounts",
            IF(INDIRECT("'"&amp;F2034&amp;"'!$E$2")="Location",
                "Cash Accounts",
                IF(INDIRECT("'"&amp;F2034&amp;"'!$B$2")="Amount",
                    "Investments",
                    "Bill Accounts"
                )
            )
        ),
    "")
)</f>
        <v/>
      </c>
      <c r="I2034" s="46" t="str" cm="1">
        <f t="array" aca="1" ref="I2034" ca="1">IF(F2034&lt;&gt;"",IF(OR(G2034="Bill Accounts",G2034="Investments", G2034="Cash Accounts"),INDIRECT("'"&amp;F2034&amp;"'!$C$10"),INDIRECT("'"&amp;F2034&amp;"'!$C$8")),"")</f>
        <v/>
      </c>
      <c r="K2034" s="48">
        <f t="shared" si="96"/>
        <v>2040</v>
      </c>
      <c r="L2034" s="114" t="str" cm="1">
        <f t="array" aca="1" ref="L2034" ca="1">IF(F2034&lt;&gt;"",INDIRECT("'"&amp;F2034&amp;"'!$F$17"),"")</f>
        <v/>
      </c>
      <c r="M2034" s="116" t="str">
        <f t="shared" ca="1" si="94"/>
        <v/>
      </c>
      <c r="O2034" s="49" t="str">
        <f t="shared" ca="1" si="95"/>
        <v/>
      </c>
      <c r="P2034" s="38" t="str">
        <f>IF(E2034&lt;&gt;"",RANK(E2034,$E$3:$E$2298)+COUNTIF($E$3:E2034,E2034)-1,"")</f>
        <v/>
      </c>
    </row>
    <row r="2035" spans="4:16" x14ac:dyDescent="0.25">
      <c r="D2035" s="36" t="str" cm="1">
        <f t="array" aca="1" ref="D2035" ca="1">IFERROR(IF(INDIRECT("'"&amp;F2035&amp;"'!$C$5")&gt;0,DATE(YEAR(Dashboard!$AL$2),Dashboard!$AU$4,INDIRECT("'"&amp;F2035&amp;"'!$C$5")),""),"")</f>
        <v/>
      </c>
      <c r="G2035" s="38" t="str" cm="1">
        <f t="array" aca="1" ref="G2035" ca="1">IF(F2035="",
    "",
    IFERROR(
        IF(INDIRECT("'"&amp;F2035&amp;"'!$B$2")="Credit Limit",
            "Credit Accounts",
            IF(INDIRECT("'"&amp;F2035&amp;"'!$E$2")="Location",
                "Cash Accounts",
                IF(INDIRECT("'"&amp;F2035&amp;"'!$B$2")="Amount",
                    "Investments",
                    "Bill Accounts"
                )
            )
        ),
    "")
)</f>
        <v/>
      </c>
      <c r="I2035" s="46" t="str" cm="1">
        <f t="array" aca="1" ref="I2035" ca="1">IF(F2035&lt;&gt;"",IF(OR(G2035="Bill Accounts",G2035="Investments", G2035="Cash Accounts"),INDIRECT("'"&amp;F2035&amp;"'!$C$10"),INDIRECT("'"&amp;F2035&amp;"'!$C$8")),"")</f>
        <v/>
      </c>
      <c r="K2035" s="48">
        <f t="shared" si="96"/>
        <v>2041</v>
      </c>
      <c r="L2035" s="114" t="str" cm="1">
        <f t="array" aca="1" ref="L2035" ca="1">IF(F2035&lt;&gt;"",INDIRECT("'"&amp;F2035&amp;"'!$F$17"),"")</f>
        <v/>
      </c>
      <c r="M2035" s="116" t="str">
        <f t="shared" ca="1" si="94"/>
        <v/>
      </c>
      <c r="O2035" s="49" t="str">
        <f t="shared" ca="1" si="95"/>
        <v/>
      </c>
      <c r="P2035" s="38" t="str">
        <f>IF(E2035&lt;&gt;"",RANK(E2035,$E$3:$E$2298)+COUNTIF($E$3:E2035,E2035)-1,"")</f>
        <v/>
      </c>
    </row>
    <row r="2036" spans="4:16" x14ac:dyDescent="0.25">
      <c r="D2036" s="36" t="str" cm="1">
        <f t="array" aca="1" ref="D2036" ca="1">IFERROR(IF(INDIRECT("'"&amp;F2036&amp;"'!$C$5")&gt;0,DATE(YEAR(Dashboard!$AL$2),Dashboard!$AU$4,INDIRECT("'"&amp;F2036&amp;"'!$C$5")),""),"")</f>
        <v/>
      </c>
      <c r="G2036" s="38" t="str" cm="1">
        <f t="array" aca="1" ref="G2036" ca="1">IF(F2036="",
    "",
    IFERROR(
        IF(INDIRECT("'"&amp;F2036&amp;"'!$B$2")="Credit Limit",
            "Credit Accounts",
            IF(INDIRECT("'"&amp;F2036&amp;"'!$E$2")="Location",
                "Cash Accounts",
                IF(INDIRECT("'"&amp;F2036&amp;"'!$B$2")="Amount",
                    "Investments",
                    "Bill Accounts"
                )
            )
        ),
    "")
)</f>
        <v/>
      </c>
      <c r="I2036" s="46" t="str" cm="1">
        <f t="array" aca="1" ref="I2036" ca="1">IF(F2036&lt;&gt;"",IF(OR(G2036="Bill Accounts",G2036="Investments", G2036="Cash Accounts"),INDIRECT("'"&amp;F2036&amp;"'!$C$10"),INDIRECT("'"&amp;F2036&amp;"'!$C$8")),"")</f>
        <v/>
      </c>
      <c r="K2036" s="48">
        <f t="shared" si="96"/>
        <v>2042</v>
      </c>
      <c r="L2036" s="114" t="str" cm="1">
        <f t="array" aca="1" ref="L2036" ca="1">IF(F2036&lt;&gt;"",INDIRECT("'"&amp;F2036&amp;"'!$F$17"),"")</f>
        <v/>
      </c>
      <c r="M2036" s="116" t="str">
        <f t="shared" ca="1" si="94"/>
        <v/>
      </c>
      <c r="O2036" s="49" t="str">
        <f t="shared" ca="1" si="95"/>
        <v/>
      </c>
      <c r="P2036" s="38" t="str">
        <f>IF(E2036&lt;&gt;"",RANK(E2036,$E$3:$E$2298)+COUNTIF($E$3:E2036,E2036)-1,"")</f>
        <v/>
      </c>
    </row>
    <row r="2037" spans="4:16" x14ac:dyDescent="0.25">
      <c r="D2037" s="36" t="str" cm="1">
        <f t="array" aca="1" ref="D2037" ca="1">IFERROR(IF(INDIRECT("'"&amp;F2037&amp;"'!$C$5")&gt;0,DATE(YEAR(Dashboard!$AL$2),Dashboard!$AU$4,INDIRECT("'"&amp;F2037&amp;"'!$C$5")),""),"")</f>
        <v/>
      </c>
      <c r="G2037" s="38" t="str" cm="1">
        <f t="array" aca="1" ref="G2037" ca="1">IF(F2037="",
    "",
    IFERROR(
        IF(INDIRECT("'"&amp;F2037&amp;"'!$B$2")="Credit Limit",
            "Credit Accounts",
            IF(INDIRECT("'"&amp;F2037&amp;"'!$E$2")="Location",
                "Cash Accounts",
                IF(INDIRECT("'"&amp;F2037&amp;"'!$B$2")="Amount",
                    "Investments",
                    "Bill Accounts"
                )
            )
        ),
    "")
)</f>
        <v/>
      </c>
      <c r="I2037" s="46" t="str" cm="1">
        <f t="array" aca="1" ref="I2037" ca="1">IF(F2037&lt;&gt;"",IF(OR(G2037="Bill Accounts",G2037="Investments", G2037="Cash Accounts"),INDIRECT("'"&amp;F2037&amp;"'!$C$10"),INDIRECT("'"&amp;F2037&amp;"'!$C$8")),"")</f>
        <v/>
      </c>
      <c r="K2037" s="48">
        <f t="shared" si="96"/>
        <v>2043</v>
      </c>
      <c r="L2037" s="114" t="str" cm="1">
        <f t="array" aca="1" ref="L2037" ca="1">IF(F2037&lt;&gt;"",INDIRECT("'"&amp;F2037&amp;"'!$F$17"),"")</f>
        <v/>
      </c>
      <c r="M2037" s="116" t="str">
        <f t="shared" ca="1" si="94"/>
        <v/>
      </c>
      <c r="O2037" s="49" t="str">
        <f t="shared" ca="1" si="95"/>
        <v/>
      </c>
      <c r="P2037" s="38" t="str">
        <f>IF(E2037&lt;&gt;"",RANK(E2037,$E$3:$E$2298)+COUNTIF($E$3:E2037,E2037)-1,"")</f>
        <v/>
      </c>
    </row>
    <row r="2038" spans="4:16" x14ac:dyDescent="0.25">
      <c r="D2038" s="36" t="str" cm="1">
        <f t="array" aca="1" ref="D2038" ca="1">IFERROR(IF(INDIRECT("'"&amp;F2038&amp;"'!$C$5")&gt;0,DATE(YEAR(Dashboard!$AL$2),Dashboard!$AU$4,INDIRECT("'"&amp;F2038&amp;"'!$C$5")),""),"")</f>
        <v/>
      </c>
      <c r="G2038" s="38" t="str" cm="1">
        <f t="array" aca="1" ref="G2038" ca="1">IF(F2038="",
    "",
    IFERROR(
        IF(INDIRECT("'"&amp;F2038&amp;"'!$B$2")="Credit Limit",
            "Credit Accounts",
            IF(INDIRECT("'"&amp;F2038&amp;"'!$E$2")="Location",
                "Cash Accounts",
                IF(INDIRECT("'"&amp;F2038&amp;"'!$B$2")="Amount",
                    "Investments",
                    "Bill Accounts"
                )
            )
        ),
    "")
)</f>
        <v/>
      </c>
      <c r="I2038" s="46" t="str" cm="1">
        <f t="array" aca="1" ref="I2038" ca="1">IF(F2038&lt;&gt;"",IF(OR(G2038="Bill Accounts",G2038="Investments", G2038="Cash Accounts"),INDIRECT("'"&amp;F2038&amp;"'!$C$10"),INDIRECT("'"&amp;F2038&amp;"'!$C$8")),"")</f>
        <v/>
      </c>
      <c r="K2038" s="48">
        <f t="shared" si="96"/>
        <v>2044</v>
      </c>
      <c r="L2038" s="114" t="str" cm="1">
        <f t="array" aca="1" ref="L2038" ca="1">IF(F2038&lt;&gt;"",INDIRECT("'"&amp;F2038&amp;"'!$F$17"),"")</f>
        <v/>
      </c>
      <c r="M2038" s="116" t="str">
        <f t="shared" ca="1" si="94"/>
        <v/>
      </c>
      <c r="O2038" s="49" t="str">
        <f t="shared" ca="1" si="95"/>
        <v/>
      </c>
      <c r="P2038" s="38" t="str">
        <f>IF(E2038&lt;&gt;"",RANK(E2038,$E$3:$E$2298)+COUNTIF($E$3:E2038,E2038)-1,"")</f>
        <v/>
      </c>
    </row>
    <row r="2039" spans="4:16" x14ac:dyDescent="0.25">
      <c r="D2039" s="36" t="str" cm="1">
        <f t="array" aca="1" ref="D2039" ca="1">IFERROR(IF(INDIRECT("'"&amp;F2039&amp;"'!$C$5")&gt;0,DATE(YEAR(Dashboard!$AL$2),Dashboard!$AU$4,INDIRECT("'"&amp;F2039&amp;"'!$C$5")),""),"")</f>
        <v/>
      </c>
      <c r="G2039" s="38" t="str" cm="1">
        <f t="array" aca="1" ref="G2039" ca="1">IF(F2039="",
    "",
    IFERROR(
        IF(INDIRECT("'"&amp;F2039&amp;"'!$B$2")="Credit Limit",
            "Credit Accounts",
            IF(INDIRECT("'"&amp;F2039&amp;"'!$E$2")="Location",
                "Cash Accounts",
                IF(INDIRECT("'"&amp;F2039&amp;"'!$B$2")="Amount",
                    "Investments",
                    "Bill Accounts"
                )
            )
        ),
    "")
)</f>
        <v/>
      </c>
      <c r="I2039" s="46" t="str" cm="1">
        <f t="array" aca="1" ref="I2039" ca="1">IF(F2039&lt;&gt;"",IF(OR(G2039="Bill Accounts",G2039="Investments", G2039="Cash Accounts"),INDIRECT("'"&amp;F2039&amp;"'!$C$10"),INDIRECT("'"&amp;F2039&amp;"'!$C$8")),"")</f>
        <v/>
      </c>
      <c r="K2039" s="48">
        <f t="shared" si="96"/>
        <v>2045</v>
      </c>
      <c r="L2039" s="114" t="str" cm="1">
        <f t="array" aca="1" ref="L2039" ca="1">IF(F2039&lt;&gt;"",INDIRECT("'"&amp;F2039&amp;"'!$F$17"),"")</f>
        <v/>
      </c>
      <c r="M2039" s="116" t="str">
        <f t="shared" ca="1" si="94"/>
        <v/>
      </c>
      <c r="O2039" s="49" t="str">
        <f t="shared" ca="1" si="95"/>
        <v/>
      </c>
      <c r="P2039" s="38" t="str">
        <f>IF(E2039&lt;&gt;"",RANK(E2039,$E$3:$E$2298)+COUNTIF($E$3:E2039,E2039)-1,"")</f>
        <v/>
      </c>
    </row>
    <row r="2040" spans="4:16" x14ac:dyDescent="0.25">
      <c r="D2040" s="36" t="str" cm="1">
        <f t="array" aca="1" ref="D2040" ca="1">IFERROR(IF(INDIRECT("'"&amp;F2040&amp;"'!$C$5")&gt;0,DATE(YEAR(Dashboard!$AL$2),Dashboard!$AU$4,INDIRECT("'"&amp;F2040&amp;"'!$C$5")),""),"")</f>
        <v/>
      </c>
      <c r="G2040" s="38" t="str" cm="1">
        <f t="array" aca="1" ref="G2040" ca="1">IF(F2040="",
    "",
    IFERROR(
        IF(INDIRECT("'"&amp;F2040&amp;"'!$B$2")="Credit Limit",
            "Credit Accounts",
            IF(INDIRECT("'"&amp;F2040&amp;"'!$E$2")="Location",
                "Cash Accounts",
                IF(INDIRECT("'"&amp;F2040&amp;"'!$B$2")="Amount",
                    "Investments",
                    "Bill Accounts"
                )
            )
        ),
    "")
)</f>
        <v/>
      </c>
      <c r="I2040" s="46" t="str" cm="1">
        <f t="array" aca="1" ref="I2040" ca="1">IF(F2040&lt;&gt;"",IF(OR(G2040="Bill Accounts",G2040="Investments", G2040="Cash Accounts"),INDIRECT("'"&amp;F2040&amp;"'!$C$10"),INDIRECT("'"&amp;F2040&amp;"'!$C$8")),"")</f>
        <v/>
      </c>
      <c r="K2040" s="48">
        <f t="shared" si="96"/>
        <v>2046</v>
      </c>
      <c r="L2040" s="114" t="str" cm="1">
        <f t="array" aca="1" ref="L2040" ca="1">IF(F2040&lt;&gt;"",INDIRECT("'"&amp;F2040&amp;"'!$F$17"),"")</f>
        <v/>
      </c>
      <c r="M2040" s="116" t="str">
        <f t="shared" ca="1" si="94"/>
        <v/>
      </c>
      <c r="O2040" s="49" t="str">
        <f t="shared" ca="1" si="95"/>
        <v/>
      </c>
      <c r="P2040" s="38" t="str">
        <f>IF(E2040&lt;&gt;"",RANK(E2040,$E$3:$E$2298)+COUNTIF($E$3:E2040,E2040)-1,"")</f>
        <v/>
      </c>
    </row>
    <row r="2041" spans="4:16" x14ac:dyDescent="0.25">
      <c r="D2041" s="36" t="str" cm="1">
        <f t="array" aca="1" ref="D2041" ca="1">IFERROR(IF(INDIRECT("'"&amp;F2041&amp;"'!$C$5")&gt;0,DATE(YEAR(Dashboard!$AL$2),Dashboard!$AU$4,INDIRECT("'"&amp;F2041&amp;"'!$C$5")),""),"")</f>
        <v/>
      </c>
      <c r="G2041" s="38" t="str" cm="1">
        <f t="array" aca="1" ref="G2041" ca="1">IF(F2041="",
    "",
    IFERROR(
        IF(INDIRECT("'"&amp;F2041&amp;"'!$B$2")="Credit Limit",
            "Credit Accounts",
            IF(INDIRECT("'"&amp;F2041&amp;"'!$E$2")="Location",
                "Cash Accounts",
                IF(INDIRECT("'"&amp;F2041&amp;"'!$B$2")="Amount",
                    "Investments",
                    "Bill Accounts"
                )
            )
        ),
    "")
)</f>
        <v/>
      </c>
      <c r="I2041" s="46" t="str" cm="1">
        <f t="array" aca="1" ref="I2041" ca="1">IF(F2041&lt;&gt;"",IF(OR(G2041="Bill Accounts",G2041="Investments", G2041="Cash Accounts"),INDIRECT("'"&amp;F2041&amp;"'!$C$10"),INDIRECT("'"&amp;F2041&amp;"'!$C$8")),"")</f>
        <v/>
      </c>
      <c r="K2041" s="48">
        <f t="shared" si="96"/>
        <v>2047</v>
      </c>
      <c r="L2041" s="114" t="str" cm="1">
        <f t="array" aca="1" ref="L2041" ca="1">IF(F2041&lt;&gt;"",INDIRECT("'"&amp;F2041&amp;"'!$F$17"),"")</f>
        <v/>
      </c>
      <c r="M2041" s="116" t="str">
        <f t="shared" ca="1" si="94"/>
        <v/>
      </c>
      <c r="O2041" s="49" t="str">
        <f t="shared" ca="1" si="95"/>
        <v/>
      </c>
      <c r="P2041" s="38" t="str">
        <f>IF(E2041&lt;&gt;"",RANK(E2041,$E$3:$E$2298)+COUNTIF($E$3:E2041,E2041)-1,"")</f>
        <v/>
      </c>
    </row>
    <row r="2042" spans="4:16" x14ac:dyDescent="0.25">
      <c r="D2042" s="36" t="str" cm="1">
        <f t="array" aca="1" ref="D2042" ca="1">IFERROR(IF(INDIRECT("'"&amp;F2042&amp;"'!$C$5")&gt;0,DATE(YEAR(Dashboard!$AL$2),Dashboard!$AU$4,INDIRECT("'"&amp;F2042&amp;"'!$C$5")),""),"")</f>
        <v/>
      </c>
      <c r="G2042" s="38" t="str" cm="1">
        <f t="array" aca="1" ref="G2042" ca="1">IF(F2042="",
    "",
    IFERROR(
        IF(INDIRECT("'"&amp;F2042&amp;"'!$B$2")="Credit Limit",
            "Credit Accounts",
            IF(INDIRECT("'"&amp;F2042&amp;"'!$E$2")="Location",
                "Cash Accounts",
                IF(INDIRECT("'"&amp;F2042&amp;"'!$B$2")="Amount",
                    "Investments",
                    "Bill Accounts"
                )
            )
        ),
    "")
)</f>
        <v/>
      </c>
      <c r="I2042" s="46" t="str" cm="1">
        <f t="array" aca="1" ref="I2042" ca="1">IF(F2042&lt;&gt;"",IF(OR(G2042="Bill Accounts",G2042="Investments", G2042="Cash Accounts"),INDIRECT("'"&amp;F2042&amp;"'!$C$10"),INDIRECT("'"&amp;F2042&amp;"'!$C$8")),"")</f>
        <v/>
      </c>
      <c r="K2042" s="48">
        <f t="shared" si="96"/>
        <v>2048</v>
      </c>
      <c r="L2042" s="114" t="str" cm="1">
        <f t="array" aca="1" ref="L2042" ca="1">IF(F2042&lt;&gt;"",INDIRECT("'"&amp;F2042&amp;"'!$F$17"),"")</f>
        <v/>
      </c>
      <c r="M2042" s="116" t="str">
        <f t="shared" ca="1" si="94"/>
        <v/>
      </c>
      <c r="O2042" s="49" t="str">
        <f t="shared" ca="1" si="95"/>
        <v/>
      </c>
      <c r="P2042" s="38" t="str">
        <f>IF(E2042&lt;&gt;"",RANK(E2042,$E$3:$E$2298)+COUNTIF($E$3:E2042,E2042)-1,"")</f>
        <v/>
      </c>
    </row>
    <row r="2043" spans="4:16" x14ac:dyDescent="0.25">
      <c r="D2043" s="36" t="str" cm="1">
        <f t="array" aca="1" ref="D2043" ca="1">IFERROR(IF(INDIRECT("'"&amp;F2043&amp;"'!$C$5")&gt;0,DATE(YEAR(Dashboard!$AL$2),Dashboard!$AU$4,INDIRECT("'"&amp;F2043&amp;"'!$C$5")),""),"")</f>
        <v/>
      </c>
      <c r="G2043" s="38" t="str" cm="1">
        <f t="array" aca="1" ref="G2043" ca="1">IF(F2043="",
    "",
    IFERROR(
        IF(INDIRECT("'"&amp;F2043&amp;"'!$B$2")="Credit Limit",
            "Credit Accounts",
            IF(INDIRECT("'"&amp;F2043&amp;"'!$E$2")="Location",
                "Cash Accounts",
                IF(INDIRECT("'"&amp;F2043&amp;"'!$B$2")="Amount",
                    "Investments",
                    "Bill Accounts"
                )
            )
        ),
    "")
)</f>
        <v/>
      </c>
      <c r="I2043" s="46" t="str" cm="1">
        <f t="array" aca="1" ref="I2043" ca="1">IF(F2043&lt;&gt;"",IF(OR(G2043="Bill Accounts",G2043="Investments", G2043="Cash Accounts"),INDIRECT("'"&amp;F2043&amp;"'!$C$10"),INDIRECT("'"&amp;F2043&amp;"'!$C$8")),"")</f>
        <v/>
      </c>
      <c r="K2043" s="48">
        <f t="shared" si="96"/>
        <v>2049</v>
      </c>
      <c r="L2043" s="114" t="str" cm="1">
        <f t="array" aca="1" ref="L2043" ca="1">IF(F2043&lt;&gt;"",INDIRECT("'"&amp;F2043&amp;"'!$F$17"),"")</f>
        <v/>
      </c>
      <c r="M2043" s="116" t="str">
        <f t="shared" ca="1" si="94"/>
        <v/>
      </c>
      <c r="O2043" s="49" t="str">
        <f t="shared" ca="1" si="95"/>
        <v/>
      </c>
      <c r="P2043" s="38" t="str">
        <f>IF(E2043&lt;&gt;"",RANK(E2043,$E$3:$E$2298)+COUNTIF($E$3:E2043,E2043)-1,"")</f>
        <v/>
      </c>
    </row>
    <row r="2044" spans="4:16" x14ac:dyDescent="0.25">
      <c r="D2044" s="36" t="str" cm="1">
        <f t="array" aca="1" ref="D2044" ca="1">IFERROR(IF(INDIRECT("'"&amp;F2044&amp;"'!$C$5")&gt;0,DATE(YEAR(Dashboard!$AL$2),Dashboard!$AU$4,INDIRECT("'"&amp;F2044&amp;"'!$C$5")),""),"")</f>
        <v/>
      </c>
      <c r="G2044" s="38" t="str" cm="1">
        <f t="array" aca="1" ref="G2044" ca="1">IF(F2044="",
    "",
    IFERROR(
        IF(INDIRECT("'"&amp;F2044&amp;"'!$B$2")="Credit Limit",
            "Credit Accounts",
            IF(INDIRECT("'"&amp;F2044&amp;"'!$E$2")="Location",
                "Cash Accounts",
                IF(INDIRECT("'"&amp;F2044&amp;"'!$B$2")="Amount",
                    "Investments",
                    "Bill Accounts"
                )
            )
        ),
    "")
)</f>
        <v/>
      </c>
      <c r="I2044" s="46" t="str" cm="1">
        <f t="array" aca="1" ref="I2044" ca="1">IF(F2044&lt;&gt;"",IF(OR(G2044="Bill Accounts",G2044="Investments", G2044="Cash Accounts"),INDIRECT("'"&amp;F2044&amp;"'!$C$10"),INDIRECT("'"&amp;F2044&amp;"'!$C$8")),"")</f>
        <v/>
      </c>
      <c r="K2044" s="48">
        <f t="shared" si="96"/>
        <v>2050</v>
      </c>
      <c r="L2044" s="114" t="str" cm="1">
        <f t="array" aca="1" ref="L2044" ca="1">IF(F2044&lt;&gt;"",INDIRECT("'"&amp;F2044&amp;"'!$F$17"),"")</f>
        <v/>
      </c>
      <c r="M2044" s="116" t="str">
        <f t="shared" ca="1" si="94"/>
        <v/>
      </c>
      <c r="O2044" s="49" t="str">
        <f t="shared" ca="1" si="95"/>
        <v/>
      </c>
      <c r="P2044" s="38" t="str">
        <f>IF(E2044&lt;&gt;"",RANK(E2044,$E$3:$E$2298)+COUNTIF($E$3:E2044,E2044)-1,"")</f>
        <v/>
      </c>
    </row>
    <row r="2045" spans="4:16" x14ac:dyDescent="0.25">
      <c r="D2045" s="36" t="str" cm="1">
        <f t="array" aca="1" ref="D2045" ca="1">IFERROR(IF(INDIRECT("'"&amp;F2045&amp;"'!$C$5")&gt;0,DATE(YEAR(Dashboard!$AL$2),Dashboard!$AU$4,INDIRECT("'"&amp;F2045&amp;"'!$C$5")),""),"")</f>
        <v/>
      </c>
      <c r="G2045" s="38" t="str" cm="1">
        <f t="array" aca="1" ref="G2045" ca="1">IF(F2045="",
    "",
    IFERROR(
        IF(INDIRECT("'"&amp;F2045&amp;"'!$B$2")="Credit Limit",
            "Credit Accounts",
            IF(INDIRECT("'"&amp;F2045&amp;"'!$E$2")="Location",
                "Cash Accounts",
                IF(INDIRECT("'"&amp;F2045&amp;"'!$B$2")="Amount",
                    "Investments",
                    "Bill Accounts"
                )
            )
        ),
    "")
)</f>
        <v/>
      </c>
      <c r="I2045" s="46" t="str" cm="1">
        <f t="array" aca="1" ref="I2045" ca="1">IF(F2045&lt;&gt;"",IF(OR(G2045="Bill Accounts",G2045="Investments", G2045="Cash Accounts"),INDIRECT("'"&amp;F2045&amp;"'!$C$10"),INDIRECT("'"&amp;F2045&amp;"'!$C$8")),"")</f>
        <v/>
      </c>
      <c r="K2045" s="48">
        <f t="shared" si="96"/>
        <v>2051</v>
      </c>
      <c r="L2045" s="114" t="str" cm="1">
        <f t="array" aca="1" ref="L2045" ca="1">IF(F2045&lt;&gt;"",INDIRECT("'"&amp;F2045&amp;"'!$F$17"),"")</f>
        <v/>
      </c>
      <c r="M2045" s="116" t="str">
        <f t="shared" ca="1" si="94"/>
        <v/>
      </c>
      <c r="O2045" s="49" t="str">
        <f t="shared" ca="1" si="95"/>
        <v/>
      </c>
      <c r="P2045" s="38" t="str">
        <f>IF(E2045&lt;&gt;"",RANK(E2045,$E$3:$E$2298)+COUNTIF($E$3:E2045,E2045)-1,"")</f>
        <v/>
      </c>
    </row>
    <row r="2046" spans="4:16" x14ac:dyDescent="0.25">
      <c r="D2046" s="36" t="str" cm="1">
        <f t="array" aca="1" ref="D2046" ca="1">IFERROR(IF(INDIRECT("'"&amp;F2046&amp;"'!$C$5")&gt;0,DATE(YEAR(Dashboard!$AL$2),Dashboard!$AU$4,INDIRECT("'"&amp;F2046&amp;"'!$C$5")),""),"")</f>
        <v/>
      </c>
      <c r="G2046" s="38" t="str" cm="1">
        <f t="array" aca="1" ref="G2046" ca="1">IF(F2046="",
    "",
    IFERROR(
        IF(INDIRECT("'"&amp;F2046&amp;"'!$B$2")="Credit Limit",
            "Credit Accounts",
            IF(INDIRECT("'"&amp;F2046&amp;"'!$E$2")="Location",
                "Cash Accounts",
                IF(INDIRECT("'"&amp;F2046&amp;"'!$B$2")="Amount",
                    "Investments",
                    "Bill Accounts"
                )
            )
        ),
    "")
)</f>
        <v/>
      </c>
      <c r="I2046" s="46" t="str" cm="1">
        <f t="array" aca="1" ref="I2046" ca="1">IF(F2046&lt;&gt;"",IF(OR(G2046="Bill Accounts",G2046="Investments", G2046="Cash Accounts"),INDIRECT("'"&amp;F2046&amp;"'!$C$10"),INDIRECT("'"&amp;F2046&amp;"'!$C$8")),"")</f>
        <v/>
      </c>
      <c r="K2046" s="48">
        <f t="shared" si="96"/>
        <v>2052</v>
      </c>
      <c r="L2046" s="114" t="str" cm="1">
        <f t="array" aca="1" ref="L2046" ca="1">IF(F2046&lt;&gt;"",INDIRECT("'"&amp;F2046&amp;"'!$F$17"),"")</f>
        <v/>
      </c>
      <c r="M2046" s="116" t="str">
        <f t="shared" ca="1" si="94"/>
        <v/>
      </c>
      <c r="O2046" s="49" t="str">
        <f t="shared" ca="1" si="95"/>
        <v/>
      </c>
      <c r="P2046" s="38" t="str">
        <f>IF(E2046&lt;&gt;"",RANK(E2046,$E$3:$E$2298)+COUNTIF($E$3:E2046,E2046)-1,"")</f>
        <v/>
      </c>
    </row>
    <row r="2047" spans="4:16" x14ac:dyDescent="0.25">
      <c r="D2047" s="36" t="str" cm="1">
        <f t="array" aca="1" ref="D2047" ca="1">IFERROR(IF(INDIRECT("'"&amp;F2047&amp;"'!$C$5")&gt;0,DATE(YEAR(Dashboard!$AL$2),Dashboard!$AU$4,INDIRECT("'"&amp;F2047&amp;"'!$C$5")),""),"")</f>
        <v/>
      </c>
      <c r="G2047" s="38" t="str" cm="1">
        <f t="array" aca="1" ref="G2047" ca="1">IF(F2047="",
    "",
    IFERROR(
        IF(INDIRECT("'"&amp;F2047&amp;"'!$B$2")="Credit Limit",
            "Credit Accounts",
            IF(INDIRECT("'"&amp;F2047&amp;"'!$E$2")="Location",
                "Cash Accounts",
                IF(INDIRECT("'"&amp;F2047&amp;"'!$B$2")="Amount",
                    "Investments",
                    "Bill Accounts"
                )
            )
        ),
    "")
)</f>
        <v/>
      </c>
      <c r="I2047" s="46" t="str" cm="1">
        <f t="array" aca="1" ref="I2047" ca="1">IF(F2047&lt;&gt;"",IF(OR(G2047="Bill Accounts",G2047="Investments", G2047="Cash Accounts"),INDIRECT("'"&amp;F2047&amp;"'!$C$10"),INDIRECT("'"&amp;F2047&amp;"'!$C$8")),"")</f>
        <v/>
      </c>
      <c r="K2047" s="48">
        <f t="shared" si="96"/>
        <v>2053</v>
      </c>
      <c r="L2047" s="114" t="str" cm="1">
        <f t="array" aca="1" ref="L2047" ca="1">IF(F2047&lt;&gt;"",INDIRECT("'"&amp;F2047&amp;"'!$F$17"),"")</f>
        <v/>
      </c>
      <c r="M2047" s="116" t="str">
        <f t="shared" ca="1" si="94"/>
        <v/>
      </c>
      <c r="O2047" s="49" t="str">
        <f t="shared" ca="1" si="95"/>
        <v/>
      </c>
      <c r="P2047" s="38" t="str">
        <f>IF(E2047&lt;&gt;"",RANK(E2047,$E$3:$E$2298)+COUNTIF($E$3:E2047,E2047)-1,"")</f>
        <v/>
      </c>
    </row>
    <row r="2048" spans="4:16" x14ac:dyDescent="0.25">
      <c r="D2048" s="36" t="str" cm="1">
        <f t="array" aca="1" ref="D2048" ca="1">IFERROR(IF(INDIRECT("'"&amp;F2048&amp;"'!$C$5")&gt;0,DATE(YEAR(Dashboard!$AL$2),Dashboard!$AU$4,INDIRECT("'"&amp;F2048&amp;"'!$C$5")),""),"")</f>
        <v/>
      </c>
      <c r="G2048" s="38" t="str" cm="1">
        <f t="array" aca="1" ref="G2048" ca="1">IF(F2048="",
    "",
    IFERROR(
        IF(INDIRECT("'"&amp;F2048&amp;"'!$B$2")="Credit Limit",
            "Credit Accounts",
            IF(INDIRECT("'"&amp;F2048&amp;"'!$E$2")="Location",
                "Cash Accounts",
                IF(INDIRECT("'"&amp;F2048&amp;"'!$B$2")="Amount",
                    "Investments",
                    "Bill Accounts"
                )
            )
        ),
    "")
)</f>
        <v/>
      </c>
      <c r="I2048" s="46" t="str" cm="1">
        <f t="array" aca="1" ref="I2048" ca="1">IF(F2048&lt;&gt;"",IF(OR(G2048="Bill Accounts",G2048="Investments", G2048="Cash Accounts"),INDIRECT("'"&amp;F2048&amp;"'!$C$10"),INDIRECT("'"&amp;F2048&amp;"'!$C$8")),"")</f>
        <v/>
      </c>
      <c r="K2048" s="48">
        <f t="shared" si="96"/>
        <v>2054</v>
      </c>
      <c r="L2048" s="114" t="str" cm="1">
        <f t="array" aca="1" ref="L2048" ca="1">IF(F2048&lt;&gt;"",INDIRECT("'"&amp;F2048&amp;"'!$F$17"),"")</f>
        <v/>
      </c>
      <c r="M2048" s="116" t="str">
        <f t="shared" ca="1" si="94"/>
        <v/>
      </c>
      <c r="O2048" s="49" t="str">
        <f t="shared" ca="1" si="95"/>
        <v/>
      </c>
      <c r="P2048" s="38" t="str">
        <f>IF(E2048&lt;&gt;"",RANK(E2048,$E$3:$E$2298)+COUNTIF($E$3:E2048,E2048)-1,"")</f>
        <v/>
      </c>
    </row>
    <row r="2049" spans="4:16" x14ac:dyDescent="0.25">
      <c r="D2049" s="36" t="str" cm="1">
        <f t="array" aca="1" ref="D2049" ca="1">IFERROR(IF(INDIRECT("'"&amp;F2049&amp;"'!$C$5")&gt;0,DATE(YEAR(Dashboard!$AL$2),Dashboard!$AU$4,INDIRECT("'"&amp;F2049&amp;"'!$C$5")),""),"")</f>
        <v/>
      </c>
      <c r="G2049" s="38" t="str" cm="1">
        <f t="array" aca="1" ref="G2049" ca="1">IF(F2049="",
    "",
    IFERROR(
        IF(INDIRECT("'"&amp;F2049&amp;"'!$B$2")="Credit Limit",
            "Credit Accounts",
            IF(INDIRECT("'"&amp;F2049&amp;"'!$E$2")="Location",
                "Cash Accounts",
                IF(INDIRECT("'"&amp;F2049&amp;"'!$B$2")="Amount",
                    "Investments",
                    "Bill Accounts"
                )
            )
        ),
    "")
)</f>
        <v/>
      </c>
      <c r="I2049" s="46" t="str" cm="1">
        <f t="array" aca="1" ref="I2049" ca="1">IF(F2049&lt;&gt;"",IF(OR(G2049="Bill Accounts",G2049="Investments", G2049="Cash Accounts"),INDIRECT("'"&amp;F2049&amp;"'!$C$10"),INDIRECT("'"&amp;F2049&amp;"'!$C$8")),"")</f>
        <v/>
      </c>
      <c r="K2049" s="48">
        <f t="shared" si="96"/>
        <v>2055</v>
      </c>
      <c r="L2049" s="114" t="str" cm="1">
        <f t="array" aca="1" ref="L2049" ca="1">IF(F2049&lt;&gt;"",INDIRECT("'"&amp;F2049&amp;"'!$F$17"),"")</f>
        <v/>
      </c>
      <c r="M2049" s="116" t="str">
        <f t="shared" ca="1" si="94"/>
        <v/>
      </c>
      <c r="O2049" s="49" t="str">
        <f t="shared" ca="1" si="95"/>
        <v/>
      </c>
      <c r="P2049" s="38" t="str">
        <f>IF(E2049&lt;&gt;"",RANK(E2049,$E$3:$E$2298)+COUNTIF($E$3:E2049,E2049)-1,"")</f>
        <v/>
      </c>
    </row>
    <row r="2050" spans="4:16" x14ac:dyDescent="0.25">
      <c r="D2050" s="36" t="str" cm="1">
        <f t="array" aca="1" ref="D2050" ca="1">IFERROR(IF(INDIRECT("'"&amp;F2050&amp;"'!$C$5")&gt;0,DATE(YEAR(Dashboard!$AL$2),Dashboard!$AU$4,INDIRECT("'"&amp;F2050&amp;"'!$C$5")),""),"")</f>
        <v/>
      </c>
      <c r="G2050" s="38" t="str" cm="1">
        <f t="array" aca="1" ref="G2050" ca="1">IF(F2050="",
    "",
    IFERROR(
        IF(INDIRECT("'"&amp;F2050&amp;"'!$B$2")="Credit Limit",
            "Credit Accounts",
            IF(INDIRECT("'"&amp;F2050&amp;"'!$E$2")="Location",
                "Cash Accounts",
                IF(INDIRECT("'"&amp;F2050&amp;"'!$B$2")="Amount",
                    "Investments",
                    "Bill Accounts"
                )
            )
        ),
    "")
)</f>
        <v/>
      </c>
      <c r="I2050" s="46" t="str" cm="1">
        <f t="array" aca="1" ref="I2050" ca="1">IF(F2050&lt;&gt;"",IF(OR(G2050="Bill Accounts",G2050="Investments", G2050="Cash Accounts"),INDIRECT("'"&amp;F2050&amp;"'!$C$10"),INDIRECT("'"&amp;F2050&amp;"'!$C$8")),"")</f>
        <v/>
      </c>
      <c r="K2050" s="48">
        <f t="shared" si="96"/>
        <v>2056</v>
      </c>
      <c r="L2050" s="114" t="str" cm="1">
        <f t="array" aca="1" ref="L2050" ca="1">IF(F2050&lt;&gt;"",INDIRECT("'"&amp;F2050&amp;"'!$F$17"),"")</f>
        <v/>
      </c>
      <c r="M2050" s="116" t="str">
        <f t="shared" ca="1" si="94"/>
        <v/>
      </c>
      <c r="O2050" s="49" t="str">
        <f t="shared" ca="1" si="95"/>
        <v/>
      </c>
      <c r="P2050" s="38" t="str">
        <f>IF(E2050&lt;&gt;"",RANK(E2050,$E$3:$E$2298)+COUNTIF($E$3:E2050,E2050)-1,"")</f>
        <v/>
      </c>
    </row>
    <row r="2051" spans="4:16" x14ac:dyDescent="0.25">
      <c r="D2051" s="36" t="str" cm="1">
        <f t="array" aca="1" ref="D2051" ca="1">IFERROR(IF(INDIRECT("'"&amp;F2051&amp;"'!$C$5")&gt;0,DATE(YEAR(Dashboard!$AL$2),Dashboard!$AU$4,INDIRECT("'"&amp;F2051&amp;"'!$C$5")),""),"")</f>
        <v/>
      </c>
      <c r="G2051" s="38" t="str" cm="1">
        <f t="array" aca="1" ref="G2051" ca="1">IF(F2051="",
    "",
    IFERROR(
        IF(INDIRECT("'"&amp;F2051&amp;"'!$B$2")="Credit Limit",
            "Credit Accounts",
            IF(INDIRECT("'"&amp;F2051&amp;"'!$E$2")="Location",
                "Cash Accounts",
                IF(INDIRECT("'"&amp;F2051&amp;"'!$B$2")="Amount",
                    "Investments",
                    "Bill Accounts"
                )
            )
        ),
    "")
)</f>
        <v/>
      </c>
      <c r="I2051" s="46" t="str" cm="1">
        <f t="array" aca="1" ref="I2051" ca="1">IF(F2051&lt;&gt;"",IF(OR(G2051="Bill Accounts",G2051="Investments", G2051="Cash Accounts"),INDIRECT("'"&amp;F2051&amp;"'!$C$10"),INDIRECT("'"&amp;F2051&amp;"'!$C$8")),"")</f>
        <v/>
      </c>
      <c r="K2051" s="48">
        <f t="shared" si="96"/>
        <v>2057</v>
      </c>
      <c r="L2051" s="114" t="str" cm="1">
        <f t="array" aca="1" ref="L2051" ca="1">IF(F2051&lt;&gt;"",INDIRECT("'"&amp;F2051&amp;"'!$F$17"),"")</f>
        <v/>
      </c>
      <c r="M2051" s="116" t="str">
        <f t="shared" ca="1" si="94"/>
        <v/>
      </c>
      <c r="O2051" s="49" t="str">
        <f t="shared" ca="1" si="95"/>
        <v/>
      </c>
      <c r="P2051" s="38" t="str">
        <f>IF(E2051&lt;&gt;"",RANK(E2051,$E$3:$E$2298)+COUNTIF($E$3:E2051,E2051)-1,"")</f>
        <v/>
      </c>
    </row>
    <row r="2052" spans="4:16" x14ac:dyDescent="0.25">
      <c r="D2052" s="36" t="str" cm="1">
        <f t="array" aca="1" ref="D2052" ca="1">IFERROR(IF(INDIRECT("'"&amp;F2052&amp;"'!$C$5")&gt;0,DATE(YEAR(Dashboard!$AL$2),Dashboard!$AU$4,INDIRECT("'"&amp;F2052&amp;"'!$C$5")),""),"")</f>
        <v/>
      </c>
      <c r="G2052" s="38" t="str" cm="1">
        <f t="array" aca="1" ref="G2052" ca="1">IF(F2052="",
    "",
    IFERROR(
        IF(INDIRECT("'"&amp;F2052&amp;"'!$B$2")="Credit Limit",
            "Credit Accounts",
            IF(INDIRECT("'"&amp;F2052&amp;"'!$E$2")="Location",
                "Cash Accounts",
                IF(INDIRECT("'"&amp;F2052&amp;"'!$B$2")="Amount",
                    "Investments",
                    "Bill Accounts"
                )
            )
        ),
    "")
)</f>
        <v/>
      </c>
      <c r="I2052" s="46" t="str" cm="1">
        <f t="array" aca="1" ref="I2052" ca="1">IF(F2052&lt;&gt;"",IF(OR(G2052="Bill Accounts",G2052="Investments", G2052="Cash Accounts"),INDIRECT("'"&amp;F2052&amp;"'!$C$10"),INDIRECT("'"&amp;F2052&amp;"'!$C$8")),"")</f>
        <v/>
      </c>
      <c r="K2052" s="48">
        <f t="shared" si="96"/>
        <v>2058</v>
      </c>
      <c r="L2052" s="114" t="str" cm="1">
        <f t="array" aca="1" ref="L2052" ca="1">IF(F2052&lt;&gt;"",INDIRECT("'"&amp;F2052&amp;"'!$F$17"),"")</f>
        <v/>
      </c>
      <c r="M2052" s="116" t="str">
        <f t="shared" ref="M2052:M2115" ca="1" si="97">IF(G2052="Credit Accounts",EDATE(TODAY(),INDIRECT("'"&amp;F2052&amp;"'!$C$14")),"")</f>
        <v/>
      </c>
      <c r="O2052" s="49" t="str">
        <f t="shared" ref="O2052:O2115" ca="1" si="98">IF(D2052&lt;&gt;"",DAY(D2052),"")</f>
        <v/>
      </c>
      <c r="P2052" s="38" t="str">
        <f>IF(E2052&lt;&gt;"",RANK(E2052,$E$3:$E$2298)+COUNTIF($E$3:E2052,E2052)-1,"")</f>
        <v/>
      </c>
    </row>
    <row r="2053" spans="4:16" x14ac:dyDescent="0.25">
      <c r="D2053" s="36" t="str" cm="1">
        <f t="array" aca="1" ref="D2053" ca="1">IFERROR(IF(INDIRECT("'"&amp;F2053&amp;"'!$C$5")&gt;0,DATE(YEAR(Dashboard!$AL$2),Dashboard!$AU$4,INDIRECT("'"&amp;F2053&amp;"'!$C$5")),""),"")</f>
        <v/>
      </c>
      <c r="G2053" s="38" t="str" cm="1">
        <f t="array" aca="1" ref="G2053" ca="1">IF(F2053="",
    "",
    IFERROR(
        IF(INDIRECT("'"&amp;F2053&amp;"'!$B$2")="Credit Limit",
            "Credit Accounts",
            IF(INDIRECT("'"&amp;F2053&amp;"'!$E$2")="Location",
                "Cash Accounts",
                IF(INDIRECT("'"&amp;F2053&amp;"'!$B$2")="Amount",
                    "Investments",
                    "Bill Accounts"
                )
            )
        ),
    "")
)</f>
        <v/>
      </c>
      <c r="I2053" s="46" t="str" cm="1">
        <f t="array" aca="1" ref="I2053" ca="1">IF(F2053&lt;&gt;"",IF(OR(G2053="Bill Accounts",G2053="Investments", G2053="Cash Accounts"),INDIRECT("'"&amp;F2053&amp;"'!$C$10"),INDIRECT("'"&amp;F2053&amp;"'!$C$8")),"")</f>
        <v/>
      </c>
      <c r="K2053" s="48">
        <f t="shared" si="96"/>
        <v>2059</v>
      </c>
      <c r="L2053" s="114" t="str" cm="1">
        <f t="array" aca="1" ref="L2053" ca="1">IF(F2053&lt;&gt;"",INDIRECT("'"&amp;F2053&amp;"'!$F$17"),"")</f>
        <v/>
      </c>
      <c r="M2053" s="116" t="str">
        <f t="shared" ca="1" si="97"/>
        <v/>
      </c>
      <c r="O2053" s="49" t="str">
        <f t="shared" ca="1" si="98"/>
        <v/>
      </c>
      <c r="P2053" s="38" t="str">
        <f>IF(E2053&lt;&gt;"",RANK(E2053,$E$3:$E$2298)+COUNTIF($E$3:E2053,E2053)-1,"")</f>
        <v/>
      </c>
    </row>
    <row r="2054" spans="4:16" x14ac:dyDescent="0.25">
      <c r="D2054" s="36" t="str" cm="1">
        <f t="array" aca="1" ref="D2054" ca="1">IFERROR(IF(INDIRECT("'"&amp;F2054&amp;"'!$C$5")&gt;0,DATE(YEAR(Dashboard!$AL$2),Dashboard!$AU$4,INDIRECT("'"&amp;F2054&amp;"'!$C$5")),""),"")</f>
        <v/>
      </c>
      <c r="G2054" s="38" t="str" cm="1">
        <f t="array" aca="1" ref="G2054" ca="1">IF(F2054="",
    "",
    IFERROR(
        IF(INDIRECT("'"&amp;F2054&amp;"'!$B$2")="Credit Limit",
            "Credit Accounts",
            IF(INDIRECT("'"&amp;F2054&amp;"'!$E$2")="Location",
                "Cash Accounts",
                IF(INDIRECT("'"&amp;F2054&amp;"'!$B$2")="Amount",
                    "Investments",
                    "Bill Accounts"
                )
            )
        ),
    "")
)</f>
        <v/>
      </c>
      <c r="I2054" s="46" t="str" cm="1">
        <f t="array" aca="1" ref="I2054" ca="1">IF(F2054&lt;&gt;"",IF(OR(G2054="Bill Accounts",G2054="Investments", G2054="Cash Accounts"),INDIRECT("'"&amp;F2054&amp;"'!$C$10"),INDIRECT("'"&amp;F2054&amp;"'!$C$8")),"")</f>
        <v/>
      </c>
      <c r="K2054" s="48">
        <f t="shared" si="96"/>
        <v>2060</v>
      </c>
      <c r="L2054" s="114" t="str" cm="1">
        <f t="array" aca="1" ref="L2054" ca="1">IF(F2054&lt;&gt;"",INDIRECT("'"&amp;F2054&amp;"'!$F$17"),"")</f>
        <v/>
      </c>
      <c r="M2054" s="116" t="str">
        <f t="shared" ca="1" si="97"/>
        <v/>
      </c>
      <c r="O2054" s="49" t="str">
        <f t="shared" ca="1" si="98"/>
        <v/>
      </c>
      <c r="P2054" s="38" t="str">
        <f>IF(E2054&lt;&gt;"",RANK(E2054,$E$3:$E$2298)+COUNTIF($E$3:E2054,E2054)-1,"")</f>
        <v/>
      </c>
    </row>
    <row r="2055" spans="4:16" x14ac:dyDescent="0.25">
      <c r="D2055" s="36" t="str" cm="1">
        <f t="array" aca="1" ref="D2055" ca="1">IFERROR(IF(INDIRECT("'"&amp;F2055&amp;"'!$C$5")&gt;0,DATE(YEAR(Dashboard!$AL$2),Dashboard!$AU$4,INDIRECT("'"&amp;F2055&amp;"'!$C$5")),""),"")</f>
        <v/>
      </c>
      <c r="G2055" s="38" t="str" cm="1">
        <f t="array" aca="1" ref="G2055" ca="1">IF(F2055="",
    "",
    IFERROR(
        IF(INDIRECT("'"&amp;F2055&amp;"'!$B$2")="Credit Limit",
            "Credit Accounts",
            IF(INDIRECT("'"&amp;F2055&amp;"'!$E$2")="Location",
                "Cash Accounts",
                IF(INDIRECT("'"&amp;F2055&amp;"'!$B$2")="Amount",
                    "Investments",
                    "Bill Accounts"
                )
            )
        ),
    "")
)</f>
        <v/>
      </c>
      <c r="I2055" s="46" t="str" cm="1">
        <f t="array" aca="1" ref="I2055" ca="1">IF(F2055&lt;&gt;"",IF(OR(G2055="Bill Accounts",G2055="Investments", G2055="Cash Accounts"),INDIRECT("'"&amp;F2055&amp;"'!$C$10"),INDIRECT("'"&amp;F2055&amp;"'!$C$8")),"")</f>
        <v/>
      </c>
      <c r="K2055" s="48">
        <f t="shared" si="96"/>
        <v>2061</v>
      </c>
      <c r="L2055" s="114" t="str" cm="1">
        <f t="array" aca="1" ref="L2055" ca="1">IF(F2055&lt;&gt;"",INDIRECT("'"&amp;F2055&amp;"'!$F$17"),"")</f>
        <v/>
      </c>
      <c r="M2055" s="116" t="str">
        <f t="shared" ca="1" si="97"/>
        <v/>
      </c>
      <c r="O2055" s="49" t="str">
        <f t="shared" ca="1" si="98"/>
        <v/>
      </c>
      <c r="P2055" s="38" t="str">
        <f>IF(E2055&lt;&gt;"",RANK(E2055,$E$3:$E$2298)+COUNTIF($E$3:E2055,E2055)-1,"")</f>
        <v/>
      </c>
    </row>
    <row r="2056" spans="4:16" x14ac:dyDescent="0.25">
      <c r="D2056" s="36" t="str" cm="1">
        <f t="array" aca="1" ref="D2056" ca="1">IFERROR(IF(INDIRECT("'"&amp;F2056&amp;"'!$C$5")&gt;0,DATE(YEAR(Dashboard!$AL$2),Dashboard!$AU$4,INDIRECT("'"&amp;F2056&amp;"'!$C$5")),""),"")</f>
        <v/>
      </c>
      <c r="G2056" s="38" t="str" cm="1">
        <f t="array" aca="1" ref="G2056" ca="1">IF(F2056="",
    "",
    IFERROR(
        IF(INDIRECT("'"&amp;F2056&amp;"'!$B$2")="Credit Limit",
            "Credit Accounts",
            IF(INDIRECT("'"&amp;F2056&amp;"'!$E$2")="Location",
                "Cash Accounts",
                IF(INDIRECT("'"&amp;F2056&amp;"'!$B$2")="Amount",
                    "Investments",
                    "Bill Accounts"
                )
            )
        ),
    "")
)</f>
        <v/>
      </c>
      <c r="I2056" s="46" t="str" cm="1">
        <f t="array" aca="1" ref="I2056" ca="1">IF(F2056&lt;&gt;"",IF(OR(G2056="Bill Accounts",G2056="Investments", G2056="Cash Accounts"),INDIRECT("'"&amp;F2056&amp;"'!$C$10"),INDIRECT("'"&amp;F2056&amp;"'!$C$8")),"")</f>
        <v/>
      </c>
      <c r="K2056" s="48">
        <f t="shared" ref="K2056:K2119" si="99">SUM(K2055+1)</f>
        <v>2062</v>
      </c>
      <c r="L2056" s="114" t="str" cm="1">
        <f t="array" aca="1" ref="L2056" ca="1">IF(F2056&lt;&gt;"",INDIRECT("'"&amp;F2056&amp;"'!$F$17"),"")</f>
        <v/>
      </c>
      <c r="M2056" s="116" t="str">
        <f t="shared" ca="1" si="97"/>
        <v/>
      </c>
      <c r="O2056" s="49" t="str">
        <f t="shared" ca="1" si="98"/>
        <v/>
      </c>
      <c r="P2056" s="38" t="str">
        <f>IF(E2056&lt;&gt;"",RANK(E2056,$E$3:$E$2298)+COUNTIF($E$3:E2056,E2056)-1,"")</f>
        <v/>
      </c>
    </row>
    <row r="2057" spans="4:16" x14ac:dyDescent="0.25">
      <c r="D2057" s="36" t="str" cm="1">
        <f t="array" aca="1" ref="D2057" ca="1">IFERROR(IF(INDIRECT("'"&amp;F2057&amp;"'!$C$5")&gt;0,DATE(YEAR(Dashboard!$AL$2),Dashboard!$AU$4,INDIRECT("'"&amp;F2057&amp;"'!$C$5")),""),"")</f>
        <v/>
      </c>
      <c r="G2057" s="38" t="str" cm="1">
        <f t="array" aca="1" ref="G2057" ca="1">IF(F2057="",
    "",
    IFERROR(
        IF(INDIRECT("'"&amp;F2057&amp;"'!$B$2")="Credit Limit",
            "Credit Accounts",
            IF(INDIRECT("'"&amp;F2057&amp;"'!$E$2")="Location",
                "Cash Accounts",
                IF(INDIRECT("'"&amp;F2057&amp;"'!$B$2")="Amount",
                    "Investments",
                    "Bill Accounts"
                )
            )
        ),
    "")
)</f>
        <v/>
      </c>
      <c r="I2057" s="46" t="str" cm="1">
        <f t="array" aca="1" ref="I2057" ca="1">IF(F2057&lt;&gt;"",IF(OR(G2057="Bill Accounts",G2057="Investments", G2057="Cash Accounts"),INDIRECT("'"&amp;F2057&amp;"'!$C$10"),INDIRECT("'"&amp;F2057&amp;"'!$C$8")),"")</f>
        <v/>
      </c>
      <c r="K2057" s="48">
        <f t="shared" si="99"/>
        <v>2063</v>
      </c>
      <c r="L2057" s="114" t="str" cm="1">
        <f t="array" aca="1" ref="L2057" ca="1">IF(F2057&lt;&gt;"",INDIRECT("'"&amp;F2057&amp;"'!$F$17"),"")</f>
        <v/>
      </c>
      <c r="M2057" s="116" t="str">
        <f t="shared" ca="1" si="97"/>
        <v/>
      </c>
      <c r="O2057" s="49" t="str">
        <f t="shared" ca="1" si="98"/>
        <v/>
      </c>
      <c r="P2057" s="38" t="str">
        <f>IF(E2057&lt;&gt;"",RANK(E2057,$E$3:$E$2298)+COUNTIF($E$3:E2057,E2057)-1,"")</f>
        <v/>
      </c>
    </row>
    <row r="2058" spans="4:16" x14ac:dyDescent="0.25">
      <c r="D2058" s="36" t="str" cm="1">
        <f t="array" aca="1" ref="D2058" ca="1">IFERROR(IF(INDIRECT("'"&amp;F2058&amp;"'!$C$5")&gt;0,DATE(YEAR(Dashboard!$AL$2),Dashboard!$AU$4,INDIRECT("'"&amp;F2058&amp;"'!$C$5")),""),"")</f>
        <v/>
      </c>
      <c r="G2058" s="38" t="str" cm="1">
        <f t="array" aca="1" ref="G2058" ca="1">IF(F2058="",
    "",
    IFERROR(
        IF(INDIRECT("'"&amp;F2058&amp;"'!$B$2")="Credit Limit",
            "Credit Accounts",
            IF(INDIRECT("'"&amp;F2058&amp;"'!$E$2")="Location",
                "Cash Accounts",
                IF(INDIRECT("'"&amp;F2058&amp;"'!$B$2")="Amount",
                    "Investments",
                    "Bill Accounts"
                )
            )
        ),
    "")
)</f>
        <v/>
      </c>
      <c r="I2058" s="46" t="str" cm="1">
        <f t="array" aca="1" ref="I2058" ca="1">IF(F2058&lt;&gt;"",IF(OR(G2058="Bill Accounts",G2058="Investments", G2058="Cash Accounts"),INDIRECT("'"&amp;F2058&amp;"'!$C$10"),INDIRECT("'"&amp;F2058&amp;"'!$C$8")),"")</f>
        <v/>
      </c>
      <c r="K2058" s="48">
        <f t="shared" si="99"/>
        <v>2064</v>
      </c>
      <c r="L2058" s="114" t="str" cm="1">
        <f t="array" aca="1" ref="L2058" ca="1">IF(F2058&lt;&gt;"",INDIRECT("'"&amp;F2058&amp;"'!$F$17"),"")</f>
        <v/>
      </c>
      <c r="M2058" s="116" t="str">
        <f t="shared" ca="1" si="97"/>
        <v/>
      </c>
      <c r="O2058" s="49" t="str">
        <f t="shared" ca="1" si="98"/>
        <v/>
      </c>
      <c r="P2058" s="38" t="str">
        <f>IF(E2058&lt;&gt;"",RANK(E2058,$E$3:$E$2298)+COUNTIF($E$3:E2058,E2058)-1,"")</f>
        <v/>
      </c>
    </row>
    <row r="2059" spans="4:16" x14ac:dyDescent="0.25">
      <c r="D2059" s="36" t="str" cm="1">
        <f t="array" aca="1" ref="D2059" ca="1">IFERROR(IF(INDIRECT("'"&amp;F2059&amp;"'!$C$5")&gt;0,DATE(YEAR(Dashboard!$AL$2),Dashboard!$AU$4,INDIRECT("'"&amp;F2059&amp;"'!$C$5")),""),"")</f>
        <v/>
      </c>
      <c r="G2059" s="38" t="str" cm="1">
        <f t="array" aca="1" ref="G2059" ca="1">IF(F2059="",
    "",
    IFERROR(
        IF(INDIRECT("'"&amp;F2059&amp;"'!$B$2")="Credit Limit",
            "Credit Accounts",
            IF(INDIRECT("'"&amp;F2059&amp;"'!$E$2")="Location",
                "Cash Accounts",
                IF(INDIRECT("'"&amp;F2059&amp;"'!$B$2")="Amount",
                    "Investments",
                    "Bill Accounts"
                )
            )
        ),
    "")
)</f>
        <v/>
      </c>
      <c r="I2059" s="46" t="str" cm="1">
        <f t="array" aca="1" ref="I2059" ca="1">IF(F2059&lt;&gt;"",IF(OR(G2059="Bill Accounts",G2059="Investments", G2059="Cash Accounts"),INDIRECT("'"&amp;F2059&amp;"'!$C$10"),INDIRECT("'"&amp;F2059&amp;"'!$C$8")),"")</f>
        <v/>
      </c>
      <c r="K2059" s="48">
        <f t="shared" si="99"/>
        <v>2065</v>
      </c>
      <c r="L2059" s="114" t="str" cm="1">
        <f t="array" aca="1" ref="L2059" ca="1">IF(F2059&lt;&gt;"",INDIRECT("'"&amp;F2059&amp;"'!$F$17"),"")</f>
        <v/>
      </c>
      <c r="M2059" s="116" t="str">
        <f t="shared" ca="1" si="97"/>
        <v/>
      </c>
      <c r="O2059" s="49" t="str">
        <f t="shared" ca="1" si="98"/>
        <v/>
      </c>
      <c r="P2059" s="38" t="str">
        <f>IF(E2059&lt;&gt;"",RANK(E2059,$E$3:$E$2298)+COUNTIF($E$3:E2059,E2059)-1,"")</f>
        <v/>
      </c>
    </row>
    <row r="2060" spans="4:16" x14ac:dyDescent="0.25">
      <c r="D2060" s="36" t="str" cm="1">
        <f t="array" aca="1" ref="D2060" ca="1">IFERROR(IF(INDIRECT("'"&amp;F2060&amp;"'!$C$5")&gt;0,DATE(YEAR(Dashboard!$AL$2),Dashboard!$AU$4,INDIRECT("'"&amp;F2060&amp;"'!$C$5")),""),"")</f>
        <v/>
      </c>
      <c r="G2060" s="38" t="str" cm="1">
        <f t="array" aca="1" ref="G2060" ca="1">IF(F2060="",
    "",
    IFERROR(
        IF(INDIRECT("'"&amp;F2060&amp;"'!$B$2")="Credit Limit",
            "Credit Accounts",
            IF(INDIRECT("'"&amp;F2060&amp;"'!$E$2")="Location",
                "Cash Accounts",
                IF(INDIRECT("'"&amp;F2060&amp;"'!$B$2")="Amount",
                    "Investments",
                    "Bill Accounts"
                )
            )
        ),
    "")
)</f>
        <v/>
      </c>
      <c r="I2060" s="46" t="str" cm="1">
        <f t="array" aca="1" ref="I2060" ca="1">IF(F2060&lt;&gt;"",IF(OR(G2060="Bill Accounts",G2060="Investments", G2060="Cash Accounts"),INDIRECT("'"&amp;F2060&amp;"'!$C$10"),INDIRECT("'"&amp;F2060&amp;"'!$C$8")),"")</f>
        <v/>
      </c>
      <c r="K2060" s="48">
        <f t="shared" si="99"/>
        <v>2066</v>
      </c>
      <c r="L2060" s="114" t="str" cm="1">
        <f t="array" aca="1" ref="L2060" ca="1">IF(F2060&lt;&gt;"",INDIRECT("'"&amp;F2060&amp;"'!$F$17"),"")</f>
        <v/>
      </c>
      <c r="M2060" s="116" t="str">
        <f t="shared" ca="1" si="97"/>
        <v/>
      </c>
      <c r="O2060" s="49" t="str">
        <f t="shared" ca="1" si="98"/>
        <v/>
      </c>
      <c r="P2060" s="38" t="str">
        <f>IF(E2060&lt;&gt;"",RANK(E2060,$E$3:$E$2298)+COUNTIF($E$3:E2060,E2060)-1,"")</f>
        <v/>
      </c>
    </row>
    <row r="2061" spans="4:16" x14ac:dyDescent="0.25">
      <c r="D2061" s="36" t="str" cm="1">
        <f t="array" aca="1" ref="D2061" ca="1">IFERROR(IF(INDIRECT("'"&amp;F2061&amp;"'!$C$5")&gt;0,DATE(YEAR(Dashboard!$AL$2),Dashboard!$AU$4,INDIRECT("'"&amp;F2061&amp;"'!$C$5")),""),"")</f>
        <v/>
      </c>
      <c r="G2061" s="38" t="str" cm="1">
        <f t="array" aca="1" ref="G2061" ca="1">IF(F2061="",
    "",
    IFERROR(
        IF(INDIRECT("'"&amp;F2061&amp;"'!$B$2")="Credit Limit",
            "Credit Accounts",
            IF(INDIRECT("'"&amp;F2061&amp;"'!$E$2")="Location",
                "Cash Accounts",
                IF(INDIRECT("'"&amp;F2061&amp;"'!$B$2")="Amount",
                    "Investments",
                    "Bill Accounts"
                )
            )
        ),
    "")
)</f>
        <v/>
      </c>
      <c r="I2061" s="46" t="str" cm="1">
        <f t="array" aca="1" ref="I2061" ca="1">IF(F2061&lt;&gt;"",IF(OR(G2061="Bill Accounts",G2061="Investments", G2061="Cash Accounts"),INDIRECT("'"&amp;F2061&amp;"'!$C$10"),INDIRECT("'"&amp;F2061&amp;"'!$C$8")),"")</f>
        <v/>
      </c>
      <c r="K2061" s="48">
        <f t="shared" si="99"/>
        <v>2067</v>
      </c>
      <c r="L2061" s="114" t="str" cm="1">
        <f t="array" aca="1" ref="L2061" ca="1">IF(F2061&lt;&gt;"",INDIRECT("'"&amp;F2061&amp;"'!$F$17"),"")</f>
        <v/>
      </c>
      <c r="M2061" s="116" t="str">
        <f t="shared" ca="1" si="97"/>
        <v/>
      </c>
      <c r="O2061" s="49" t="str">
        <f t="shared" ca="1" si="98"/>
        <v/>
      </c>
      <c r="P2061" s="38" t="str">
        <f>IF(E2061&lt;&gt;"",RANK(E2061,$E$3:$E$2298)+COUNTIF($E$3:E2061,E2061)-1,"")</f>
        <v/>
      </c>
    </row>
    <row r="2062" spans="4:16" x14ac:dyDescent="0.25">
      <c r="D2062" s="36" t="str" cm="1">
        <f t="array" aca="1" ref="D2062" ca="1">IFERROR(IF(INDIRECT("'"&amp;F2062&amp;"'!$C$5")&gt;0,DATE(YEAR(Dashboard!$AL$2),Dashboard!$AU$4,INDIRECT("'"&amp;F2062&amp;"'!$C$5")),""),"")</f>
        <v/>
      </c>
      <c r="G2062" s="38" t="str" cm="1">
        <f t="array" aca="1" ref="G2062" ca="1">IF(F2062="",
    "",
    IFERROR(
        IF(INDIRECT("'"&amp;F2062&amp;"'!$B$2")="Credit Limit",
            "Credit Accounts",
            IF(INDIRECT("'"&amp;F2062&amp;"'!$E$2")="Location",
                "Cash Accounts",
                IF(INDIRECT("'"&amp;F2062&amp;"'!$B$2")="Amount",
                    "Investments",
                    "Bill Accounts"
                )
            )
        ),
    "")
)</f>
        <v/>
      </c>
      <c r="I2062" s="46" t="str" cm="1">
        <f t="array" aca="1" ref="I2062" ca="1">IF(F2062&lt;&gt;"",IF(OR(G2062="Bill Accounts",G2062="Investments", G2062="Cash Accounts"),INDIRECT("'"&amp;F2062&amp;"'!$C$10"),INDIRECT("'"&amp;F2062&amp;"'!$C$8")),"")</f>
        <v/>
      </c>
      <c r="K2062" s="48">
        <f t="shared" si="99"/>
        <v>2068</v>
      </c>
      <c r="L2062" s="114" t="str" cm="1">
        <f t="array" aca="1" ref="L2062" ca="1">IF(F2062&lt;&gt;"",INDIRECT("'"&amp;F2062&amp;"'!$F$17"),"")</f>
        <v/>
      </c>
      <c r="M2062" s="116" t="str">
        <f t="shared" ca="1" si="97"/>
        <v/>
      </c>
      <c r="O2062" s="49" t="str">
        <f t="shared" ca="1" si="98"/>
        <v/>
      </c>
      <c r="P2062" s="38" t="str">
        <f>IF(E2062&lt;&gt;"",RANK(E2062,$E$3:$E$2298)+COUNTIF($E$3:E2062,E2062)-1,"")</f>
        <v/>
      </c>
    </row>
    <row r="2063" spans="4:16" x14ac:dyDescent="0.25">
      <c r="D2063" s="36" t="str" cm="1">
        <f t="array" aca="1" ref="D2063" ca="1">IFERROR(IF(INDIRECT("'"&amp;F2063&amp;"'!$C$5")&gt;0,DATE(YEAR(Dashboard!$AL$2),Dashboard!$AU$4,INDIRECT("'"&amp;F2063&amp;"'!$C$5")),""),"")</f>
        <v/>
      </c>
      <c r="G2063" s="38" t="str" cm="1">
        <f t="array" aca="1" ref="G2063" ca="1">IF(F2063="",
    "",
    IFERROR(
        IF(INDIRECT("'"&amp;F2063&amp;"'!$B$2")="Credit Limit",
            "Credit Accounts",
            IF(INDIRECT("'"&amp;F2063&amp;"'!$E$2")="Location",
                "Cash Accounts",
                IF(INDIRECT("'"&amp;F2063&amp;"'!$B$2")="Amount",
                    "Investments",
                    "Bill Accounts"
                )
            )
        ),
    "")
)</f>
        <v/>
      </c>
      <c r="I2063" s="46" t="str" cm="1">
        <f t="array" aca="1" ref="I2063" ca="1">IF(F2063&lt;&gt;"",IF(OR(G2063="Bill Accounts",G2063="Investments", G2063="Cash Accounts"),INDIRECT("'"&amp;F2063&amp;"'!$C$10"),INDIRECT("'"&amp;F2063&amp;"'!$C$8")),"")</f>
        <v/>
      </c>
      <c r="K2063" s="48">
        <f t="shared" si="99"/>
        <v>2069</v>
      </c>
      <c r="L2063" s="114" t="str" cm="1">
        <f t="array" aca="1" ref="L2063" ca="1">IF(F2063&lt;&gt;"",INDIRECT("'"&amp;F2063&amp;"'!$F$17"),"")</f>
        <v/>
      </c>
      <c r="M2063" s="116" t="str">
        <f t="shared" ca="1" si="97"/>
        <v/>
      </c>
      <c r="O2063" s="49" t="str">
        <f t="shared" ca="1" si="98"/>
        <v/>
      </c>
      <c r="P2063" s="38" t="str">
        <f>IF(E2063&lt;&gt;"",RANK(E2063,$E$3:$E$2298)+COUNTIF($E$3:E2063,E2063)-1,"")</f>
        <v/>
      </c>
    </row>
    <row r="2064" spans="4:16" x14ac:dyDescent="0.25">
      <c r="D2064" s="36" t="str" cm="1">
        <f t="array" aca="1" ref="D2064" ca="1">IFERROR(IF(INDIRECT("'"&amp;F2064&amp;"'!$C$5")&gt;0,DATE(YEAR(Dashboard!$AL$2),Dashboard!$AU$4,INDIRECT("'"&amp;F2064&amp;"'!$C$5")),""),"")</f>
        <v/>
      </c>
      <c r="G2064" s="38" t="str" cm="1">
        <f t="array" aca="1" ref="G2064" ca="1">IF(F2064="",
    "",
    IFERROR(
        IF(INDIRECT("'"&amp;F2064&amp;"'!$B$2")="Credit Limit",
            "Credit Accounts",
            IF(INDIRECT("'"&amp;F2064&amp;"'!$E$2")="Location",
                "Cash Accounts",
                IF(INDIRECT("'"&amp;F2064&amp;"'!$B$2")="Amount",
                    "Investments",
                    "Bill Accounts"
                )
            )
        ),
    "")
)</f>
        <v/>
      </c>
      <c r="I2064" s="46" t="str" cm="1">
        <f t="array" aca="1" ref="I2064" ca="1">IF(F2064&lt;&gt;"",IF(OR(G2064="Bill Accounts",G2064="Investments", G2064="Cash Accounts"),INDIRECT("'"&amp;F2064&amp;"'!$C$10"),INDIRECT("'"&amp;F2064&amp;"'!$C$8")),"")</f>
        <v/>
      </c>
      <c r="K2064" s="48">
        <f t="shared" si="99"/>
        <v>2070</v>
      </c>
      <c r="L2064" s="114" t="str" cm="1">
        <f t="array" aca="1" ref="L2064" ca="1">IF(F2064&lt;&gt;"",INDIRECT("'"&amp;F2064&amp;"'!$F$17"),"")</f>
        <v/>
      </c>
      <c r="M2064" s="116" t="str">
        <f t="shared" ca="1" si="97"/>
        <v/>
      </c>
      <c r="O2064" s="49" t="str">
        <f t="shared" ca="1" si="98"/>
        <v/>
      </c>
      <c r="P2064" s="38" t="str">
        <f>IF(E2064&lt;&gt;"",RANK(E2064,$E$3:$E$2298)+COUNTIF($E$3:E2064,E2064)-1,"")</f>
        <v/>
      </c>
    </row>
    <row r="2065" spans="4:16" x14ac:dyDescent="0.25">
      <c r="D2065" s="36" t="str" cm="1">
        <f t="array" aca="1" ref="D2065" ca="1">IFERROR(IF(INDIRECT("'"&amp;F2065&amp;"'!$C$5")&gt;0,DATE(YEAR(Dashboard!$AL$2),Dashboard!$AU$4,INDIRECT("'"&amp;F2065&amp;"'!$C$5")),""),"")</f>
        <v/>
      </c>
      <c r="G2065" s="38" t="str" cm="1">
        <f t="array" aca="1" ref="G2065" ca="1">IF(F2065="",
    "",
    IFERROR(
        IF(INDIRECT("'"&amp;F2065&amp;"'!$B$2")="Credit Limit",
            "Credit Accounts",
            IF(INDIRECT("'"&amp;F2065&amp;"'!$E$2")="Location",
                "Cash Accounts",
                IF(INDIRECT("'"&amp;F2065&amp;"'!$B$2")="Amount",
                    "Investments",
                    "Bill Accounts"
                )
            )
        ),
    "")
)</f>
        <v/>
      </c>
      <c r="I2065" s="46" t="str" cm="1">
        <f t="array" aca="1" ref="I2065" ca="1">IF(F2065&lt;&gt;"",IF(OR(G2065="Bill Accounts",G2065="Investments", G2065="Cash Accounts"),INDIRECT("'"&amp;F2065&amp;"'!$C$10"),INDIRECT("'"&amp;F2065&amp;"'!$C$8")),"")</f>
        <v/>
      </c>
      <c r="K2065" s="48">
        <f t="shared" si="99"/>
        <v>2071</v>
      </c>
      <c r="L2065" s="114" t="str" cm="1">
        <f t="array" aca="1" ref="L2065" ca="1">IF(F2065&lt;&gt;"",INDIRECT("'"&amp;F2065&amp;"'!$F$17"),"")</f>
        <v/>
      </c>
      <c r="M2065" s="116" t="str">
        <f t="shared" ca="1" si="97"/>
        <v/>
      </c>
      <c r="O2065" s="49" t="str">
        <f t="shared" ca="1" si="98"/>
        <v/>
      </c>
      <c r="P2065" s="38" t="str">
        <f>IF(E2065&lt;&gt;"",RANK(E2065,$E$3:$E$2298)+COUNTIF($E$3:E2065,E2065)-1,"")</f>
        <v/>
      </c>
    </row>
    <row r="2066" spans="4:16" x14ac:dyDescent="0.25">
      <c r="D2066" s="36" t="str" cm="1">
        <f t="array" aca="1" ref="D2066" ca="1">IFERROR(IF(INDIRECT("'"&amp;F2066&amp;"'!$C$5")&gt;0,DATE(YEAR(Dashboard!$AL$2),Dashboard!$AU$4,INDIRECT("'"&amp;F2066&amp;"'!$C$5")),""),"")</f>
        <v/>
      </c>
      <c r="G2066" s="38" t="str" cm="1">
        <f t="array" aca="1" ref="G2066" ca="1">IF(F2066="",
    "",
    IFERROR(
        IF(INDIRECT("'"&amp;F2066&amp;"'!$B$2")="Credit Limit",
            "Credit Accounts",
            IF(INDIRECT("'"&amp;F2066&amp;"'!$E$2")="Location",
                "Cash Accounts",
                IF(INDIRECT("'"&amp;F2066&amp;"'!$B$2")="Amount",
                    "Investments",
                    "Bill Accounts"
                )
            )
        ),
    "")
)</f>
        <v/>
      </c>
      <c r="I2066" s="46" t="str" cm="1">
        <f t="array" aca="1" ref="I2066" ca="1">IF(F2066&lt;&gt;"",IF(OR(G2066="Bill Accounts",G2066="Investments", G2066="Cash Accounts"),INDIRECT("'"&amp;F2066&amp;"'!$C$10"),INDIRECT("'"&amp;F2066&amp;"'!$C$8")),"")</f>
        <v/>
      </c>
      <c r="K2066" s="48">
        <f t="shared" si="99"/>
        <v>2072</v>
      </c>
      <c r="L2066" s="114" t="str" cm="1">
        <f t="array" aca="1" ref="L2066" ca="1">IF(F2066&lt;&gt;"",INDIRECT("'"&amp;F2066&amp;"'!$F$17"),"")</f>
        <v/>
      </c>
      <c r="M2066" s="116" t="str">
        <f t="shared" ca="1" si="97"/>
        <v/>
      </c>
      <c r="O2066" s="49" t="str">
        <f t="shared" ca="1" si="98"/>
        <v/>
      </c>
      <c r="P2066" s="38" t="str">
        <f>IF(E2066&lt;&gt;"",RANK(E2066,$E$3:$E$2298)+COUNTIF($E$3:E2066,E2066)-1,"")</f>
        <v/>
      </c>
    </row>
    <row r="2067" spans="4:16" x14ac:dyDescent="0.25">
      <c r="D2067" s="36" t="str" cm="1">
        <f t="array" aca="1" ref="D2067" ca="1">IFERROR(IF(INDIRECT("'"&amp;F2067&amp;"'!$C$5")&gt;0,DATE(YEAR(Dashboard!$AL$2),Dashboard!$AU$4,INDIRECT("'"&amp;F2067&amp;"'!$C$5")),""),"")</f>
        <v/>
      </c>
      <c r="G2067" s="38" t="str" cm="1">
        <f t="array" aca="1" ref="G2067" ca="1">IF(F2067="",
    "",
    IFERROR(
        IF(INDIRECT("'"&amp;F2067&amp;"'!$B$2")="Credit Limit",
            "Credit Accounts",
            IF(INDIRECT("'"&amp;F2067&amp;"'!$E$2")="Location",
                "Cash Accounts",
                IF(INDIRECT("'"&amp;F2067&amp;"'!$B$2")="Amount",
                    "Investments",
                    "Bill Accounts"
                )
            )
        ),
    "")
)</f>
        <v/>
      </c>
      <c r="I2067" s="46" t="str" cm="1">
        <f t="array" aca="1" ref="I2067" ca="1">IF(F2067&lt;&gt;"",IF(OR(G2067="Bill Accounts",G2067="Investments", G2067="Cash Accounts"),INDIRECT("'"&amp;F2067&amp;"'!$C$10"),INDIRECT("'"&amp;F2067&amp;"'!$C$8")),"")</f>
        <v/>
      </c>
      <c r="K2067" s="48">
        <f t="shared" si="99"/>
        <v>2073</v>
      </c>
      <c r="L2067" s="114" t="str" cm="1">
        <f t="array" aca="1" ref="L2067" ca="1">IF(F2067&lt;&gt;"",INDIRECT("'"&amp;F2067&amp;"'!$F$17"),"")</f>
        <v/>
      </c>
      <c r="M2067" s="116" t="str">
        <f t="shared" ca="1" si="97"/>
        <v/>
      </c>
      <c r="O2067" s="49" t="str">
        <f t="shared" ca="1" si="98"/>
        <v/>
      </c>
      <c r="P2067" s="38" t="str">
        <f>IF(E2067&lt;&gt;"",RANK(E2067,$E$3:$E$2298)+COUNTIF($E$3:E2067,E2067)-1,"")</f>
        <v/>
      </c>
    </row>
    <row r="2068" spans="4:16" x14ac:dyDescent="0.25">
      <c r="D2068" s="36" t="str" cm="1">
        <f t="array" aca="1" ref="D2068" ca="1">IFERROR(IF(INDIRECT("'"&amp;F2068&amp;"'!$C$5")&gt;0,DATE(YEAR(Dashboard!$AL$2),Dashboard!$AU$4,INDIRECT("'"&amp;F2068&amp;"'!$C$5")),""),"")</f>
        <v/>
      </c>
      <c r="G2068" s="38" t="str" cm="1">
        <f t="array" aca="1" ref="G2068" ca="1">IF(F2068="",
    "",
    IFERROR(
        IF(INDIRECT("'"&amp;F2068&amp;"'!$B$2")="Credit Limit",
            "Credit Accounts",
            IF(INDIRECT("'"&amp;F2068&amp;"'!$E$2")="Location",
                "Cash Accounts",
                IF(INDIRECT("'"&amp;F2068&amp;"'!$B$2")="Amount",
                    "Investments",
                    "Bill Accounts"
                )
            )
        ),
    "")
)</f>
        <v/>
      </c>
      <c r="I2068" s="46" t="str" cm="1">
        <f t="array" aca="1" ref="I2068" ca="1">IF(F2068&lt;&gt;"",IF(OR(G2068="Bill Accounts",G2068="Investments", G2068="Cash Accounts"),INDIRECT("'"&amp;F2068&amp;"'!$C$10"),INDIRECT("'"&amp;F2068&amp;"'!$C$8")),"")</f>
        <v/>
      </c>
      <c r="K2068" s="48">
        <f t="shared" si="99"/>
        <v>2074</v>
      </c>
      <c r="L2068" s="114" t="str" cm="1">
        <f t="array" aca="1" ref="L2068" ca="1">IF(F2068&lt;&gt;"",INDIRECT("'"&amp;F2068&amp;"'!$F$17"),"")</f>
        <v/>
      </c>
      <c r="M2068" s="116" t="str">
        <f t="shared" ca="1" si="97"/>
        <v/>
      </c>
      <c r="O2068" s="49" t="str">
        <f t="shared" ca="1" si="98"/>
        <v/>
      </c>
      <c r="P2068" s="38" t="str">
        <f>IF(E2068&lt;&gt;"",RANK(E2068,$E$3:$E$2298)+COUNTIF($E$3:E2068,E2068)-1,"")</f>
        <v/>
      </c>
    </row>
    <row r="2069" spans="4:16" x14ac:dyDescent="0.25">
      <c r="D2069" s="36" t="str" cm="1">
        <f t="array" aca="1" ref="D2069" ca="1">IFERROR(IF(INDIRECT("'"&amp;F2069&amp;"'!$C$5")&gt;0,DATE(YEAR(Dashboard!$AL$2),Dashboard!$AU$4,INDIRECT("'"&amp;F2069&amp;"'!$C$5")),""),"")</f>
        <v/>
      </c>
      <c r="G2069" s="38" t="str" cm="1">
        <f t="array" aca="1" ref="G2069" ca="1">IF(F2069="",
    "",
    IFERROR(
        IF(INDIRECT("'"&amp;F2069&amp;"'!$B$2")="Credit Limit",
            "Credit Accounts",
            IF(INDIRECT("'"&amp;F2069&amp;"'!$E$2")="Location",
                "Cash Accounts",
                IF(INDIRECT("'"&amp;F2069&amp;"'!$B$2")="Amount",
                    "Investments",
                    "Bill Accounts"
                )
            )
        ),
    "")
)</f>
        <v/>
      </c>
      <c r="I2069" s="46" t="str" cm="1">
        <f t="array" aca="1" ref="I2069" ca="1">IF(F2069&lt;&gt;"",IF(OR(G2069="Bill Accounts",G2069="Investments", G2069="Cash Accounts"),INDIRECT("'"&amp;F2069&amp;"'!$C$10"),INDIRECT("'"&amp;F2069&amp;"'!$C$8")),"")</f>
        <v/>
      </c>
      <c r="K2069" s="48">
        <f t="shared" si="99"/>
        <v>2075</v>
      </c>
      <c r="L2069" s="114" t="str" cm="1">
        <f t="array" aca="1" ref="L2069" ca="1">IF(F2069&lt;&gt;"",INDIRECT("'"&amp;F2069&amp;"'!$F$17"),"")</f>
        <v/>
      </c>
      <c r="M2069" s="116" t="str">
        <f t="shared" ca="1" si="97"/>
        <v/>
      </c>
      <c r="O2069" s="49" t="str">
        <f t="shared" ca="1" si="98"/>
        <v/>
      </c>
      <c r="P2069" s="38" t="str">
        <f>IF(E2069&lt;&gt;"",RANK(E2069,$E$3:$E$2298)+COUNTIF($E$3:E2069,E2069)-1,"")</f>
        <v/>
      </c>
    </row>
    <row r="2070" spans="4:16" x14ac:dyDescent="0.25">
      <c r="D2070" s="36" t="str" cm="1">
        <f t="array" aca="1" ref="D2070" ca="1">IFERROR(IF(INDIRECT("'"&amp;F2070&amp;"'!$C$5")&gt;0,DATE(YEAR(Dashboard!$AL$2),Dashboard!$AU$4,INDIRECT("'"&amp;F2070&amp;"'!$C$5")),""),"")</f>
        <v/>
      </c>
      <c r="G2070" s="38" t="str" cm="1">
        <f t="array" aca="1" ref="G2070" ca="1">IF(F2070="",
    "",
    IFERROR(
        IF(INDIRECT("'"&amp;F2070&amp;"'!$B$2")="Credit Limit",
            "Credit Accounts",
            IF(INDIRECT("'"&amp;F2070&amp;"'!$E$2")="Location",
                "Cash Accounts",
                IF(INDIRECT("'"&amp;F2070&amp;"'!$B$2")="Amount",
                    "Investments",
                    "Bill Accounts"
                )
            )
        ),
    "")
)</f>
        <v/>
      </c>
      <c r="I2070" s="46" t="str" cm="1">
        <f t="array" aca="1" ref="I2070" ca="1">IF(F2070&lt;&gt;"",IF(OR(G2070="Bill Accounts",G2070="Investments", G2070="Cash Accounts"),INDIRECT("'"&amp;F2070&amp;"'!$C$10"),INDIRECT("'"&amp;F2070&amp;"'!$C$8")),"")</f>
        <v/>
      </c>
      <c r="K2070" s="48">
        <f t="shared" si="99"/>
        <v>2076</v>
      </c>
      <c r="L2070" s="114" t="str" cm="1">
        <f t="array" aca="1" ref="L2070" ca="1">IF(F2070&lt;&gt;"",INDIRECT("'"&amp;F2070&amp;"'!$F$17"),"")</f>
        <v/>
      </c>
      <c r="M2070" s="116" t="str">
        <f t="shared" ca="1" si="97"/>
        <v/>
      </c>
      <c r="O2070" s="49" t="str">
        <f t="shared" ca="1" si="98"/>
        <v/>
      </c>
      <c r="P2070" s="38" t="str">
        <f>IF(E2070&lt;&gt;"",RANK(E2070,$E$3:$E$2298)+COUNTIF($E$3:E2070,E2070)-1,"")</f>
        <v/>
      </c>
    </row>
    <row r="2071" spans="4:16" x14ac:dyDescent="0.25">
      <c r="D2071" s="36" t="str" cm="1">
        <f t="array" aca="1" ref="D2071" ca="1">IFERROR(IF(INDIRECT("'"&amp;F2071&amp;"'!$C$5")&gt;0,DATE(YEAR(Dashboard!$AL$2),Dashboard!$AU$4,INDIRECT("'"&amp;F2071&amp;"'!$C$5")),""),"")</f>
        <v/>
      </c>
      <c r="G2071" s="38" t="str" cm="1">
        <f t="array" aca="1" ref="G2071" ca="1">IF(F2071="",
    "",
    IFERROR(
        IF(INDIRECT("'"&amp;F2071&amp;"'!$B$2")="Credit Limit",
            "Credit Accounts",
            IF(INDIRECT("'"&amp;F2071&amp;"'!$E$2")="Location",
                "Cash Accounts",
                IF(INDIRECT("'"&amp;F2071&amp;"'!$B$2")="Amount",
                    "Investments",
                    "Bill Accounts"
                )
            )
        ),
    "")
)</f>
        <v/>
      </c>
      <c r="I2071" s="46" t="str" cm="1">
        <f t="array" aca="1" ref="I2071" ca="1">IF(F2071&lt;&gt;"",IF(OR(G2071="Bill Accounts",G2071="Investments", G2071="Cash Accounts"),INDIRECT("'"&amp;F2071&amp;"'!$C$10"),INDIRECT("'"&amp;F2071&amp;"'!$C$8")),"")</f>
        <v/>
      </c>
      <c r="K2071" s="48">
        <f t="shared" si="99"/>
        <v>2077</v>
      </c>
      <c r="L2071" s="114" t="str" cm="1">
        <f t="array" aca="1" ref="L2071" ca="1">IF(F2071&lt;&gt;"",INDIRECT("'"&amp;F2071&amp;"'!$F$17"),"")</f>
        <v/>
      </c>
      <c r="M2071" s="116" t="str">
        <f t="shared" ca="1" si="97"/>
        <v/>
      </c>
      <c r="O2071" s="49" t="str">
        <f t="shared" ca="1" si="98"/>
        <v/>
      </c>
      <c r="P2071" s="38" t="str">
        <f>IF(E2071&lt;&gt;"",RANK(E2071,$E$3:$E$2298)+COUNTIF($E$3:E2071,E2071)-1,"")</f>
        <v/>
      </c>
    </row>
    <row r="2072" spans="4:16" x14ac:dyDescent="0.25">
      <c r="D2072" s="36" t="str" cm="1">
        <f t="array" aca="1" ref="D2072" ca="1">IFERROR(IF(INDIRECT("'"&amp;F2072&amp;"'!$C$5")&gt;0,DATE(YEAR(Dashboard!$AL$2),Dashboard!$AU$4,INDIRECT("'"&amp;F2072&amp;"'!$C$5")),""),"")</f>
        <v/>
      </c>
      <c r="G2072" s="38" t="str" cm="1">
        <f t="array" aca="1" ref="G2072" ca="1">IF(F2072="",
    "",
    IFERROR(
        IF(INDIRECT("'"&amp;F2072&amp;"'!$B$2")="Credit Limit",
            "Credit Accounts",
            IF(INDIRECT("'"&amp;F2072&amp;"'!$E$2")="Location",
                "Cash Accounts",
                IF(INDIRECT("'"&amp;F2072&amp;"'!$B$2")="Amount",
                    "Investments",
                    "Bill Accounts"
                )
            )
        ),
    "")
)</f>
        <v/>
      </c>
      <c r="I2072" s="46" t="str" cm="1">
        <f t="array" aca="1" ref="I2072" ca="1">IF(F2072&lt;&gt;"",IF(OR(G2072="Bill Accounts",G2072="Investments", G2072="Cash Accounts"),INDIRECT("'"&amp;F2072&amp;"'!$C$10"),INDIRECT("'"&amp;F2072&amp;"'!$C$8")),"")</f>
        <v/>
      </c>
      <c r="K2072" s="48">
        <f t="shared" si="99"/>
        <v>2078</v>
      </c>
      <c r="L2072" s="114" t="str" cm="1">
        <f t="array" aca="1" ref="L2072" ca="1">IF(F2072&lt;&gt;"",INDIRECT("'"&amp;F2072&amp;"'!$F$17"),"")</f>
        <v/>
      </c>
      <c r="M2072" s="116" t="str">
        <f t="shared" ca="1" si="97"/>
        <v/>
      </c>
      <c r="O2072" s="49" t="str">
        <f t="shared" ca="1" si="98"/>
        <v/>
      </c>
      <c r="P2072" s="38" t="str">
        <f>IF(E2072&lt;&gt;"",RANK(E2072,$E$3:$E$2298)+COUNTIF($E$3:E2072,E2072)-1,"")</f>
        <v/>
      </c>
    </row>
    <row r="2073" spans="4:16" x14ac:dyDescent="0.25">
      <c r="D2073" s="36" t="str" cm="1">
        <f t="array" aca="1" ref="D2073" ca="1">IFERROR(IF(INDIRECT("'"&amp;F2073&amp;"'!$C$5")&gt;0,DATE(YEAR(Dashboard!$AL$2),Dashboard!$AU$4,INDIRECT("'"&amp;F2073&amp;"'!$C$5")),""),"")</f>
        <v/>
      </c>
      <c r="G2073" s="38" t="str" cm="1">
        <f t="array" aca="1" ref="G2073" ca="1">IF(F2073="",
    "",
    IFERROR(
        IF(INDIRECT("'"&amp;F2073&amp;"'!$B$2")="Credit Limit",
            "Credit Accounts",
            IF(INDIRECT("'"&amp;F2073&amp;"'!$E$2")="Location",
                "Cash Accounts",
                IF(INDIRECT("'"&amp;F2073&amp;"'!$B$2")="Amount",
                    "Investments",
                    "Bill Accounts"
                )
            )
        ),
    "")
)</f>
        <v/>
      </c>
      <c r="I2073" s="46" t="str" cm="1">
        <f t="array" aca="1" ref="I2073" ca="1">IF(F2073&lt;&gt;"",IF(OR(G2073="Bill Accounts",G2073="Investments", G2073="Cash Accounts"),INDIRECT("'"&amp;F2073&amp;"'!$C$10"),INDIRECT("'"&amp;F2073&amp;"'!$C$8")),"")</f>
        <v/>
      </c>
      <c r="K2073" s="48">
        <f t="shared" si="99"/>
        <v>2079</v>
      </c>
      <c r="L2073" s="114" t="str" cm="1">
        <f t="array" aca="1" ref="L2073" ca="1">IF(F2073&lt;&gt;"",INDIRECT("'"&amp;F2073&amp;"'!$F$17"),"")</f>
        <v/>
      </c>
      <c r="M2073" s="116" t="str">
        <f t="shared" ca="1" si="97"/>
        <v/>
      </c>
      <c r="O2073" s="49" t="str">
        <f t="shared" ca="1" si="98"/>
        <v/>
      </c>
      <c r="P2073" s="38" t="str">
        <f>IF(E2073&lt;&gt;"",RANK(E2073,$E$3:$E$2298)+COUNTIF($E$3:E2073,E2073)-1,"")</f>
        <v/>
      </c>
    </row>
    <row r="2074" spans="4:16" x14ac:dyDescent="0.25">
      <c r="D2074" s="36" t="str" cm="1">
        <f t="array" aca="1" ref="D2074" ca="1">IFERROR(IF(INDIRECT("'"&amp;F2074&amp;"'!$C$5")&gt;0,DATE(YEAR(Dashboard!$AL$2),Dashboard!$AU$4,INDIRECT("'"&amp;F2074&amp;"'!$C$5")),""),"")</f>
        <v/>
      </c>
      <c r="G2074" s="38" t="str" cm="1">
        <f t="array" aca="1" ref="G2074" ca="1">IF(F2074="",
    "",
    IFERROR(
        IF(INDIRECT("'"&amp;F2074&amp;"'!$B$2")="Credit Limit",
            "Credit Accounts",
            IF(INDIRECT("'"&amp;F2074&amp;"'!$E$2")="Location",
                "Cash Accounts",
                IF(INDIRECT("'"&amp;F2074&amp;"'!$B$2")="Amount",
                    "Investments",
                    "Bill Accounts"
                )
            )
        ),
    "")
)</f>
        <v/>
      </c>
      <c r="I2074" s="46" t="str" cm="1">
        <f t="array" aca="1" ref="I2074" ca="1">IF(F2074&lt;&gt;"",IF(OR(G2074="Bill Accounts",G2074="Investments", G2074="Cash Accounts"),INDIRECT("'"&amp;F2074&amp;"'!$C$10"),INDIRECT("'"&amp;F2074&amp;"'!$C$8")),"")</f>
        <v/>
      </c>
      <c r="K2074" s="48">
        <f t="shared" si="99"/>
        <v>2080</v>
      </c>
      <c r="L2074" s="114" t="str" cm="1">
        <f t="array" aca="1" ref="L2074" ca="1">IF(F2074&lt;&gt;"",INDIRECT("'"&amp;F2074&amp;"'!$F$17"),"")</f>
        <v/>
      </c>
      <c r="M2074" s="116" t="str">
        <f t="shared" ca="1" si="97"/>
        <v/>
      </c>
      <c r="O2074" s="49" t="str">
        <f t="shared" ca="1" si="98"/>
        <v/>
      </c>
      <c r="P2074" s="38" t="str">
        <f>IF(E2074&lt;&gt;"",RANK(E2074,$E$3:$E$2298)+COUNTIF($E$3:E2074,E2074)-1,"")</f>
        <v/>
      </c>
    </row>
    <row r="2075" spans="4:16" x14ac:dyDescent="0.25">
      <c r="D2075" s="36" t="str" cm="1">
        <f t="array" aca="1" ref="D2075" ca="1">IFERROR(IF(INDIRECT("'"&amp;F2075&amp;"'!$C$5")&gt;0,DATE(YEAR(Dashboard!$AL$2),Dashboard!$AU$4,INDIRECT("'"&amp;F2075&amp;"'!$C$5")),""),"")</f>
        <v/>
      </c>
      <c r="G2075" s="38" t="str" cm="1">
        <f t="array" aca="1" ref="G2075" ca="1">IF(F2075="",
    "",
    IFERROR(
        IF(INDIRECT("'"&amp;F2075&amp;"'!$B$2")="Credit Limit",
            "Credit Accounts",
            IF(INDIRECT("'"&amp;F2075&amp;"'!$E$2")="Location",
                "Cash Accounts",
                IF(INDIRECT("'"&amp;F2075&amp;"'!$B$2")="Amount",
                    "Investments",
                    "Bill Accounts"
                )
            )
        ),
    "")
)</f>
        <v/>
      </c>
      <c r="I2075" s="46" t="str" cm="1">
        <f t="array" aca="1" ref="I2075" ca="1">IF(F2075&lt;&gt;"",IF(OR(G2075="Bill Accounts",G2075="Investments", G2075="Cash Accounts"),INDIRECT("'"&amp;F2075&amp;"'!$C$10"),INDIRECT("'"&amp;F2075&amp;"'!$C$8")),"")</f>
        <v/>
      </c>
      <c r="K2075" s="48">
        <f t="shared" si="99"/>
        <v>2081</v>
      </c>
      <c r="L2075" s="114" t="str" cm="1">
        <f t="array" aca="1" ref="L2075" ca="1">IF(F2075&lt;&gt;"",INDIRECT("'"&amp;F2075&amp;"'!$F$17"),"")</f>
        <v/>
      </c>
      <c r="M2075" s="116" t="str">
        <f t="shared" ca="1" si="97"/>
        <v/>
      </c>
      <c r="O2075" s="49" t="str">
        <f t="shared" ca="1" si="98"/>
        <v/>
      </c>
      <c r="P2075" s="38" t="str">
        <f>IF(E2075&lt;&gt;"",RANK(E2075,$E$3:$E$2298)+COUNTIF($E$3:E2075,E2075)-1,"")</f>
        <v/>
      </c>
    </row>
    <row r="2076" spans="4:16" x14ac:dyDescent="0.25">
      <c r="D2076" s="36" t="str" cm="1">
        <f t="array" aca="1" ref="D2076" ca="1">IFERROR(IF(INDIRECT("'"&amp;F2076&amp;"'!$C$5")&gt;0,DATE(YEAR(Dashboard!$AL$2),Dashboard!$AU$4,INDIRECT("'"&amp;F2076&amp;"'!$C$5")),""),"")</f>
        <v/>
      </c>
      <c r="G2076" s="38" t="str" cm="1">
        <f t="array" aca="1" ref="G2076" ca="1">IF(F2076="",
    "",
    IFERROR(
        IF(INDIRECT("'"&amp;F2076&amp;"'!$B$2")="Credit Limit",
            "Credit Accounts",
            IF(INDIRECT("'"&amp;F2076&amp;"'!$E$2")="Location",
                "Cash Accounts",
                IF(INDIRECT("'"&amp;F2076&amp;"'!$B$2")="Amount",
                    "Investments",
                    "Bill Accounts"
                )
            )
        ),
    "")
)</f>
        <v/>
      </c>
      <c r="I2076" s="46" t="str" cm="1">
        <f t="array" aca="1" ref="I2076" ca="1">IF(F2076&lt;&gt;"",IF(OR(G2076="Bill Accounts",G2076="Investments", G2076="Cash Accounts"),INDIRECT("'"&amp;F2076&amp;"'!$C$10"),INDIRECT("'"&amp;F2076&amp;"'!$C$8")),"")</f>
        <v/>
      </c>
      <c r="K2076" s="48">
        <f t="shared" si="99"/>
        <v>2082</v>
      </c>
      <c r="L2076" s="114" t="str" cm="1">
        <f t="array" aca="1" ref="L2076" ca="1">IF(F2076&lt;&gt;"",INDIRECT("'"&amp;F2076&amp;"'!$F$17"),"")</f>
        <v/>
      </c>
      <c r="M2076" s="116" t="str">
        <f t="shared" ca="1" si="97"/>
        <v/>
      </c>
      <c r="O2076" s="49" t="str">
        <f t="shared" ca="1" si="98"/>
        <v/>
      </c>
      <c r="P2076" s="38" t="str">
        <f>IF(E2076&lt;&gt;"",RANK(E2076,$E$3:$E$2298)+COUNTIF($E$3:E2076,E2076)-1,"")</f>
        <v/>
      </c>
    </row>
    <row r="2077" spans="4:16" x14ac:dyDescent="0.25">
      <c r="D2077" s="36" t="str" cm="1">
        <f t="array" aca="1" ref="D2077" ca="1">IFERROR(IF(INDIRECT("'"&amp;F2077&amp;"'!$C$5")&gt;0,DATE(YEAR(Dashboard!$AL$2),Dashboard!$AU$4,INDIRECT("'"&amp;F2077&amp;"'!$C$5")),""),"")</f>
        <v/>
      </c>
      <c r="G2077" s="38" t="str" cm="1">
        <f t="array" aca="1" ref="G2077" ca="1">IF(F2077="",
    "",
    IFERROR(
        IF(INDIRECT("'"&amp;F2077&amp;"'!$B$2")="Credit Limit",
            "Credit Accounts",
            IF(INDIRECT("'"&amp;F2077&amp;"'!$E$2")="Location",
                "Cash Accounts",
                IF(INDIRECT("'"&amp;F2077&amp;"'!$B$2")="Amount",
                    "Investments",
                    "Bill Accounts"
                )
            )
        ),
    "")
)</f>
        <v/>
      </c>
      <c r="I2077" s="46" t="str" cm="1">
        <f t="array" aca="1" ref="I2077" ca="1">IF(F2077&lt;&gt;"",IF(OR(G2077="Bill Accounts",G2077="Investments", G2077="Cash Accounts"),INDIRECT("'"&amp;F2077&amp;"'!$C$10"),INDIRECT("'"&amp;F2077&amp;"'!$C$8")),"")</f>
        <v/>
      </c>
      <c r="K2077" s="48">
        <f t="shared" si="99"/>
        <v>2083</v>
      </c>
      <c r="L2077" s="114" t="str" cm="1">
        <f t="array" aca="1" ref="L2077" ca="1">IF(F2077&lt;&gt;"",INDIRECT("'"&amp;F2077&amp;"'!$F$17"),"")</f>
        <v/>
      </c>
      <c r="M2077" s="116" t="str">
        <f t="shared" ca="1" si="97"/>
        <v/>
      </c>
      <c r="O2077" s="49" t="str">
        <f t="shared" ca="1" si="98"/>
        <v/>
      </c>
      <c r="P2077" s="38" t="str">
        <f>IF(E2077&lt;&gt;"",RANK(E2077,$E$3:$E$2298)+COUNTIF($E$3:E2077,E2077)-1,"")</f>
        <v/>
      </c>
    </row>
    <row r="2078" spans="4:16" x14ac:dyDescent="0.25">
      <c r="D2078" s="36" t="str" cm="1">
        <f t="array" aca="1" ref="D2078" ca="1">IFERROR(IF(INDIRECT("'"&amp;F2078&amp;"'!$C$5")&gt;0,DATE(YEAR(Dashboard!$AL$2),Dashboard!$AU$4,INDIRECT("'"&amp;F2078&amp;"'!$C$5")),""),"")</f>
        <v/>
      </c>
      <c r="G2078" s="38" t="str" cm="1">
        <f t="array" aca="1" ref="G2078" ca="1">IF(F2078="",
    "",
    IFERROR(
        IF(INDIRECT("'"&amp;F2078&amp;"'!$B$2")="Credit Limit",
            "Credit Accounts",
            IF(INDIRECT("'"&amp;F2078&amp;"'!$E$2")="Location",
                "Cash Accounts",
                IF(INDIRECT("'"&amp;F2078&amp;"'!$B$2")="Amount",
                    "Investments",
                    "Bill Accounts"
                )
            )
        ),
    "")
)</f>
        <v/>
      </c>
      <c r="I2078" s="46" t="str" cm="1">
        <f t="array" aca="1" ref="I2078" ca="1">IF(F2078&lt;&gt;"",IF(OR(G2078="Bill Accounts",G2078="Investments", G2078="Cash Accounts"),INDIRECT("'"&amp;F2078&amp;"'!$C$10"),INDIRECT("'"&amp;F2078&amp;"'!$C$8")),"")</f>
        <v/>
      </c>
      <c r="K2078" s="48">
        <f t="shared" si="99"/>
        <v>2084</v>
      </c>
      <c r="L2078" s="114" t="str" cm="1">
        <f t="array" aca="1" ref="L2078" ca="1">IF(F2078&lt;&gt;"",INDIRECT("'"&amp;F2078&amp;"'!$F$17"),"")</f>
        <v/>
      </c>
      <c r="M2078" s="116" t="str">
        <f t="shared" ca="1" si="97"/>
        <v/>
      </c>
      <c r="O2078" s="49" t="str">
        <f t="shared" ca="1" si="98"/>
        <v/>
      </c>
      <c r="P2078" s="38" t="str">
        <f>IF(E2078&lt;&gt;"",RANK(E2078,$E$3:$E$2298)+COUNTIF($E$3:E2078,E2078)-1,"")</f>
        <v/>
      </c>
    </row>
    <row r="2079" spans="4:16" x14ac:dyDescent="0.25">
      <c r="D2079" s="36" t="str" cm="1">
        <f t="array" aca="1" ref="D2079" ca="1">IFERROR(IF(INDIRECT("'"&amp;F2079&amp;"'!$C$5")&gt;0,DATE(YEAR(Dashboard!$AL$2),Dashboard!$AU$4,INDIRECT("'"&amp;F2079&amp;"'!$C$5")),""),"")</f>
        <v/>
      </c>
      <c r="G2079" s="38" t="str" cm="1">
        <f t="array" aca="1" ref="G2079" ca="1">IF(F2079="",
    "",
    IFERROR(
        IF(INDIRECT("'"&amp;F2079&amp;"'!$B$2")="Credit Limit",
            "Credit Accounts",
            IF(INDIRECT("'"&amp;F2079&amp;"'!$E$2")="Location",
                "Cash Accounts",
                IF(INDIRECT("'"&amp;F2079&amp;"'!$B$2")="Amount",
                    "Investments",
                    "Bill Accounts"
                )
            )
        ),
    "")
)</f>
        <v/>
      </c>
      <c r="I2079" s="46" t="str" cm="1">
        <f t="array" aca="1" ref="I2079" ca="1">IF(F2079&lt;&gt;"",IF(OR(G2079="Bill Accounts",G2079="Investments", G2079="Cash Accounts"),INDIRECT("'"&amp;F2079&amp;"'!$C$10"),INDIRECT("'"&amp;F2079&amp;"'!$C$8")),"")</f>
        <v/>
      </c>
      <c r="K2079" s="48">
        <f t="shared" si="99"/>
        <v>2085</v>
      </c>
      <c r="L2079" s="114" t="str" cm="1">
        <f t="array" aca="1" ref="L2079" ca="1">IF(F2079&lt;&gt;"",INDIRECT("'"&amp;F2079&amp;"'!$F$17"),"")</f>
        <v/>
      </c>
      <c r="M2079" s="116" t="str">
        <f t="shared" ca="1" si="97"/>
        <v/>
      </c>
      <c r="O2079" s="49" t="str">
        <f t="shared" ca="1" si="98"/>
        <v/>
      </c>
      <c r="P2079" s="38" t="str">
        <f>IF(E2079&lt;&gt;"",RANK(E2079,$E$3:$E$2298)+COUNTIF($E$3:E2079,E2079)-1,"")</f>
        <v/>
      </c>
    </row>
    <row r="2080" spans="4:16" x14ac:dyDescent="0.25">
      <c r="D2080" s="36" t="str" cm="1">
        <f t="array" aca="1" ref="D2080" ca="1">IFERROR(IF(INDIRECT("'"&amp;F2080&amp;"'!$C$5")&gt;0,DATE(YEAR(Dashboard!$AL$2),Dashboard!$AU$4,INDIRECT("'"&amp;F2080&amp;"'!$C$5")),""),"")</f>
        <v/>
      </c>
      <c r="G2080" s="38" t="str" cm="1">
        <f t="array" aca="1" ref="G2080" ca="1">IF(F2080="",
    "",
    IFERROR(
        IF(INDIRECT("'"&amp;F2080&amp;"'!$B$2")="Credit Limit",
            "Credit Accounts",
            IF(INDIRECT("'"&amp;F2080&amp;"'!$E$2")="Location",
                "Cash Accounts",
                IF(INDIRECT("'"&amp;F2080&amp;"'!$B$2")="Amount",
                    "Investments",
                    "Bill Accounts"
                )
            )
        ),
    "")
)</f>
        <v/>
      </c>
      <c r="I2080" s="46" t="str" cm="1">
        <f t="array" aca="1" ref="I2080" ca="1">IF(F2080&lt;&gt;"",IF(OR(G2080="Bill Accounts",G2080="Investments", G2080="Cash Accounts"),INDIRECT("'"&amp;F2080&amp;"'!$C$10"),INDIRECT("'"&amp;F2080&amp;"'!$C$8")),"")</f>
        <v/>
      </c>
      <c r="K2080" s="48">
        <f t="shared" si="99"/>
        <v>2086</v>
      </c>
      <c r="L2080" s="114" t="str" cm="1">
        <f t="array" aca="1" ref="L2080" ca="1">IF(F2080&lt;&gt;"",INDIRECT("'"&amp;F2080&amp;"'!$F$17"),"")</f>
        <v/>
      </c>
      <c r="M2080" s="116" t="str">
        <f t="shared" ca="1" si="97"/>
        <v/>
      </c>
      <c r="O2080" s="49" t="str">
        <f t="shared" ca="1" si="98"/>
        <v/>
      </c>
      <c r="P2080" s="38" t="str">
        <f>IF(E2080&lt;&gt;"",RANK(E2080,$E$3:$E$2298)+COUNTIF($E$3:E2080,E2080)-1,"")</f>
        <v/>
      </c>
    </row>
    <row r="2081" spans="4:16" x14ac:dyDescent="0.25">
      <c r="D2081" s="36" t="str" cm="1">
        <f t="array" aca="1" ref="D2081" ca="1">IFERROR(IF(INDIRECT("'"&amp;F2081&amp;"'!$C$5")&gt;0,DATE(YEAR(Dashboard!$AL$2),Dashboard!$AU$4,INDIRECT("'"&amp;F2081&amp;"'!$C$5")),""),"")</f>
        <v/>
      </c>
      <c r="G2081" s="38" t="str" cm="1">
        <f t="array" aca="1" ref="G2081" ca="1">IF(F2081="",
    "",
    IFERROR(
        IF(INDIRECT("'"&amp;F2081&amp;"'!$B$2")="Credit Limit",
            "Credit Accounts",
            IF(INDIRECT("'"&amp;F2081&amp;"'!$E$2")="Location",
                "Cash Accounts",
                IF(INDIRECT("'"&amp;F2081&amp;"'!$B$2")="Amount",
                    "Investments",
                    "Bill Accounts"
                )
            )
        ),
    "")
)</f>
        <v/>
      </c>
      <c r="I2081" s="46" t="str" cm="1">
        <f t="array" aca="1" ref="I2081" ca="1">IF(F2081&lt;&gt;"",IF(OR(G2081="Bill Accounts",G2081="Investments", G2081="Cash Accounts"),INDIRECT("'"&amp;F2081&amp;"'!$C$10"),INDIRECT("'"&amp;F2081&amp;"'!$C$8")),"")</f>
        <v/>
      </c>
      <c r="K2081" s="48">
        <f t="shared" si="99"/>
        <v>2087</v>
      </c>
      <c r="L2081" s="114" t="str" cm="1">
        <f t="array" aca="1" ref="L2081" ca="1">IF(F2081&lt;&gt;"",INDIRECT("'"&amp;F2081&amp;"'!$F$17"),"")</f>
        <v/>
      </c>
      <c r="M2081" s="116" t="str">
        <f t="shared" ca="1" si="97"/>
        <v/>
      </c>
      <c r="O2081" s="49" t="str">
        <f t="shared" ca="1" si="98"/>
        <v/>
      </c>
      <c r="P2081" s="38" t="str">
        <f>IF(E2081&lt;&gt;"",RANK(E2081,$E$3:$E$2298)+COUNTIF($E$3:E2081,E2081)-1,"")</f>
        <v/>
      </c>
    </row>
    <row r="2082" spans="4:16" x14ac:dyDescent="0.25">
      <c r="D2082" s="36" t="str" cm="1">
        <f t="array" aca="1" ref="D2082" ca="1">IFERROR(IF(INDIRECT("'"&amp;F2082&amp;"'!$C$5")&gt;0,DATE(YEAR(Dashboard!$AL$2),Dashboard!$AU$4,INDIRECT("'"&amp;F2082&amp;"'!$C$5")),""),"")</f>
        <v/>
      </c>
      <c r="G2082" s="38" t="str" cm="1">
        <f t="array" aca="1" ref="G2082" ca="1">IF(F2082="",
    "",
    IFERROR(
        IF(INDIRECT("'"&amp;F2082&amp;"'!$B$2")="Credit Limit",
            "Credit Accounts",
            IF(INDIRECT("'"&amp;F2082&amp;"'!$E$2")="Location",
                "Cash Accounts",
                IF(INDIRECT("'"&amp;F2082&amp;"'!$B$2")="Amount",
                    "Investments",
                    "Bill Accounts"
                )
            )
        ),
    "")
)</f>
        <v/>
      </c>
      <c r="I2082" s="46" t="str" cm="1">
        <f t="array" aca="1" ref="I2082" ca="1">IF(F2082&lt;&gt;"",IF(OR(G2082="Bill Accounts",G2082="Investments", G2082="Cash Accounts"),INDIRECT("'"&amp;F2082&amp;"'!$C$10"),INDIRECT("'"&amp;F2082&amp;"'!$C$8")),"")</f>
        <v/>
      </c>
      <c r="K2082" s="48">
        <f t="shared" si="99"/>
        <v>2088</v>
      </c>
      <c r="L2082" s="114" t="str" cm="1">
        <f t="array" aca="1" ref="L2082" ca="1">IF(F2082&lt;&gt;"",INDIRECT("'"&amp;F2082&amp;"'!$F$17"),"")</f>
        <v/>
      </c>
      <c r="M2082" s="116" t="str">
        <f t="shared" ca="1" si="97"/>
        <v/>
      </c>
      <c r="O2082" s="49" t="str">
        <f t="shared" ca="1" si="98"/>
        <v/>
      </c>
      <c r="P2082" s="38" t="str">
        <f>IF(E2082&lt;&gt;"",RANK(E2082,$E$3:$E$2298)+COUNTIF($E$3:E2082,E2082)-1,"")</f>
        <v/>
      </c>
    </row>
    <row r="2083" spans="4:16" x14ac:dyDescent="0.25">
      <c r="D2083" s="36" t="str" cm="1">
        <f t="array" aca="1" ref="D2083" ca="1">IFERROR(IF(INDIRECT("'"&amp;F2083&amp;"'!$C$5")&gt;0,DATE(YEAR(Dashboard!$AL$2),Dashboard!$AU$4,INDIRECT("'"&amp;F2083&amp;"'!$C$5")),""),"")</f>
        <v/>
      </c>
      <c r="G2083" s="38" t="str" cm="1">
        <f t="array" aca="1" ref="G2083" ca="1">IF(F2083="",
    "",
    IFERROR(
        IF(INDIRECT("'"&amp;F2083&amp;"'!$B$2")="Credit Limit",
            "Credit Accounts",
            IF(INDIRECT("'"&amp;F2083&amp;"'!$E$2")="Location",
                "Cash Accounts",
                IF(INDIRECT("'"&amp;F2083&amp;"'!$B$2")="Amount",
                    "Investments",
                    "Bill Accounts"
                )
            )
        ),
    "")
)</f>
        <v/>
      </c>
      <c r="I2083" s="46" t="str" cm="1">
        <f t="array" aca="1" ref="I2083" ca="1">IF(F2083&lt;&gt;"",IF(OR(G2083="Bill Accounts",G2083="Investments", G2083="Cash Accounts"),INDIRECT("'"&amp;F2083&amp;"'!$C$10"),INDIRECT("'"&amp;F2083&amp;"'!$C$8")),"")</f>
        <v/>
      </c>
      <c r="K2083" s="48">
        <f t="shared" si="99"/>
        <v>2089</v>
      </c>
      <c r="L2083" s="114" t="str" cm="1">
        <f t="array" aca="1" ref="L2083" ca="1">IF(F2083&lt;&gt;"",INDIRECT("'"&amp;F2083&amp;"'!$F$17"),"")</f>
        <v/>
      </c>
      <c r="M2083" s="116" t="str">
        <f t="shared" ca="1" si="97"/>
        <v/>
      </c>
      <c r="O2083" s="49" t="str">
        <f t="shared" ca="1" si="98"/>
        <v/>
      </c>
      <c r="P2083" s="38" t="str">
        <f>IF(E2083&lt;&gt;"",RANK(E2083,$E$3:$E$2298)+COUNTIF($E$3:E2083,E2083)-1,"")</f>
        <v/>
      </c>
    </row>
    <row r="2084" spans="4:16" x14ac:dyDescent="0.25">
      <c r="D2084" s="36" t="str" cm="1">
        <f t="array" aca="1" ref="D2084" ca="1">IFERROR(IF(INDIRECT("'"&amp;F2084&amp;"'!$C$5")&gt;0,DATE(YEAR(Dashboard!$AL$2),Dashboard!$AU$4,INDIRECT("'"&amp;F2084&amp;"'!$C$5")),""),"")</f>
        <v/>
      </c>
      <c r="G2084" s="38" t="str" cm="1">
        <f t="array" aca="1" ref="G2084" ca="1">IF(F2084="",
    "",
    IFERROR(
        IF(INDIRECT("'"&amp;F2084&amp;"'!$B$2")="Credit Limit",
            "Credit Accounts",
            IF(INDIRECT("'"&amp;F2084&amp;"'!$E$2")="Location",
                "Cash Accounts",
                IF(INDIRECT("'"&amp;F2084&amp;"'!$B$2")="Amount",
                    "Investments",
                    "Bill Accounts"
                )
            )
        ),
    "")
)</f>
        <v/>
      </c>
      <c r="I2084" s="46" t="str" cm="1">
        <f t="array" aca="1" ref="I2084" ca="1">IF(F2084&lt;&gt;"",IF(OR(G2084="Bill Accounts",G2084="Investments", G2084="Cash Accounts"),INDIRECT("'"&amp;F2084&amp;"'!$C$10"),INDIRECT("'"&amp;F2084&amp;"'!$C$8")),"")</f>
        <v/>
      </c>
      <c r="K2084" s="48">
        <f t="shared" si="99"/>
        <v>2090</v>
      </c>
      <c r="L2084" s="114" t="str" cm="1">
        <f t="array" aca="1" ref="L2084" ca="1">IF(F2084&lt;&gt;"",INDIRECT("'"&amp;F2084&amp;"'!$F$17"),"")</f>
        <v/>
      </c>
      <c r="M2084" s="116" t="str">
        <f t="shared" ca="1" si="97"/>
        <v/>
      </c>
      <c r="O2084" s="49" t="str">
        <f t="shared" ca="1" si="98"/>
        <v/>
      </c>
      <c r="P2084" s="38" t="str">
        <f>IF(E2084&lt;&gt;"",RANK(E2084,$E$3:$E$2298)+COUNTIF($E$3:E2084,E2084)-1,"")</f>
        <v/>
      </c>
    </row>
    <row r="2085" spans="4:16" x14ac:dyDescent="0.25">
      <c r="D2085" s="36" t="str" cm="1">
        <f t="array" aca="1" ref="D2085" ca="1">IFERROR(IF(INDIRECT("'"&amp;F2085&amp;"'!$C$5")&gt;0,DATE(YEAR(Dashboard!$AL$2),Dashboard!$AU$4,INDIRECT("'"&amp;F2085&amp;"'!$C$5")),""),"")</f>
        <v/>
      </c>
      <c r="G2085" s="38" t="str" cm="1">
        <f t="array" aca="1" ref="G2085" ca="1">IF(F2085="",
    "",
    IFERROR(
        IF(INDIRECT("'"&amp;F2085&amp;"'!$B$2")="Credit Limit",
            "Credit Accounts",
            IF(INDIRECT("'"&amp;F2085&amp;"'!$E$2")="Location",
                "Cash Accounts",
                IF(INDIRECT("'"&amp;F2085&amp;"'!$B$2")="Amount",
                    "Investments",
                    "Bill Accounts"
                )
            )
        ),
    "")
)</f>
        <v/>
      </c>
      <c r="I2085" s="46" t="str" cm="1">
        <f t="array" aca="1" ref="I2085" ca="1">IF(F2085&lt;&gt;"",IF(OR(G2085="Bill Accounts",G2085="Investments", G2085="Cash Accounts"),INDIRECT("'"&amp;F2085&amp;"'!$C$10"),INDIRECT("'"&amp;F2085&amp;"'!$C$8")),"")</f>
        <v/>
      </c>
      <c r="K2085" s="48">
        <f t="shared" si="99"/>
        <v>2091</v>
      </c>
      <c r="L2085" s="114" t="str" cm="1">
        <f t="array" aca="1" ref="L2085" ca="1">IF(F2085&lt;&gt;"",INDIRECT("'"&amp;F2085&amp;"'!$F$17"),"")</f>
        <v/>
      </c>
      <c r="M2085" s="116" t="str">
        <f t="shared" ca="1" si="97"/>
        <v/>
      </c>
      <c r="O2085" s="49" t="str">
        <f t="shared" ca="1" si="98"/>
        <v/>
      </c>
      <c r="P2085" s="38" t="str">
        <f>IF(E2085&lt;&gt;"",RANK(E2085,$E$3:$E$2298)+COUNTIF($E$3:E2085,E2085)-1,"")</f>
        <v/>
      </c>
    </row>
    <row r="2086" spans="4:16" x14ac:dyDescent="0.25">
      <c r="D2086" s="36" t="str" cm="1">
        <f t="array" aca="1" ref="D2086" ca="1">IFERROR(IF(INDIRECT("'"&amp;F2086&amp;"'!$C$5")&gt;0,DATE(YEAR(Dashboard!$AL$2),Dashboard!$AU$4,INDIRECT("'"&amp;F2086&amp;"'!$C$5")),""),"")</f>
        <v/>
      </c>
      <c r="G2086" s="38" t="str" cm="1">
        <f t="array" aca="1" ref="G2086" ca="1">IF(F2086="",
    "",
    IFERROR(
        IF(INDIRECT("'"&amp;F2086&amp;"'!$B$2")="Credit Limit",
            "Credit Accounts",
            IF(INDIRECT("'"&amp;F2086&amp;"'!$E$2")="Location",
                "Cash Accounts",
                IF(INDIRECT("'"&amp;F2086&amp;"'!$B$2")="Amount",
                    "Investments",
                    "Bill Accounts"
                )
            )
        ),
    "")
)</f>
        <v/>
      </c>
      <c r="I2086" s="46" t="str" cm="1">
        <f t="array" aca="1" ref="I2086" ca="1">IF(F2086&lt;&gt;"",IF(OR(G2086="Bill Accounts",G2086="Investments", G2086="Cash Accounts"),INDIRECT("'"&amp;F2086&amp;"'!$C$10"),INDIRECT("'"&amp;F2086&amp;"'!$C$8")),"")</f>
        <v/>
      </c>
      <c r="K2086" s="48">
        <f t="shared" si="99"/>
        <v>2092</v>
      </c>
      <c r="L2086" s="114" t="str" cm="1">
        <f t="array" aca="1" ref="L2086" ca="1">IF(F2086&lt;&gt;"",INDIRECT("'"&amp;F2086&amp;"'!$F$17"),"")</f>
        <v/>
      </c>
      <c r="M2086" s="116" t="str">
        <f t="shared" ca="1" si="97"/>
        <v/>
      </c>
      <c r="O2086" s="49" t="str">
        <f t="shared" ca="1" si="98"/>
        <v/>
      </c>
      <c r="P2086" s="38" t="str">
        <f>IF(E2086&lt;&gt;"",RANK(E2086,$E$3:$E$2298)+COUNTIF($E$3:E2086,E2086)-1,"")</f>
        <v/>
      </c>
    </row>
    <row r="2087" spans="4:16" x14ac:dyDescent="0.25">
      <c r="D2087" s="36" t="str" cm="1">
        <f t="array" aca="1" ref="D2087" ca="1">IFERROR(IF(INDIRECT("'"&amp;F2087&amp;"'!$C$5")&gt;0,DATE(YEAR(Dashboard!$AL$2),Dashboard!$AU$4,INDIRECT("'"&amp;F2087&amp;"'!$C$5")),""),"")</f>
        <v/>
      </c>
      <c r="G2087" s="38" t="str" cm="1">
        <f t="array" aca="1" ref="G2087" ca="1">IF(F2087="",
    "",
    IFERROR(
        IF(INDIRECT("'"&amp;F2087&amp;"'!$B$2")="Credit Limit",
            "Credit Accounts",
            IF(INDIRECT("'"&amp;F2087&amp;"'!$E$2")="Location",
                "Cash Accounts",
                IF(INDIRECT("'"&amp;F2087&amp;"'!$B$2")="Amount",
                    "Investments",
                    "Bill Accounts"
                )
            )
        ),
    "")
)</f>
        <v/>
      </c>
      <c r="I2087" s="46" t="str" cm="1">
        <f t="array" aca="1" ref="I2087" ca="1">IF(F2087&lt;&gt;"",IF(OR(G2087="Bill Accounts",G2087="Investments", G2087="Cash Accounts"),INDIRECT("'"&amp;F2087&amp;"'!$C$10"),INDIRECT("'"&amp;F2087&amp;"'!$C$8")),"")</f>
        <v/>
      </c>
      <c r="K2087" s="48">
        <f t="shared" si="99"/>
        <v>2093</v>
      </c>
      <c r="L2087" s="114" t="str" cm="1">
        <f t="array" aca="1" ref="L2087" ca="1">IF(F2087&lt;&gt;"",INDIRECT("'"&amp;F2087&amp;"'!$F$17"),"")</f>
        <v/>
      </c>
      <c r="M2087" s="116" t="str">
        <f t="shared" ca="1" si="97"/>
        <v/>
      </c>
      <c r="O2087" s="49" t="str">
        <f t="shared" ca="1" si="98"/>
        <v/>
      </c>
      <c r="P2087" s="38" t="str">
        <f>IF(E2087&lt;&gt;"",RANK(E2087,$E$3:$E$2298)+COUNTIF($E$3:E2087,E2087)-1,"")</f>
        <v/>
      </c>
    </row>
    <row r="2088" spans="4:16" x14ac:dyDescent="0.25">
      <c r="D2088" s="36" t="str" cm="1">
        <f t="array" aca="1" ref="D2088" ca="1">IFERROR(IF(INDIRECT("'"&amp;F2088&amp;"'!$C$5")&gt;0,DATE(YEAR(Dashboard!$AL$2),Dashboard!$AU$4,INDIRECT("'"&amp;F2088&amp;"'!$C$5")),""),"")</f>
        <v/>
      </c>
      <c r="G2088" s="38" t="str" cm="1">
        <f t="array" aca="1" ref="G2088" ca="1">IF(F2088="",
    "",
    IFERROR(
        IF(INDIRECT("'"&amp;F2088&amp;"'!$B$2")="Credit Limit",
            "Credit Accounts",
            IF(INDIRECT("'"&amp;F2088&amp;"'!$E$2")="Location",
                "Cash Accounts",
                IF(INDIRECT("'"&amp;F2088&amp;"'!$B$2")="Amount",
                    "Investments",
                    "Bill Accounts"
                )
            )
        ),
    "")
)</f>
        <v/>
      </c>
      <c r="I2088" s="46" t="str" cm="1">
        <f t="array" aca="1" ref="I2088" ca="1">IF(F2088&lt;&gt;"",IF(OR(G2088="Bill Accounts",G2088="Investments", G2088="Cash Accounts"),INDIRECT("'"&amp;F2088&amp;"'!$C$10"),INDIRECT("'"&amp;F2088&amp;"'!$C$8")),"")</f>
        <v/>
      </c>
      <c r="K2088" s="48">
        <f t="shared" si="99"/>
        <v>2094</v>
      </c>
      <c r="L2088" s="114" t="str" cm="1">
        <f t="array" aca="1" ref="L2088" ca="1">IF(F2088&lt;&gt;"",INDIRECT("'"&amp;F2088&amp;"'!$F$17"),"")</f>
        <v/>
      </c>
      <c r="M2088" s="116" t="str">
        <f t="shared" ca="1" si="97"/>
        <v/>
      </c>
      <c r="O2088" s="49" t="str">
        <f t="shared" ca="1" si="98"/>
        <v/>
      </c>
      <c r="P2088" s="38" t="str">
        <f>IF(E2088&lt;&gt;"",RANK(E2088,$E$3:$E$2298)+COUNTIF($E$3:E2088,E2088)-1,"")</f>
        <v/>
      </c>
    </row>
    <row r="2089" spans="4:16" x14ac:dyDescent="0.25">
      <c r="D2089" s="36" t="str" cm="1">
        <f t="array" aca="1" ref="D2089" ca="1">IFERROR(IF(INDIRECT("'"&amp;F2089&amp;"'!$C$5")&gt;0,DATE(YEAR(Dashboard!$AL$2),Dashboard!$AU$4,INDIRECT("'"&amp;F2089&amp;"'!$C$5")),""),"")</f>
        <v/>
      </c>
      <c r="G2089" s="38" t="str" cm="1">
        <f t="array" aca="1" ref="G2089" ca="1">IF(F2089="",
    "",
    IFERROR(
        IF(INDIRECT("'"&amp;F2089&amp;"'!$B$2")="Credit Limit",
            "Credit Accounts",
            IF(INDIRECT("'"&amp;F2089&amp;"'!$E$2")="Location",
                "Cash Accounts",
                IF(INDIRECT("'"&amp;F2089&amp;"'!$B$2")="Amount",
                    "Investments",
                    "Bill Accounts"
                )
            )
        ),
    "")
)</f>
        <v/>
      </c>
      <c r="I2089" s="46" t="str" cm="1">
        <f t="array" aca="1" ref="I2089" ca="1">IF(F2089&lt;&gt;"",IF(OR(G2089="Bill Accounts",G2089="Investments", G2089="Cash Accounts"),INDIRECT("'"&amp;F2089&amp;"'!$C$10"),INDIRECT("'"&amp;F2089&amp;"'!$C$8")),"")</f>
        <v/>
      </c>
      <c r="K2089" s="48">
        <f t="shared" si="99"/>
        <v>2095</v>
      </c>
      <c r="L2089" s="114" t="str" cm="1">
        <f t="array" aca="1" ref="L2089" ca="1">IF(F2089&lt;&gt;"",INDIRECT("'"&amp;F2089&amp;"'!$F$17"),"")</f>
        <v/>
      </c>
      <c r="M2089" s="116" t="str">
        <f t="shared" ca="1" si="97"/>
        <v/>
      </c>
      <c r="O2089" s="49" t="str">
        <f t="shared" ca="1" si="98"/>
        <v/>
      </c>
      <c r="P2089" s="38" t="str">
        <f>IF(E2089&lt;&gt;"",RANK(E2089,$E$3:$E$2298)+COUNTIF($E$3:E2089,E2089)-1,"")</f>
        <v/>
      </c>
    </row>
    <row r="2090" spans="4:16" x14ac:dyDescent="0.25">
      <c r="D2090" s="36" t="str" cm="1">
        <f t="array" aca="1" ref="D2090" ca="1">IFERROR(IF(INDIRECT("'"&amp;F2090&amp;"'!$C$5")&gt;0,DATE(YEAR(Dashboard!$AL$2),Dashboard!$AU$4,INDIRECT("'"&amp;F2090&amp;"'!$C$5")),""),"")</f>
        <v/>
      </c>
      <c r="G2090" s="38" t="str" cm="1">
        <f t="array" aca="1" ref="G2090" ca="1">IF(F2090="",
    "",
    IFERROR(
        IF(INDIRECT("'"&amp;F2090&amp;"'!$B$2")="Credit Limit",
            "Credit Accounts",
            IF(INDIRECT("'"&amp;F2090&amp;"'!$E$2")="Location",
                "Cash Accounts",
                IF(INDIRECT("'"&amp;F2090&amp;"'!$B$2")="Amount",
                    "Investments",
                    "Bill Accounts"
                )
            )
        ),
    "")
)</f>
        <v/>
      </c>
      <c r="I2090" s="46" t="str" cm="1">
        <f t="array" aca="1" ref="I2090" ca="1">IF(F2090&lt;&gt;"",IF(OR(G2090="Bill Accounts",G2090="Investments", G2090="Cash Accounts"),INDIRECT("'"&amp;F2090&amp;"'!$C$10"),INDIRECT("'"&amp;F2090&amp;"'!$C$8")),"")</f>
        <v/>
      </c>
      <c r="K2090" s="48">
        <f t="shared" si="99"/>
        <v>2096</v>
      </c>
      <c r="L2090" s="114" t="str" cm="1">
        <f t="array" aca="1" ref="L2090" ca="1">IF(F2090&lt;&gt;"",INDIRECT("'"&amp;F2090&amp;"'!$F$17"),"")</f>
        <v/>
      </c>
      <c r="M2090" s="116" t="str">
        <f t="shared" ca="1" si="97"/>
        <v/>
      </c>
      <c r="O2090" s="49" t="str">
        <f t="shared" ca="1" si="98"/>
        <v/>
      </c>
      <c r="P2090" s="38" t="str">
        <f>IF(E2090&lt;&gt;"",RANK(E2090,$E$3:$E$2298)+COUNTIF($E$3:E2090,E2090)-1,"")</f>
        <v/>
      </c>
    </row>
    <row r="2091" spans="4:16" x14ac:dyDescent="0.25">
      <c r="D2091" s="36" t="str" cm="1">
        <f t="array" aca="1" ref="D2091" ca="1">IFERROR(IF(INDIRECT("'"&amp;F2091&amp;"'!$C$5")&gt;0,DATE(YEAR(Dashboard!$AL$2),Dashboard!$AU$4,INDIRECT("'"&amp;F2091&amp;"'!$C$5")),""),"")</f>
        <v/>
      </c>
      <c r="G2091" s="38" t="str" cm="1">
        <f t="array" aca="1" ref="G2091" ca="1">IF(F2091="",
    "",
    IFERROR(
        IF(INDIRECT("'"&amp;F2091&amp;"'!$B$2")="Credit Limit",
            "Credit Accounts",
            IF(INDIRECT("'"&amp;F2091&amp;"'!$E$2")="Location",
                "Cash Accounts",
                IF(INDIRECT("'"&amp;F2091&amp;"'!$B$2")="Amount",
                    "Investments",
                    "Bill Accounts"
                )
            )
        ),
    "")
)</f>
        <v/>
      </c>
      <c r="I2091" s="46" t="str" cm="1">
        <f t="array" aca="1" ref="I2091" ca="1">IF(F2091&lt;&gt;"",IF(OR(G2091="Bill Accounts",G2091="Investments", G2091="Cash Accounts"),INDIRECT("'"&amp;F2091&amp;"'!$C$10"),INDIRECT("'"&amp;F2091&amp;"'!$C$8")),"")</f>
        <v/>
      </c>
      <c r="K2091" s="48">
        <f t="shared" si="99"/>
        <v>2097</v>
      </c>
      <c r="L2091" s="114" t="str" cm="1">
        <f t="array" aca="1" ref="L2091" ca="1">IF(F2091&lt;&gt;"",INDIRECT("'"&amp;F2091&amp;"'!$F$17"),"")</f>
        <v/>
      </c>
      <c r="M2091" s="116" t="str">
        <f t="shared" ca="1" si="97"/>
        <v/>
      </c>
      <c r="O2091" s="49" t="str">
        <f t="shared" ca="1" si="98"/>
        <v/>
      </c>
      <c r="P2091" s="38" t="str">
        <f>IF(E2091&lt;&gt;"",RANK(E2091,$E$3:$E$2298)+COUNTIF($E$3:E2091,E2091)-1,"")</f>
        <v/>
      </c>
    </row>
    <row r="2092" spans="4:16" x14ac:dyDescent="0.25">
      <c r="D2092" s="36" t="str" cm="1">
        <f t="array" aca="1" ref="D2092" ca="1">IFERROR(IF(INDIRECT("'"&amp;F2092&amp;"'!$C$5")&gt;0,DATE(YEAR(Dashboard!$AL$2),Dashboard!$AU$4,INDIRECT("'"&amp;F2092&amp;"'!$C$5")),""),"")</f>
        <v/>
      </c>
      <c r="G2092" s="38" t="str" cm="1">
        <f t="array" aca="1" ref="G2092" ca="1">IF(F2092="",
    "",
    IFERROR(
        IF(INDIRECT("'"&amp;F2092&amp;"'!$B$2")="Credit Limit",
            "Credit Accounts",
            IF(INDIRECT("'"&amp;F2092&amp;"'!$E$2")="Location",
                "Cash Accounts",
                IF(INDIRECT("'"&amp;F2092&amp;"'!$B$2")="Amount",
                    "Investments",
                    "Bill Accounts"
                )
            )
        ),
    "")
)</f>
        <v/>
      </c>
      <c r="I2092" s="46" t="str" cm="1">
        <f t="array" aca="1" ref="I2092" ca="1">IF(F2092&lt;&gt;"",IF(OR(G2092="Bill Accounts",G2092="Investments", G2092="Cash Accounts"),INDIRECT("'"&amp;F2092&amp;"'!$C$10"),INDIRECT("'"&amp;F2092&amp;"'!$C$8")),"")</f>
        <v/>
      </c>
      <c r="K2092" s="48">
        <f t="shared" si="99"/>
        <v>2098</v>
      </c>
      <c r="L2092" s="114" t="str" cm="1">
        <f t="array" aca="1" ref="L2092" ca="1">IF(F2092&lt;&gt;"",INDIRECT("'"&amp;F2092&amp;"'!$F$17"),"")</f>
        <v/>
      </c>
      <c r="M2092" s="116" t="str">
        <f t="shared" ca="1" si="97"/>
        <v/>
      </c>
      <c r="O2092" s="49" t="str">
        <f t="shared" ca="1" si="98"/>
        <v/>
      </c>
      <c r="P2092" s="38" t="str">
        <f>IF(E2092&lt;&gt;"",RANK(E2092,$E$3:$E$2298)+COUNTIF($E$3:E2092,E2092)-1,"")</f>
        <v/>
      </c>
    </row>
    <row r="2093" spans="4:16" x14ac:dyDescent="0.25">
      <c r="D2093" s="36" t="str" cm="1">
        <f t="array" aca="1" ref="D2093" ca="1">IFERROR(IF(INDIRECT("'"&amp;F2093&amp;"'!$C$5")&gt;0,DATE(YEAR(Dashboard!$AL$2),Dashboard!$AU$4,INDIRECT("'"&amp;F2093&amp;"'!$C$5")),""),"")</f>
        <v/>
      </c>
      <c r="G2093" s="38" t="str" cm="1">
        <f t="array" aca="1" ref="G2093" ca="1">IF(F2093="",
    "",
    IFERROR(
        IF(INDIRECT("'"&amp;F2093&amp;"'!$B$2")="Credit Limit",
            "Credit Accounts",
            IF(INDIRECT("'"&amp;F2093&amp;"'!$E$2")="Location",
                "Cash Accounts",
                IF(INDIRECT("'"&amp;F2093&amp;"'!$B$2")="Amount",
                    "Investments",
                    "Bill Accounts"
                )
            )
        ),
    "")
)</f>
        <v/>
      </c>
      <c r="I2093" s="46" t="str" cm="1">
        <f t="array" aca="1" ref="I2093" ca="1">IF(F2093&lt;&gt;"",IF(OR(G2093="Bill Accounts",G2093="Investments", G2093="Cash Accounts"),INDIRECT("'"&amp;F2093&amp;"'!$C$10"),INDIRECT("'"&amp;F2093&amp;"'!$C$8")),"")</f>
        <v/>
      </c>
      <c r="K2093" s="48">
        <f t="shared" si="99"/>
        <v>2099</v>
      </c>
      <c r="L2093" s="114" t="str" cm="1">
        <f t="array" aca="1" ref="L2093" ca="1">IF(F2093&lt;&gt;"",INDIRECT("'"&amp;F2093&amp;"'!$F$17"),"")</f>
        <v/>
      </c>
      <c r="M2093" s="116" t="str">
        <f t="shared" ca="1" si="97"/>
        <v/>
      </c>
      <c r="O2093" s="49" t="str">
        <f t="shared" ca="1" si="98"/>
        <v/>
      </c>
      <c r="P2093" s="38" t="str">
        <f>IF(E2093&lt;&gt;"",RANK(E2093,$E$3:$E$2298)+COUNTIF($E$3:E2093,E2093)-1,"")</f>
        <v/>
      </c>
    </row>
    <row r="2094" spans="4:16" x14ac:dyDescent="0.25">
      <c r="D2094" s="36" t="str" cm="1">
        <f t="array" aca="1" ref="D2094" ca="1">IFERROR(IF(INDIRECT("'"&amp;F2094&amp;"'!$C$5")&gt;0,DATE(YEAR(Dashboard!$AL$2),Dashboard!$AU$4,INDIRECT("'"&amp;F2094&amp;"'!$C$5")),""),"")</f>
        <v/>
      </c>
      <c r="G2094" s="38" t="str" cm="1">
        <f t="array" aca="1" ref="G2094" ca="1">IF(F2094="",
    "",
    IFERROR(
        IF(INDIRECT("'"&amp;F2094&amp;"'!$B$2")="Credit Limit",
            "Credit Accounts",
            IF(INDIRECT("'"&amp;F2094&amp;"'!$E$2")="Location",
                "Cash Accounts",
                IF(INDIRECT("'"&amp;F2094&amp;"'!$B$2")="Amount",
                    "Investments",
                    "Bill Accounts"
                )
            )
        ),
    "")
)</f>
        <v/>
      </c>
      <c r="I2094" s="46" t="str" cm="1">
        <f t="array" aca="1" ref="I2094" ca="1">IF(F2094&lt;&gt;"",IF(OR(G2094="Bill Accounts",G2094="Investments", G2094="Cash Accounts"),INDIRECT("'"&amp;F2094&amp;"'!$C$10"),INDIRECT("'"&amp;F2094&amp;"'!$C$8")),"")</f>
        <v/>
      </c>
      <c r="K2094" s="48">
        <f t="shared" si="99"/>
        <v>2100</v>
      </c>
      <c r="L2094" s="114" t="str" cm="1">
        <f t="array" aca="1" ref="L2094" ca="1">IF(F2094&lt;&gt;"",INDIRECT("'"&amp;F2094&amp;"'!$F$17"),"")</f>
        <v/>
      </c>
      <c r="M2094" s="116" t="str">
        <f t="shared" ca="1" si="97"/>
        <v/>
      </c>
      <c r="O2094" s="49" t="str">
        <f t="shared" ca="1" si="98"/>
        <v/>
      </c>
      <c r="P2094" s="38" t="str">
        <f>IF(E2094&lt;&gt;"",RANK(E2094,$E$3:$E$2298)+COUNTIF($E$3:E2094,E2094)-1,"")</f>
        <v/>
      </c>
    </row>
    <row r="2095" spans="4:16" x14ac:dyDescent="0.25">
      <c r="D2095" s="36" t="str" cm="1">
        <f t="array" aca="1" ref="D2095" ca="1">IFERROR(IF(INDIRECT("'"&amp;F2095&amp;"'!$C$5")&gt;0,DATE(YEAR(Dashboard!$AL$2),Dashboard!$AU$4,INDIRECT("'"&amp;F2095&amp;"'!$C$5")),""),"")</f>
        <v/>
      </c>
      <c r="G2095" s="38" t="str" cm="1">
        <f t="array" aca="1" ref="G2095" ca="1">IF(F2095="",
    "",
    IFERROR(
        IF(INDIRECT("'"&amp;F2095&amp;"'!$B$2")="Credit Limit",
            "Credit Accounts",
            IF(INDIRECT("'"&amp;F2095&amp;"'!$E$2")="Location",
                "Cash Accounts",
                IF(INDIRECT("'"&amp;F2095&amp;"'!$B$2")="Amount",
                    "Investments",
                    "Bill Accounts"
                )
            )
        ),
    "")
)</f>
        <v/>
      </c>
      <c r="I2095" s="46" t="str" cm="1">
        <f t="array" aca="1" ref="I2095" ca="1">IF(F2095&lt;&gt;"",IF(OR(G2095="Bill Accounts",G2095="Investments", G2095="Cash Accounts"),INDIRECT("'"&amp;F2095&amp;"'!$C$10"),INDIRECT("'"&amp;F2095&amp;"'!$C$8")),"")</f>
        <v/>
      </c>
      <c r="K2095" s="48">
        <f t="shared" si="99"/>
        <v>2101</v>
      </c>
      <c r="L2095" s="114" t="str" cm="1">
        <f t="array" aca="1" ref="L2095" ca="1">IF(F2095&lt;&gt;"",INDIRECT("'"&amp;F2095&amp;"'!$F$17"),"")</f>
        <v/>
      </c>
      <c r="M2095" s="116" t="str">
        <f t="shared" ca="1" si="97"/>
        <v/>
      </c>
      <c r="O2095" s="49" t="str">
        <f t="shared" ca="1" si="98"/>
        <v/>
      </c>
      <c r="P2095" s="38" t="str">
        <f>IF(E2095&lt;&gt;"",RANK(E2095,$E$3:$E$2298)+COUNTIF($E$3:E2095,E2095)-1,"")</f>
        <v/>
      </c>
    </row>
    <row r="2096" spans="4:16" x14ac:dyDescent="0.25">
      <c r="D2096" s="36" t="str" cm="1">
        <f t="array" aca="1" ref="D2096" ca="1">IFERROR(IF(INDIRECT("'"&amp;F2096&amp;"'!$C$5")&gt;0,DATE(YEAR(Dashboard!$AL$2),Dashboard!$AU$4,INDIRECT("'"&amp;F2096&amp;"'!$C$5")),""),"")</f>
        <v/>
      </c>
      <c r="G2096" s="38" t="str" cm="1">
        <f t="array" aca="1" ref="G2096" ca="1">IF(F2096="",
    "",
    IFERROR(
        IF(INDIRECT("'"&amp;F2096&amp;"'!$B$2")="Credit Limit",
            "Credit Accounts",
            IF(INDIRECT("'"&amp;F2096&amp;"'!$E$2")="Location",
                "Cash Accounts",
                IF(INDIRECT("'"&amp;F2096&amp;"'!$B$2")="Amount",
                    "Investments",
                    "Bill Accounts"
                )
            )
        ),
    "")
)</f>
        <v/>
      </c>
      <c r="I2096" s="46" t="str" cm="1">
        <f t="array" aca="1" ref="I2096" ca="1">IF(F2096&lt;&gt;"",IF(OR(G2096="Bill Accounts",G2096="Investments", G2096="Cash Accounts"),INDIRECT("'"&amp;F2096&amp;"'!$C$10"),INDIRECT("'"&amp;F2096&amp;"'!$C$8")),"")</f>
        <v/>
      </c>
      <c r="K2096" s="48">
        <f t="shared" si="99"/>
        <v>2102</v>
      </c>
      <c r="L2096" s="114" t="str" cm="1">
        <f t="array" aca="1" ref="L2096" ca="1">IF(F2096&lt;&gt;"",INDIRECT("'"&amp;F2096&amp;"'!$F$17"),"")</f>
        <v/>
      </c>
      <c r="M2096" s="116" t="str">
        <f t="shared" ca="1" si="97"/>
        <v/>
      </c>
      <c r="O2096" s="49" t="str">
        <f t="shared" ca="1" si="98"/>
        <v/>
      </c>
      <c r="P2096" s="38" t="str">
        <f>IF(E2096&lt;&gt;"",RANK(E2096,$E$3:$E$2298)+COUNTIF($E$3:E2096,E2096)-1,"")</f>
        <v/>
      </c>
    </row>
    <row r="2097" spans="4:16" x14ac:dyDescent="0.25">
      <c r="D2097" s="36" t="str" cm="1">
        <f t="array" aca="1" ref="D2097" ca="1">IFERROR(IF(INDIRECT("'"&amp;F2097&amp;"'!$C$5")&gt;0,DATE(YEAR(Dashboard!$AL$2),Dashboard!$AU$4,INDIRECT("'"&amp;F2097&amp;"'!$C$5")),""),"")</f>
        <v/>
      </c>
      <c r="G2097" s="38" t="str" cm="1">
        <f t="array" aca="1" ref="G2097" ca="1">IF(F2097="",
    "",
    IFERROR(
        IF(INDIRECT("'"&amp;F2097&amp;"'!$B$2")="Credit Limit",
            "Credit Accounts",
            IF(INDIRECT("'"&amp;F2097&amp;"'!$E$2")="Location",
                "Cash Accounts",
                IF(INDIRECT("'"&amp;F2097&amp;"'!$B$2")="Amount",
                    "Investments",
                    "Bill Accounts"
                )
            )
        ),
    "")
)</f>
        <v/>
      </c>
      <c r="I2097" s="46" t="str" cm="1">
        <f t="array" aca="1" ref="I2097" ca="1">IF(F2097&lt;&gt;"",IF(OR(G2097="Bill Accounts",G2097="Investments", G2097="Cash Accounts"),INDIRECT("'"&amp;F2097&amp;"'!$C$10"),INDIRECT("'"&amp;F2097&amp;"'!$C$8")),"")</f>
        <v/>
      </c>
      <c r="K2097" s="48">
        <f t="shared" si="99"/>
        <v>2103</v>
      </c>
      <c r="L2097" s="114" t="str" cm="1">
        <f t="array" aca="1" ref="L2097" ca="1">IF(F2097&lt;&gt;"",INDIRECT("'"&amp;F2097&amp;"'!$F$17"),"")</f>
        <v/>
      </c>
      <c r="M2097" s="116" t="str">
        <f t="shared" ca="1" si="97"/>
        <v/>
      </c>
      <c r="O2097" s="49" t="str">
        <f t="shared" ca="1" si="98"/>
        <v/>
      </c>
      <c r="P2097" s="38" t="str">
        <f>IF(E2097&lt;&gt;"",RANK(E2097,$E$3:$E$2298)+COUNTIF($E$3:E2097,E2097)-1,"")</f>
        <v/>
      </c>
    </row>
    <row r="2098" spans="4:16" x14ac:dyDescent="0.25">
      <c r="D2098" s="36" t="str" cm="1">
        <f t="array" aca="1" ref="D2098" ca="1">IFERROR(IF(INDIRECT("'"&amp;F2098&amp;"'!$C$5")&gt;0,DATE(YEAR(Dashboard!$AL$2),Dashboard!$AU$4,INDIRECT("'"&amp;F2098&amp;"'!$C$5")),""),"")</f>
        <v/>
      </c>
      <c r="G2098" s="38" t="str" cm="1">
        <f t="array" aca="1" ref="G2098" ca="1">IF(F2098="",
    "",
    IFERROR(
        IF(INDIRECT("'"&amp;F2098&amp;"'!$B$2")="Credit Limit",
            "Credit Accounts",
            IF(INDIRECT("'"&amp;F2098&amp;"'!$E$2")="Location",
                "Cash Accounts",
                IF(INDIRECT("'"&amp;F2098&amp;"'!$B$2")="Amount",
                    "Investments",
                    "Bill Accounts"
                )
            )
        ),
    "")
)</f>
        <v/>
      </c>
      <c r="I2098" s="46" t="str" cm="1">
        <f t="array" aca="1" ref="I2098" ca="1">IF(F2098&lt;&gt;"",IF(OR(G2098="Bill Accounts",G2098="Investments", G2098="Cash Accounts"),INDIRECT("'"&amp;F2098&amp;"'!$C$10"),INDIRECT("'"&amp;F2098&amp;"'!$C$8")),"")</f>
        <v/>
      </c>
      <c r="K2098" s="48">
        <f t="shared" si="99"/>
        <v>2104</v>
      </c>
      <c r="L2098" s="114" t="str" cm="1">
        <f t="array" aca="1" ref="L2098" ca="1">IF(F2098&lt;&gt;"",INDIRECT("'"&amp;F2098&amp;"'!$F$17"),"")</f>
        <v/>
      </c>
      <c r="M2098" s="116" t="str">
        <f t="shared" ca="1" si="97"/>
        <v/>
      </c>
      <c r="O2098" s="49" t="str">
        <f t="shared" ca="1" si="98"/>
        <v/>
      </c>
      <c r="P2098" s="38" t="str">
        <f>IF(E2098&lt;&gt;"",RANK(E2098,$E$3:$E$2298)+COUNTIF($E$3:E2098,E2098)-1,"")</f>
        <v/>
      </c>
    </row>
    <row r="2099" spans="4:16" x14ac:dyDescent="0.25">
      <c r="D2099" s="36" t="str" cm="1">
        <f t="array" aca="1" ref="D2099" ca="1">IFERROR(IF(INDIRECT("'"&amp;F2099&amp;"'!$C$5")&gt;0,DATE(YEAR(Dashboard!$AL$2),Dashboard!$AU$4,INDIRECT("'"&amp;F2099&amp;"'!$C$5")),""),"")</f>
        <v/>
      </c>
      <c r="G2099" s="38" t="str" cm="1">
        <f t="array" aca="1" ref="G2099" ca="1">IF(F2099="",
    "",
    IFERROR(
        IF(INDIRECT("'"&amp;F2099&amp;"'!$B$2")="Credit Limit",
            "Credit Accounts",
            IF(INDIRECT("'"&amp;F2099&amp;"'!$E$2")="Location",
                "Cash Accounts",
                IF(INDIRECT("'"&amp;F2099&amp;"'!$B$2")="Amount",
                    "Investments",
                    "Bill Accounts"
                )
            )
        ),
    "")
)</f>
        <v/>
      </c>
      <c r="I2099" s="46" t="str" cm="1">
        <f t="array" aca="1" ref="I2099" ca="1">IF(F2099&lt;&gt;"",IF(OR(G2099="Bill Accounts",G2099="Investments", G2099="Cash Accounts"),INDIRECT("'"&amp;F2099&amp;"'!$C$10"),INDIRECT("'"&amp;F2099&amp;"'!$C$8")),"")</f>
        <v/>
      </c>
      <c r="K2099" s="48">
        <f t="shared" si="99"/>
        <v>2105</v>
      </c>
      <c r="L2099" s="114" t="str" cm="1">
        <f t="array" aca="1" ref="L2099" ca="1">IF(F2099&lt;&gt;"",INDIRECT("'"&amp;F2099&amp;"'!$F$17"),"")</f>
        <v/>
      </c>
      <c r="M2099" s="116" t="str">
        <f t="shared" ca="1" si="97"/>
        <v/>
      </c>
      <c r="O2099" s="49" t="str">
        <f t="shared" ca="1" si="98"/>
        <v/>
      </c>
      <c r="P2099" s="38" t="str">
        <f>IF(E2099&lt;&gt;"",RANK(E2099,$E$3:$E$2298)+COUNTIF($E$3:E2099,E2099)-1,"")</f>
        <v/>
      </c>
    </row>
    <row r="2100" spans="4:16" x14ac:dyDescent="0.25">
      <c r="D2100" s="36" t="str" cm="1">
        <f t="array" aca="1" ref="D2100" ca="1">IFERROR(IF(INDIRECT("'"&amp;F2100&amp;"'!$C$5")&gt;0,DATE(YEAR(Dashboard!$AL$2),Dashboard!$AU$4,INDIRECT("'"&amp;F2100&amp;"'!$C$5")),""),"")</f>
        <v/>
      </c>
      <c r="G2100" s="38" t="str" cm="1">
        <f t="array" aca="1" ref="G2100" ca="1">IF(F2100="",
    "",
    IFERROR(
        IF(INDIRECT("'"&amp;F2100&amp;"'!$B$2")="Credit Limit",
            "Credit Accounts",
            IF(INDIRECT("'"&amp;F2100&amp;"'!$E$2")="Location",
                "Cash Accounts",
                IF(INDIRECT("'"&amp;F2100&amp;"'!$B$2")="Amount",
                    "Investments",
                    "Bill Accounts"
                )
            )
        ),
    "")
)</f>
        <v/>
      </c>
      <c r="I2100" s="46" t="str" cm="1">
        <f t="array" aca="1" ref="I2100" ca="1">IF(F2100&lt;&gt;"",IF(OR(G2100="Bill Accounts",G2100="Investments", G2100="Cash Accounts"),INDIRECT("'"&amp;F2100&amp;"'!$C$10"),INDIRECT("'"&amp;F2100&amp;"'!$C$8")),"")</f>
        <v/>
      </c>
      <c r="K2100" s="48">
        <f t="shared" si="99"/>
        <v>2106</v>
      </c>
      <c r="L2100" s="114" t="str" cm="1">
        <f t="array" aca="1" ref="L2100" ca="1">IF(F2100&lt;&gt;"",INDIRECT("'"&amp;F2100&amp;"'!$F$17"),"")</f>
        <v/>
      </c>
      <c r="M2100" s="116" t="str">
        <f t="shared" ca="1" si="97"/>
        <v/>
      </c>
      <c r="O2100" s="49" t="str">
        <f t="shared" ca="1" si="98"/>
        <v/>
      </c>
      <c r="P2100" s="38" t="str">
        <f>IF(E2100&lt;&gt;"",RANK(E2100,$E$3:$E$2298)+COUNTIF($E$3:E2100,E2100)-1,"")</f>
        <v/>
      </c>
    </row>
    <row r="2101" spans="4:16" x14ac:dyDescent="0.25">
      <c r="D2101" s="36" t="str" cm="1">
        <f t="array" aca="1" ref="D2101" ca="1">IFERROR(IF(INDIRECT("'"&amp;F2101&amp;"'!$C$5")&gt;0,DATE(YEAR(Dashboard!$AL$2),Dashboard!$AU$4,INDIRECT("'"&amp;F2101&amp;"'!$C$5")),""),"")</f>
        <v/>
      </c>
      <c r="G2101" s="38" t="str" cm="1">
        <f t="array" aca="1" ref="G2101" ca="1">IF(F2101="",
    "",
    IFERROR(
        IF(INDIRECT("'"&amp;F2101&amp;"'!$B$2")="Credit Limit",
            "Credit Accounts",
            IF(INDIRECT("'"&amp;F2101&amp;"'!$E$2")="Location",
                "Cash Accounts",
                IF(INDIRECT("'"&amp;F2101&amp;"'!$B$2")="Amount",
                    "Investments",
                    "Bill Accounts"
                )
            )
        ),
    "")
)</f>
        <v/>
      </c>
      <c r="I2101" s="46" t="str" cm="1">
        <f t="array" aca="1" ref="I2101" ca="1">IF(F2101&lt;&gt;"",IF(OR(G2101="Bill Accounts",G2101="Investments", G2101="Cash Accounts"),INDIRECT("'"&amp;F2101&amp;"'!$C$10"),INDIRECT("'"&amp;F2101&amp;"'!$C$8")),"")</f>
        <v/>
      </c>
      <c r="K2101" s="48">
        <f t="shared" si="99"/>
        <v>2107</v>
      </c>
      <c r="L2101" s="114" t="str" cm="1">
        <f t="array" aca="1" ref="L2101" ca="1">IF(F2101&lt;&gt;"",INDIRECT("'"&amp;F2101&amp;"'!$F$17"),"")</f>
        <v/>
      </c>
      <c r="M2101" s="116" t="str">
        <f t="shared" ca="1" si="97"/>
        <v/>
      </c>
      <c r="O2101" s="49" t="str">
        <f t="shared" ca="1" si="98"/>
        <v/>
      </c>
      <c r="P2101" s="38" t="str">
        <f>IF(E2101&lt;&gt;"",RANK(E2101,$E$3:$E$2298)+COUNTIF($E$3:E2101,E2101)-1,"")</f>
        <v/>
      </c>
    </row>
    <row r="2102" spans="4:16" x14ac:dyDescent="0.25">
      <c r="D2102" s="36" t="str" cm="1">
        <f t="array" aca="1" ref="D2102" ca="1">IFERROR(IF(INDIRECT("'"&amp;F2102&amp;"'!$C$5")&gt;0,DATE(YEAR(Dashboard!$AL$2),Dashboard!$AU$4,INDIRECT("'"&amp;F2102&amp;"'!$C$5")),""),"")</f>
        <v/>
      </c>
      <c r="G2102" s="38" t="str" cm="1">
        <f t="array" aca="1" ref="G2102" ca="1">IF(F2102="",
    "",
    IFERROR(
        IF(INDIRECT("'"&amp;F2102&amp;"'!$B$2")="Credit Limit",
            "Credit Accounts",
            IF(INDIRECT("'"&amp;F2102&amp;"'!$E$2")="Location",
                "Cash Accounts",
                IF(INDIRECT("'"&amp;F2102&amp;"'!$B$2")="Amount",
                    "Investments",
                    "Bill Accounts"
                )
            )
        ),
    "")
)</f>
        <v/>
      </c>
      <c r="I2102" s="46" t="str" cm="1">
        <f t="array" aca="1" ref="I2102" ca="1">IF(F2102&lt;&gt;"",IF(OR(G2102="Bill Accounts",G2102="Investments", G2102="Cash Accounts"),INDIRECT("'"&amp;F2102&amp;"'!$C$10"),INDIRECT("'"&amp;F2102&amp;"'!$C$8")),"")</f>
        <v/>
      </c>
      <c r="K2102" s="48">
        <f t="shared" si="99"/>
        <v>2108</v>
      </c>
      <c r="L2102" s="114" t="str" cm="1">
        <f t="array" aca="1" ref="L2102" ca="1">IF(F2102&lt;&gt;"",INDIRECT("'"&amp;F2102&amp;"'!$F$17"),"")</f>
        <v/>
      </c>
      <c r="M2102" s="116" t="str">
        <f t="shared" ca="1" si="97"/>
        <v/>
      </c>
      <c r="O2102" s="49" t="str">
        <f t="shared" ca="1" si="98"/>
        <v/>
      </c>
      <c r="P2102" s="38" t="str">
        <f>IF(E2102&lt;&gt;"",RANK(E2102,$E$3:$E$2298)+COUNTIF($E$3:E2102,E2102)-1,"")</f>
        <v/>
      </c>
    </row>
    <row r="2103" spans="4:16" x14ac:dyDescent="0.25">
      <c r="D2103" s="36" t="str" cm="1">
        <f t="array" aca="1" ref="D2103" ca="1">IFERROR(IF(INDIRECT("'"&amp;F2103&amp;"'!$C$5")&gt;0,DATE(YEAR(Dashboard!$AL$2),Dashboard!$AU$4,INDIRECT("'"&amp;F2103&amp;"'!$C$5")),""),"")</f>
        <v/>
      </c>
      <c r="G2103" s="38" t="str" cm="1">
        <f t="array" aca="1" ref="G2103" ca="1">IF(F2103="",
    "",
    IFERROR(
        IF(INDIRECT("'"&amp;F2103&amp;"'!$B$2")="Credit Limit",
            "Credit Accounts",
            IF(INDIRECT("'"&amp;F2103&amp;"'!$E$2")="Location",
                "Cash Accounts",
                IF(INDIRECT("'"&amp;F2103&amp;"'!$B$2")="Amount",
                    "Investments",
                    "Bill Accounts"
                )
            )
        ),
    "")
)</f>
        <v/>
      </c>
      <c r="I2103" s="46" t="str" cm="1">
        <f t="array" aca="1" ref="I2103" ca="1">IF(F2103&lt;&gt;"",IF(OR(G2103="Bill Accounts",G2103="Investments", G2103="Cash Accounts"),INDIRECT("'"&amp;F2103&amp;"'!$C$10"),INDIRECT("'"&amp;F2103&amp;"'!$C$8")),"")</f>
        <v/>
      </c>
      <c r="K2103" s="48">
        <f t="shared" si="99"/>
        <v>2109</v>
      </c>
      <c r="L2103" s="114" t="str" cm="1">
        <f t="array" aca="1" ref="L2103" ca="1">IF(F2103&lt;&gt;"",INDIRECT("'"&amp;F2103&amp;"'!$F$17"),"")</f>
        <v/>
      </c>
      <c r="M2103" s="116" t="str">
        <f t="shared" ca="1" si="97"/>
        <v/>
      </c>
      <c r="O2103" s="49" t="str">
        <f t="shared" ca="1" si="98"/>
        <v/>
      </c>
      <c r="P2103" s="38" t="str">
        <f>IF(E2103&lt;&gt;"",RANK(E2103,$E$3:$E$2298)+COUNTIF($E$3:E2103,E2103)-1,"")</f>
        <v/>
      </c>
    </row>
    <row r="2104" spans="4:16" x14ac:dyDescent="0.25">
      <c r="D2104" s="36" t="str" cm="1">
        <f t="array" aca="1" ref="D2104" ca="1">IFERROR(IF(INDIRECT("'"&amp;F2104&amp;"'!$C$5")&gt;0,DATE(YEAR(Dashboard!$AL$2),Dashboard!$AU$4,INDIRECT("'"&amp;F2104&amp;"'!$C$5")),""),"")</f>
        <v/>
      </c>
      <c r="G2104" s="38" t="str" cm="1">
        <f t="array" aca="1" ref="G2104" ca="1">IF(F2104="",
    "",
    IFERROR(
        IF(INDIRECT("'"&amp;F2104&amp;"'!$B$2")="Credit Limit",
            "Credit Accounts",
            IF(INDIRECT("'"&amp;F2104&amp;"'!$E$2")="Location",
                "Cash Accounts",
                IF(INDIRECT("'"&amp;F2104&amp;"'!$B$2")="Amount",
                    "Investments",
                    "Bill Accounts"
                )
            )
        ),
    "")
)</f>
        <v/>
      </c>
      <c r="I2104" s="46" t="str" cm="1">
        <f t="array" aca="1" ref="I2104" ca="1">IF(F2104&lt;&gt;"",IF(OR(G2104="Bill Accounts",G2104="Investments", G2104="Cash Accounts"),INDIRECT("'"&amp;F2104&amp;"'!$C$10"),INDIRECT("'"&amp;F2104&amp;"'!$C$8")),"")</f>
        <v/>
      </c>
      <c r="K2104" s="48">
        <f t="shared" si="99"/>
        <v>2110</v>
      </c>
      <c r="L2104" s="114" t="str" cm="1">
        <f t="array" aca="1" ref="L2104" ca="1">IF(F2104&lt;&gt;"",INDIRECT("'"&amp;F2104&amp;"'!$F$17"),"")</f>
        <v/>
      </c>
      <c r="M2104" s="116" t="str">
        <f t="shared" ca="1" si="97"/>
        <v/>
      </c>
      <c r="O2104" s="49" t="str">
        <f t="shared" ca="1" si="98"/>
        <v/>
      </c>
      <c r="P2104" s="38" t="str">
        <f>IF(E2104&lt;&gt;"",RANK(E2104,$E$3:$E$2298)+COUNTIF($E$3:E2104,E2104)-1,"")</f>
        <v/>
      </c>
    </row>
    <row r="2105" spans="4:16" x14ac:dyDescent="0.25">
      <c r="D2105" s="36" t="str" cm="1">
        <f t="array" aca="1" ref="D2105" ca="1">IFERROR(IF(INDIRECT("'"&amp;F2105&amp;"'!$C$5")&gt;0,DATE(YEAR(Dashboard!$AL$2),Dashboard!$AU$4,INDIRECT("'"&amp;F2105&amp;"'!$C$5")),""),"")</f>
        <v/>
      </c>
      <c r="G2105" s="38" t="str" cm="1">
        <f t="array" aca="1" ref="G2105" ca="1">IF(F2105="",
    "",
    IFERROR(
        IF(INDIRECT("'"&amp;F2105&amp;"'!$B$2")="Credit Limit",
            "Credit Accounts",
            IF(INDIRECT("'"&amp;F2105&amp;"'!$E$2")="Location",
                "Cash Accounts",
                IF(INDIRECT("'"&amp;F2105&amp;"'!$B$2")="Amount",
                    "Investments",
                    "Bill Accounts"
                )
            )
        ),
    "")
)</f>
        <v/>
      </c>
      <c r="I2105" s="46" t="str" cm="1">
        <f t="array" aca="1" ref="I2105" ca="1">IF(F2105&lt;&gt;"",IF(OR(G2105="Bill Accounts",G2105="Investments", G2105="Cash Accounts"),INDIRECT("'"&amp;F2105&amp;"'!$C$10"),INDIRECT("'"&amp;F2105&amp;"'!$C$8")),"")</f>
        <v/>
      </c>
      <c r="K2105" s="48">
        <f t="shared" si="99"/>
        <v>2111</v>
      </c>
      <c r="L2105" s="114" t="str" cm="1">
        <f t="array" aca="1" ref="L2105" ca="1">IF(F2105&lt;&gt;"",INDIRECT("'"&amp;F2105&amp;"'!$F$17"),"")</f>
        <v/>
      </c>
      <c r="M2105" s="116" t="str">
        <f t="shared" ca="1" si="97"/>
        <v/>
      </c>
      <c r="O2105" s="49" t="str">
        <f t="shared" ca="1" si="98"/>
        <v/>
      </c>
      <c r="P2105" s="38" t="str">
        <f>IF(E2105&lt;&gt;"",RANK(E2105,$E$3:$E$2298)+COUNTIF($E$3:E2105,E2105)-1,"")</f>
        <v/>
      </c>
    </row>
    <row r="2106" spans="4:16" x14ac:dyDescent="0.25">
      <c r="D2106" s="36" t="str" cm="1">
        <f t="array" aca="1" ref="D2106" ca="1">IFERROR(IF(INDIRECT("'"&amp;F2106&amp;"'!$C$5")&gt;0,DATE(YEAR(Dashboard!$AL$2),Dashboard!$AU$4,INDIRECT("'"&amp;F2106&amp;"'!$C$5")),""),"")</f>
        <v/>
      </c>
      <c r="G2106" s="38" t="str" cm="1">
        <f t="array" aca="1" ref="G2106" ca="1">IF(F2106="",
    "",
    IFERROR(
        IF(INDIRECT("'"&amp;F2106&amp;"'!$B$2")="Credit Limit",
            "Credit Accounts",
            IF(INDIRECT("'"&amp;F2106&amp;"'!$E$2")="Location",
                "Cash Accounts",
                IF(INDIRECT("'"&amp;F2106&amp;"'!$B$2")="Amount",
                    "Investments",
                    "Bill Accounts"
                )
            )
        ),
    "")
)</f>
        <v/>
      </c>
      <c r="I2106" s="46" t="str" cm="1">
        <f t="array" aca="1" ref="I2106" ca="1">IF(F2106&lt;&gt;"",IF(OR(G2106="Bill Accounts",G2106="Investments", G2106="Cash Accounts"),INDIRECT("'"&amp;F2106&amp;"'!$C$10"),INDIRECT("'"&amp;F2106&amp;"'!$C$8")),"")</f>
        <v/>
      </c>
      <c r="K2106" s="48">
        <f t="shared" si="99"/>
        <v>2112</v>
      </c>
      <c r="L2106" s="114" t="str" cm="1">
        <f t="array" aca="1" ref="L2106" ca="1">IF(F2106&lt;&gt;"",INDIRECT("'"&amp;F2106&amp;"'!$F$17"),"")</f>
        <v/>
      </c>
      <c r="M2106" s="116" t="str">
        <f t="shared" ca="1" si="97"/>
        <v/>
      </c>
      <c r="O2106" s="49" t="str">
        <f t="shared" ca="1" si="98"/>
        <v/>
      </c>
      <c r="P2106" s="38" t="str">
        <f>IF(E2106&lt;&gt;"",RANK(E2106,$E$3:$E$2298)+COUNTIF($E$3:E2106,E2106)-1,"")</f>
        <v/>
      </c>
    </row>
    <row r="2107" spans="4:16" x14ac:dyDescent="0.25">
      <c r="D2107" s="36" t="str" cm="1">
        <f t="array" aca="1" ref="D2107" ca="1">IFERROR(IF(INDIRECT("'"&amp;F2107&amp;"'!$C$5")&gt;0,DATE(YEAR(Dashboard!$AL$2),Dashboard!$AU$4,INDIRECT("'"&amp;F2107&amp;"'!$C$5")),""),"")</f>
        <v/>
      </c>
      <c r="G2107" s="38" t="str" cm="1">
        <f t="array" aca="1" ref="G2107" ca="1">IF(F2107="",
    "",
    IFERROR(
        IF(INDIRECT("'"&amp;F2107&amp;"'!$B$2")="Credit Limit",
            "Credit Accounts",
            IF(INDIRECT("'"&amp;F2107&amp;"'!$E$2")="Location",
                "Cash Accounts",
                IF(INDIRECT("'"&amp;F2107&amp;"'!$B$2")="Amount",
                    "Investments",
                    "Bill Accounts"
                )
            )
        ),
    "")
)</f>
        <v/>
      </c>
      <c r="I2107" s="46" t="str" cm="1">
        <f t="array" aca="1" ref="I2107" ca="1">IF(F2107&lt;&gt;"",IF(OR(G2107="Bill Accounts",G2107="Investments", G2107="Cash Accounts"),INDIRECT("'"&amp;F2107&amp;"'!$C$10"),INDIRECT("'"&amp;F2107&amp;"'!$C$8")),"")</f>
        <v/>
      </c>
      <c r="K2107" s="48">
        <f t="shared" si="99"/>
        <v>2113</v>
      </c>
      <c r="L2107" s="114" t="str" cm="1">
        <f t="array" aca="1" ref="L2107" ca="1">IF(F2107&lt;&gt;"",INDIRECT("'"&amp;F2107&amp;"'!$F$17"),"")</f>
        <v/>
      </c>
      <c r="M2107" s="116" t="str">
        <f t="shared" ca="1" si="97"/>
        <v/>
      </c>
      <c r="O2107" s="49" t="str">
        <f t="shared" ca="1" si="98"/>
        <v/>
      </c>
      <c r="P2107" s="38" t="str">
        <f>IF(E2107&lt;&gt;"",RANK(E2107,$E$3:$E$2298)+COUNTIF($E$3:E2107,E2107)-1,"")</f>
        <v/>
      </c>
    </row>
    <row r="2108" spans="4:16" x14ac:dyDescent="0.25">
      <c r="D2108" s="36" t="str" cm="1">
        <f t="array" aca="1" ref="D2108" ca="1">IFERROR(IF(INDIRECT("'"&amp;F2108&amp;"'!$C$5")&gt;0,DATE(YEAR(Dashboard!$AL$2),Dashboard!$AU$4,INDIRECT("'"&amp;F2108&amp;"'!$C$5")),""),"")</f>
        <v/>
      </c>
      <c r="G2108" s="38" t="str" cm="1">
        <f t="array" aca="1" ref="G2108" ca="1">IF(F2108="",
    "",
    IFERROR(
        IF(INDIRECT("'"&amp;F2108&amp;"'!$B$2")="Credit Limit",
            "Credit Accounts",
            IF(INDIRECT("'"&amp;F2108&amp;"'!$E$2")="Location",
                "Cash Accounts",
                IF(INDIRECT("'"&amp;F2108&amp;"'!$B$2")="Amount",
                    "Investments",
                    "Bill Accounts"
                )
            )
        ),
    "")
)</f>
        <v/>
      </c>
      <c r="I2108" s="46" t="str" cm="1">
        <f t="array" aca="1" ref="I2108" ca="1">IF(F2108&lt;&gt;"",IF(OR(G2108="Bill Accounts",G2108="Investments", G2108="Cash Accounts"),INDIRECT("'"&amp;F2108&amp;"'!$C$10"),INDIRECT("'"&amp;F2108&amp;"'!$C$8")),"")</f>
        <v/>
      </c>
      <c r="K2108" s="48">
        <f t="shared" si="99"/>
        <v>2114</v>
      </c>
      <c r="L2108" s="114" t="str" cm="1">
        <f t="array" aca="1" ref="L2108" ca="1">IF(F2108&lt;&gt;"",INDIRECT("'"&amp;F2108&amp;"'!$F$17"),"")</f>
        <v/>
      </c>
      <c r="M2108" s="116" t="str">
        <f t="shared" ca="1" si="97"/>
        <v/>
      </c>
      <c r="O2108" s="49" t="str">
        <f t="shared" ca="1" si="98"/>
        <v/>
      </c>
      <c r="P2108" s="38" t="str">
        <f>IF(E2108&lt;&gt;"",RANK(E2108,$E$3:$E$2298)+COUNTIF($E$3:E2108,E2108)-1,"")</f>
        <v/>
      </c>
    </row>
    <row r="2109" spans="4:16" x14ac:dyDescent="0.25">
      <c r="D2109" s="36" t="str" cm="1">
        <f t="array" aca="1" ref="D2109" ca="1">IFERROR(IF(INDIRECT("'"&amp;F2109&amp;"'!$C$5")&gt;0,DATE(YEAR(Dashboard!$AL$2),Dashboard!$AU$4,INDIRECT("'"&amp;F2109&amp;"'!$C$5")),""),"")</f>
        <v/>
      </c>
      <c r="G2109" s="38" t="str" cm="1">
        <f t="array" aca="1" ref="G2109" ca="1">IF(F2109="",
    "",
    IFERROR(
        IF(INDIRECT("'"&amp;F2109&amp;"'!$B$2")="Credit Limit",
            "Credit Accounts",
            IF(INDIRECT("'"&amp;F2109&amp;"'!$E$2")="Location",
                "Cash Accounts",
                IF(INDIRECT("'"&amp;F2109&amp;"'!$B$2")="Amount",
                    "Investments",
                    "Bill Accounts"
                )
            )
        ),
    "")
)</f>
        <v/>
      </c>
      <c r="I2109" s="46" t="str" cm="1">
        <f t="array" aca="1" ref="I2109" ca="1">IF(F2109&lt;&gt;"",IF(OR(G2109="Bill Accounts",G2109="Investments", G2109="Cash Accounts"),INDIRECT("'"&amp;F2109&amp;"'!$C$10"),INDIRECT("'"&amp;F2109&amp;"'!$C$8")),"")</f>
        <v/>
      </c>
      <c r="K2109" s="48">
        <f t="shared" si="99"/>
        <v>2115</v>
      </c>
      <c r="L2109" s="114" t="str" cm="1">
        <f t="array" aca="1" ref="L2109" ca="1">IF(F2109&lt;&gt;"",INDIRECT("'"&amp;F2109&amp;"'!$F$17"),"")</f>
        <v/>
      </c>
      <c r="M2109" s="116" t="str">
        <f t="shared" ca="1" si="97"/>
        <v/>
      </c>
      <c r="O2109" s="49" t="str">
        <f t="shared" ca="1" si="98"/>
        <v/>
      </c>
      <c r="P2109" s="38" t="str">
        <f>IF(E2109&lt;&gt;"",RANK(E2109,$E$3:$E$2298)+COUNTIF($E$3:E2109,E2109)-1,"")</f>
        <v/>
      </c>
    </row>
    <row r="2110" spans="4:16" x14ac:dyDescent="0.25">
      <c r="D2110" s="36" t="str" cm="1">
        <f t="array" aca="1" ref="D2110" ca="1">IFERROR(IF(INDIRECT("'"&amp;F2110&amp;"'!$C$5")&gt;0,DATE(YEAR(Dashboard!$AL$2),Dashboard!$AU$4,INDIRECT("'"&amp;F2110&amp;"'!$C$5")),""),"")</f>
        <v/>
      </c>
      <c r="G2110" s="38" t="str" cm="1">
        <f t="array" aca="1" ref="G2110" ca="1">IF(F2110="",
    "",
    IFERROR(
        IF(INDIRECT("'"&amp;F2110&amp;"'!$B$2")="Credit Limit",
            "Credit Accounts",
            IF(INDIRECT("'"&amp;F2110&amp;"'!$E$2")="Location",
                "Cash Accounts",
                IF(INDIRECT("'"&amp;F2110&amp;"'!$B$2")="Amount",
                    "Investments",
                    "Bill Accounts"
                )
            )
        ),
    "")
)</f>
        <v/>
      </c>
      <c r="I2110" s="46" t="str" cm="1">
        <f t="array" aca="1" ref="I2110" ca="1">IF(F2110&lt;&gt;"",IF(OR(G2110="Bill Accounts",G2110="Investments", G2110="Cash Accounts"),INDIRECT("'"&amp;F2110&amp;"'!$C$10"),INDIRECT("'"&amp;F2110&amp;"'!$C$8")),"")</f>
        <v/>
      </c>
      <c r="K2110" s="48">
        <f t="shared" si="99"/>
        <v>2116</v>
      </c>
      <c r="L2110" s="114" t="str" cm="1">
        <f t="array" aca="1" ref="L2110" ca="1">IF(F2110&lt;&gt;"",INDIRECT("'"&amp;F2110&amp;"'!$F$17"),"")</f>
        <v/>
      </c>
      <c r="M2110" s="116" t="str">
        <f t="shared" ca="1" si="97"/>
        <v/>
      </c>
      <c r="O2110" s="49" t="str">
        <f t="shared" ca="1" si="98"/>
        <v/>
      </c>
      <c r="P2110" s="38" t="str">
        <f>IF(E2110&lt;&gt;"",RANK(E2110,$E$3:$E$2298)+COUNTIF($E$3:E2110,E2110)-1,"")</f>
        <v/>
      </c>
    </row>
    <row r="2111" spans="4:16" x14ac:dyDescent="0.25">
      <c r="D2111" s="36" t="str" cm="1">
        <f t="array" aca="1" ref="D2111" ca="1">IFERROR(IF(INDIRECT("'"&amp;F2111&amp;"'!$C$5")&gt;0,DATE(YEAR(Dashboard!$AL$2),Dashboard!$AU$4,INDIRECT("'"&amp;F2111&amp;"'!$C$5")),""),"")</f>
        <v/>
      </c>
      <c r="G2111" s="38" t="str" cm="1">
        <f t="array" aca="1" ref="G2111" ca="1">IF(F2111="",
    "",
    IFERROR(
        IF(INDIRECT("'"&amp;F2111&amp;"'!$B$2")="Credit Limit",
            "Credit Accounts",
            IF(INDIRECT("'"&amp;F2111&amp;"'!$E$2")="Location",
                "Cash Accounts",
                IF(INDIRECT("'"&amp;F2111&amp;"'!$B$2")="Amount",
                    "Investments",
                    "Bill Accounts"
                )
            )
        ),
    "")
)</f>
        <v/>
      </c>
      <c r="I2111" s="46" t="str" cm="1">
        <f t="array" aca="1" ref="I2111" ca="1">IF(F2111&lt;&gt;"",IF(OR(G2111="Bill Accounts",G2111="Investments", G2111="Cash Accounts"),INDIRECT("'"&amp;F2111&amp;"'!$C$10"),INDIRECT("'"&amp;F2111&amp;"'!$C$8")),"")</f>
        <v/>
      </c>
      <c r="K2111" s="48">
        <f t="shared" si="99"/>
        <v>2117</v>
      </c>
      <c r="L2111" s="114" t="str" cm="1">
        <f t="array" aca="1" ref="L2111" ca="1">IF(F2111&lt;&gt;"",INDIRECT("'"&amp;F2111&amp;"'!$F$17"),"")</f>
        <v/>
      </c>
      <c r="M2111" s="116" t="str">
        <f t="shared" ca="1" si="97"/>
        <v/>
      </c>
      <c r="O2111" s="49" t="str">
        <f t="shared" ca="1" si="98"/>
        <v/>
      </c>
      <c r="P2111" s="38" t="str">
        <f>IF(E2111&lt;&gt;"",RANK(E2111,$E$3:$E$2298)+COUNTIF($E$3:E2111,E2111)-1,"")</f>
        <v/>
      </c>
    </row>
    <row r="2112" spans="4:16" x14ac:dyDescent="0.25">
      <c r="D2112" s="36" t="str" cm="1">
        <f t="array" aca="1" ref="D2112" ca="1">IFERROR(IF(INDIRECT("'"&amp;F2112&amp;"'!$C$5")&gt;0,DATE(YEAR(Dashboard!$AL$2),Dashboard!$AU$4,INDIRECT("'"&amp;F2112&amp;"'!$C$5")),""),"")</f>
        <v/>
      </c>
      <c r="G2112" s="38" t="str" cm="1">
        <f t="array" aca="1" ref="G2112" ca="1">IF(F2112="",
    "",
    IFERROR(
        IF(INDIRECT("'"&amp;F2112&amp;"'!$B$2")="Credit Limit",
            "Credit Accounts",
            IF(INDIRECT("'"&amp;F2112&amp;"'!$E$2")="Location",
                "Cash Accounts",
                IF(INDIRECT("'"&amp;F2112&amp;"'!$B$2")="Amount",
                    "Investments",
                    "Bill Accounts"
                )
            )
        ),
    "")
)</f>
        <v/>
      </c>
      <c r="I2112" s="46" t="str" cm="1">
        <f t="array" aca="1" ref="I2112" ca="1">IF(F2112&lt;&gt;"",IF(OR(G2112="Bill Accounts",G2112="Investments", G2112="Cash Accounts"),INDIRECT("'"&amp;F2112&amp;"'!$C$10"),INDIRECT("'"&amp;F2112&amp;"'!$C$8")),"")</f>
        <v/>
      </c>
      <c r="K2112" s="48">
        <f t="shared" si="99"/>
        <v>2118</v>
      </c>
      <c r="L2112" s="114" t="str" cm="1">
        <f t="array" aca="1" ref="L2112" ca="1">IF(F2112&lt;&gt;"",INDIRECT("'"&amp;F2112&amp;"'!$F$17"),"")</f>
        <v/>
      </c>
      <c r="M2112" s="116" t="str">
        <f t="shared" ca="1" si="97"/>
        <v/>
      </c>
      <c r="O2112" s="49" t="str">
        <f t="shared" ca="1" si="98"/>
        <v/>
      </c>
      <c r="P2112" s="38" t="str">
        <f>IF(E2112&lt;&gt;"",RANK(E2112,$E$3:$E$2298)+COUNTIF($E$3:E2112,E2112)-1,"")</f>
        <v/>
      </c>
    </row>
    <row r="2113" spans="4:16" x14ac:dyDescent="0.25">
      <c r="D2113" s="36" t="str" cm="1">
        <f t="array" aca="1" ref="D2113" ca="1">IFERROR(IF(INDIRECT("'"&amp;F2113&amp;"'!$C$5")&gt;0,DATE(YEAR(Dashboard!$AL$2),Dashboard!$AU$4,INDIRECT("'"&amp;F2113&amp;"'!$C$5")),""),"")</f>
        <v/>
      </c>
      <c r="G2113" s="38" t="str" cm="1">
        <f t="array" aca="1" ref="G2113" ca="1">IF(F2113="",
    "",
    IFERROR(
        IF(INDIRECT("'"&amp;F2113&amp;"'!$B$2")="Credit Limit",
            "Credit Accounts",
            IF(INDIRECT("'"&amp;F2113&amp;"'!$E$2")="Location",
                "Cash Accounts",
                IF(INDIRECT("'"&amp;F2113&amp;"'!$B$2")="Amount",
                    "Investments",
                    "Bill Accounts"
                )
            )
        ),
    "")
)</f>
        <v/>
      </c>
      <c r="I2113" s="46" t="str" cm="1">
        <f t="array" aca="1" ref="I2113" ca="1">IF(F2113&lt;&gt;"",IF(OR(G2113="Bill Accounts",G2113="Investments", G2113="Cash Accounts"),INDIRECT("'"&amp;F2113&amp;"'!$C$10"),INDIRECT("'"&amp;F2113&amp;"'!$C$8")),"")</f>
        <v/>
      </c>
      <c r="K2113" s="48">
        <f t="shared" si="99"/>
        <v>2119</v>
      </c>
      <c r="L2113" s="114" t="str" cm="1">
        <f t="array" aca="1" ref="L2113" ca="1">IF(F2113&lt;&gt;"",INDIRECT("'"&amp;F2113&amp;"'!$F$17"),"")</f>
        <v/>
      </c>
      <c r="M2113" s="116" t="str">
        <f t="shared" ca="1" si="97"/>
        <v/>
      </c>
      <c r="O2113" s="49" t="str">
        <f t="shared" ca="1" si="98"/>
        <v/>
      </c>
      <c r="P2113" s="38" t="str">
        <f>IF(E2113&lt;&gt;"",RANK(E2113,$E$3:$E$2298)+COUNTIF($E$3:E2113,E2113)-1,"")</f>
        <v/>
      </c>
    </row>
    <row r="2114" spans="4:16" x14ac:dyDescent="0.25">
      <c r="D2114" s="36" t="str" cm="1">
        <f t="array" aca="1" ref="D2114" ca="1">IFERROR(IF(INDIRECT("'"&amp;F2114&amp;"'!$C$5")&gt;0,DATE(YEAR(Dashboard!$AL$2),Dashboard!$AU$4,INDIRECT("'"&amp;F2114&amp;"'!$C$5")),""),"")</f>
        <v/>
      </c>
      <c r="G2114" s="38" t="str" cm="1">
        <f t="array" aca="1" ref="G2114" ca="1">IF(F2114="",
    "",
    IFERROR(
        IF(INDIRECT("'"&amp;F2114&amp;"'!$B$2")="Credit Limit",
            "Credit Accounts",
            IF(INDIRECT("'"&amp;F2114&amp;"'!$E$2")="Location",
                "Cash Accounts",
                IF(INDIRECT("'"&amp;F2114&amp;"'!$B$2")="Amount",
                    "Investments",
                    "Bill Accounts"
                )
            )
        ),
    "")
)</f>
        <v/>
      </c>
      <c r="I2114" s="46" t="str" cm="1">
        <f t="array" aca="1" ref="I2114" ca="1">IF(F2114&lt;&gt;"",IF(OR(G2114="Bill Accounts",G2114="Investments", G2114="Cash Accounts"),INDIRECT("'"&amp;F2114&amp;"'!$C$10"),INDIRECT("'"&amp;F2114&amp;"'!$C$8")),"")</f>
        <v/>
      </c>
      <c r="K2114" s="48">
        <f t="shared" si="99"/>
        <v>2120</v>
      </c>
      <c r="L2114" s="114" t="str" cm="1">
        <f t="array" aca="1" ref="L2114" ca="1">IF(F2114&lt;&gt;"",INDIRECT("'"&amp;F2114&amp;"'!$F$17"),"")</f>
        <v/>
      </c>
      <c r="M2114" s="116" t="str">
        <f t="shared" ca="1" si="97"/>
        <v/>
      </c>
      <c r="O2114" s="49" t="str">
        <f t="shared" ca="1" si="98"/>
        <v/>
      </c>
      <c r="P2114" s="38" t="str">
        <f>IF(E2114&lt;&gt;"",RANK(E2114,$E$3:$E$2298)+COUNTIF($E$3:E2114,E2114)-1,"")</f>
        <v/>
      </c>
    </row>
    <row r="2115" spans="4:16" x14ac:dyDescent="0.25">
      <c r="D2115" s="36" t="str" cm="1">
        <f t="array" aca="1" ref="D2115" ca="1">IFERROR(IF(INDIRECT("'"&amp;F2115&amp;"'!$C$5")&gt;0,DATE(YEAR(Dashboard!$AL$2),Dashboard!$AU$4,INDIRECT("'"&amp;F2115&amp;"'!$C$5")),""),"")</f>
        <v/>
      </c>
      <c r="G2115" s="38" t="str" cm="1">
        <f t="array" aca="1" ref="G2115" ca="1">IF(F2115="",
    "",
    IFERROR(
        IF(INDIRECT("'"&amp;F2115&amp;"'!$B$2")="Credit Limit",
            "Credit Accounts",
            IF(INDIRECT("'"&amp;F2115&amp;"'!$E$2")="Location",
                "Cash Accounts",
                IF(INDIRECT("'"&amp;F2115&amp;"'!$B$2")="Amount",
                    "Investments",
                    "Bill Accounts"
                )
            )
        ),
    "")
)</f>
        <v/>
      </c>
      <c r="I2115" s="46" t="str" cm="1">
        <f t="array" aca="1" ref="I2115" ca="1">IF(F2115&lt;&gt;"",IF(OR(G2115="Bill Accounts",G2115="Investments", G2115="Cash Accounts"),INDIRECT("'"&amp;F2115&amp;"'!$C$10"),INDIRECT("'"&amp;F2115&amp;"'!$C$8")),"")</f>
        <v/>
      </c>
      <c r="K2115" s="48">
        <f t="shared" si="99"/>
        <v>2121</v>
      </c>
      <c r="L2115" s="114" t="str" cm="1">
        <f t="array" aca="1" ref="L2115" ca="1">IF(F2115&lt;&gt;"",INDIRECT("'"&amp;F2115&amp;"'!$F$17"),"")</f>
        <v/>
      </c>
      <c r="M2115" s="116" t="str">
        <f t="shared" ca="1" si="97"/>
        <v/>
      </c>
      <c r="O2115" s="49" t="str">
        <f t="shared" ca="1" si="98"/>
        <v/>
      </c>
      <c r="P2115" s="38" t="str">
        <f>IF(E2115&lt;&gt;"",RANK(E2115,$E$3:$E$2298)+COUNTIF($E$3:E2115,E2115)-1,"")</f>
        <v/>
      </c>
    </row>
    <row r="2116" spans="4:16" x14ac:dyDescent="0.25">
      <c r="D2116" s="36" t="str" cm="1">
        <f t="array" aca="1" ref="D2116" ca="1">IFERROR(IF(INDIRECT("'"&amp;F2116&amp;"'!$C$5")&gt;0,DATE(YEAR(Dashboard!$AL$2),Dashboard!$AU$4,INDIRECT("'"&amp;F2116&amp;"'!$C$5")),""),"")</f>
        <v/>
      </c>
      <c r="G2116" s="38" t="str" cm="1">
        <f t="array" aca="1" ref="G2116" ca="1">IF(F2116="",
    "",
    IFERROR(
        IF(INDIRECT("'"&amp;F2116&amp;"'!$B$2")="Credit Limit",
            "Credit Accounts",
            IF(INDIRECT("'"&amp;F2116&amp;"'!$E$2")="Location",
                "Cash Accounts",
                IF(INDIRECT("'"&amp;F2116&amp;"'!$B$2")="Amount",
                    "Investments",
                    "Bill Accounts"
                )
            )
        ),
    "")
)</f>
        <v/>
      </c>
      <c r="I2116" s="46" t="str" cm="1">
        <f t="array" aca="1" ref="I2116" ca="1">IF(F2116&lt;&gt;"",IF(OR(G2116="Bill Accounts",G2116="Investments", G2116="Cash Accounts"),INDIRECT("'"&amp;F2116&amp;"'!$C$10"),INDIRECT("'"&amp;F2116&amp;"'!$C$8")),"")</f>
        <v/>
      </c>
      <c r="K2116" s="48">
        <f t="shared" si="99"/>
        <v>2122</v>
      </c>
      <c r="L2116" s="114" t="str" cm="1">
        <f t="array" aca="1" ref="L2116" ca="1">IF(F2116&lt;&gt;"",INDIRECT("'"&amp;F2116&amp;"'!$F$17"),"")</f>
        <v/>
      </c>
      <c r="M2116" s="116" t="str">
        <f t="shared" ref="M2116:M2179" ca="1" si="100">IF(G2116="Credit Accounts",EDATE(TODAY(),INDIRECT("'"&amp;F2116&amp;"'!$C$14")),"")</f>
        <v/>
      </c>
      <c r="O2116" s="49" t="str">
        <f t="shared" ref="O2116:O2179" ca="1" si="101">IF(D2116&lt;&gt;"",DAY(D2116),"")</f>
        <v/>
      </c>
      <c r="P2116" s="38" t="str">
        <f>IF(E2116&lt;&gt;"",RANK(E2116,$E$3:$E$2298)+COUNTIF($E$3:E2116,E2116)-1,"")</f>
        <v/>
      </c>
    </row>
    <row r="2117" spans="4:16" x14ac:dyDescent="0.25">
      <c r="D2117" s="36" t="str" cm="1">
        <f t="array" aca="1" ref="D2117" ca="1">IFERROR(IF(INDIRECT("'"&amp;F2117&amp;"'!$C$5")&gt;0,DATE(YEAR(Dashboard!$AL$2),Dashboard!$AU$4,INDIRECT("'"&amp;F2117&amp;"'!$C$5")),""),"")</f>
        <v/>
      </c>
      <c r="G2117" s="38" t="str" cm="1">
        <f t="array" aca="1" ref="G2117" ca="1">IF(F2117="",
    "",
    IFERROR(
        IF(INDIRECT("'"&amp;F2117&amp;"'!$B$2")="Credit Limit",
            "Credit Accounts",
            IF(INDIRECT("'"&amp;F2117&amp;"'!$E$2")="Location",
                "Cash Accounts",
                IF(INDIRECT("'"&amp;F2117&amp;"'!$B$2")="Amount",
                    "Investments",
                    "Bill Accounts"
                )
            )
        ),
    "")
)</f>
        <v/>
      </c>
      <c r="I2117" s="46" t="str" cm="1">
        <f t="array" aca="1" ref="I2117" ca="1">IF(F2117&lt;&gt;"",IF(OR(G2117="Bill Accounts",G2117="Investments", G2117="Cash Accounts"),INDIRECT("'"&amp;F2117&amp;"'!$C$10"),INDIRECT("'"&amp;F2117&amp;"'!$C$8")),"")</f>
        <v/>
      </c>
      <c r="K2117" s="48">
        <f t="shared" si="99"/>
        <v>2123</v>
      </c>
      <c r="L2117" s="114" t="str" cm="1">
        <f t="array" aca="1" ref="L2117" ca="1">IF(F2117&lt;&gt;"",INDIRECT("'"&amp;F2117&amp;"'!$F$17"),"")</f>
        <v/>
      </c>
      <c r="M2117" s="116" t="str">
        <f t="shared" ca="1" si="100"/>
        <v/>
      </c>
      <c r="O2117" s="49" t="str">
        <f t="shared" ca="1" si="101"/>
        <v/>
      </c>
      <c r="P2117" s="38" t="str">
        <f>IF(E2117&lt;&gt;"",RANK(E2117,$E$3:$E$2298)+COUNTIF($E$3:E2117,E2117)-1,"")</f>
        <v/>
      </c>
    </row>
    <row r="2118" spans="4:16" x14ac:dyDescent="0.25">
      <c r="D2118" s="36" t="str" cm="1">
        <f t="array" aca="1" ref="D2118" ca="1">IFERROR(IF(INDIRECT("'"&amp;F2118&amp;"'!$C$5")&gt;0,DATE(YEAR(Dashboard!$AL$2),Dashboard!$AU$4,INDIRECT("'"&amp;F2118&amp;"'!$C$5")),""),"")</f>
        <v/>
      </c>
      <c r="G2118" s="38" t="str" cm="1">
        <f t="array" aca="1" ref="G2118" ca="1">IF(F2118="",
    "",
    IFERROR(
        IF(INDIRECT("'"&amp;F2118&amp;"'!$B$2")="Credit Limit",
            "Credit Accounts",
            IF(INDIRECT("'"&amp;F2118&amp;"'!$E$2")="Location",
                "Cash Accounts",
                IF(INDIRECT("'"&amp;F2118&amp;"'!$B$2")="Amount",
                    "Investments",
                    "Bill Accounts"
                )
            )
        ),
    "")
)</f>
        <v/>
      </c>
      <c r="I2118" s="46" t="str" cm="1">
        <f t="array" aca="1" ref="I2118" ca="1">IF(F2118&lt;&gt;"",IF(OR(G2118="Bill Accounts",G2118="Investments", G2118="Cash Accounts"),INDIRECT("'"&amp;F2118&amp;"'!$C$10"),INDIRECT("'"&amp;F2118&amp;"'!$C$8")),"")</f>
        <v/>
      </c>
      <c r="K2118" s="48">
        <f t="shared" si="99"/>
        <v>2124</v>
      </c>
      <c r="L2118" s="114" t="str" cm="1">
        <f t="array" aca="1" ref="L2118" ca="1">IF(F2118&lt;&gt;"",INDIRECT("'"&amp;F2118&amp;"'!$F$17"),"")</f>
        <v/>
      </c>
      <c r="M2118" s="116" t="str">
        <f t="shared" ca="1" si="100"/>
        <v/>
      </c>
      <c r="O2118" s="49" t="str">
        <f t="shared" ca="1" si="101"/>
        <v/>
      </c>
      <c r="P2118" s="38" t="str">
        <f>IF(E2118&lt;&gt;"",RANK(E2118,$E$3:$E$2298)+COUNTIF($E$3:E2118,E2118)-1,"")</f>
        <v/>
      </c>
    </row>
    <row r="2119" spans="4:16" x14ac:dyDescent="0.25">
      <c r="D2119" s="36" t="str" cm="1">
        <f t="array" aca="1" ref="D2119" ca="1">IFERROR(IF(INDIRECT("'"&amp;F2119&amp;"'!$C$5")&gt;0,DATE(YEAR(Dashboard!$AL$2),Dashboard!$AU$4,INDIRECT("'"&amp;F2119&amp;"'!$C$5")),""),"")</f>
        <v/>
      </c>
      <c r="G2119" s="38" t="str" cm="1">
        <f t="array" aca="1" ref="G2119" ca="1">IF(F2119="",
    "",
    IFERROR(
        IF(INDIRECT("'"&amp;F2119&amp;"'!$B$2")="Credit Limit",
            "Credit Accounts",
            IF(INDIRECT("'"&amp;F2119&amp;"'!$E$2")="Location",
                "Cash Accounts",
                IF(INDIRECT("'"&amp;F2119&amp;"'!$B$2")="Amount",
                    "Investments",
                    "Bill Accounts"
                )
            )
        ),
    "")
)</f>
        <v/>
      </c>
      <c r="I2119" s="46" t="str" cm="1">
        <f t="array" aca="1" ref="I2119" ca="1">IF(F2119&lt;&gt;"",IF(OR(G2119="Bill Accounts",G2119="Investments", G2119="Cash Accounts"),INDIRECT("'"&amp;F2119&amp;"'!$C$10"),INDIRECT("'"&amp;F2119&amp;"'!$C$8")),"")</f>
        <v/>
      </c>
      <c r="K2119" s="48">
        <f t="shared" si="99"/>
        <v>2125</v>
      </c>
      <c r="L2119" s="114" t="str" cm="1">
        <f t="array" aca="1" ref="L2119" ca="1">IF(F2119&lt;&gt;"",INDIRECT("'"&amp;F2119&amp;"'!$F$17"),"")</f>
        <v/>
      </c>
      <c r="M2119" s="116" t="str">
        <f t="shared" ca="1" si="100"/>
        <v/>
      </c>
      <c r="O2119" s="49" t="str">
        <f t="shared" ca="1" si="101"/>
        <v/>
      </c>
      <c r="P2119" s="38" t="str">
        <f>IF(E2119&lt;&gt;"",RANK(E2119,$E$3:$E$2298)+COUNTIF($E$3:E2119,E2119)-1,"")</f>
        <v/>
      </c>
    </row>
    <row r="2120" spans="4:16" x14ac:dyDescent="0.25">
      <c r="D2120" s="36" t="str" cm="1">
        <f t="array" aca="1" ref="D2120" ca="1">IFERROR(IF(INDIRECT("'"&amp;F2120&amp;"'!$C$5")&gt;0,DATE(YEAR(Dashboard!$AL$2),Dashboard!$AU$4,INDIRECT("'"&amp;F2120&amp;"'!$C$5")),""),"")</f>
        <v/>
      </c>
      <c r="G2120" s="38" t="str" cm="1">
        <f t="array" aca="1" ref="G2120" ca="1">IF(F2120="",
    "",
    IFERROR(
        IF(INDIRECT("'"&amp;F2120&amp;"'!$B$2")="Credit Limit",
            "Credit Accounts",
            IF(INDIRECT("'"&amp;F2120&amp;"'!$E$2")="Location",
                "Cash Accounts",
                IF(INDIRECT("'"&amp;F2120&amp;"'!$B$2")="Amount",
                    "Investments",
                    "Bill Accounts"
                )
            )
        ),
    "")
)</f>
        <v/>
      </c>
      <c r="I2120" s="46" t="str" cm="1">
        <f t="array" aca="1" ref="I2120" ca="1">IF(F2120&lt;&gt;"",IF(OR(G2120="Bill Accounts",G2120="Investments", G2120="Cash Accounts"),INDIRECT("'"&amp;F2120&amp;"'!$C$10"),INDIRECT("'"&amp;F2120&amp;"'!$C$8")),"")</f>
        <v/>
      </c>
      <c r="K2120" s="48">
        <f t="shared" ref="K2120:K2183" si="102">SUM(K2119+1)</f>
        <v>2126</v>
      </c>
      <c r="L2120" s="114" t="str" cm="1">
        <f t="array" aca="1" ref="L2120" ca="1">IF(F2120&lt;&gt;"",INDIRECT("'"&amp;F2120&amp;"'!$F$17"),"")</f>
        <v/>
      </c>
      <c r="M2120" s="116" t="str">
        <f t="shared" ca="1" si="100"/>
        <v/>
      </c>
      <c r="O2120" s="49" t="str">
        <f t="shared" ca="1" si="101"/>
        <v/>
      </c>
      <c r="P2120" s="38" t="str">
        <f>IF(E2120&lt;&gt;"",RANK(E2120,$E$3:$E$2298)+COUNTIF($E$3:E2120,E2120)-1,"")</f>
        <v/>
      </c>
    </row>
    <row r="2121" spans="4:16" x14ac:dyDescent="0.25">
      <c r="D2121" s="36" t="str" cm="1">
        <f t="array" aca="1" ref="D2121" ca="1">IFERROR(IF(INDIRECT("'"&amp;F2121&amp;"'!$C$5")&gt;0,DATE(YEAR(Dashboard!$AL$2),Dashboard!$AU$4,INDIRECT("'"&amp;F2121&amp;"'!$C$5")),""),"")</f>
        <v/>
      </c>
      <c r="G2121" s="38" t="str" cm="1">
        <f t="array" aca="1" ref="G2121" ca="1">IF(F2121="",
    "",
    IFERROR(
        IF(INDIRECT("'"&amp;F2121&amp;"'!$B$2")="Credit Limit",
            "Credit Accounts",
            IF(INDIRECT("'"&amp;F2121&amp;"'!$E$2")="Location",
                "Cash Accounts",
                IF(INDIRECT("'"&amp;F2121&amp;"'!$B$2")="Amount",
                    "Investments",
                    "Bill Accounts"
                )
            )
        ),
    "")
)</f>
        <v/>
      </c>
      <c r="I2121" s="46" t="str" cm="1">
        <f t="array" aca="1" ref="I2121" ca="1">IF(F2121&lt;&gt;"",IF(OR(G2121="Bill Accounts",G2121="Investments", G2121="Cash Accounts"),INDIRECT("'"&amp;F2121&amp;"'!$C$10"),INDIRECT("'"&amp;F2121&amp;"'!$C$8")),"")</f>
        <v/>
      </c>
      <c r="K2121" s="48">
        <f t="shared" si="102"/>
        <v>2127</v>
      </c>
      <c r="L2121" s="114" t="str" cm="1">
        <f t="array" aca="1" ref="L2121" ca="1">IF(F2121&lt;&gt;"",INDIRECT("'"&amp;F2121&amp;"'!$F$17"),"")</f>
        <v/>
      </c>
      <c r="M2121" s="116" t="str">
        <f t="shared" ca="1" si="100"/>
        <v/>
      </c>
      <c r="O2121" s="49" t="str">
        <f t="shared" ca="1" si="101"/>
        <v/>
      </c>
      <c r="P2121" s="38" t="str">
        <f>IF(E2121&lt;&gt;"",RANK(E2121,$E$3:$E$2298)+COUNTIF($E$3:E2121,E2121)-1,"")</f>
        <v/>
      </c>
    </row>
    <row r="2122" spans="4:16" x14ac:dyDescent="0.25">
      <c r="D2122" s="36" t="str" cm="1">
        <f t="array" aca="1" ref="D2122" ca="1">IFERROR(IF(INDIRECT("'"&amp;F2122&amp;"'!$C$5")&gt;0,DATE(YEAR(Dashboard!$AL$2),Dashboard!$AU$4,INDIRECT("'"&amp;F2122&amp;"'!$C$5")),""),"")</f>
        <v/>
      </c>
      <c r="G2122" s="38" t="str" cm="1">
        <f t="array" aca="1" ref="G2122" ca="1">IF(F2122="",
    "",
    IFERROR(
        IF(INDIRECT("'"&amp;F2122&amp;"'!$B$2")="Credit Limit",
            "Credit Accounts",
            IF(INDIRECT("'"&amp;F2122&amp;"'!$E$2")="Location",
                "Cash Accounts",
                IF(INDIRECT("'"&amp;F2122&amp;"'!$B$2")="Amount",
                    "Investments",
                    "Bill Accounts"
                )
            )
        ),
    "")
)</f>
        <v/>
      </c>
      <c r="I2122" s="46" t="str" cm="1">
        <f t="array" aca="1" ref="I2122" ca="1">IF(F2122&lt;&gt;"",IF(OR(G2122="Bill Accounts",G2122="Investments", G2122="Cash Accounts"),INDIRECT("'"&amp;F2122&amp;"'!$C$10"),INDIRECT("'"&amp;F2122&amp;"'!$C$8")),"")</f>
        <v/>
      </c>
      <c r="K2122" s="48">
        <f t="shared" si="102"/>
        <v>2128</v>
      </c>
      <c r="L2122" s="114" t="str" cm="1">
        <f t="array" aca="1" ref="L2122" ca="1">IF(F2122&lt;&gt;"",INDIRECT("'"&amp;F2122&amp;"'!$F$17"),"")</f>
        <v/>
      </c>
      <c r="M2122" s="116" t="str">
        <f t="shared" ca="1" si="100"/>
        <v/>
      </c>
      <c r="O2122" s="49" t="str">
        <f t="shared" ca="1" si="101"/>
        <v/>
      </c>
      <c r="P2122" s="38" t="str">
        <f>IF(E2122&lt;&gt;"",RANK(E2122,$E$3:$E$2298)+COUNTIF($E$3:E2122,E2122)-1,"")</f>
        <v/>
      </c>
    </row>
    <row r="2123" spans="4:16" x14ac:dyDescent="0.25">
      <c r="D2123" s="36" t="str" cm="1">
        <f t="array" aca="1" ref="D2123" ca="1">IFERROR(IF(INDIRECT("'"&amp;F2123&amp;"'!$C$5")&gt;0,DATE(YEAR(Dashboard!$AL$2),Dashboard!$AU$4,INDIRECT("'"&amp;F2123&amp;"'!$C$5")),""),"")</f>
        <v/>
      </c>
      <c r="G2123" s="38" t="str" cm="1">
        <f t="array" aca="1" ref="G2123" ca="1">IF(F2123="",
    "",
    IFERROR(
        IF(INDIRECT("'"&amp;F2123&amp;"'!$B$2")="Credit Limit",
            "Credit Accounts",
            IF(INDIRECT("'"&amp;F2123&amp;"'!$E$2")="Location",
                "Cash Accounts",
                IF(INDIRECT("'"&amp;F2123&amp;"'!$B$2")="Amount",
                    "Investments",
                    "Bill Accounts"
                )
            )
        ),
    "")
)</f>
        <v/>
      </c>
      <c r="I2123" s="46" t="str" cm="1">
        <f t="array" aca="1" ref="I2123" ca="1">IF(F2123&lt;&gt;"",IF(OR(G2123="Bill Accounts",G2123="Investments", G2123="Cash Accounts"),INDIRECT("'"&amp;F2123&amp;"'!$C$10"),INDIRECT("'"&amp;F2123&amp;"'!$C$8")),"")</f>
        <v/>
      </c>
      <c r="K2123" s="48">
        <f t="shared" si="102"/>
        <v>2129</v>
      </c>
      <c r="L2123" s="114" t="str" cm="1">
        <f t="array" aca="1" ref="L2123" ca="1">IF(F2123&lt;&gt;"",INDIRECT("'"&amp;F2123&amp;"'!$F$17"),"")</f>
        <v/>
      </c>
      <c r="M2123" s="116" t="str">
        <f t="shared" ca="1" si="100"/>
        <v/>
      </c>
      <c r="O2123" s="49" t="str">
        <f t="shared" ca="1" si="101"/>
        <v/>
      </c>
      <c r="P2123" s="38" t="str">
        <f>IF(E2123&lt;&gt;"",RANK(E2123,$E$3:$E$2298)+COUNTIF($E$3:E2123,E2123)-1,"")</f>
        <v/>
      </c>
    </row>
    <row r="2124" spans="4:16" x14ac:dyDescent="0.25">
      <c r="D2124" s="36" t="str" cm="1">
        <f t="array" aca="1" ref="D2124" ca="1">IFERROR(IF(INDIRECT("'"&amp;F2124&amp;"'!$C$5")&gt;0,DATE(YEAR(Dashboard!$AL$2),Dashboard!$AU$4,INDIRECT("'"&amp;F2124&amp;"'!$C$5")),""),"")</f>
        <v/>
      </c>
      <c r="G2124" s="38" t="str" cm="1">
        <f t="array" aca="1" ref="G2124" ca="1">IF(F2124="",
    "",
    IFERROR(
        IF(INDIRECT("'"&amp;F2124&amp;"'!$B$2")="Credit Limit",
            "Credit Accounts",
            IF(INDIRECT("'"&amp;F2124&amp;"'!$E$2")="Location",
                "Cash Accounts",
                IF(INDIRECT("'"&amp;F2124&amp;"'!$B$2")="Amount",
                    "Investments",
                    "Bill Accounts"
                )
            )
        ),
    "")
)</f>
        <v/>
      </c>
      <c r="I2124" s="46" t="str" cm="1">
        <f t="array" aca="1" ref="I2124" ca="1">IF(F2124&lt;&gt;"",IF(OR(G2124="Bill Accounts",G2124="Investments", G2124="Cash Accounts"),INDIRECT("'"&amp;F2124&amp;"'!$C$10"),INDIRECT("'"&amp;F2124&amp;"'!$C$8")),"")</f>
        <v/>
      </c>
      <c r="K2124" s="48">
        <f t="shared" si="102"/>
        <v>2130</v>
      </c>
      <c r="L2124" s="114" t="str" cm="1">
        <f t="array" aca="1" ref="L2124" ca="1">IF(F2124&lt;&gt;"",INDIRECT("'"&amp;F2124&amp;"'!$F$17"),"")</f>
        <v/>
      </c>
      <c r="M2124" s="116" t="str">
        <f t="shared" ca="1" si="100"/>
        <v/>
      </c>
      <c r="O2124" s="49" t="str">
        <f t="shared" ca="1" si="101"/>
        <v/>
      </c>
      <c r="P2124" s="38" t="str">
        <f>IF(E2124&lt;&gt;"",RANK(E2124,$E$3:$E$2298)+COUNTIF($E$3:E2124,E2124)-1,"")</f>
        <v/>
      </c>
    </row>
    <row r="2125" spans="4:16" x14ac:dyDescent="0.25">
      <c r="D2125" s="36" t="str" cm="1">
        <f t="array" aca="1" ref="D2125" ca="1">IFERROR(IF(INDIRECT("'"&amp;F2125&amp;"'!$C$5")&gt;0,DATE(YEAR(Dashboard!$AL$2),Dashboard!$AU$4,INDIRECT("'"&amp;F2125&amp;"'!$C$5")),""),"")</f>
        <v/>
      </c>
      <c r="G2125" s="38" t="str" cm="1">
        <f t="array" aca="1" ref="G2125" ca="1">IF(F2125="",
    "",
    IFERROR(
        IF(INDIRECT("'"&amp;F2125&amp;"'!$B$2")="Credit Limit",
            "Credit Accounts",
            IF(INDIRECT("'"&amp;F2125&amp;"'!$E$2")="Location",
                "Cash Accounts",
                IF(INDIRECT("'"&amp;F2125&amp;"'!$B$2")="Amount",
                    "Investments",
                    "Bill Accounts"
                )
            )
        ),
    "")
)</f>
        <v/>
      </c>
      <c r="I2125" s="46" t="str" cm="1">
        <f t="array" aca="1" ref="I2125" ca="1">IF(F2125&lt;&gt;"",IF(OR(G2125="Bill Accounts",G2125="Investments", G2125="Cash Accounts"),INDIRECT("'"&amp;F2125&amp;"'!$C$10"),INDIRECT("'"&amp;F2125&amp;"'!$C$8")),"")</f>
        <v/>
      </c>
      <c r="K2125" s="48">
        <f t="shared" si="102"/>
        <v>2131</v>
      </c>
      <c r="L2125" s="114" t="str" cm="1">
        <f t="array" aca="1" ref="L2125" ca="1">IF(F2125&lt;&gt;"",INDIRECT("'"&amp;F2125&amp;"'!$F$17"),"")</f>
        <v/>
      </c>
      <c r="M2125" s="116" t="str">
        <f t="shared" ca="1" si="100"/>
        <v/>
      </c>
      <c r="O2125" s="49" t="str">
        <f t="shared" ca="1" si="101"/>
        <v/>
      </c>
      <c r="P2125" s="38" t="str">
        <f>IF(E2125&lt;&gt;"",RANK(E2125,$E$3:$E$2298)+COUNTIF($E$3:E2125,E2125)-1,"")</f>
        <v/>
      </c>
    </row>
    <row r="2126" spans="4:16" x14ac:dyDescent="0.25">
      <c r="D2126" s="36" t="str" cm="1">
        <f t="array" aca="1" ref="D2126" ca="1">IFERROR(IF(INDIRECT("'"&amp;F2126&amp;"'!$C$5")&gt;0,DATE(YEAR(Dashboard!$AL$2),Dashboard!$AU$4,INDIRECT("'"&amp;F2126&amp;"'!$C$5")),""),"")</f>
        <v/>
      </c>
      <c r="G2126" s="38" t="str" cm="1">
        <f t="array" aca="1" ref="G2126" ca="1">IF(F2126="",
    "",
    IFERROR(
        IF(INDIRECT("'"&amp;F2126&amp;"'!$B$2")="Credit Limit",
            "Credit Accounts",
            IF(INDIRECT("'"&amp;F2126&amp;"'!$E$2")="Location",
                "Cash Accounts",
                IF(INDIRECT("'"&amp;F2126&amp;"'!$B$2")="Amount",
                    "Investments",
                    "Bill Accounts"
                )
            )
        ),
    "")
)</f>
        <v/>
      </c>
      <c r="I2126" s="46" t="str" cm="1">
        <f t="array" aca="1" ref="I2126" ca="1">IF(F2126&lt;&gt;"",IF(OR(G2126="Bill Accounts",G2126="Investments", G2126="Cash Accounts"),INDIRECT("'"&amp;F2126&amp;"'!$C$10"),INDIRECT("'"&amp;F2126&amp;"'!$C$8")),"")</f>
        <v/>
      </c>
      <c r="K2126" s="48">
        <f t="shared" si="102"/>
        <v>2132</v>
      </c>
      <c r="L2126" s="114" t="str" cm="1">
        <f t="array" aca="1" ref="L2126" ca="1">IF(F2126&lt;&gt;"",INDIRECT("'"&amp;F2126&amp;"'!$F$17"),"")</f>
        <v/>
      </c>
      <c r="M2126" s="116" t="str">
        <f t="shared" ca="1" si="100"/>
        <v/>
      </c>
      <c r="O2126" s="49" t="str">
        <f t="shared" ca="1" si="101"/>
        <v/>
      </c>
      <c r="P2126" s="38" t="str">
        <f>IF(E2126&lt;&gt;"",RANK(E2126,$E$3:$E$2298)+COUNTIF($E$3:E2126,E2126)-1,"")</f>
        <v/>
      </c>
    </row>
    <row r="2127" spans="4:16" x14ac:dyDescent="0.25">
      <c r="D2127" s="36" t="str" cm="1">
        <f t="array" aca="1" ref="D2127" ca="1">IFERROR(IF(INDIRECT("'"&amp;F2127&amp;"'!$C$5")&gt;0,DATE(YEAR(Dashboard!$AL$2),Dashboard!$AU$4,INDIRECT("'"&amp;F2127&amp;"'!$C$5")),""),"")</f>
        <v/>
      </c>
      <c r="G2127" s="38" t="str" cm="1">
        <f t="array" aca="1" ref="G2127" ca="1">IF(F2127="",
    "",
    IFERROR(
        IF(INDIRECT("'"&amp;F2127&amp;"'!$B$2")="Credit Limit",
            "Credit Accounts",
            IF(INDIRECT("'"&amp;F2127&amp;"'!$E$2")="Location",
                "Cash Accounts",
                IF(INDIRECT("'"&amp;F2127&amp;"'!$B$2")="Amount",
                    "Investments",
                    "Bill Accounts"
                )
            )
        ),
    "")
)</f>
        <v/>
      </c>
      <c r="I2127" s="46" t="str" cm="1">
        <f t="array" aca="1" ref="I2127" ca="1">IF(F2127&lt;&gt;"",IF(OR(G2127="Bill Accounts",G2127="Investments", G2127="Cash Accounts"),INDIRECT("'"&amp;F2127&amp;"'!$C$10"),INDIRECT("'"&amp;F2127&amp;"'!$C$8")),"")</f>
        <v/>
      </c>
      <c r="K2127" s="48">
        <f t="shared" si="102"/>
        <v>2133</v>
      </c>
      <c r="L2127" s="114" t="str" cm="1">
        <f t="array" aca="1" ref="L2127" ca="1">IF(F2127&lt;&gt;"",INDIRECT("'"&amp;F2127&amp;"'!$F$17"),"")</f>
        <v/>
      </c>
      <c r="M2127" s="116" t="str">
        <f t="shared" ca="1" si="100"/>
        <v/>
      </c>
      <c r="O2127" s="49" t="str">
        <f t="shared" ca="1" si="101"/>
        <v/>
      </c>
      <c r="P2127" s="38" t="str">
        <f>IF(E2127&lt;&gt;"",RANK(E2127,$E$3:$E$2298)+COUNTIF($E$3:E2127,E2127)-1,"")</f>
        <v/>
      </c>
    </row>
    <row r="2128" spans="4:16" x14ac:dyDescent="0.25">
      <c r="D2128" s="36" t="str" cm="1">
        <f t="array" aca="1" ref="D2128" ca="1">IFERROR(IF(INDIRECT("'"&amp;F2128&amp;"'!$C$5")&gt;0,DATE(YEAR(Dashboard!$AL$2),Dashboard!$AU$4,INDIRECT("'"&amp;F2128&amp;"'!$C$5")),""),"")</f>
        <v/>
      </c>
      <c r="G2128" s="38" t="str" cm="1">
        <f t="array" aca="1" ref="G2128" ca="1">IF(F2128="",
    "",
    IFERROR(
        IF(INDIRECT("'"&amp;F2128&amp;"'!$B$2")="Credit Limit",
            "Credit Accounts",
            IF(INDIRECT("'"&amp;F2128&amp;"'!$E$2")="Location",
                "Cash Accounts",
                IF(INDIRECT("'"&amp;F2128&amp;"'!$B$2")="Amount",
                    "Investments",
                    "Bill Accounts"
                )
            )
        ),
    "")
)</f>
        <v/>
      </c>
      <c r="I2128" s="46" t="str" cm="1">
        <f t="array" aca="1" ref="I2128" ca="1">IF(F2128&lt;&gt;"",IF(OR(G2128="Bill Accounts",G2128="Investments", G2128="Cash Accounts"),INDIRECT("'"&amp;F2128&amp;"'!$C$10"),INDIRECT("'"&amp;F2128&amp;"'!$C$8")),"")</f>
        <v/>
      </c>
      <c r="K2128" s="48">
        <f t="shared" si="102"/>
        <v>2134</v>
      </c>
      <c r="L2128" s="114" t="str" cm="1">
        <f t="array" aca="1" ref="L2128" ca="1">IF(F2128&lt;&gt;"",INDIRECT("'"&amp;F2128&amp;"'!$F$17"),"")</f>
        <v/>
      </c>
      <c r="M2128" s="116" t="str">
        <f t="shared" ca="1" si="100"/>
        <v/>
      </c>
      <c r="O2128" s="49" t="str">
        <f t="shared" ca="1" si="101"/>
        <v/>
      </c>
      <c r="P2128" s="38" t="str">
        <f>IF(E2128&lt;&gt;"",RANK(E2128,$E$3:$E$2298)+COUNTIF($E$3:E2128,E2128)-1,"")</f>
        <v/>
      </c>
    </row>
    <row r="2129" spans="4:16" x14ac:dyDescent="0.25">
      <c r="D2129" s="36" t="str" cm="1">
        <f t="array" aca="1" ref="D2129" ca="1">IFERROR(IF(INDIRECT("'"&amp;F2129&amp;"'!$C$5")&gt;0,DATE(YEAR(Dashboard!$AL$2),Dashboard!$AU$4,INDIRECT("'"&amp;F2129&amp;"'!$C$5")),""),"")</f>
        <v/>
      </c>
      <c r="G2129" s="38" t="str" cm="1">
        <f t="array" aca="1" ref="G2129" ca="1">IF(F2129="",
    "",
    IFERROR(
        IF(INDIRECT("'"&amp;F2129&amp;"'!$B$2")="Credit Limit",
            "Credit Accounts",
            IF(INDIRECT("'"&amp;F2129&amp;"'!$E$2")="Location",
                "Cash Accounts",
                IF(INDIRECT("'"&amp;F2129&amp;"'!$B$2")="Amount",
                    "Investments",
                    "Bill Accounts"
                )
            )
        ),
    "")
)</f>
        <v/>
      </c>
      <c r="I2129" s="46" t="str" cm="1">
        <f t="array" aca="1" ref="I2129" ca="1">IF(F2129&lt;&gt;"",IF(OR(G2129="Bill Accounts",G2129="Investments", G2129="Cash Accounts"),INDIRECT("'"&amp;F2129&amp;"'!$C$10"),INDIRECT("'"&amp;F2129&amp;"'!$C$8")),"")</f>
        <v/>
      </c>
      <c r="K2129" s="48">
        <f t="shared" si="102"/>
        <v>2135</v>
      </c>
      <c r="L2129" s="114" t="str" cm="1">
        <f t="array" aca="1" ref="L2129" ca="1">IF(F2129&lt;&gt;"",INDIRECT("'"&amp;F2129&amp;"'!$F$17"),"")</f>
        <v/>
      </c>
      <c r="M2129" s="116" t="str">
        <f t="shared" ca="1" si="100"/>
        <v/>
      </c>
      <c r="O2129" s="49" t="str">
        <f t="shared" ca="1" si="101"/>
        <v/>
      </c>
      <c r="P2129" s="38" t="str">
        <f>IF(E2129&lt;&gt;"",RANK(E2129,$E$3:$E$2298)+COUNTIF($E$3:E2129,E2129)-1,"")</f>
        <v/>
      </c>
    </row>
    <row r="2130" spans="4:16" x14ac:dyDescent="0.25">
      <c r="D2130" s="36" t="str" cm="1">
        <f t="array" aca="1" ref="D2130" ca="1">IFERROR(IF(INDIRECT("'"&amp;F2130&amp;"'!$C$5")&gt;0,DATE(YEAR(Dashboard!$AL$2),Dashboard!$AU$4,INDIRECT("'"&amp;F2130&amp;"'!$C$5")),""),"")</f>
        <v/>
      </c>
      <c r="G2130" s="38" t="str" cm="1">
        <f t="array" aca="1" ref="G2130" ca="1">IF(F2130="",
    "",
    IFERROR(
        IF(INDIRECT("'"&amp;F2130&amp;"'!$B$2")="Credit Limit",
            "Credit Accounts",
            IF(INDIRECT("'"&amp;F2130&amp;"'!$E$2")="Location",
                "Cash Accounts",
                IF(INDIRECT("'"&amp;F2130&amp;"'!$B$2")="Amount",
                    "Investments",
                    "Bill Accounts"
                )
            )
        ),
    "")
)</f>
        <v/>
      </c>
      <c r="I2130" s="46" t="str" cm="1">
        <f t="array" aca="1" ref="I2130" ca="1">IF(F2130&lt;&gt;"",IF(OR(G2130="Bill Accounts",G2130="Investments", G2130="Cash Accounts"),INDIRECT("'"&amp;F2130&amp;"'!$C$10"),INDIRECT("'"&amp;F2130&amp;"'!$C$8")),"")</f>
        <v/>
      </c>
      <c r="K2130" s="48">
        <f t="shared" si="102"/>
        <v>2136</v>
      </c>
      <c r="L2130" s="114" t="str" cm="1">
        <f t="array" aca="1" ref="L2130" ca="1">IF(F2130&lt;&gt;"",INDIRECT("'"&amp;F2130&amp;"'!$F$17"),"")</f>
        <v/>
      </c>
      <c r="M2130" s="116" t="str">
        <f t="shared" ca="1" si="100"/>
        <v/>
      </c>
      <c r="O2130" s="49" t="str">
        <f t="shared" ca="1" si="101"/>
        <v/>
      </c>
      <c r="P2130" s="38" t="str">
        <f>IF(E2130&lt;&gt;"",RANK(E2130,$E$3:$E$2298)+COUNTIF($E$3:E2130,E2130)-1,"")</f>
        <v/>
      </c>
    </row>
    <row r="2131" spans="4:16" x14ac:dyDescent="0.25">
      <c r="D2131" s="36" t="str" cm="1">
        <f t="array" aca="1" ref="D2131" ca="1">IFERROR(IF(INDIRECT("'"&amp;F2131&amp;"'!$C$5")&gt;0,DATE(YEAR(Dashboard!$AL$2),Dashboard!$AU$4,INDIRECT("'"&amp;F2131&amp;"'!$C$5")),""),"")</f>
        <v/>
      </c>
      <c r="G2131" s="38" t="str" cm="1">
        <f t="array" aca="1" ref="G2131" ca="1">IF(F2131="",
    "",
    IFERROR(
        IF(INDIRECT("'"&amp;F2131&amp;"'!$B$2")="Credit Limit",
            "Credit Accounts",
            IF(INDIRECT("'"&amp;F2131&amp;"'!$E$2")="Location",
                "Cash Accounts",
                IF(INDIRECT("'"&amp;F2131&amp;"'!$B$2")="Amount",
                    "Investments",
                    "Bill Accounts"
                )
            )
        ),
    "")
)</f>
        <v/>
      </c>
      <c r="I2131" s="46" t="str" cm="1">
        <f t="array" aca="1" ref="I2131" ca="1">IF(F2131&lt;&gt;"",IF(OR(G2131="Bill Accounts",G2131="Investments", G2131="Cash Accounts"),INDIRECT("'"&amp;F2131&amp;"'!$C$10"),INDIRECT("'"&amp;F2131&amp;"'!$C$8")),"")</f>
        <v/>
      </c>
      <c r="K2131" s="48">
        <f t="shared" si="102"/>
        <v>2137</v>
      </c>
      <c r="L2131" s="114" t="str" cm="1">
        <f t="array" aca="1" ref="L2131" ca="1">IF(F2131&lt;&gt;"",INDIRECT("'"&amp;F2131&amp;"'!$F$17"),"")</f>
        <v/>
      </c>
      <c r="M2131" s="116" t="str">
        <f t="shared" ca="1" si="100"/>
        <v/>
      </c>
      <c r="O2131" s="49" t="str">
        <f t="shared" ca="1" si="101"/>
        <v/>
      </c>
      <c r="P2131" s="38" t="str">
        <f>IF(E2131&lt;&gt;"",RANK(E2131,$E$3:$E$2298)+COUNTIF($E$3:E2131,E2131)-1,"")</f>
        <v/>
      </c>
    </row>
    <row r="2132" spans="4:16" x14ac:dyDescent="0.25">
      <c r="D2132" s="36" t="str" cm="1">
        <f t="array" aca="1" ref="D2132" ca="1">IFERROR(IF(INDIRECT("'"&amp;F2132&amp;"'!$C$5")&gt;0,DATE(YEAR(Dashboard!$AL$2),Dashboard!$AU$4,INDIRECT("'"&amp;F2132&amp;"'!$C$5")),""),"")</f>
        <v/>
      </c>
      <c r="G2132" s="38" t="str" cm="1">
        <f t="array" aca="1" ref="G2132" ca="1">IF(F2132="",
    "",
    IFERROR(
        IF(INDIRECT("'"&amp;F2132&amp;"'!$B$2")="Credit Limit",
            "Credit Accounts",
            IF(INDIRECT("'"&amp;F2132&amp;"'!$E$2")="Location",
                "Cash Accounts",
                IF(INDIRECT("'"&amp;F2132&amp;"'!$B$2")="Amount",
                    "Investments",
                    "Bill Accounts"
                )
            )
        ),
    "")
)</f>
        <v/>
      </c>
      <c r="I2132" s="46" t="str" cm="1">
        <f t="array" aca="1" ref="I2132" ca="1">IF(F2132&lt;&gt;"",IF(OR(G2132="Bill Accounts",G2132="Investments", G2132="Cash Accounts"),INDIRECT("'"&amp;F2132&amp;"'!$C$10"),INDIRECT("'"&amp;F2132&amp;"'!$C$8")),"")</f>
        <v/>
      </c>
      <c r="K2132" s="48">
        <f t="shared" si="102"/>
        <v>2138</v>
      </c>
      <c r="L2132" s="114" t="str" cm="1">
        <f t="array" aca="1" ref="L2132" ca="1">IF(F2132&lt;&gt;"",INDIRECT("'"&amp;F2132&amp;"'!$F$17"),"")</f>
        <v/>
      </c>
      <c r="M2132" s="116" t="str">
        <f t="shared" ca="1" si="100"/>
        <v/>
      </c>
      <c r="O2132" s="49" t="str">
        <f t="shared" ca="1" si="101"/>
        <v/>
      </c>
      <c r="P2132" s="38" t="str">
        <f>IF(E2132&lt;&gt;"",RANK(E2132,$E$3:$E$2298)+COUNTIF($E$3:E2132,E2132)-1,"")</f>
        <v/>
      </c>
    </row>
    <row r="2133" spans="4:16" x14ac:dyDescent="0.25">
      <c r="D2133" s="36" t="str" cm="1">
        <f t="array" aca="1" ref="D2133" ca="1">IFERROR(IF(INDIRECT("'"&amp;F2133&amp;"'!$C$5")&gt;0,DATE(YEAR(Dashboard!$AL$2),Dashboard!$AU$4,INDIRECT("'"&amp;F2133&amp;"'!$C$5")),""),"")</f>
        <v/>
      </c>
      <c r="G2133" s="38" t="str" cm="1">
        <f t="array" aca="1" ref="G2133" ca="1">IF(F2133="",
    "",
    IFERROR(
        IF(INDIRECT("'"&amp;F2133&amp;"'!$B$2")="Credit Limit",
            "Credit Accounts",
            IF(INDIRECT("'"&amp;F2133&amp;"'!$E$2")="Location",
                "Cash Accounts",
                IF(INDIRECT("'"&amp;F2133&amp;"'!$B$2")="Amount",
                    "Investments",
                    "Bill Accounts"
                )
            )
        ),
    "")
)</f>
        <v/>
      </c>
      <c r="I2133" s="46" t="str" cm="1">
        <f t="array" aca="1" ref="I2133" ca="1">IF(F2133&lt;&gt;"",IF(OR(G2133="Bill Accounts",G2133="Investments", G2133="Cash Accounts"),INDIRECT("'"&amp;F2133&amp;"'!$C$10"),INDIRECT("'"&amp;F2133&amp;"'!$C$8")),"")</f>
        <v/>
      </c>
      <c r="K2133" s="48">
        <f t="shared" si="102"/>
        <v>2139</v>
      </c>
      <c r="L2133" s="114" t="str" cm="1">
        <f t="array" aca="1" ref="L2133" ca="1">IF(F2133&lt;&gt;"",INDIRECT("'"&amp;F2133&amp;"'!$F$17"),"")</f>
        <v/>
      </c>
      <c r="M2133" s="116" t="str">
        <f t="shared" ca="1" si="100"/>
        <v/>
      </c>
      <c r="O2133" s="49" t="str">
        <f t="shared" ca="1" si="101"/>
        <v/>
      </c>
      <c r="P2133" s="38" t="str">
        <f>IF(E2133&lt;&gt;"",RANK(E2133,$E$3:$E$2298)+COUNTIF($E$3:E2133,E2133)-1,"")</f>
        <v/>
      </c>
    </row>
    <row r="2134" spans="4:16" x14ac:dyDescent="0.25">
      <c r="D2134" s="36" t="str" cm="1">
        <f t="array" aca="1" ref="D2134" ca="1">IFERROR(IF(INDIRECT("'"&amp;F2134&amp;"'!$C$5")&gt;0,DATE(YEAR(Dashboard!$AL$2),Dashboard!$AU$4,INDIRECT("'"&amp;F2134&amp;"'!$C$5")),""),"")</f>
        <v/>
      </c>
      <c r="G2134" s="38" t="str" cm="1">
        <f t="array" aca="1" ref="G2134" ca="1">IF(F2134="",
    "",
    IFERROR(
        IF(INDIRECT("'"&amp;F2134&amp;"'!$B$2")="Credit Limit",
            "Credit Accounts",
            IF(INDIRECT("'"&amp;F2134&amp;"'!$E$2")="Location",
                "Cash Accounts",
                IF(INDIRECT("'"&amp;F2134&amp;"'!$B$2")="Amount",
                    "Investments",
                    "Bill Accounts"
                )
            )
        ),
    "")
)</f>
        <v/>
      </c>
      <c r="I2134" s="46" t="str" cm="1">
        <f t="array" aca="1" ref="I2134" ca="1">IF(F2134&lt;&gt;"",IF(OR(G2134="Bill Accounts",G2134="Investments", G2134="Cash Accounts"),INDIRECT("'"&amp;F2134&amp;"'!$C$10"),INDIRECT("'"&amp;F2134&amp;"'!$C$8")),"")</f>
        <v/>
      </c>
      <c r="K2134" s="48">
        <f t="shared" si="102"/>
        <v>2140</v>
      </c>
      <c r="L2134" s="114" t="str" cm="1">
        <f t="array" aca="1" ref="L2134" ca="1">IF(F2134&lt;&gt;"",INDIRECT("'"&amp;F2134&amp;"'!$F$17"),"")</f>
        <v/>
      </c>
      <c r="M2134" s="116" t="str">
        <f t="shared" ca="1" si="100"/>
        <v/>
      </c>
      <c r="O2134" s="49" t="str">
        <f t="shared" ca="1" si="101"/>
        <v/>
      </c>
      <c r="P2134" s="38" t="str">
        <f>IF(E2134&lt;&gt;"",RANK(E2134,$E$3:$E$2298)+COUNTIF($E$3:E2134,E2134)-1,"")</f>
        <v/>
      </c>
    </row>
    <row r="2135" spans="4:16" x14ac:dyDescent="0.25">
      <c r="D2135" s="36" t="str" cm="1">
        <f t="array" aca="1" ref="D2135" ca="1">IFERROR(IF(INDIRECT("'"&amp;F2135&amp;"'!$C$5")&gt;0,DATE(YEAR(Dashboard!$AL$2),Dashboard!$AU$4,INDIRECT("'"&amp;F2135&amp;"'!$C$5")),""),"")</f>
        <v/>
      </c>
      <c r="G2135" s="38" t="str" cm="1">
        <f t="array" aca="1" ref="G2135" ca="1">IF(F2135="",
    "",
    IFERROR(
        IF(INDIRECT("'"&amp;F2135&amp;"'!$B$2")="Credit Limit",
            "Credit Accounts",
            IF(INDIRECT("'"&amp;F2135&amp;"'!$E$2")="Location",
                "Cash Accounts",
                IF(INDIRECT("'"&amp;F2135&amp;"'!$B$2")="Amount",
                    "Investments",
                    "Bill Accounts"
                )
            )
        ),
    "")
)</f>
        <v/>
      </c>
      <c r="I2135" s="46" t="str" cm="1">
        <f t="array" aca="1" ref="I2135" ca="1">IF(F2135&lt;&gt;"",IF(OR(G2135="Bill Accounts",G2135="Investments", G2135="Cash Accounts"),INDIRECT("'"&amp;F2135&amp;"'!$C$10"),INDIRECT("'"&amp;F2135&amp;"'!$C$8")),"")</f>
        <v/>
      </c>
      <c r="K2135" s="48">
        <f t="shared" si="102"/>
        <v>2141</v>
      </c>
      <c r="L2135" s="114" t="str" cm="1">
        <f t="array" aca="1" ref="L2135" ca="1">IF(F2135&lt;&gt;"",INDIRECT("'"&amp;F2135&amp;"'!$F$17"),"")</f>
        <v/>
      </c>
      <c r="M2135" s="116" t="str">
        <f t="shared" ca="1" si="100"/>
        <v/>
      </c>
      <c r="O2135" s="49" t="str">
        <f t="shared" ca="1" si="101"/>
        <v/>
      </c>
      <c r="P2135" s="38" t="str">
        <f>IF(E2135&lt;&gt;"",RANK(E2135,$E$3:$E$2298)+COUNTIF($E$3:E2135,E2135)-1,"")</f>
        <v/>
      </c>
    </row>
    <row r="2136" spans="4:16" x14ac:dyDescent="0.25">
      <c r="D2136" s="36" t="str" cm="1">
        <f t="array" aca="1" ref="D2136" ca="1">IFERROR(IF(INDIRECT("'"&amp;F2136&amp;"'!$C$5")&gt;0,DATE(YEAR(Dashboard!$AL$2),Dashboard!$AU$4,INDIRECT("'"&amp;F2136&amp;"'!$C$5")),""),"")</f>
        <v/>
      </c>
      <c r="G2136" s="38" t="str" cm="1">
        <f t="array" aca="1" ref="G2136" ca="1">IF(F2136="",
    "",
    IFERROR(
        IF(INDIRECT("'"&amp;F2136&amp;"'!$B$2")="Credit Limit",
            "Credit Accounts",
            IF(INDIRECT("'"&amp;F2136&amp;"'!$E$2")="Location",
                "Cash Accounts",
                IF(INDIRECT("'"&amp;F2136&amp;"'!$B$2")="Amount",
                    "Investments",
                    "Bill Accounts"
                )
            )
        ),
    "")
)</f>
        <v/>
      </c>
      <c r="I2136" s="46" t="str" cm="1">
        <f t="array" aca="1" ref="I2136" ca="1">IF(F2136&lt;&gt;"",IF(OR(G2136="Bill Accounts",G2136="Investments", G2136="Cash Accounts"),INDIRECT("'"&amp;F2136&amp;"'!$C$10"),INDIRECT("'"&amp;F2136&amp;"'!$C$8")),"")</f>
        <v/>
      </c>
      <c r="K2136" s="48">
        <f t="shared" si="102"/>
        <v>2142</v>
      </c>
      <c r="L2136" s="114" t="str" cm="1">
        <f t="array" aca="1" ref="L2136" ca="1">IF(F2136&lt;&gt;"",INDIRECT("'"&amp;F2136&amp;"'!$F$17"),"")</f>
        <v/>
      </c>
      <c r="M2136" s="116" t="str">
        <f t="shared" ca="1" si="100"/>
        <v/>
      </c>
      <c r="O2136" s="49" t="str">
        <f t="shared" ca="1" si="101"/>
        <v/>
      </c>
      <c r="P2136" s="38" t="str">
        <f>IF(E2136&lt;&gt;"",RANK(E2136,$E$3:$E$2298)+COUNTIF($E$3:E2136,E2136)-1,"")</f>
        <v/>
      </c>
    </row>
    <row r="2137" spans="4:16" x14ac:dyDescent="0.25">
      <c r="D2137" s="36" t="str" cm="1">
        <f t="array" aca="1" ref="D2137" ca="1">IFERROR(IF(INDIRECT("'"&amp;F2137&amp;"'!$C$5")&gt;0,DATE(YEAR(Dashboard!$AL$2),Dashboard!$AU$4,INDIRECT("'"&amp;F2137&amp;"'!$C$5")),""),"")</f>
        <v/>
      </c>
      <c r="G2137" s="38" t="str" cm="1">
        <f t="array" aca="1" ref="G2137" ca="1">IF(F2137="",
    "",
    IFERROR(
        IF(INDIRECT("'"&amp;F2137&amp;"'!$B$2")="Credit Limit",
            "Credit Accounts",
            IF(INDIRECT("'"&amp;F2137&amp;"'!$E$2")="Location",
                "Cash Accounts",
                IF(INDIRECT("'"&amp;F2137&amp;"'!$B$2")="Amount",
                    "Investments",
                    "Bill Accounts"
                )
            )
        ),
    "")
)</f>
        <v/>
      </c>
      <c r="I2137" s="46" t="str" cm="1">
        <f t="array" aca="1" ref="I2137" ca="1">IF(F2137&lt;&gt;"",IF(OR(G2137="Bill Accounts",G2137="Investments", G2137="Cash Accounts"),INDIRECT("'"&amp;F2137&amp;"'!$C$10"),INDIRECT("'"&amp;F2137&amp;"'!$C$8")),"")</f>
        <v/>
      </c>
      <c r="K2137" s="48">
        <f t="shared" si="102"/>
        <v>2143</v>
      </c>
      <c r="L2137" s="114" t="str" cm="1">
        <f t="array" aca="1" ref="L2137" ca="1">IF(F2137&lt;&gt;"",INDIRECT("'"&amp;F2137&amp;"'!$F$17"),"")</f>
        <v/>
      </c>
      <c r="M2137" s="116" t="str">
        <f t="shared" ca="1" si="100"/>
        <v/>
      </c>
      <c r="O2137" s="49" t="str">
        <f t="shared" ca="1" si="101"/>
        <v/>
      </c>
      <c r="P2137" s="38" t="str">
        <f>IF(E2137&lt;&gt;"",RANK(E2137,$E$3:$E$2298)+COUNTIF($E$3:E2137,E2137)-1,"")</f>
        <v/>
      </c>
    </row>
    <row r="2138" spans="4:16" x14ac:dyDescent="0.25">
      <c r="D2138" s="36" t="str" cm="1">
        <f t="array" aca="1" ref="D2138" ca="1">IFERROR(IF(INDIRECT("'"&amp;F2138&amp;"'!$C$5")&gt;0,DATE(YEAR(Dashboard!$AL$2),Dashboard!$AU$4,INDIRECT("'"&amp;F2138&amp;"'!$C$5")),""),"")</f>
        <v/>
      </c>
      <c r="G2138" s="38" t="str" cm="1">
        <f t="array" aca="1" ref="G2138" ca="1">IF(F2138="",
    "",
    IFERROR(
        IF(INDIRECT("'"&amp;F2138&amp;"'!$B$2")="Credit Limit",
            "Credit Accounts",
            IF(INDIRECT("'"&amp;F2138&amp;"'!$E$2")="Location",
                "Cash Accounts",
                IF(INDIRECT("'"&amp;F2138&amp;"'!$B$2")="Amount",
                    "Investments",
                    "Bill Accounts"
                )
            )
        ),
    "")
)</f>
        <v/>
      </c>
      <c r="I2138" s="46" t="str" cm="1">
        <f t="array" aca="1" ref="I2138" ca="1">IF(F2138&lt;&gt;"",IF(OR(G2138="Bill Accounts",G2138="Investments", G2138="Cash Accounts"),INDIRECT("'"&amp;F2138&amp;"'!$C$10"),INDIRECT("'"&amp;F2138&amp;"'!$C$8")),"")</f>
        <v/>
      </c>
      <c r="K2138" s="48">
        <f t="shared" si="102"/>
        <v>2144</v>
      </c>
      <c r="L2138" s="114" t="str" cm="1">
        <f t="array" aca="1" ref="L2138" ca="1">IF(F2138&lt;&gt;"",INDIRECT("'"&amp;F2138&amp;"'!$F$17"),"")</f>
        <v/>
      </c>
      <c r="M2138" s="116" t="str">
        <f t="shared" ca="1" si="100"/>
        <v/>
      </c>
      <c r="O2138" s="49" t="str">
        <f t="shared" ca="1" si="101"/>
        <v/>
      </c>
      <c r="P2138" s="38" t="str">
        <f>IF(E2138&lt;&gt;"",RANK(E2138,$E$3:$E$2298)+COUNTIF($E$3:E2138,E2138)-1,"")</f>
        <v/>
      </c>
    </row>
    <row r="2139" spans="4:16" x14ac:dyDescent="0.25">
      <c r="D2139" s="36" t="str" cm="1">
        <f t="array" aca="1" ref="D2139" ca="1">IFERROR(IF(INDIRECT("'"&amp;F2139&amp;"'!$C$5")&gt;0,DATE(YEAR(Dashboard!$AL$2),Dashboard!$AU$4,INDIRECT("'"&amp;F2139&amp;"'!$C$5")),""),"")</f>
        <v/>
      </c>
      <c r="G2139" s="38" t="str" cm="1">
        <f t="array" aca="1" ref="G2139" ca="1">IF(F2139="",
    "",
    IFERROR(
        IF(INDIRECT("'"&amp;F2139&amp;"'!$B$2")="Credit Limit",
            "Credit Accounts",
            IF(INDIRECT("'"&amp;F2139&amp;"'!$E$2")="Location",
                "Cash Accounts",
                IF(INDIRECT("'"&amp;F2139&amp;"'!$B$2")="Amount",
                    "Investments",
                    "Bill Accounts"
                )
            )
        ),
    "")
)</f>
        <v/>
      </c>
      <c r="I2139" s="46" t="str" cm="1">
        <f t="array" aca="1" ref="I2139" ca="1">IF(F2139&lt;&gt;"",IF(OR(G2139="Bill Accounts",G2139="Investments", G2139="Cash Accounts"),INDIRECT("'"&amp;F2139&amp;"'!$C$10"),INDIRECT("'"&amp;F2139&amp;"'!$C$8")),"")</f>
        <v/>
      </c>
      <c r="K2139" s="48">
        <f t="shared" si="102"/>
        <v>2145</v>
      </c>
      <c r="L2139" s="114" t="str" cm="1">
        <f t="array" aca="1" ref="L2139" ca="1">IF(F2139&lt;&gt;"",INDIRECT("'"&amp;F2139&amp;"'!$F$17"),"")</f>
        <v/>
      </c>
      <c r="M2139" s="116" t="str">
        <f t="shared" ca="1" si="100"/>
        <v/>
      </c>
      <c r="O2139" s="49" t="str">
        <f t="shared" ca="1" si="101"/>
        <v/>
      </c>
      <c r="P2139" s="38" t="str">
        <f>IF(E2139&lt;&gt;"",RANK(E2139,$E$3:$E$2298)+COUNTIF($E$3:E2139,E2139)-1,"")</f>
        <v/>
      </c>
    </row>
    <row r="2140" spans="4:16" x14ac:dyDescent="0.25">
      <c r="D2140" s="36" t="str" cm="1">
        <f t="array" aca="1" ref="D2140" ca="1">IFERROR(IF(INDIRECT("'"&amp;F2140&amp;"'!$C$5")&gt;0,DATE(YEAR(Dashboard!$AL$2),Dashboard!$AU$4,INDIRECT("'"&amp;F2140&amp;"'!$C$5")),""),"")</f>
        <v/>
      </c>
      <c r="G2140" s="38" t="str" cm="1">
        <f t="array" aca="1" ref="G2140" ca="1">IF(F2140="",
    "",
    IFERROR(
        IF(INDIRECT("'"&amp;F2140&amp;"'!$B$2")="Credit Limit",
            "Credit Accounts",
            IF(INDIRECT("'"&amp;F2140&amp;"'!$E$2")="Location",
                "Cash Accounts",
                IF(INDIRECT("'"&amp;F2140&amp;"'!$B$2")="Amount",
                    "Investments",
                    "Bill Accounts"
                )
            )
        ),
    "")
)</f>
        <v/>
      </c>
      <c r="I2140" s="46" t="str" cm="1">
        <f t="array" aca="1" ref="I2140" ca="1">IF(F2140&lt;&gt;"",IF(OR(G2140="Bill Accounts",G2140="Investments", G2140="Cash Accounts"),INDIRECT("'"&amp;F2140&amp;"'!$C$10"),INDIRECT("'"&amp;F2140&amp;"'!$C$8")),"")</f>
        <v/>
      </c>
      <c r="K2140" s="48">
        <f t="shared" si="102"/>
        <v>2146</v>
      </c>
      <c r="L2140" s="114" t="str" cm="1">
        <f t="array" aca="1" ref="L2140" ca="1">IF(F2140&lt;&gt;"",INDIRECT("'"&amp;F2140&amp;"'!$F$17"),"")</f>
        <v/>
      </c>
      <c r="M2140" s="116" t="str">
        <f t="shared" ca="1" si="100"/>
        <v/>
      </c>
      <c r="O2140" s="49" t="str">
        <f t="shared" ca="1" si="101"/>
        <v/>
      </c>
      <c r="P2140" s="38" t="str">
        <f>IF(E2140&lt;&gt;"",RANK(E2140,$E$3:$E$2298)+COUNTIF($E$3:E2140,E2140)-1,"")</f>
        <v/>
      </c>
    </row>
    <row r="2141" spans="4:16" x14ac:dyDescent="0.25">
      <c r="D2141" s="36" t="str" cm="1">
        <f t="array" aca="1" ref="D2141" ca="1">IFERROR(IF(INDIRECT("'"&amp;F2141&amp;"'!$C$5")&gt;0,DATE(YEAR(Dashboard!$AL$2),Dashboard!$AU$4,INDIRECT("'"&amp;F2141&amp;"'!$C$5")),""),"")</f>
        <v/>
      </c>
      <c r="G2141" s="38" t="str" cm="1">
        <f t="array" aca="1" ref="G2141" ca="1">IF(F2141="",
    "",
    IFERROR(
        IF(INDIRECT("'"&amp;F2141&amp;"'!$B$2")="Credit Limit",
            "Credit Accounts",
            IF(INDIRECT("'"&amp;F2141&amp;"'!$E$2")="Location",
                "Cash Accounts",
                IF(INDIRECT("'"&amp;F2141&amp;"'!$B$2")="Amount",
                    "Investments",
                    "Bill Accounts"
                )
            )
        ),
    "")
)</f>
        <v/>
      </c>
      <c r="I2141" s="46" t="str" cm="1">
        <f t="array" aca="1" ref="I2141" ca="1">IF(F2141&lt;&gt;"",IF(OR(G2141="Bill Accounts",G2141="Investments", G2141="Cash Accounts"),INDIRECT("'"&amp;F2141&amp;"'!$C$10"),INDIRECT("'"&amp;F2141&amp;"'!$C$8")),"")</f>
        <v/>
      </c>
      <c r="K2141" s="48">
        <f t="shared" si="102"/>
        <v>2147</v>
      </c>
      <c r="L2141" s="114" t="str" cm="1">
        <f t="array" aca="1" ref="L2141" ca="1">IF(F2141&lt;&gt;"",INDIRECT("'"&amp;F2141&amp;"'!$F$17"),"")</f>
        <v/>
      </c>
      <c r="M2141" s="116" t="str">
        <f t="shared" ca="1" si="100"/>
        <v/>
      </c>
      <c r="O2141" s="49" t="str">
        <f t="shared" ca="1" si="101"/>
        <v/>
      </c>
      <c r="P2141" s="38" t="str">
        <f>IF(E2141&lt;&gt;"",RANK(E2141,$E$3:$E$2298)+COUNTIF($E$3:E2141,E2141)-1,"")</f>
        <v/>
      </c>
    </row>
    <row r="2142" spans="4:16" x14ac:dyDescent="0.25">
      <c r="D2142" s="36" t="str" cm="1">
        <f t="array" aca="1" ref="D2142" ca="1">IFERROR(IF(INDIRECT("'"&amp;F2142&amp;"'!$C$5")&gt;0,DATE(YEAR(Dashboard!$AL$2),Dashboard!$AU$4,INDIRECT("'"&amp;F2142&amp;"'!$C$5")),""),"")</f>
        <v/>
      </c>
      <c r="G2142" s="38" t="str" cm="1">
        <f t="array" aca="1" ref="G2142" ca="1">IF(F2142="",
    "",
    IFERROR(
        IF(INDIRECT("'"&amp;F2142&amp;"'!$B$2")="Credit Limit",
            "Credit Accounts",
            IF(INDIRECT("'"&amp;F2142&amp;"'!$E$2")="Location",
                "Cash Accounts",
                IF(INDIRECT("'"&amp;F2142&amp;"'!$B$2")="Amount",
                    "Investments",
                    "Bill Accounts"
                )
            )
        ),
    "")
)</f>
        <v/>
      </c>
      <c r="I2142" s="46" t="str" cm="1">
        <f t="array" aca="1" ref="I2142" ca="1">IF(F2142&lt;&gt;"",IF(OR(G2142="Bill Accounts",G2142="Investments", G2142="Cash Accounts"),INDIRECT("'"&amp;F2142&amp;"'!$C$10"),INDIRECT("'"&amp;F2142&amp;"'!$C$8")),"")</f>
        <v/>
      </c>
      <c r="K2142" s="48">
        <f t="shared" si="102"/>
        <v>2148</v>
      </c>
      <c r="L2142" s="114" t="str" cm="1">
        <f t="array" aca="1" ref="L2142" ca="1">IF(F2142&lt;&gt;"",INDIRECT("'"&amp;F2142&amp;"'!$F$17"),"")</f>
        <v/>
      </c>
      <c r="M2142" s="116" t="str">
        <f t="shared" ca="1" si="100"/>
        <v/>
      </c>
      <c r="O2142" s="49" t="str">
        <f t="shared" ca="1" si="101"/>
        <v/>
      </c>
      <c r="P2142" s="38" t="str">
        <f>IF(E2142&lt;&gt;"",RANK(E2142,$E$3:$E$2298)+COUNTIF($E$3:E2142,E2142)-1,"")</f>
        <v/>
      </c>
    </row>
    <row r="2143" spans="4:16" x14ac:dyDescent="0.25">
      <c r="D2143" s="36" t="str" cm="1">
        <f t="array" aca="1" ref="D2143" ca="1">IFERROR(IF(INDIRECT("'"&amp;F2143&amp;"'!$C$5")&gt;0,DATE(YEAR(Dashboard!$AL$2),Dashboard!$AU$4,INDIRECT("'"&amp;F2143&amp;"'!$C$5")),""),"")</f>
        <v/>
      </c>
      <c r="G2143" s="38" t="str" cm="1">
        <f t="array" aca="1" ref="G2143" ca="1">IF(F2143="",
    "",
    IFERROR(
        IF(INDIRECT("'"&amp;F2143&amp;"'!$B$2")="Credit Limit",
            "Credit Accounts",
            IF(INDIRECT("'"&amp;F2143&amp;"'!$E$2")="Location",
                "Cash Accounts",
                IF(INDIRECT("'"&amp;F2143&amp;"'!$B$2")="Amount",
                    "Investments",
                    "Bill Accounts"
                )
            )
        ),
    "")
)</f>
        <v/>
      </c>
      <c r="I2143" s="46" t="str" cm="1">
        <f t="array" aca="1" ref="I2143" ca="1">IF(F2143&lt;&gt;"",IF(OR(G2143="Bill Accounts",G2143="Investments", G2143="Cash Accounts"),INDIRECT("'"&amp;F2143&amp;"'!$C$10"),INDIRECT("'"&amp;F2143&amp;"'!$C$8")),"")</f>
        <v/>
      </c>
      <c r="K2143" s="48">
        <f t="shared" si="102"/>
        <v>2149</v>
      </c>
      <c r="L2143" s="114" t="str" cm="1">
        <f t="array" aca="1" ref="L2143" ca="1">IF(F2143&lt;&gt;"",INDIRECT("'"&amp;F2143&amp;"'!$F$17"),"")</f>
        <v/>
      </c>
      <c r="M2143" s="116" t="str">
        <f t="shared" ca="1" si="100"/>
        <v/>
      </c>
      <c r="O2143" s="49" t="str">
        <f t="shared" ca="1" si="101"/>
        <v/>
      </c>
      <c r="P2143" s="38" t="str">
        <f>IF(E2143&lt;&gt;"",RANK(E2143,$E$3:$E$2298)+COUNTIF($E$3:E2143,E2143)-1,"")</f>
        <v/>
      </c>
    </row>
    <row r="2144" spans="4:16" x14ac:dyDescent="0.25">
      <c r="D2144" s="36" t="str" cm="1">
        <f t="array" aca="1" ref="D2144" ca="1">IFERROR(IF(INDIRECT("'"&amp;F2144&amp;"'!$C$5")&gt;0,DATE(YEAR(Dashboard!$AL$2),Dashboard!$AU$4,INDIRECT("'"&amp;F2144&amp;"'!$C$5")),""),"")</f>
        <v/>
      </c>
      <c r="G2144" s="38" t="str" cm="1">
        <f t="array" aca="1" ref="G2144" ca="1">IF(F2144="",
    "",
    IFERROR(
        IF(INDIRECT("'"&amp;F2144&amp;"'!$B$2")="Credit Limit",
            "Credit Accounts",
            IF(INDIRECT("'"&amp;F2144&amp;"'!$E$2")="Location",
                "Cash Accounts",
                IF(INDIRECT("'"&amp;F2144&amp;"'!$B$2")="Amount",
                    "Investments",
                    "Bill Accounts"
                )
            )
        ),
    "")
)</f>
        <v/>
      </c>
      <c r="I2144" s="46" t="str" cm="1">
        <f t="array" aca="1" ref="I2144" ca="1">IF(F2144&lt;&gt;"",IF(OR(G2144="Bill Accounts",G2144="Investments", G2144="Cash Accounts"),INDIRECT("'"&amp;F2144&amp;"'!$C$10"),INDIRECT("'"&amp;F2144&amp;"'!$C$8")),"")</f>
        <v/>
      </c>
      <c r="K2144" s="48">
        <f t="shared" si="102"/>
        <v>2150</v>
      </c>
      <c r="L2144" s="114" t="str" cm="1">
        <f t="array" aca="1" ref="L2144" ca="1">IF(F2144&lt;&gt;"",INDIRECT("'"&amp;F2144&amp;"'!$F$17"),"")</f>
        <v/>
      </c>
      <c r="M2144" s="116" t="str">
        <f t="shared" ca="1" si="100"/>
        <v/>
      </c>
      <c r="O2144" s="49" t="str">
        <f t="shared" ca="1" si="101"/>
        <v/>
      </c>
      <c r="P2144" s="38" t="str">
        <f>IF(E2144&lt;&gt;"",RANK(E2144,$E$3:$E$2298)+COUNTIF($E$3:E2144,E2144)-1,"")</f>
        <v/>
      </c>
    </row>
    <row r="2145" spans="4:16" x14ac:dyDescent="0.25">
      <c r="D2145" s="36" t="str" cm="1">
        <f t="array" aca="1" ref="D2145" ca="1">IFERROR(IF(INDIRECT("'"&amp;F2145&amp;"'!$C$5")&gt;0,DATE(YEAR(Dashboard!$AL$2),Dashboard!$AU$4,INDIRECT("'"&amp;F2145&amp;"'!$C$5")),""),"")</f>
        <v/>
      </c>
      <c r="G2145" s="38" t="str" cm="1">
        <f t="array" aca="1" ref="G2145" ca="1">IF(F2145="",
    "",
    IFERROR(
        IF(INDIRECT("'"&amp;F2145&amp;"'!$B$2")="Credit Limit",
            "Credit Accounts",
            IF(INDIRECT("'"&amp;F2145&amp;"'!$E$2")="Location",
                "Cash Accounts",
                IF(INDIRECT("'"&amp;F2145&amp;"'!$B$2")="Amount",
                    "Investments",
                    "Bill Accounts"
                )
            )
        ),
    "")
)</f>
        <v/>
      </c>
      <c r="I2145" s="46" t="str" cm="1">
        <f t="array" aca="1" ref="I2145" ca="1">IF(F2145&lt;&gt;"",IF(OR(G2145="Bill Accounts",G2145="Investments", G2145="Cash Accounts"),INDIRECT("'"&amp;F2145&amp;"'!$C$10"),INDIRECT("'"&amp;F2145&amp;"'!$C$8")),"")</f>
        <v/>
      </c>
      <c r="K2145" s="48">
        <f t="shared" si="102"/>
        <v>2151</v>
      </c>
      <c r="L2145" s="114" t="str" cm="1">
        <f t="array" aca="1" ref="L2145" ca="1">IF(F2145&lt;&gt;"",INDIRECT("'"&amp;F2145&amp;"'!$F$17"),"")</f>
        <v/>
      </c>
      <c r="M2145" s="116" t="str">
        <f t="shared" ca="1" si="100"/>
        <v/>
      </c>
      <c r="O2145" s="49" t="str">
        <f t="shared" ca="1" si="101"/>
        <v/>
      </c>
      <c r="P2145" s="38" t="str">
        <f>IF(E2145&lt;&gt;"",RANK(E2145,$E$3:$E$2298)+COUNTIF($E$3:E2145,E2145)-1,"")</f>
        <v/>
      </c>
    </row>
    <row r="2146" spans="4:16" x14ac:dyDescent="0.25">
      <c r="D2146" s="36" t="str" cm="1">
        <f t="array" aca="1" ref="D2146" ca="1">IFERROR(IF(INDIRECT("'"&amp;F2146&amp;"'!$C$5")&gt;0,DATE(YEAR(Dashboard!$AL$2),Dashboard!$AU$4,INDIRECT("'"&amp;F2146&amp;"'!$C$5")),""),"")</f>
        <v/>
      </c>
      <c r="G2146" s="38" t="str" cm="1">
        <f t="array" aca="1" ref="G2146" ca="1">IF(F2146="",
    "",
    IFERROR(
        IF(INDIRECT("'"&amp;F2146&amp;"'!$B$2")="Credit Limit",
            "Credit Accounts",
            IF(INDIRECT("'"&amp;F2146&amp;"'!$E$2")="Location",
                "Cash Accounts",
                IF(INDIRECT("'"&amp;F2146&amp;"'!$B$2")="Amount",
                    "Investments",
                    "Bill Accounts"
                )
            )
        ),
    "")
)</f>
        <v/>
      </c>
      <c r="I2146" s="46" t="str" cm="1">
        <f t="array" aca="1" ref="I2146" ca="1">IF(F2146&lt;&gt;"",IF(OR(G2146="Bill Accounts",G2146="Investments", G2146="Cash Accounts"),INDIRECT("'"&amp;F2146&amp;"'!$C$10"),INDIRECT("'"&amp;F2146&amp;"'!$C$8")),"")</f>
        <v/>
      </c>
      <c r="K2146" s="48">
        <f t="shared" si="102"/>
        <v>2152</v>
      </c>
      <c r="L2146" s="114" t="str" cm="1">
        <f t="array" aca="1" ref="L2146" ca="1">IF(F2146&lt;&gt;"",INDIRECT("'"&amp;F2146&amp;"'!$F$17"),"")</f>
        <v/>
      </c>
      <c r="M2146" s="116" t="str">
        <f t="shared" ca="1" si="100"/>
        <v/>
      </c>
      <c r="O2146" s="49" t="str">
        <f t="shared" ca="1" si="101"/>
        <v/>
      </c>
      <c r="P2146" s="38" t="str">
        <f>IF(E2146&lt;&gt;"",RANK(E2146,$E$3:$E$2298)+COUNTIF($E$3:E2146,E2146)-1,"")</f>
        <v/>
      </c>
    </row>
    <row r="2147" spans="4:16" x14ac:dyDescent="0.25">
      <c r="D2147" s="36" t="str" cm="1">
        <f t="array" aca="1" ref="D2147" ca="1">IFERROR(IF(INDIRECT("'"&amp;F2147&amp;"'!$C$5")&gt;0,DATE(YEAR(Dashboard!$AL$2),Dashboard!$AU$4,INDIRECT("'"&amp;F2147&amp;"'!$C$5")),""),"")</f>
        <v/>
      </c>
      <c r="G2147" s="38" t="str" cm="1">
        <f t="array" aca="1" ref="G2147" ca="1">IF(F2147="",
    "",
    IFERROR(
        IF(INDIRECT("'"&amp;F2147&amp;"'!$B$2")="Credit Limit",
            "Credit Accounts",
            IF(INDIRECT("'"&amp;F2147&amp;"'!$E$2")="Location",
                "Cash Accounts",
                IF(INDIRECT("'"&amp;F2147&amp;"'!$B$2")="Amount",
                    "Investments",
                    "Bill Accounts"
                )
            )
        ),
    "")
)</f>
        <v/>
      </c>
      <c r="I2147" s="46" t="str" cm="1">
        <f t="array" aca="1" ref="I2147" ca="1">IF(F2147&lt;&gt;"",IF(OR(G2147="Bill Accounts",G2147="Investments", G2147="Cash Accounts"),INDIRECT("'"&amp;F2147&amp;"'!$C$10"),INDIRECT("'"&amp;F2147&amp;"'!$C$8")),"")</f>
        <v/>
      </c>
      <c r="K2147" s="48">
        <f t="shared" si="102"/>
        <v>2153</v>
      </c>
      <c r="L2147" s="114" t="str" cm="1">
        <f t="array" aca="1" ref="L2147" ca="1">IF(F2147&lt;&gt;"",INDIRECT("'"&amp;F2147&amp;"'!$F$17"),"")</f>
        <v/>
      </c>
      <c r="M2147" s="116" t="str">
        <f t="shared" ca="1" si="100"/>
        <v/>
      </c>
      <c r="O2147" s="49" t="str">
        <f t="shared" ca="1" si="101"/>
        <v/>
      </c>
      <c r="P2147" s="38" t="str">
        <f>IF(E2147&lt;&gt;"",RANK(E2147,$E$3:$E$2298)+COUNTIF($E$3:E2147,E2147)-1,"")</f>
        <v/>
      </c>
    </row>
    <row r="2148" spans="4:16" x14ac:dyDescent="0.25">
      <c r="D2148" s="36" t="str" cm="1">
        <f t="array" aca="1" ref="D2148" ca="1">IFERROR(IF(INDIRECT("'"&amp;F2148&amp;"'!$C$5")&gt;0,DATE(YEAR(Dashboard!$AL$2),Dashboard!$AU$4,INDIRECT("'"&amp;F2148&amp;"'!$C$5")),""),"")</f>
        <v/>
      </c>
      <c r="G2148" s="38" t="str" cm="1">
        <f t="array" aca="1" ref="G2148" ca="1">IF(F2148="",
    "",
    IFERROR(
        IF(INDIRECT("'"&amp;F2148&amp;"'!$B$2")="Credit Limit",
            "Credit Accounts",
            IF(INDIRECT("'"&amp;F2148&amp;"'!$E$2")="Location",
                "Cash Accounts",
                IF(INDIRECT("'"&amp;F2148&amp;"'!$B$2")="Amount",
                    "Investments",
                    "Bill Accounts"
                )
            )
        ),
    "")
)</f>
        <v/>
      </c>
      <c r="I2148" s="46" t="str" cm="1">
        <f t="array" aca="1" ref="I2148" ca="1">IF(F2148&lt;&gt;"",IF(OR(G2148="Bill Accounts",G2148="Investments", G2148="Cash Accounts"),INDIRECT("'"&amp;F2148&amp;"'!$C$10"),INDIRECT("'"&amp;F2148&amp;"'!$C$8")),"")</f>
        <v/>
      </c>
      <c r="K2148" s="48">
        <f t="shared" si="102"/>
        <v>2154</v>
      </c>
      <c r="L2148" s="114" t="str" cm="1">
        <f t="array" aca="1" ref="L2148" ca="1">IF(F2148&lt;&gt;"",INDIRECT("'"&amp;F2148&amp;"'!$F$17"),"")</f>
        <v/>
      </c>
      <c r="M2148" s="116" t="str">
        <f t="shared" ca="1" si="100"/>
        <v/>
      </c>
      <c r="O2148" s="49" t="str">
        <f t="shared" ca="1" si="101"/>
        <v/>
      </c>
      <c r="P2148" s="38" t="str">
        <f>IF(E2148&lt;&gt;"",RANK(E2148,$E$3:$E$2298)+COUNTIF($E$3:E2148,E2148)-1,"")</f>
        <v/>
      </c>
    </row>
    <row r="2149" spans="4:16" x14ac:dyDescent="0.25">
      <c r="D2149" s="36" t="str" cm="1">
        <f t="array" aca="1" ref="D2149" ca="1">IFERROR(IF(INDIRECT("'"&amp;F2149&amp;"'!$C$5")&gt;0,DATE(YEAR(Dashboard!$AL$2),Dashboard!$AU$4,INDIRECT("'"&amp;F2149&amp;"'!$C$5")),""),"")</f>
        <v/>
      </c>
      <c r="G2149" s="38" t="str" cm="1">
        <f t="array" aca="1" ref="G2149" ca="1">IF(F2149="",
    "",
    IFERROR(
        IF(INDIRECT("'"&amp;F2149&amp;"'!$B$2")="Credit Limit",
            "Credit Accounts",
            IF(INDIRECT("'"&amp;F2149&amp;"'!$E$2")="Location",
                "Cash Accounts",
                IF(INDIRECT("'"&amp;F2149&amp;"'!$B$2")="Amount",
                    "Investments",
                    "Bill Accounts"
                )
            )
        ),
    "")
)</f>
        <v/>
      </c>
      <c r="I2149" s="46" t="str" cm="1">
        <f t="array" aca="1" ref="I2149" ca="1">IF(F2149&lt;&gt;"",IF(OR(G2149="Bill Accounts",G2149="Investments", G2149="Cash Accounts"),INDIRECT("'"&amp;F2149&amp;"'!$C$10"),INDIRECT("'"&amp;F2149&amp;"'!$C$8")),"")</f>
        <v/>
      </c>
      <c r="K2149" s="48">
        <f t="shared" si="102"/>
        <v>2155</v>
      </c>
      <c r="L2149" s="114" t="str" cm="1">
        <f t="array" aca="1" ref="L2149" ca="1">IF(F2149&lt;&gt;"",INDIRECT("'"&amp;F2149&amp;"'!$F$17"),"")</f>
        <v/>
      </c>
      <c r="M2149" s="116" t="str">
        <f t="shared" ca="1" si="100"/>
        <v/>
      </c>
      <c r="O2149" s="49" t="str">
        <f t="shared" ca="1" si="101"/>
        <v/>
      </c>
      <c r="P2149" s="38" t="str">
        <f>IF(E2149&lt;&gt;"",RANK(E2149,$E$3:$E$2298)+COUNTIF($E$3:E2149,E2149)-1,"")</f>
        <v/>
      </c>
    </row>
    <row r="2150" spans="4:16" x14ac:dyDescent="0.25">
      <c r="D2150" s="36" t="str" cm="1">
        <f t="array" aca="1" ref="D2150" ca="1">IFERROR(IF(INDIRECT("'"&amp;F2150&amp;"'!$C$5")&gt;0,DATE(YEAR(Dashboard!$AL$2),Dashboard!$AU$4,INDIRECT("'"&amp;F2150&amp;"'!$C$5")),""),"")</f>
        <v/>
      </c>
      <c r="G2150" s="38" t="str" cm="1">
        <f t="array" aca="1" ref="G2150" ca="1">IF(F2150="",
    "",
    IFERROR(
        IF(INDIRECT("'"&amp;F2150&amp;"'!$B$2")="Credit Limit",
            "Credit Accounts",
            IF(INDIRECT("'"&amp;F2150&amp;"'!$E$2")="Location",
                "Cash Accounts",
                IF(INDIRECT("'"&amp;F2150&amp;"'!$B$2")="Amount",
                    "Investments",
                    "Bill Accounts"
                )
            )
        ),
    "")
)</f>
        <v/>
      </c>
      <c r="I2150" s="46" t="str" cm="1">
        <f t="array" aca="1" ref="I2150" ca="1">IF(F2150&lt;&gt;"",IF(OR(G2150="Bill Accounts",G2150="Investments", G2150="Cash Accounts"),INDIRECT("'"&amp;F2150&amp;"'!$C$10"),INDIRECT("'"&amp;F2150&amp;"'!$C$8")),"")</f>
        <v/>
      </c>
      <c r="K2150" s="48">
        <f t="shared" si="102"/>
        <v>2156</v>
      </c>
      <c r="L2150" s="114" t="str" cm="1">
        <f t="array" aca="1" ref="L2150" ca="1">IF(F2150&lt;&gt;"",INDIRECT("'"&amp;F2150&amp;"'!$F$17"),"")</f>
        <v/>
      </c>
      <c r="M2150" s="116" t="str">
        <f t="shared" ca="1" si="100"/>
        <v/>
      </c>
      <c r="O2150" s="49" t="str">
        <f t="shared" ca="1" si="101"/>
        <v/>
      </c>
      <c r="P2150" s="38" t="str">
        <f>IF(E2150&lt;&gt;"",RANK(E2150,$E$3:$E$2298)+COUNTIF($E$3:E2150,E2150)-1,"")</f>
        <v/>
      </c>
    </row>
    <row r="2151" spans="4:16" x14ac:dyDescent="0.25">
      <c r="D2151" s="36" t="str" cm="1">
        <f t="array" aca="1" ref="D2151" ca="1">IFERROR(IF(INDIRECT("'"&amp;F2151&amp;"'!$C$5")&gt;0,DATE(YEAR(Dashboard!$AL$2),Dashboard!$AU$4,INDIRECT("'"&amp;F2151&amp;"'!$C$5")),""),"")</f>
        <v/>
      </c>
      <c r="G2151" s="38" t="str" cm="1">
        <f t="array" aca="1" ref="G2151" ca="1">IF(F2151="",
    "",
    IFERROR(
        IF(INDIRECT("'"&amp;F2151&amp;"'!$B$2")="Credit Limit",
            "Credit Accounts",
            IF(INDIRECT("'"&amp;F2151&amp;"'!$E$2")="Location",
                "Cash Accounts",
                IF(INDIRECT("'"&amp;F2151&amp;"'!$B$2")="Amount",
                    "Investments",
                    "Bill Accounts"
                )
            )
        ),
    "")
)</f>
        <v/>
      </c>
      <c r="I2151" s="46" t="str" cm="1">
        <f t="array" aca="1" ref="I2151" ca="1">IF(F2151&lt;&gt;"",IF(OR(G2151="Bill Accounts",G2151="Investments", G2151="Cash Accounts"),INDIRECT("'"&amp;F2151&amp;"'!$C$10"),INDIRECT("'"&amp;F2151&amp;"'!$C$8")),"")</f>
        <v/>
      </c>
      <c r="K2151" s="48">
        <f t="shared" si="102"/>
        <v>2157</v>
      </c>
      <c r="L2151" s="114" t="str" cm="1">
        <f t="array" aca="1" ref="L2151" ca="1">IF(F2151&lt;&gt;"",INDIRECT("'"&amp;F2151&amp;"'!$F$17"),"")</f>
        <v/>
      </c>
      <c r="M2151" s="116" t="str">
        <f t="shared" ca="1" si="100"/>
        <v/>
      </c>
      <c r="O2151" s="49" t="str">
        <f t="shared" ca="1" si="101"/>
        <v/>
      </c>
      <c r="P2151" s="38" t="str">
        <f>IF(E2151&lt;&gt;"",RANK(E2151,$E$3:$E$2298)+COUNTIF($E$3:E2151,E2151)-1,"")</f>
        <v/>
      </c>
    </row>
    <row r="2152" spans="4:16" x14ac:dyDescent="0.25">
      <c r="D2152" s="36" t="str" cm="1">
        <f t="array" aca="1" ref="D2152" ca="1">IFERROR(IF(INDIRECT("'"&amp;F2152&amp;"'!$C$5")&gt;0,DATE(YEAR(Dashboard!$AL$2),Dashboard!$AU$4,INDIRECT("'"&amp;F2152&amp;"'!$C$5")),""),"")</f>
        <v/>
      </c>
      <c r="G2152" s="38" t="str" cm="1">
        <f t="array" aca="1" ref="G2152" ca="1">IF(F2152="",
    "",
    IFERROR(
        IF(INDIRECT("'"&amp;F2152&amp;"'!$B$2")="Credit Limit",
            "Credit Accounts",
            IF(INDIRECT("'"&amp;F2152&amp;"'!$E$2")="Location",
                "Cash Accounts",
                IF(INDIRECT("'"&amp;F2152&amp;"'!$B$2")="Amount",
                    "Investments",
                    "Bill Accounts"
                )
            )
        ),
    "")
)</f>
        <v/>
      </c>
      <c r="I2152" s="46" t="str" cm="1">
        <f t="array" aca="1" ref="I2152" ca="1">IF(F2152&lt;&gt;"",IF(OR(G2152="Bill Accounts",G2152="Investments", G2152="Cash Accounts"),INDIRECT("'"&amp;F2152&amp;"'!$C$10"),INDIRECT("'"&amp;F2152&amp;"'!$C$8")),"")</f>
        <v/>
      </c>
      <c r="K2152" s="48">
        <f t="shared" si="102"/>
        <v>2158</v>
      </c>
      <c r="L2152" s="114" t="str" cm="1">
        <f t="array" aca="1" ref="L2152" ca="1">IF(F2152&lt;&gt;"",INDIRECT("'"&amp;F2152&amp;"'!$F$17"),"")</f>
        <v/>
      </c>
      <c r="M2152" s="116" t="str">
        <f t="shared" ca="1" si="100"/>
        <v/>
      </c>
      <c r="O2152" s="49" t="str">
        <f t="shared" ca="1" si="101"/>
        <v/>
      </c>
      <c r="P2152" s="38" t="str">
        <f>IF(E2152&lt;&gt;"",RANK(E2152,$E$3:$E$2298)+COUNTIF($E$3:E2152,E2152)-1,"")</f>
        <v/>
      </c>
    </row>
    <row r="2153" spans="4:16" x14ac:dyDescent="0.25">
      <c r="D2153" s="36" t="str" cm="1">
        <f t="array" aca="1" ref="D2153" ca="1">IFERROR(IF(INDIRECT("'"&amp;F2153&amp;"'!$C$5")&gt;0,DATE(YEAR(Dashboard!$AL$2),Dashboard!$AU$4,INDIRECT("'"&amp;F2153&amp;"'!$C$5")),""),"")</f>
        <v/>
      </c>
      <c r="G2153" s="38" t="str" cm="1">
        <f t="array" aca="1" ref="G2153" ca="1">IF(F2153="",
    "",
    IFERROR(
        IF(INDIRECT("'"&amp;F2153&amp;"'!$B$2")="Credit Limit",
            "Credit Accounts",
            IF(INDIRECT("'"&amp;F2153&amp;"'!$E$2")="Location",
                "Cash Accounts",
                IF(INDIRECT("'"&amp;F2153&amp;"'!$B$2")="Amount",
                    "Investments",
                    "Bill Accounts"
                )
            )
        ),
    "")
)</f>
        <v/>
      </c>
      <c r="I2153" s="46" t="str" cm="1">
        <f t="array" aca="1" ref="I2153" ca="1">IF(F2153&lt;&gt;"",IF(OR(G2153="Bill Accounts",G2153="Investments", G2153="Cash Accounts"),INDIRECT("'"&amp;F2153&amp;"'!$C$10"),INDIRECT("'"&amp;F2153&amp;"'!$C$8")),"")</f>
        <v/>
      </c>
      <c r="K2153" s="48">
        <f t="shared" si="102"/>
        <v>2159</v>
      </c>
      <c r="L2153" s="114" t="str" cm="1">
        <f t="array" aca="1" ref="L2153" ca="1">IF(F2153&lt;&gt;"",INDIRECT("'"&amp;F2153&amp;"'!$F$17"),"")</f>
        <v/>
      </c>
      <c r="M2153" s="116" t="str">
        <f t="shared" ca="1" si="100"/>
        <v/>
      </c>
      <c r="O2153" s="49" t="str">
        <f t="shared" ca="1" si="101"/>
        <v/>
      </c>
      <c r="P2153" s="38" t="str">
        <f>IF(E2153&lt;&gt;"",RANK(E2153,$E$3:$E$2298)+COUNTIF($E$3:E2153,E2153)-1,"")</f>
        <v/>
      </c>
    </row>
    <row r="2154" spans="4:16" x14ac:dyDescent="0.25">
      <c r="D2154" s="36" t="str" cm="1">
        <f t="array" aca="1" ref="D2154" ca="1">IFERROR(IF(INDIRECT("'"&amp;F2154&amp;"'!$C$5")&gt;0,DATE(YEAR(Dashboard!$AL$2),Dashboard!$AU$4,INDIRECT("'"&amp;F2154&amp;"'!$C$5")),""),"")</f>
        <v/>
      </c>
      <c r="G2154" s="38" t="str" cm="1">
        <f t="array" aca="1" ref="G2154" ca="1">IF(F2154="",
    "",
    IFERROR(
        IF(INDIRECT("'"&amp;F2154&amp;"'!$B$2")="Credit Limit",
            "Credit Accounts",
            IF(INDIRECT("'"&amp;F2154&amp;"'!$E$2")="Location",
                "Cash Accounts",
                IF(INDIRECT("'"&amp;F2154&amp;"'!$B$2")="Amount",
                    "Investments",
                    "Bill Accounts"
                )
            )
        ),
    "")
)</f>
        <v/>
      </c>
      <c r="I2154" s="46" t="str" cm="1">
        <f t="array" aca="1" ref="I2154" ca="1">IF(F2154&lt;&gt;"",IF(OR(G2154="Bill Accounts",G2154="Investments", G2154="Cash Accounts"),INDIRECT("'"&amp;F2154&amp;"'!$C$10"),INDIRECT("'"&amp;F2154&amp;"'!$C$8")),"")</f>
        <v/>
      </c>
      <c r="K2154" s="48">
        <f t="shared" si="102"/>
        <v>2160</v>
      </c>
      <c r="L2154" s="114" t="str" cm="1">
        <f t="array" aca="1" ref="L2154" ca="1">IF(F2154&lt;&gt;"",INDIRECT("'"&amp;F2154&amp;"'!$F$17"),"")</f>
        <v/>
      </c>
      <c r="M2154" s="116" t="str">
        <f t="shared" ca="1" si="100"/>
        <v/>
      </c>
      <c r="O2154" s="49" t="str">
        <f t="shared" ca="1" si="101"/>
        <v/>
      </c>
      <c r="P2154" s="38" t="str">
        <f>IF(E2154&lt;&gt;"",RANK(E2154,$E$3:$E$2298)+COUNTIF($E$3:E2154,E2154)-1,"")</f>
        <v/>
      </c>
    </row>
    <row r="2155" spans="4:16" x14ac:dyDescent="0.25">
      <c r="D2155" s="36" t="str" cm="1">
        <f t="array" aca="1" ref="D2155" ca="1">IFERROR(IF(INDIRECT("'"&amp;F2155&amp;"'!$C$5")&gt;0,DATE(YEAR(Dashboard!$AL$2),Dashboard!$AU$4,INDIRECT("'"&amp;F2155&amp;"'!$C$5")),""),"")</f>
        <v/>
      </c>
      <c r="G2155" s="38" t="str" cm="1">
        <f t="array" aca="1" ref="G2155" ca="1">IF(F2155="",
    "",
    IFERROR(
        IF(INDIRECT("'"&amp;F2155&amp;"'!$B$2")="Credit Limit",
            "Credit Accounts",
            IF(INDIRECT("'"&amp;F2155&amp;"'!$E$2")="Location",
                "Cash Accounts",
                IF(INDIRECT("'"&amp;F2155&amp;"'!$B$2")="Amount",
                    "Investments",
                    "Bill Accounts"
                )
            )
        ),
    "")
)</f>
        <v/>
      </c>
      <c r="I2155" s="46" t="str" cm="1">
        <f t="array" aca="1" ref="I2155" ca="1">IF(F2155&lt;&gt;"",IF(OR(G2155="Bill Accounts",G2155="Investments", G2155="Cash Accounts"),INDIRECT("'"&amp;F2155&amp;"'!$C$10"),INDIRECT("'"&amp;F2155&amp;"'!$C$8")),"")</f>
        <v/>
      </c>
      <c r="K2155" s="48">
        <f t="shared" si="102"/>
        <v>2161</v>
      </c>
      <c r="L2155" s="114" t="str" cm="1">
        <f t="array" aca="1" ref="L2155" ca="1">IF(F2155&lt;&gt;"",INDIRECT("'"&amp;F2155&amp;"'!$F$17"),"")</f>
        <v/>
      </c>
      <c r="M2155" s="116" t="str">
        <f t="shared" ca="1" si="100"/>
        <v/>
      </c>
      <c r="O2155" s="49" t="str">
        <f t="shared" ca="1" si="101"/>
        <v/>
      </c>
      <c r="P2155" s="38" t="str">
        <f>IF(E2155&lt;&gt;"",RANK(E2155,$E$3:$E$2298)+COUNTIF($E$3:E2155,E2155)-1,"")</f>
        <v/>
      </c>
    </row>
    <row r="2156" spans="4:16" x14ac:dyDescent="0.25">
      <c r="D2156" s="36" t="str" cm="1">
        <f t="array" aca="1" ref="D2156" ca="1">IFERROR(IF(INDIRECT("'"&amp;F2156&amp;"'!$C$5")&gt;0,DATE(YEAR(Dashboard!$AL$2),Dashboard!$AU$4,INDIRECT("'"&amp;F2156&amp;"'!$C$5")),""),"")</f>
        <v/>
      </c>
      <c r="G2156" s="38" t="str" cm="1">
        <f t="array" aca="1" ref="G2156" ca="1">IF(F2156="",
    "",
    IFERROR(
        IF(INDIRECT("'"&amp;F2156&amp;"'!$B$2")="Credit Limit",
            "Credit Accounts",
            IF(INDIRECT("'"&amp;F2156&amp;"'!$E$2")="Location",
                "Cash Accounts",
                IF(INDIRECT("'"&amp;F2156&amp;"'!$B$2")="Amount",
                    "Investments",
                    "Bill Accounts"
                )
            )
        ),
    "")
)</f>
        <v/>
      </c>
      <c r="I2156" s="46" t="str" cm="1">
        <f t="array" aca="1" ref="I2156" ca="1">IF(F2156&lt;&gt;"",IF(OR(G2156="Bill Accounts",G2156="Investments", G2156="Cash Accounts"),INDIRECT("'"&amp;F2156&amp;"'!$C$10"),INDIRECT("'"&amp;F2156&amp;"'!$C$8")),"")</f>
        <v/>
      </c>
      <c r="K2156" s="48">
        <f t="shared" si="102"/>
        <v>2162</v>
      </c>
      <c r="L2156" s="114" t="str" cm="1">
        <f t="array" aca="1" ref="L2156" ca="1">IF(F2156&lt;&gt;"",INDIRECT("'"&amp;F2156&amp;"'!$F$17"),"")</f>
        <v/>
      </c>
      <c r="M2156" s="116" t="str">
        <f t="shared" ca="1" si="100"/>
        <v/>
      </c>
      <c r="O2156" s="49" t="str">
        <f t="shared" ca="1" si="101"/>
        <v/>
      </c>
      <c r="P2156" s="38" t="str">
        <f>IF(E2156&lt;&gt;"",RANK(E2156,$E$3:$E$2298)+COUNTIF($E$3:E2156,E2156)-1,"")</f>
        <v/>
      </c>
    </row>
    <row r="2157" spans="4:16" x14ac:dyDescent="0.25">
      <c r="D2157" s="36" t="str" cm="1">
        <f t="array" aca="1" ref="D2157" ca="1">IFERROR(IF(INDIRECT("'"&amp;F2157&amp;"'!$C$5")&gt;0,DATE(YEAR(Dashboard!$AL$2),Dashboard!$AU$4,INDIRECT("'"&amp;F2157&amp;"'!$C$5")),""),"")</f>
        <v/>
      </c>
      <c r="G2157" s="38" t="str" cm="1">
        <f t="array" aca="1" ref="G2157" ca="1">IF(F2157="",
    "",
    IFERROR(
        IF(INDIRECT("'"&amp;F2157&amp;"'!$B$2")="Credit Limit",
            "Credit Accounts",
            IF(INDIRECT("'"&amp;F2157&amp;"'!$E$2")="Location",
                "Cash Accounts",
                IF(INDIRECT("'"&amp;F2157&amp;"'!$B$2")="Amount",
                    "Investments",
                    "Bill Accounts"
                )
            )
        ),
    "")
)</f>
        <v/>
      </c>
      <c r="I2157" s="46" t="str" cm="1">
        <f t="array" aca="1" ref="I2157" ca="1">IF(F2157&lt;&gt;"",IF(OR(G2157="Bill Accounts",G2157="Investments", G2157="Cash Accounts"),INDIRECT("'"&amp;F2157&amp;"'!$C$10"),INDIRECT("'"&amp;F2157&amp;"'!$C$8")),"")</f>
        <v/>
      </c>
      <c r="K2157" s="48">
        <f t="shared" si="102"/>
        <v>2163</v>
      </c>
      <c r="L2157" s="114" t="str" cm="1">
        <f t="array" aca="1" ref="L2157" ca="1">IF(F2157&lt;&gt;"",INDIRECT("'"&amp;F2157&amp;"'!$F$17"),"")</f>
        <v/>
      </c>
      <c r="M2157" s="116" t="str">
        <f t="shared" ca="1" si="100"/>
        <v/>
      </c>
      <c r="O2157" s="49" t="str">
        <f t="shared" ca="1" si="101"/>
        <v/>
      </c>
      <c r="P2157" s="38" t="str">
        <f>IF(E2157&lt;&gt;"",RANK(E2157,$E$3:$E$2298)+COUNTIF($E$3:E2157,E2157)-1,"")</f>
        <v/>
      </c>
    </row>
    <row r="2158" spans="4:16" x14ac:dyDescent="0.25">
      <c r="D2158" s="36" t="str" cm="1">
        <f t="array" aca="1" ref="D2158" ca="1">IFERROR(IF(INDIRECT("'"&amp;F2158&amp;"'!$C$5")&gt;0,DATE(YEAR(Dashboard!$AL$2),Dashboard!$AU$4,INDIRECT("'"&amp;F2158&amp;"'!$C$5")),""),"")</f>
        <v/>
      </c>
      <c r="G2158" s="38" t="str" cm="1">
        <f t="array" aca="1" ref="G2158" ca="1">IF(F2158="",
    "",
    IFERROR(
        IF(INDIRECT("'"&amp;F2158&amp;"'!$B$2")="Credit Limit",
            "Credit Accounts",
            IF(INDIRECT("'"&amp;F2158&amp;"'!$E$2")="Location",
                "Cash Accounts",
                IF(INDIRECT("'"&amp;F2158&amp;"'!$B$2")="Amount",
                    "Investments",
                    "Bill Accounts"
                )
            )
        ),
    "")
)</f>
        <v/>
      </c>
      <c r="I2158" s="46" t="str" cm="1">
        <f t="array" aca="1" ref="I2158" ca="1">IF(F2158&lt;&gt;"",IF(OR(G2158="Bill Accounts",G2158="Investments", G2158="Cash Accounts"),INDIRECT("'"&amp;F2158&amp;"'!$C$10"),INDIRECT("'"&amp;F2158&amp;"'!$C$8")),"")</f>
        <v/>
      </c>
      <c r="K2158" s="48">
        <f t="shared" si="102"/>
        <v>2164</v>
      </c>
      <c r="L2158" s="114" t="str" cm="1">
        <f t="array" aca="1" ref="L2158" ca="1">IF(F2158&lt;&gt;"",INDIRECT("'"&amp;F2158&amp;"'!$F$17"),"")</f>
        <v/>
      </c>
      <c r="M2158" s="116" t="str">
        <f t="shared" ca="1" si="100"/>
        <v/>
      </c>
      <c r="O2158" s="49" t="str">
        <f t="shared" ca="1" si="101"/>
        <v/>
      </c>
      <c r="P2158" s="38" t="str">
        <f>IF(E2158&lt;&gt;"",RANK(E2158,$E$3:$E$2298)+COUNTIF($E$3:E2158,E2158)-1,"")</f>
        <v/>
      </c>
    </row>
    <row r="2159" spans="4:16" x14ac:dyDescent="0.25">
      <c r="D2159" s="36" t="str" cm="1">
        <f t="array" aca="1" ref="D2159" ca="1">IFERROR(IF(INDIRECT("'"&amp;F2159&amp;"'!$C$5")&gt;0,DATE(YEAR(Dashboard!$AL$2),Dashboard!$AU$4,INDIRECT("'"&amp;F2159&amp;"'!$C$5")),""),"")</f>
        <v/>
      </c>
      <c r="G2159" s="38" t="str" cm="1">
        <f t="array" aca="1" ref="G2159" ca="1">IF(F2159="",
    "",
    IFERROR(
        IF(INDIRECT("'"&amp;F2159&amp;"'!$B$2")="Credit Limit",
            "Credit Accounts",
            IF(INDIRECT("'"&amp;F2159&amp;"'!$E$2")="Location",
                "Cash Accounts",
                IF(INDIRECT("'"&amp;F2159&amp;"'!$B$2")="Amount",
                    "Investments",
                    "Bill Accounts"
                )
            )
        ),
    "")
)</f>
        <v/>
      </c>
      <c r="I2159" s="46" t="str" cm="1">
        <f t="array" aca="1" ref="I2159" ca="1">IF(F2159&lt;&gt;"",IF(OR(G2159="Bill Accounts",G2159="Investments", G2159="Cash Accounts"),INDIRECT("'"&amp;F2159&amp;"'!$C$10"),INDIRECT("'"&amp;F2159&amp;"'!$C$8")),"")</f>
        <v/>
      </c>
      <c r="K2159" s="48">
        <f t="shared" si="102"/>
        <v>2165</v>
      </c>
      <c r="L2159" s="114" t="str" cm="1">
        <f t="array" aca="1" ref="L2159" ca="1">IF(F2159&lt;&gt;"",INDIRECT("'"&amp;F2159&amp;"'!$F$17"),"")</f>
        <v/>
      </c>
      <c r="M2159" s="116" t="str">
        <f t="shared" ca="1" si="100"/>
        <v/>
      </c>
      <c r="O2159" s="49" t="str">
        <f t="shared" ca="1" si="101"/>
        <v/>
      </c>
      <c r="P2159" s="38" t="str">
        <f>IF(E2159&lt;&gt;"",RANK(E2159,$E$3:$E$2298)+COUNTIF($E$3:E2159,E2159)-1,"")</f>
        <v/>
      </c>
    </row>
    <row r="2160" spans="4:16" x14ac:dyDescent="0.25">
      <c r="D2160" s="36" t="str" cm="1">
        <f t="array" aca="1" ref="D2160" ca="1">IFERROR(IF(INDIRECT("'"&amp;F2160&amp;"'!$C$5")&gt;0,DATE(YEAR(Dashboard!$AL$2),Dashboard!$AU$4,INDIRECT("'"&amp;F2160&amp;"'!$C$5")),""),"")</f>
        <v/>
      </c>
      <c r="G2160" s="38" t="str" cm="1">
        <f t="array" aca="1" ref="G2160" ca="1">IF(F2160="",
    "",
    IFERROR(
        IF(INDIRECT("'"&amp;F2160&amp;"'!$B$2")="Credit Limit",
            "Credit Accounts",
            IF(INDIRECT("'"&amp;F2160&amp;"'!$E$2")="Location",
                "Cash Accounts",
                IF(INDIRECT("'"&amp;F2160&amp;"'!$B$2")="Amount",
                    "Investments",
                    "Bill Accounts"
                )
            )
        ),
    "")
)</f>
        <v/>
      </c>
      <c r="I2160" s="46" t="str" cm="1">
        <f t="array" aca="1" ref="I2160" ca="1">IF(F2160&lt;&gt;"",IF(OR(G2160="Bill Accounts",G2160="Investments", G2160="Cash Accounts"),INDIRECT("'"&amp;F2160&amp;"'!$C$10"),INDIRECT("'"&amp;F2160&amp;"'!$C$8")),"")</f>
        <v/>
      </c>
      <c r="K2160" s="48">
        <f t="shared" si="102"/>
        <v>2166</v>
      </c>
      <c r="L2160" s="114" t="str" cm="1">
        <f t="array" aca="1" ref="L2160" ca="1">IF(F2160&lt;&gt;"",INDIRECT("'"&amp;F2160&amp;"'!$F$17"),"")</f>
        <v/>
      </c>
      <c r="M2160" s="116" t="str">
        <f t="shared" ca="1" si="100"/>
        <v/>
      </c>
      <c r="O2160" s="49" t="str">
        <f t="shared" ca="1" si="101"/>
        <v/>
      </c>
      <c r="P2160" s="38" t="str">
        <f>IF(E2160&lt;&gt;"",RANK(E2160,$E$3:$E$2298)+COUNTIF($E$3:E2160,E2160)-1,"")</f>
        <v/>
      </c>
    </row>
    <row r="2161" spans="4:16" x14ac:dyDescent="0.25">
      <c r="D2161" s="36" t="str" cm="1">
        <f t="array" aca="1" ref="D2161" ca="1">IFERROR(IF(INDIRECT("'"&amp;F2161&amp;"'!$C$5")&gt;0,DATE(YEAR(Dashboard!$AL$2),Dashboard!$AU$4,INDIRECT("'"&amp;F2161&amp;"'!$C$5")),""),"")</f>
        <v/>
      </c>
      <c r="G2161" s="38" t="str" cm="1">
        <f t="array" aca="1" ref="G2161" ca="1">IF(F2161="",
    "",
    IFERROR(
        IF(INDIRECT("'"&amp;F2161&amp;"'!$B$2")="Credit Limit",
            "Credit Accounts",
            IF(INDIRECT("'"&amp;F2161&amp;"'!$E$2")="Location",
                "Cash Accounts",
                IF(INDIRECT("'"&amp;F2161&amp;"'!$B$2")="Amount",
                    "Investments",
                    "Bill Accounts"
                )
            )
        ),
    "")
)</f>
        <v/>
      </c>
      <c r="I2161" s="46" t="str" cm="1">
        <f t="array" aca="1" ref="I2161" ca="1">IF(F2161&lt;&gt;"",IF(OR(G2161="Bill Accounts",G2161="Investments", G2161="Cash Accounts"),INDIRECT("'"&amp;F2161&amp;"'!$C$10"),INDIRECT("'"&amp;F2161&amp;"'!$C$8")),"")</f>
        <v/>
      </c>
      <c r="K2161" s="48">
        <f t="shared" si="102"/>
        <v>2167</v>
      </c>
      <c r="L2161" s="114" t="str" cm="1">
        <f t="array" aca="1" ref="L2161" ca="1">IF(F2161&lt;&gt;"",INDIRECT("'"&amp;F2161&amp;"'!$F$17"),"")</f>
        <v/>
      </c>
      <c r="M2161" s="116" t="str">
        <f t="shared" ca="1" si="100"/>
        <v/>
      </c>
      <c r="O2161" s="49" t="str">
        <f t="shared" ca="1" si="101"/>
        <v/>
      </c>
      <c r="P2161" s="38" t="str">
        <f>IF(E2161&lt;&gt;"",RANK(E2161,$E$3:$E$2298)+COUNTIF($E$3:E2161,E2161)-1,"")</f>
        <v/>
      </c>
    </row>
    <row r="2162" spans="4:16" x14ac:dyDescent="0.25">
      <c r="D2162" s="36" t="str" cm="1">
        <f t="array" aca="1" ref="D2162" ca="1">IFERROR(IF(INDIRECT("'"&amp;F2162&amp;"'!$C$5")&gt;0,DATE(YEAR(Dashboard!$AL$2),Dashboard!$AU$4,INDIRECT("'"&amp;F2162&amp;"'!$C$5")),""),"")</f>
        <v/>
      </c>
      <c r="G2162" s="38" t="str" cm="1">
        <f t="array" aca="1" ref="G2162" ca="1">IF(F2162="",
    "",
    IFERROR(
        IF(INDIRECT("'"&amp;F2162&amp;"'!$B$2")="Credit Limit",
            "Credit Accounts",
            IF(INDIRECT("'"&amp;F2162&amp;"'!$E$2")="Location",
                "Cash Accounts",
                IF(INDIRECT("'"&amp;F2162&amp;"'!$B$2")="Amount",
                    "Investments",
                    "Bill Accounts"
                )
            )
        ),
    "")
)</f>
        <v/>
      </c>
      <c r="I2162" s="46" t="str" cm="1">
        <f t="array" aca="1" ref="I2162" ca="1">IF(F2162&lt;&gt;"",IF(OR(G2162="Bill Accounts",G2162="Investments", G2162="Cash Accounts"),INDIRECT("'"&amp;F2162&amp;"'!$C$10"),INDIRECT("'"&amp;F2162&amp;"'!$C$8")),"")</f>
        <v/>
      </c>
      <c r="K2162" s="48">
        <f t="shared" si="102"/>
        <v>2168</v>
      </c>
      <c r="L2162" s="114" t="str" cm="1">
        <f t="array" aca="1" ref="L2162" ca="1">IF(F2162&lt;&gt;"",INDIRECT("'"&amp;F2162&amp;"'!$F$17"),"")</f>
        <v/>
      </c>
      <c r="M2162" s="116" t="str">
        <f t="shared" ca="1" si="100"/>
        <v/>
      </c>
      <c r="O2162" s="49" t="str">
        <f t="shared" ca="1" si="101"/>
        <v/>
      </c>
      <c r="P2162" s="38" t="str">
        <f>IF(E2162&lt;&gt;"",RANK(E2162,$E$3:$E$2298)+COUNTIF($E$3:E2162,E2162)-1,"")</f>
        <v/>
      </c>
    </row>
    <row r="2163" spans="4:16" x14ac:dyDescent="0.25">
      <c r="D2163" s="36" t="str" cm="1">
        <f t="array" aca="1" ref="D2163" ca="1">IFERROR(IF(INDIRECT("'"&amp;F2163&amp;"'!$C$5")&gt;0,DATE(YEAR(Dashboard!$AL$2),Dashboard!$AU$4,INDIRECT("'"&amp;F2163&amp;"'!$C$5")),""),"")</f>
        <v/>
      </c>
      <c r="G2163" s="38" t="str" cm="1">
        <f t="array" aca="1" ref="G2163" ca="1">IF(F2163="",
    "",
    IFERROR(
        IF(INDIRECT("'"&amp;F2163&amp;"'!$B$2")="Credit Limit",
            "Credit Accounts",
            IF(INDIRECT("'"&amp;F2163&amp;"'!$E$2")="Location",
                "Cash Accounts",
                IF(INDIRECT("'"&amp;F2163&amp;"'!$B$2")="Amount",
                    "Investments",
                    "Bill Accounts"
                )
            )
        ),
    "")
)</f>
        <v/>
      </c>
      <c r="I2163" s="46" t="str" cm="1">
        <f t="array" aca="1" ref="I2163" ca="1">IF(F2163&lt;&gt;"",IF(OR(G2163="Bill Accounts",G2163="Investments", G2163="Cash Accounts"),INDIRECT("'"&amp;F2163&amp;"'!$C$10"),INDIRECT("'"&amp;F2163&amp;"'!$C$8")),"")</f>
        <v/>
      </c>
      <c r="K2163" s="48">
        <f t="shared" si="102"/>
        <v>2169</v>
      </c>
      <c r="L2163" s="114" t="str" cm="1">
        <f t="array" aca="1" ref="L2163" ca="1">IF(F2163&lt;&gt;"",INDIRECT("'"&amp;F2163&amp;"'!$F$17"),"")</f>
        <v/>
      </c>
      <c r="M2163" s="116" t="str">
        <f t="shared" ca="1" si="100"/>
        <v/>
      </c>
      <c r="O2163" s="49" t="str">
        <f t="shared" ca="1" si="101"/>
        <v/>
      </c>
      <c r="P2163" s="38" t="str">
        <f>IF(E2163&lt;&gt;"",RANK(E2163,$E$3:$E$2298)+COUNTIF($E$3:E2163,E2163)-1,"")</f>
        <v/>
      </c>
    </row>
    <row r="2164" spans="4:16" x14ac:dyDescent="0.25">
      <c r="D2164" s="36" t="str" cm="1">
        <f t="array" aca="1" ref="D2164" ca="1">IFERROR(IF(INDIRECT("'"&amp;F2164&amp;"'!$C$5")&gt;0,DATE(YEAR(Dashboard!$AL$2),Dashboard!$AU$4,INDIRECT("'"&amp;F2164&amp;"'!$C$5")),""),"")</f>
        <v/>
      </c>
      <c r="G2164" s="38" t="str" cm="1">
        <f t="array" aca="1" ref="G2164" ca="1">IF(F2164="",
    "",
    IFERROR(
        IF(INDIRECT("'"&amp;F2164&amp;"'!$B$2")="Credit Limit",
            "Credit Accounts",
            IF(INDIRECT("'"&amp;F2164&amp;"'!$E$2")="Location",
                "Cash Accounts",
                IF(INDIRECT("'"&amp;F2164&amp;"'!$B$2")="Amount",
                    "Investments",
                    "Bill Accounts"
                )
            )
        ),
    "")
)</f>
        <v/>
      </c>
      <c r="I2164" s="46" t="str" cm="1">
        <f t="array" aca="1" ref="I2164" ca="1">IF(F2164&lt;&gt;"",IF(OR(G2164="Bill Accounts",G2164="Investments", G2164="Cash Accounts"),INDIRECT("'"&amp;F2164&amp;"'!$C$10"),INDIRECT("'"&amp;F2164&amp;"'!$C$8")),"")</f>
        <v/>
      </c>
      <c r="K2164" s="48">
        <f t="shared" si="102"/>
        <v>2170</v>
      </c>
      <c r="L2164" s="114" t="str" cm="1">
        <f t="array" aca="1" ref="L2164" ca="1">IF(F2164&lt;&gt;"",INDIRECT("'"&amp;F2164&amp;"'!$F$17"),"")</f>
        <v/>
      </c>
      <c r="M2164" s="116" t="str">
        <f t="shared" ca="1" si="100"/>
        <v/>
      </c>
      <c r="O2164" s="49" t="str">
        <f t="shared" ca="1" si="101"/>
        <v/>
      </c>
      <c r="P2164" s="38" t="str">
        <f>IF(E2164&lt;&gt;"",RANK(E2164,$E$3:$E$2298)+COUNTIF($E$3:E2164,E2164)-1,"")</f>
        <v/>
      </c>
    </row>
    <row r="2165" spans="4:16" x14ac:dyDescent="0.25">
      <c r="D2165" s="36" t="str" cm="1">
        <f t="array" aca="1" ref="D2165" ca="1">IFERROR(IF(INDIRECT("'"&amp;F2165&amp;"'!$C$5")&gt;0,DATE(YEAR(Dashboard!$AL$2),Dashboard!$AU$4,INDIRECT("'"&amp;F2165&amp;"'!$C$5")),""),"")</f>
        <v/>
      </c>
      <c r="G2165" s="38" t="str" cm="1">
        <f t="array" aca="1" ref="G2165" ca="1">IF(F2165="",
    "",
    IFERROR(
        IF(INDIRECT("'"&amp;F2165&amp;"'!$B$2")="Credit Limit",
            "Credit Accounts",
            IF(INDIRECT("'"&amp;F2165&amp;"'!$E$2")="Location",
                "Cash Accounts",
                IF(INDIRECT("'"&amp;F2165&amp;"'!$B$2")="Amount",
                    "Investments",
                    "Bill Accounts"
                )
            )
        ),
    "")
)</f>
        <v/>
      </c>
      <c r="I2165" s="46" t="str" cm="1">
        <f t="array" aca="1" ref="I2165" ca="1">IF(F2165&lt;&gt;"",IF(OR(G2165="Bill Accounts",G2165="Investments", G2165="Cash Accounts"),INDIRECT("'"&amp;F2165&amp;"'!$C$10"),INDIRECT("'"&amp;F2165&amp;"'!$C$8")),"")</f>
        <v/>
      </c>
      <c r="K2165" s="48">
        <f t="shared" si="102"/>
        <v>2171</v>
      </c>
      <c r="L2165" s="114" t="str" cm="1">
        <f t="array" aca="1" ref="L2165" ca="1">IF(F2165&lt;&gt;"",INDIRECT("'"&amp;F2165&amp;"'!$F$17"),"")</f>
        <v/>
      </c>
      <c r="M2165" s="116" t="str">
        <f t="shared" ca="1" si="100"/>
        <v/>
      </c>
      <c r="O2165" s="49" t="str">
        <f t="shared" ca="1" si="101"/>
        <v/>
      </c>
      <c r="P2165" s="38" t="str">
        <f>IF(E2165&lt;&gt;"",RANK(E2165,$E$3:$E$2298)+COUNTIF($E$3:E2165,E2165)-1,"")</f>
        <v/>
      </c>
    </row>
    <row r="2166" spans="4:16" x14ac:dyDescent="0.25">
      <c r="D2166" s="36" t="str" cm="1">
        <f t="array" aca="1" ref="D2166" ca="1">IFERROR(IF(INDIRECT("'"&amp;F2166&amp;"'!$C$5")&gt;0,DATE(YEAR(Dashboard!$AL$2),Dashboard!$AU$4,INDIRECT("'"&amp;F2166&amp;"'!$C$5")),""),"")</f>
        <v/>
      </c>
      <c r="G2166" s="38" t="str" cm="1">
        <f t="array" aca="1" ref="G2166" ca="1">IF(F2166="",
    "",
    IFERROR(
        IF(INDIRECT("'"&amp;F2166&amp;"'!$B$2")="Credit Limit",
            "Credit Accounts",
            IF(INDIRECT("'"&amp;F2166&amp;"'!$E$2")="Location",
                "Cash Accounts",
                IF(INDIRECT("'"&amp;F2166&amp;"'!$B$2")="Amount",
                    "Investments",
                    "Bill Accounts"
                )
            )
        ),
    "")
)</f>
        <v/>
      </c>
      <c r="I2166" s="46" t="str" cm="1">
        <f t="array" aca="1" ref="I2166" ca="1">IF(F2166&lt;&gt;"",IF(OR(G2166="Bill Accounts",G2166="Investments", G2166="Cash Accounts"),INDIRECT("'"&amp;F2166&amp;"'!$C$10"),INDIRECT("'"&amp;F2166&amp;"'!$C$8")),"")</f>
        <v/>
      </c>
      <c r="K2166" s="48">
        <f t="shared" si="102"/>
        <v>2172</v>
      </c>
      <c r="L2166" s="114" t="str" cm="1">
        <f t="array" aca="1" ref="L2166" ca="1">IF(F2166&lt;&gt;"",INDIRECT("'"&amp;F2166&amp;"'!$F$17"),"")</f>
        <v/>
      </c>
      <c r="M2166" s="116" t="str">
        <f t="shared" ca="1" si="100"/>
        <v/>
      </c>
      <c r="O2166" s="49" t="str">
        <f t="shared" ca="1" si="101"/>
        <v/>
      </c>
      <c r="P2166" s="38" t="str">
        <f>IF(E2166&lt;&gt;"",RANK(E2166,$E$3:$E$2298)+COUNTIF($E$3:E2166,E2166)-1,"")</f>
        <v/>
      </c>
    </row>
    <row r="2167" spans="4:16" x14ac:dyDescent="0.25">
      <c r="D2167" s="36" t="str" cm="1">
        <f t="array" aca="1" ref="D2167" ca="1">IFERROR(IF(INDIRECT("'"&amp;F2167&amp;"'!$C$5")&gt;0,DATE(YEAR(Dashboard!$AL$2),Dashboard!$AU$4,INDIRECT("'"&amp;F2167&amp;"'!$C$5")),""),"")</f>
        <v/>
      </c>
      <c r="G2167" s="38" t="str" cm="1">
        <f t="array" aca="1" ref="G2167" ca="1">IF(F2167="",
    "",
    IFERROR(
        IF(INDIRECT("'"&amp;F2167&amp;"'!$B$2")="Credit Limit",
            "Credit Accounts",
            IF(INDIRECT("'"&amp;F2167&amp;"'!$E$2")="Location",
                "Cash Accounts",
                IF(INDIRECT("'"&amp;F2167&amp;"'!$B$2")="Amount",
                    "Investments",
                    "Bill Accounts"
                )
            )
        ),
    "")
)</f>
        <v/>
      </c>
      <c r="I2167" s="46" t="str" cm="1">
        <f t="array" aca="1" ref="I2167" ca="1">IF(F2167&lt;&gt;"",IF(OR(G2167="Bill Accounts",G2167="Investments", G2167="Cash Accounts"),INDIRECT("'"&amp;F2167&amp;"'!$C$10"),INDIRECT("'"&amp;F2167&amp;"'!$C$8")),"")</f>
        <v/>
      </c>
      <c r="K2167" s="48">
        <f t="shared" si="102"/>
        <v>2173</v>
      </c>
      <c r="L2167" s="114" t="str" cm="1">
        <f t="array" aca="1" ref="L2167" ca="1">IF(F2167&lt;&gt;"",INDIRECT("'"&amp;F2167&amp;"'!$F$17"),"")</f>
        <v/>
      </c>
      <c r="M2167" s="116" t="str">
        <f t="shared" ca="1" si="100"/>
        <v/>
      </c>
      <c r="O2167" s="49" t="str">
        <f t="shared" ca="1" si="101"/>
        <v/>
      </c>
      <c r="P2167" s="38" t="str">
        <f>IF(E2167&lt;&gt;"",RANK(E2167,$E$3:$E$2298)+COUNTIF($E$3:E2167,E2167)-1,"")</f>
        <v/>
      </c>
    </row>
    <row r="2168" spans="4:16" x14ac:dyDescent="0.25">
      <c r="D2168" s="36" t="str" cm="1">
        <f t="array" aca="1" ref="D2168" ca="1">IFERROR(IF(INDIRECT("'"&amp;F2168&amp;"'!$C$5")&gt;0,DATE(YEAR(Dashboard!$AL$2),Dashboard!$AU$4,INDIRECT("'"&amp;F2168&amp;"'!$C$5")),""),"")</f>
        <v/>
      </c>
      <c r="G2168" s="38" t="str" cm="1">
        <f t="array" aca="1" ref="G2168" ca="1">IF(F2168="",
    "",
    IFERROR(
        IF(INDIRECT("'"&amp;F2168&amp;"'!$B$2")="Credit Limit",
            "Credit Accounts",
            IF(INDIRECT("'"&amp;F2168&amp;"'!$E$2")="Location",
                "Cash Accounts",
                IF(INDIRECT("'"&amp;F2168&amp;"'!$B$2")="Amount",
                    "Investments",
                    "Bill Accounts"
                )
            )
        ),
    "")
)</f>
        <v/>
      </c>
      <c r="I2168" s="46" t="str" cm="1">
        <f t="array" aca="1" ref="I2168" ca="1">IF(F2168&lt;&gt;"",IF(OR(G2168="Bill Accounts",G2168="Investments", G2168="Cash Accounts"),INDIRECT("'"&amp;F2168&amp;"'!$C$10"),INDIRECT("'"&amp;F2168&amp;"'!$C$8")),"")</f>
        <v/>
      </c>
      <c r="K2168" s="48">
        <f t="shared" si="102"/>
        <v>2174</v>
      </c>
      <c r="L2168" s="114" t="str" cm="1">
        <f t="array" aca="1" ref="L2168" ca="1">IF(F2168&lt;&gt;"",INDIRECT("'"&amp;F2168&amp;"'!$F$17"),"")</f>
        <v/>
      </c>
      <c r="M2168" s="116" t="str">
        <f t="shared" ca="1" si="100"/>
        <v/>
      </c>
      <c r="O2168" s="49" t="str">
        <f t="shared" ca="1" si="101"/>
        <v/>
      </c>
      <c r="P2168" s="38" t="str">
        <f>IF(E2168&lt;&gt;"",RANK(E2168,$E$3:$E$2298)+COUNTIF($E$3:E2168,E2168)-1,"")</f>
        <v/>
      </c>
    </row>
    <row r="2169" spans="4:16" x14ac:dyDescent="0.25">
      <c r="D2169" s="36" t="str" cm="1">
        <f t="array" aca="1" ref="D2169" ca="1">IFERROR(IF(INDIRECT("'"&amp;F2169&amp;"'!$C$5")&gt;0,DATE(YEAR(Dashboard!$AL$2),Dashboard!$AU$4,INDIRECT("'"&amp;F2169&amp;"'!$C$5")),""),"")</f>
        <v/>
      </c>
      <c r="G2169" s="38" t="str" cm="1">
        <f t="array" aca="1" ref="G2169" ca="1">IF(F2169="",
    "",
    IFERROR(
        IF(INDIRECT("'"&amp;F2169&amp;"'!$B$2")="Credit Limit",
            "Credit Accounts",
            IF(INDIRECT("'"&amp;F2169&amp;"'!$E$2")="Location",
                "Cash Accounts",
                IF(INDIRECT("'"&amp;F2169&amp;"'!$B$2")="Amount",
                    "Investments",
                    "Bill Accounts"
                )
            )
        ),
    "")
)</f>
        <v/>
      </c>
      <c r="I2169" s="46" t="str" cm="1">
        <f t="array" aca="1" ref="I2169" ca="1">IF(F2169&lt;&gt;"",IF(OR(G2169="Bill Accounts",G2169="Investments", G2169="Cash Accounts"),INDIRECT("'"&amp;F2169&amp;"'!$C$10"),INDIRECT("'"&amp;F2169&amp;"'!$C$8")),"")</f>
        <v/>
      </c>
      <c r="K2169" s="48">
        <f t="shared" si="102"/>
        <v>2175</v>
      </c>
      <c r="L2169" s="114" t="str" cm="1">
        <f t="array" aca="1" ref="L2169" ca="1">IF(F2169&lt;&gt;"",INDIRECT("'"&amp;F2169&amp;"'!$F$17"),"")</f>
        <v/>
      </c>
      <c r="M2169" s="116" t="str">
        <f t="shared" ca="1" si="100"/>
        <v/>
      </c>
      <c r="O2169" s="49" t="str">
        <f t="shared" ca="1" si="101"/>
        <v/>
      </c>
      <c r="P2169" s="38" t="str">
        <f>IF(E2169&lt;&gt;"",RANK(E2169,$E$3:$E$2298)+COUNTIF($E$3:E2169,E2169)-1,"")</f>
        <v/>
      </c>
    </row>
    <row r="2170" spans="4:16" x14ac:dyDescent="0.25">
      <c r="D2170" s="36" t="str" cm="1">
        <f t="array" aca="1" ref="D2170" ca="1">IFERROR(IF(INDIRECT("'"&amp;F2170&amp;"'!$C$5")&gt;0,DATE(YEAR(Dashboard!$AL$2),Dashboard!$AU$4,INDIRECT("'"&amp;F2170&amp;"'!$C$5")),""),"")</f>
        <v/>
      </c>
      <c r="G2170" s="38" t="str" cm="1">
        <f t="array" aca="1" ref="G2170" ca="1">IF(F2170="",
    "",
    IFERROR(
        IF(INDIRECT("'"&amp;F2170&amp;"'!$B$2")="Credit Limit",
            "Credit Accounts",
            IF(INDIRECT("'"&amp;F2170&amp;"'!$E$2")="Location",
                "Cash Accounts",
                IF(INDIRECT("'"&amp;F2170&amp;"'!$B$2")="Amount",
                    "Investments",
                    "Bill Accounts"
                )
            )
        ),
    "")
)</f>
        <v/>
      </c>
      <c r="I2170" s="46" t="str" cm="1">
        <f t="array" aca="1" ref="I2170" ca="1">IF(F2170&lt;&gt;"",IF(OR(G2170="Bill Accounts",G2170="Investments", G2170="Cash Accounts"),INDIRECT("'"&amp;F2170&amp;"'!$C$10"),INDIRECT("'"&amp;F2170&amp;"'!$C$8")),"")</f>
        <v/>
      </c>
      <c r="K2170" s="48">
        <f t="shared" si="102"/>
        <v>2176</v>
      </c>
      <c r="L2170" s="114" t="str" cm="1">
        <f t="array" aca="1" ref="L2170" ca="1">IF(F2170&lt;&gt;"",INDIRECT("'"&amp;F2170&amp;"'!$F$17"),"")</f>
        <v/>
      </c>
      <c r="M2170" s="116" t="str">
        <f t="shared" ca="1" si="100"/>
        <v/>
      </c>
      <c r="O2170" s="49" t="str">
        <f t="shared" ca="1" si="101"/>
        <v/>
      </c>
      <c r="P2170" s="38" t="str">
        <f>IF(E2170&lt;&gt;"",RANK(E2170,$E$3:$E$2298)+COUNTIF($E$3:E2170,E2170)-1,"")</f>
        <v/>
      </c>
    </row>
    <row r="2171" spans="4:16" x14ac:dyDescent="0.25">
      <c r="D2171" s="36" t="str" cm="1">
        <f t="array" aca="1" ref="D2171" ca="1">IFERROR(IF(INDIRECT("'"&amp;F2171&amp;"'!$C$5")&gt;0,DATE(YEAR(Dashboard!$AL$2),Dashboard!$AU$4,INDIRECT("'"&amp;F2171&amp;"'!$C$5")),""),"")</f>
        <v/>
      </c>
      <c r="G2171" s="38" t="str" cm="1">
        <f t="array" aca="1" ref="G2171" ca="1">IF(F2171="",
    "",
    IFERROR(
        IF(INDIRECT("'"&amp;F2171&amp;"'!$B$2")="Credit Limit",
            "Credit Accounts",
            IF(INDIRECT("'"&amp;F2171&amp;"'!$E$2")="Location",
                "Cash Accounts",
                IF(INDIRECT("'"&amp;F2171&amp;"'!$B$2")="Amount",
                    "Investments",
                    "Bill Accounts"
                )
            )
        ),
    "")
)</f>
        <v/>
      </c>
      <c r="I2171" s="46" t="str" cm="1">
        <f t="array" aca="1" ref="I2171" ca="1">IF(F2171&lt;&gt;"",IF(OR(G2171="Bill Accounts",G2171="Investments", G2171="Cash Accounts"),INDIRECT("'"&amp;F2171&amp;"'!$C$10"),INDIRECT("'"&amp;F2171&amp;"'!$C$8")),"")</f>
        <v/>
      </c>
      <c r="K2171" s="48">
        <f t="shared" si="102"/>
        <v>2177</v>
      </c>
      <c r="L2171" s="114" t="str" cm="1">
        <f t="array" aca="1" ref="L2171" ca="1">IF(F2171&lt;&gt;"",INDIRECT("'"&amp;F2171&amp;"'!$F$17"),"")</f>
        <v/>
      </c>
      <c r="M2171" s="116" t="str">
        <f t="shared" ca="1" si="100"/>
        <v/>
      </c>
      <c r="O2171" s="49" t="str">
        <f t="shared" ca="1" si="101"/>
        <v/>
      </c>
      <c r="P2171" s="38" t="str">
        <f>IF(E2171&lt;&gt;"",RANK(E2171,$E$3:$E$2298)+COUNTIF($E$3:E2171,E2171)-1,"")</f>
        <v/>
      </c>
    </row>
    <row r="2172" spans="4:16" x14ac:dyDescent="0.25">
      <c r="D2172" s="36" t="str" cm="1">
        <f t="array" aca="1" ref="D2172" ca="1">IFERROR(IF(INDIRECT("'"&amp;F2172&amp;"'!$C$5")&gt;0,DATE(YEAR(Dashboard!$AL$2),Dashboard!$AU$4,INDIRECT("'"&amp;F2172&amp;"'!$C$5")),""),"")</f>
        <v/>
      </c>
      <c r="G2172" s="38" t="str" cm="1">
        <f t="array" aca="1" ref="G2172" ca="1">IF(F2172="",
    "",
    IFERROR(
        IF(INDIRECT("'"&amp;F2172&amp;"'!$B$2")="Credit Limit",
            "Credit Accounts",
            IF(INDIRECT("'"&amp;F2172&amp;"'!$E$2")="Location",
                "Cash Accounts",
                IF(INDIRECT("'"&amp;F2172&amp;"'!$B$2")="Amount",
                    "Investments",
                    "Bill Accounts"
                )
            )
        ),
    "")
)</f>
        <v/>
      </c>
      <c r="I2172" s="46" t="str" cm="1">
        <f t="array" aca="1" ref="I2172" ca="1">IF(F2172&lt;&gt;"",IF(OR(G2172="Bill Accounts",G2172="Investments", G2172="Cash Accounts"),INDIRECT("'"&amp;F2172&amp;"'!$C$10"),INDIRECT("'"&amp;F2172&amp;"'!$C$8")),"")</f>
        <v/>
      </c>
      <c r="K2172" s="48">
        <f t="shared" si="102"/>
        <v>2178</v>
      </c>
      <c r="L2172" s="114" t="str" cm="1">
        <f t="array" aca="1" ref="L2172" ca="1">IF(F2172&lt;&gt;"",INDIRECT("'"&amp;F2172&amp;"'!$F$17"),"")</f>
        <v/>
      </c>
      <c r="M2172" s="116" t="str">
        <f t="shared" ca="1" si="100"/>
        <v/>
      </c>
      <c r="O2172" s="49" t="str">
        <f t="shared" ca="1" si="101"/>
        <v/>
      </c>
      <c r="P2172" s="38" t="str">
        <f>IF(E2172&lt;&gt;"",RANK(E2172,$E$3:$E$2298)+COUNTIF($E$3:E2172,E2172)-1,"")</f>
        <v/>
      </c>
    </row>
    <row r="2173" spans="4:16" x14ac:dyDescent="0.25">
      <c r="D2173" s="36" t="str" cm="1">
        <f t="array" aca="1" ref="D2173" ca="1">IFERROR(IF(INDIRECT("'"&amp;F2173&amp;"'!$C$5")&gt;0,DATE(YEAR(Dashboard!$AL$2),Dashboard!$AU$4,INDIRECT("'"&amp;F2173&amp;"'!$C$5")),""),"")</f>
        <v/>
      </c>
      <c r="G2173" s="38" t="str" cm="1">
        <f t="array" aca="1" ref="G2173" ca="1">IF(F2173="",
    "",
    IFERROR(
        IF(INDIRECT("'"&amp;F2173&amp;"'!$B$2")="Credit Limit",
            "Credit Accounts",
            IF(INDIRECT("'"&amp;F2173&amp;"'!$E$2")="Location",
                "Cash Accounts",
                IF(INDIRECT("'"&amp;F2173&amp;"'!$B$2")="Amount",
                    "Investments",
                    "Bill Accounts"
                )
            )
        ),
    "")
)</f>
        <v/>
      </c>
      <c r="I2173" s="46" t="str" cm="1">
        <f t="array" aca="1" ref="I2173" ca="1">IF(F2173&lt;&gt;"",IF(OR(G2173="Bill Accounts",G2173="Investments", G2173="Cash Accounts"),INDIRECT("'"&amp;F2173&amp;"'!$C$10"),INDIRECT("'"&amp;F2173&amp;"'!$C$8")),"")</f>
        <v/>
      </c>
      <c r="K2173" s="48">
        <f t="shared" si="102"/>
        <v>2179</v>
      </c>
      <c r="L2173" s="114" t="str" cm="1">
        <f t="array" aca="1" ref="L2173" ca="1">IF(F2173&lt;&gt;"",INDIRECT("'"&amp;F2173&amp;"'!$F$17"),"")</f>
        <v/>
      </c>
      <c r="M2173" s="116" t="str">
        <f t="shared" ca="1" si="100"/>
        <v/>
      </c>
      <c r="O2173" s="49" t="str">
        <f t="shared" ca="1" si="101"/>
        <v/>
      </c>
      <c r="P2173" s="38" t="str">
        <f>IF(E2173&lt;&gt;"",RANK(E2173,$E$3:$E$2298)+COUNTIF($E$3:E2173,E2173)-1,"")</f>
        <v/>
      </c>
    </row>
    <row r="2174" spans="4:16" x14ac:dyDescent="0.25">
      <c r="D2174" s="36" t="str" cm="1">
        <f t="array" aca="1" ref="D2174" ca="1">IFERROR(IF(INDIRECT("'"&amp;F2174&amp;"'!$C$5")&gt;0,DATE(YEAR(Dashboard!$AL$2),Dashboard!$AU$4,INDIRECT("'"&amp;F2174&amp;"'!$C$5")),""),"")</f>
        <v/>
      </c>
      <c r="G2174" s="38" t="str" cm="1">
        <f t="array" aca="1" ref="G2174" ca="1">IF(F2174="",
    "",
    IFERROR(
        IF(INDIRECT("'"&amp;F2174&amp;"'!$B$2")="Credit Limit",
            "Credit Accounts",
            IF(INDIRECT("'"&amp;F2174&amp;"'!$E$2")="Location",
                "Cash Accounts",
                IF(INDIRECT("'"&amp;F2174&amp;"'!$B$2")="Amount",
                    "Investments",
                    "Bill Accounts"
                )
            )
        ),
    "")
)</f>
        <v/>
      </c>
      <c r="I2174" s="46" t="str" cm="1">
        <f t="array" aca="1" ref="I2174" ca="1">IF(F2174&lt;&gt;"",IF(OR(G2174="Bill Accounts",G2174="Investments", G2174="Cash Accounts"),INDIRECT("'"&amp;F2174&amp;"'!$C$10"),INDIRECT("'"&amp;F2174&amp;"'!$C$8")),"")</f>
        <v/>
      </c>
      <c r="K2174" s="48">
        <f t="shared" si="102"/>
        <v>2180</v>
      </c>
      <c r="L2174" s="114" t="str" cm="1">
        <f t="array" aca="1" ref="L2174" ca="1">IF(F2174&lt;&gt;"",INDIRECT("'"&amp;F2174&amp;"'!$F$17"),"")</f>
        <v/>
      </c>
      <c r="M2174" s="116" t="str">
        <f t="shared" ca="1" si="100"/>
        <v/>
      </c>
      <c r="O2174" s="49" t="str">
        <f t="shared" ca="1" si="101"/>
        <v/>
      </c>
      <c r="P2174" s="38" t="str">
        <f>IF(E2174&lt;&gt;"",RANK(E2174,$E$3:$E$2298)+COUNTIF($E$3:E2174,E2174)-1,"")</f>
        <v/>
      </c>
    </row>
    <row r="2175" spans="4:16" x14ac:dyDescent="0.25">
      <c r="D2175" s="36" t="str" cm="1">
        <f t="array" aca="1" ref="D2175" ca="1">IFERROR(IF(INDIRECT("'"&amp;F2175&amp;"'!$C$5")&gt;0,DATE(YEAR(Dashboard!$AL$2),Dashboard!$AU$4,INDIRECT("'"&amp;F2175&amp;"'!$C$5")),""),"")</f>
        <v/>
      </c>
      <c r="G2175" s="38" t="str" cm="1">
        <f t="array" aca="1" ref="G2175" ca="1">IF(F2175="",
    "",
    IFERROR(
        IF(INDIRECT("'"&amp;F2175&amp;"'!$B$2")="Credit Limit",
            "Credit Accounts",
            IF(INDIRECT("'"&amp;F2175&amp;"'!$E$2")="Location",
                "Cash Accounts",
                IF(INDIRECT("'"&amp;F2175&amp;"'!$B$2")="Amount",
                    "Investments",
                    "Bill Accounts"
                )
            )
        ),
    "")
)</f>
        <v/>
      </c>
      <c r="I2175" s="46" t="str" cm="1">
        <f t="array" aca="1" ref="I2175" ca="1">IF(F2175&lt;&gt;"",IF(OR(G2175="Bill Accounts",G2175="Investments", G2175="Cash Accounts"),INDIRECT("'"&amp;F2175&amp;"'!$C$10"),INDIRECT("'"&amp;F2175&amp;"'!$C$8")),"")</f>
        <v/>
      </c>
      <c r="K2175" s="48">
        <f t="shared" si="102"/>
        <v>2181</v>
      </c>
      <c r="L2175" s="114" t="str" cm="1">
        <f t="array" aca="1" ref="L2175" ca="1">IF(F2175&lt;&gt;"",INDIRECT("'"&amp;F2175&amp;"'!$F$17"),"")</f>
        <v/>
      </c>
      <c r="M2175" s="116" t="str">
        <f t="shared" ca="1" si="100"/>
        <v/>
      </c>
      <c r="O2175" s="49" t="str">
        <f t="shared" ca="1" si="101"/>
        <v/>
      </c>
      <c r="P2175" s="38" t="str">
        <f>IF(E2175&lt;&gt;"",RANK(E2175,$E$3:$E$2298)+COUNTIF($E$3:E2175,E2175)-1,"")</f>
        <v/>
      </c>
    </row>
    <row r="2176" spans="4:16" x14ac:dyDescent="0.25">
      <c r="D2176" s="36" t="str" cm="1">
        <f t="array" aca="1" ref="D2176" ca="1">IFERROR(IF(INDIRECT("'"&amp;F2176&amp;"'!$C$5")&gt;0,DATE(YEAR(Dashboard!$AL$2),Dashboard!$AU$4,INDIRECT("'"&amp;F2176&amp;"'!$C$5")),""),"")</f>
        <v/>
      </c>
      <c r="G2176" s="38" t="str" cm="1">
        <f t="array" aca="1" ref="G2176" ca="1">IF(F2176="",
    "",
    IFERROR(
        IF(INDIRECT("'"&amp;F2176&amp;"'!$B$2")="Credit Limit",
            "Credit Accounts",
            IF(INDIRECT("'"&amp;F2176&amp;"'!$E$2")="Location",
                "Cash Accounts",
                IF(INDIRECT("'"&amp;F2176&amp;"'!$B$2")="Amount",
                    "Investments",
                    "Bill Accounts"
                )
            )
        ),
    "")
)</f>
        <v/>
      </c>
      <c r="I2176" s="46" t="str" cm="1">
        <f t="array" aca="1" ref="I2176" ca="1">IF(F2176&lt;&gt;"",IF(OR(G2176="Bill Accounts",G2176="Investments", G2176="Cash Accounts"),INDIRECT("'"&amp;F2176&amp;"'!$C$10"),INDIRECT("'"&amp;F2176&amp;"'!$C$8")),"")</f>
        <v/>
      </c>
      <c r="K2176" s="48">
        <f t="shared" si="102"/>
        <v>2182</v>
      </c>
      <c r="L2176" s="114" t="str" cm="1">
        <f t="array" aca="1" ref="L2176" ca="1">IF(F2176&lt;&gt;"",INDIRECT("'"&amp;F2176&amp;"'!$F$17"),"")</f>
        <v/>
      </c>
      <c r="M2176" s="116" t="str">
        <f t="shared" ca="1" si="100"/>
        <v/>
      </c>
      <c r="O2176" s="49" t="str">
        <f t="shared" ca="1" si="101"/>
        <v/>
      </c>
      <c r="P2176" s="38" t="str">
        <f>IF(E2176&lt;&gt;"",RANK(E2176,$E$3:$E$2298)+COUNTIF($E$3:E2176,E2176)-1,"")</f>
        <v/>
      </c>
    </row>
    <row r="2177" spans="4:16" x14ac:dyDescent="0.25">
      <c r="D2177" s="36" t="str" cm="1">
        <f t="array" aca="1" ref="D2177" ca="1">IFERROR(IF(INDIRECT("'"&amp;F2177&amp;"'!$C$5")&gt;0,DATE(YEAR(Dashboard!$AL$2),Dashboard!$AU$4,INDIRECT("'"&amp;F2177&amp;"'!$C$5")),""),"")</f>
        <v/>
      </c>
      <c r="G2177" s="38" t="str" cm="1">
        <f t="array" aca="1" ref="G2177" ca="1">IF(F2177="",
    "",
    IFERROR(
        IF(INDIRECT("'"&amp;F2177&amp;"'!$B$2")="Credit Limit",
            "Credit Accounts",
            IF(INDIRECT("'"&amp;F2177&amp;"'!$E$2")="Location",
                "Cash Accounts",
                IF(INDIRECT("'"&amp;F2177&amp;"'!$B$2")="Amount",
                    "Investments",
                    "Bill Accounts"
                )
            )
        ),
    "")
)</f>
        <v/>
      </c>
      <c r="I2177" s="46" t="str" cm="1">
        <f t="array" aca="1" ref="I2177" ca="1">IF(F2177&lt;&gt;"",IF(OR(G2177="Bill Accounts",G2177="Investments", G2177="Cash Accounts"),INDIRECT("'"&amp;F2177&amp;"'!$C$10"),INDIRECT("'"&amp;F2177&amp;"'!$C$8")),"")</f>
        <v/>
      </c>
      <c r="K2177" s="48">
        <f t="shared" si="102"/>
        <v>2183</v>
      </c>
      <c r="L2177" s="114" t="str" cm="1">
        <f t="array" aca="1" ref="L2177" ca="1">IF(F2177&lt;&gt;"",INDIRECT("'"&amp;F2177&amp;"'!$F$17"),"")</f>
        <v/>
      </c>
      <c r="M2177" s="116" t="str">
        <f t="shared" ca="1" si="100"/>
        <v/>
      </c>
      <c r="O2177" s="49" t="str">
        <f t="shared" ca="1" si="101"/>
        <v/>
      </c>
      <c r="P2177" s="38" t="str">
        <f>IF(E2177&lt;&gt;"",RANK(E2177,$E$3:$E$2298)+COUNTIF($E$3:E2177,E2177)-1,"")</f>
        <v/>
      </c>
    </row>
    <row r="2178" spans="4:16" x14ac:dyDescent="0.25">
      <c r="D2178" s="36" t="str" cm="1">
        <f t="array" aca="1" ref="D2178" ca="1">IFERROR(IF(INDIRECT("'"&amp;F2178&amp;"'!$C$5")&gt;0,DATE(YEAR(Dashboard!$AL$2),Dashboard!$AU$4,INDIRECT("'"&amp;F2178&amp;"'!$C$5")),""),"")</f>
        <v/>
      </c>
      <c r="G2178" s="38" t="str" cm="1">
        <f t="array" aca="1" ref="G2178" ca="1">IF(F2178="",
    "",
    IFERROR(
        IF(INDIRECT("'"&amp;F2178&amp;"'!$B$2")="Credit Limit",
            "Credit Accounts",
            IF(INDIRECT("'"&amp;F2178&amp;"'!$E$2")="Location",
                "Cash Accounts",
                IF(INDIRECT("'"&amp;F2178&amp;"'!$B$2")="Amount",
                    "Investments",
                    "Bill Accounts"
                )
            )
        ),
    "")
)</f>
        <v/>
      </c>
      <c r="I2178" s="46" t="str" cm="1">
        <f t="array" aca="1" ref="I2178" ca="1">IF(F2178&lt;&gt;"",IF(OR(G2178="Bill Accounts",G2178="Investments", G2178="Cash Accounts"),INDIRECT("'"&amp;F2178&amp;"'!$C$10"),INDIRECT("'"&amp;F2178&amp;"'!$C$8")),"")</f>
        <v/>
      </c>
      <c r="K2178" s="48">
        <f t="shared" si="102"/>
        <v>2184</v>
      </c>
      <c r="L2178" s="114" t="str" cm="1">
        <f t="array" aca="1" ref="L2178" ca="1">IF(F2178&lt;&gt;"",INDIRECT("'"&amp;F2178&amp;"'!$F$17"),"")</f>
        <v/>
      </c>
      <c r="M2178" s="116" t="str">
        <f t="shared" ca="1" si="100"/>
        <v/>
      </c>
      <c r="O2178" s="49" t="str">
        <f t="shared" ca="1" si="101"/>
        <v/>
      </c>
      <c r="P2178" s="38" t="str">
        <f>IF(E2178&lt;&gt;"",RANK(E2178,$E$3:$E$2298)+COUNTIF($E$3:E2178,E2178)-1,"")</f>
        <v/>
      </c>
    </row>
    <row r="2179" spans="4:16" x14ac:dyDescent="0.25">
      <c r="D2179" s="36" t="str" cm="1">
        <f t="array" aca="1" ref="D2179" ca="1">IFERROR(IF(INDIRECT("'"&amp;F2179&amp;"'!$C$5")&gt;0,DATE(YEAR(Dashboard!$AL$2),Dashboard!$AU$4,INDIRECT("'"&amp;F2179&amp;"'!$C$5")),""),"")</f>
        <v/>
      </c>
      <c r="G2179" s="38" t="str" cm="1">
        <f t="array" aca="1" ref="G2179" ca="1">IF(F2179="",
    "",
    IFERROR(
        IF(INDIRECT("'"&amp;F2179&amp;"'!$B$2")="Credit Limit",
            "Credit Accounts",
            IF(INDIRECT("'"&amp;F2179&amp;"'!$E$2")="Location",
                "Cash Accounts",
                IF(INDIRECT("'"&amp;F2179&amp;"'!$B$2")="Amount",
                    "Investments",
                    "Bill Accounts"
                )
            )
        ),
    "")
)</f>
        <v/>
      </c>
      <c r="I2179" s="46" t="str" cm="1">
        <f t="array" aca="1" ref="I2179" ca="1">IF(F2179&lt;&gt;"",IF(OR(G2179="Bill Accounts",G2179="Investments", G2179="Cash Accounts"),INDIRECT("'"&amp;F2179&amp;"'!$C$10"),INDIRECT("'"&amp;F2179&amp;"'!$C$8")),"")</f>
        <v/>
      </c>
      <c r="K2179" s="48">
        <f t="shared" si="102"/>
        <v>2185</v>
      </c>
      <c r="L2179" s="114" t="str" cm="1">
        <f t="array" aca="1" ref="L2179" ca="1">IF(F2179&lt;&gt;"",INDIRECT("'"&amp;F2179&amp;"'!$F$17"),"")</f>
        <v/>
      </c>
      <c r="M2179" s="116" t="str">
        <f t="shared" ca="1" si="100"/>
        <v/>
      </c>
      <c r="O2179" s="49" t="str">
        <f t="shared" ca="1" si="101"/>
        <v/>
      </c>
      <c r="P2179" s="38" t="str">
        <f>IF(E2179&lt;&gt;"",RANK(E2179,$E$3:$E$2298)+COUNTIF($E$3:E2179,E2179)-1,"")</f>
        <v/>
      </c>
    </row>
    <row r="2180" spans="4:16" x14ac:dyDescent="0.25">
      <c r="D2180" s="36" t="str" cm="1">
        <f t="array" aca="1" ref="D2180" ca="1">IFERROR(IF(INDIRECT("'"&amp;F2180&amp;"'!$C$5")&gt;0,DATE(YEAR(Dashboard!$AL$2),Dashboard!$AU$4,INDIRECT("'"&amp;F2180&amp;"'!$C$5")),""),"")</f>
        <v/>
      </c>
      <c r="G2180" s="38" t="str" cm="1">
        <f t="array" aca="1" ref="G2180" ca="1">IF(F2180="",
    "",
    IFERROR(
        IF(INDIRECT("'"&amp;F2180&amp;"'!$B$2")="Credit Limit",
            "Credit Accounts",
            IF(INDIRECT("'"&amp;F2180&amp;"'!$E$2")="Location",
                "Cash Accounts",
                IF(INDIRECT("'"&amp;F2180&amp;"'!$B$2")="Amount",
                    "Investments",
                    "Bill Accounts"
                )
            )
        ),
    "")
)</f>
        <v/>
      </c>
      <c r="I2180" s="46" t="str" cm="1">
        <f t="array" aca="1" ref="I2180" ca="1">IF(F2180&lt;&gt;"",IF(OR(G2180="Bill Accounts",G2180="Investments", G2180="Cash Accounts"),INDIRECT("'"&amp;F2180&amp;"'!$C$10"),INDIRECT("'"&amp;F2180&amp;"'!$C$8")),"")</f>
        <v/>
      </c>
      <c r="K2180" s="48">
        <f t="shared" si="102"/>
        <v>2186</v>
      </c>
      <c r="L2180" s="114" t="str" cm="1">
        <f t="array" aca="1" ref="L2180" ca="1">IF(F2180&lt;&gt;"",INDIRECT("'"&amp;F2180&amp;"'!$F$17"),"")</f>
        <v/>
      </c>
      <c r="M2180" s="116" t="str">
        <f t="shared" ref="M2180:M2243" ca="1" si="103">IF(G2180="Credit Accounts",EDATE(TODAY(),INDIRECT("'"&amp;F2180&amp;"'!$C$14")),"")</f>
        <v/>
      </c>
      <c r="O2180" s="49" t="str">
        <f t="shared" ref="O2180:O2243" ca="1" si="104">IF(D2180&lt;&gt;"",DAY(D2180),"")</f>
        <v/>
      </c>
      <c r="P2180" s="38" t="str">
        <f>IF(E2180&lt;&gt;"",RANK(E2180,$E$3:$E$2298)+COUNTIF($E$3:E2180,E2180)-1,"")</f>
        <v/>
      </c>
    </row>
    <row r="2181" spans="4:16" x14ac:dyDescent="0.25">
      <c r="D2181" s="36" t="str" cm="1">
        <f t="array" aca="1" ref="D2181" ca="1">IFERROR(IF(INDIRECT("'"&amp;F2181&amp;"'!$C$5")&gt;0,DATE(YEAR(Dashboard!$AL$2),Dashboard!$AU$4,INDIRECT("'"&amp;F2181&amp;"'!$C$5")),""),"")</f>
        <v/>
      </c>
      <c r="G2181" s="38" t="str" cm="1">
        <f t="array" aca="1" ref="G2181" ca="1">IF(F2181="",
    "",
    IFERROR(
        IF(INDIRECT("'"&amp;F2181&amp;"'!$B$2")="Credit Limit",
            "Credit Accounts",
            IF(INDIRECT("'"&amp;F2181&amp;"'!$E$2")="Location",
                "Cash Accounts",
                IF(INDIRECT("'"&amp;F2181&amp;"'!$B$2")="Amount",
                    "Investments",
                    "Bill Accounts"
                )
            )
        ),
    "")
)</f>
        <v/>
      </c>
      <c r="I2181" s="46" t="str" cm="1">
        <f t="array" aca="1" ref="I2181" ca="1">IF(F2181&lt;&gt;"",IF(OR(G2181="Bill Accounts",G2181="Investments", G2181="Cash Accounts"),INDIRECT("'"&amp;F2181&amp;"'!$C$10"),INDIRECT("'"&amp;F2181&amp;"'!$C$8")),"")</f>
        <v/>
      </c>
      <c r="K2181" s="48">
        <f t="shared" si="102"/>
        <v>2187</v>
      </c>
      <c r="L2181" s="114" t="str" cm="1">
        <f t="array" aca="1" ref="L2181" ca="1">IF(F2181&lt;&gt;"",INDIRECT("'"&amp;F2181&amp;"'!$F$17"),"")</f>
        <v/>
      </c>
      <c r="M2181" s="116" t="str">
        <f t="shared" ca="1" si="103"/>
        <v/>
      </c>
      <c r="O2181" s="49" t="str">
        <f t="shared" ca="1" si="104"/>
        <v/>
      </c>
      <c r="P2181" s="38" t="str">
        <f>IF(E2181&lt;&gt;"",RANK(E2181,$E$3:$E$2298)+COUNTIF($E$3:E2181,E2181)-1,"")</f>
        <v/>
      </c>
    </row>
    <row r="2182" spans="4:16" x14ac:dyDescent="0.25">
      <c r="D2182" s="36" t="str" cm="1">
        <f t="array" aca="1" ref="D2182" ca="1">IFERROR(IF(INDIRECT("'"&amp;F2182&amp;"'!$C$5")&gt;0,DATE(YEAR(Dashboard!$AL$2),Dashboard!$AU$4,INDIRECT("'"&amp;F2182&amp;"'!$C$5")),""),"")</f>
        <v/>
      </c>
      <c r="G2182" s="38" t="str" cm="1">
        <f t="array" aca="1" ref="G2182" ca="1">IF(F2182="",
    "",
    IFERROR(
        IF(INDIRECT("'"&amp;F2182&amp;"'!$B$2")="Credit Limit",
            "Credit Accounts",
            IF(INDIRECT("'"&amp;F2182&amp;"'!$E$2")="Location",
                "Cash Accounts",
                IF(INDIRECT("'"&amp;F2182&amp;"'!$B$2")="Amount",
                    "Investments",
                    "Bill Accounts"
                )
            )
        ),
    "")
)</f>
        <v/>
      </c>
      <c r="I2182" s="46" t="str" cm="1">
        <f t="array" aca="1" ref="I2182" ca="1">IF(F2182&lt;&gt;"",IF(OR(G2182="Bill Accounts",G2182="Investments", G2182="Cash Accounts"),INDIRECT("'"&amp;F2182&amp;"'!$C$10"),INDIRECT("'"&amp;F2182&amp;"'!$C$8")),"")</f>
        <v/>
      </c>
      <c r="K2182" s="48">
        <f t="shared" si="102"/>
        <v>2188</v>
      </c>
      <c r="L2182" s="114" t="str" cm="1">
        <f t="array" aca="1" ref="L2182" ca="1">IF(F2182&lt;&gt;"",INDIRECT("'"&amp;F2182&amp;"'!$F$17"),"")</f>
        <v/>
      </c>
      <c r="M2182" s="116" t="str">
        <f t="shared" ca="1" si="103"/>
        <v/>
      </c>
      <c r="O2182" s="49" t="str">
        <f t="shared" ca="1" si="104"/>
        <v/>
      </c>
      <c r="P2182" s="38" t="str">
        <f>IF(E2182&lt;&gt;"",RANK(E2182,$E$3:$E$2298)+COUNTIF($E$3:E2182,E2182)-1,"")</f>
        <v/>
      </c>
    </row>
    <row r="2183" spans="4:16" x14ac:dyDescent="0.25">
      <c r="D2183" s="36" t="str" cm="1">
        <f t="array" aca="1" ref="D2183" ca="1">IFERROR(IF(INDIRECT("'"&amp;F2183&amp;"'!$C$5")&gt;0,DATE(YEAR(Dashboard!$AL$2),Dashboard!$AU$4,INDIRECT("'"&amp;F2183&amp;"'!$C$5")),""),"")</f>
        <v/>
      </c>
      <c r="G2183" s="38" t="str" cm="1">
        <f t="array" aca="1" ref="G2183" ca="1">IF(F2183="",
    "",
    IFERROR(
        IF(INDIRECT("'"&amp;F2183&amp;"'!$B$2")="Credit Limit",
            "Credit Accounts",
            IF(INDIRECT("'"&amp;F2183&amp;"'!$E$2")="Location",
                "Cash Accounts",
                IF(INDIRECT("'"&amp;F2183&amp;"'!$B$2")="Amount",
                    "Investments",
                    "Bill Accounts"
                )
            )
        ),
    "")
)</f>
        <v/>
      </c>
      <c r="I2183" s="46" t="str" cm="1">
        <f t="array" aca="1" ref="I2183" ca="1">IF(F2183&lt;&gt;"",IF(OR(G2183="Bill Accounts",G2183="Investments", G2183="Cash Accounts"),INDIRECT("'"&amp;F2183&amp;"'!$C$10"),INDIRECT("'"&amp;F2183&amp;"'!$C$8")),"")</f>
        <v/>
      </c>
      <c r="K2183" s="48">
        <f t="shared" si="102"/>
        <v>2189</v>
      </c>
      <c r="L2183" s="114" t="str" cm="1">
        <f t="array" aca="1" ref="L2183" ca="1">IF(F2183&lt;&gt;"",INDIRECT("'"&amp;F2183&amp;"'!$F$17"),"")</f>
        <v/>
      </c>
      <c r="M2183" s="116" t="str">
        <f t="shared" ca="1" si="103"/>
        <v/>
      </c>
      <c r="O2183" s="49" t="str">
        <f t="shared" ca="1" si="104"/>
        <v/>
      </c>
      <c r="P2183" s="38" t="str">
        <f>IF(E2183&lt;&gt;"",RANK(E2183,$E$3:$E$2298)+COUNTIF($E$3:E2183,E2183)-1,"")</f>
        <v/>
      </c>
    </row>
    <row r="2184" spans="4:16" x14ac:dyDescent="0.25">
      <c r="D2184" s="36" t="str" cm="1">
        <f t="array" aca="1" ref="D2184" ca="1">IFERROR(IF(INDIRECT("'"&amp;F2184&amp;"'!$C$5")&gt;0,DATE(YEAR(Dashboard!$AL$2),Dashboard!$AU$4,INDIRECT("'"&amp;F2184&amp;"'!$C$5")),""),"")</f>
        <v/>
      </c>
      <c r="G2184" s="38" t="str" cm="1">
        <f t="array" aca="1" ref="G2184" ca="1">IF(F2184="",
    "",
    IFERROR(
        IF(INDIRECT("'"&amp;F2184&amp;"'!$B$2")="Credit Limit",
            "Credit Accounts",
            IF(INDIRECT("'"&amp;F2184&amp;"'!$E$2")="Location",
                "Cash Accounts",
                IF(INDIRECT("'"&amp;F2184&amp;"'!$B$2")="Amount",
                    "Investments",
                    "Bill Accounts"
                )
            )
        ),
    "")
)</f>
        <v/>
      </c>
      <c r="I2184" s="46" t="str" cm="1">
        <f t="array" aca="1" ref="I2184" ca="1">IF(F2184&lt;&gt;"",IF(OR(G2184="Bill Accounts",G2184="Investments", G2184="Cash Accounts"),INDIRECT("'"&amp;F2184&amp;"'!$C$10"),INDIRECT("'"&amp;F2184&amp;"'!$C$8")),"")</f>
        <v/>
      </c>
      <c r="K2184" s="48">
        <f t="shared" ref="K2184:K2247" si="105">SUM(K2183+1)</f>
        <v>2190</v>
      </c>
      <c r="L2184" s="114" t="str" cm="1">
        <f t="array" aca="1" ref="L2184" ca="1">IF(F2184&lt;&gt;"",INDIRECT("'"&amp;F2184&amp;"'!$F$17"),"")</f>
        <v/>
      </c>
      <c r="M2184" s="116" t="str">
        <f t="shared" ca="1" si="103"/>
        <v/>
      </c>
      <c r="O2184" s="49" t="str">
        <f t="shared" ca="1" si="104"/>
        <v/>
      </c>
      <c r="P2184" s="38" t="str">
        <f>IF(E2184&lt;&gt;"",RANK(E2184,$E$3:$E$2298)+COUNTIF($E$3:E2184,E2184)-1,"")</f>
        <v/>
      </c>
    </row>
    <row r="2185" spans="4:16" x14ac:dyDescent="0.25">
      <c r="D2185" s="36" t="str" cm="1">
        <f t="array" aca="1" ref="D2185" ca="1">IFERROR(IF(INDIRECT("'"&amp;F2185&amp;"'!$C$5")&gt;0,DATE(YEAR(Dashboard!$AL$2),Dashboard!$AU$4,INDIRECT("'"&amp;F2185&amp;"'!$C$5")),""),"")</f>
        <v/>
      </c>
      <c r="G2185" s="38" t="str" cm="1">
        <f t="array" aca="1" ref="G2185" ca="1">IF(F2185="",
    "",
    IFERROR(
        IF(INDIRECT("'"&amp;F2185&amp;"'!$B$2")="Credit Limit",
            "Credit Accounts",
            IF(INDIRECT("'"&amp;F2185&amp;"'!$E$2")="Location",
                "Cash Accounts",
                IF(INDIRECT("'"&amp;F2185&amp;"'!$B$2")="Amount",
                    "Investments",
                    "Bill Accounts"
                )
            )
        ),
    "")
)</f>
        <v/>
      </c>
      <c r="I2185" s="46" t="str" cm="1">
        <f t="array" aca="1" ref="I2185" ca="1">IF(F2185&lt;&gt;"",IF(OR(G2185="Bill Accounts",G2185="Investments", G2185="Cash Accounts"),INDIRECT("'"&amp;F2185&amp;"'!$C$10"),INDIRECT("'"&amp;F2185&amp;"'!$C$8")),"")</f>
        <v/>
      </c>
      <c r="K2185" s="48">
        <f t="shared" si="105"/>
        <v>2191</v>
      </c>
      <c r="L2185" s="114" t="str" cm="1">
        <f t="array" aca="1" ref="L2185" ca="1">IF(F2185&lt;&gt;"",INDIRECT("'"&amp;F2185&amp;"'!$F$17"),"")</f>
        <v/>
      </c>
      <c r="M2185" s="116" t="str">
        <f t="shared" ca="1" si="103"/>
        <v/>
      </c>
      <c r="O2185" s="49" t="str">
        <f t="shared" ca="1" si="104"/>
        <v/>
      </c>
      <c r="P2185" s="38" t="str">
        <f>IF(E2185&lt;&gt;"",RANK(E2185,$E$3:$E$2298)+COUNTIF($E$3:E2185,E2185)-1,"")</f>
        <v/>
      </c>
    </row>
    <row r="2186" spans="4:16" x14ac:dyDescent="0.25">
      <c r="D2186" s="36" t="str" cm="1">
        <f t="array" aca="1" ref="D2186" ca="1">IFERROR(IF(INDIRECT("'"&amp;F2186&amp;"'!$C$5")&gt;0,DATE(YEAR(Dashboard!$AL$2),Dashboard!$AU$4,INDIRECT("'"&amp;F2186&amp;"'!$C$5")),""),"")</f>
        <v/>
      </c>
      <c r="G2186" s="38" t="str" cm="1">
        <f t="array" aca="1" ref="G2186" ca="1">IF(F2186="",
    "",
    IFERROR(
        IF(INDIRECT("'"&amp;F2186&amp;"'!$B$2")="Credit Limit",
            "Credit Accounts",
            IF(INDIRECT("'"&amp;F2186&amp;"'!$E$2")="Location",
                "Cash Accounts",
                IF(INDIRECT("'"&amp;F2186&amp;"'!$B$2")="Amount",
                    "Investments",
                    "Bill Accounts"
                )
            )
        ),
    "")
)</f>
        <v/>
      </c>
      <c r="I2186" s="46" t="str" cm="1">
        <f t="array" aca="1" ref="I2186" ca="1">IF(F2186&lt;&gt;"",IF(OR(G2186="Bill Accounts",G2186="Investments", G2186="Cash Accounts"),INDIRECT("'"&amp;F2186&amp;"'!$C$10"),INDIRECT("'"&amp;F2186&amp;"'!$C$8")),"")</f>
        <v/>
      </c>
      <c r="K2186" s="48">
        <f t="shared" si="105"/>
        <v>2192</v>
      </c>
      <c r="L2186" s="114" t="str" cm="1">
        <f t="array" aca="1" ref="L2186" ca="1">IF(F2186&lt;&gt;"",INDIRECT("'"&amp;F2186&amp;"'!$F$17"),"")</f>
        <v/>
      </c>
      <c r="M2186" s="116" t="str">
        <f t="shared" ca="1" si="103"/>
        <v/>
      </c>
      <c r="O2186" s="49" t="str">
        <f t="shared" ca="1" si="104"/>
        <v/>
      </c>
      <c r="P2186" s="38" t="str">
        <f>IF(E2186&lt;&gt;"",RANK(E2186,$E$3:$E$2298)+COUNTIF($E$3:E2186,E2186)-1,"")</f>
        <v/>
      </c>
    </row>
    <row r="2187" spans="4:16" x14ac:dyDescent="0.25">
      <c r="D2187" s="36" t="str" cm="1">
        <f t="array" aca="1" ref="D2187" ca="1">IFERROR(IF(INDIRECT("'"&amp;F2187&amp;"'!$C$5")&gt;0,DATE(YEAR(Dashboard!$AL$2),Dashboard!$AU$4,INDIRECT("'"&amp;F2187&amp;"'!$C$5")),""),"")</f>
        <v/>
      </c>
      <c r="G2187" s="38" t="str" cm="1">
        <f t="array" aca="1" ref="G2187" ca="1">IF(F2187="",
    "",
    IFERROR(
        IF(INDIRECT("'"&amp;F2187&amp;"'!$B$2")="Credit Limit",
            "Credit Accounts",
            IF(INDIRECT("'"&amp;F2187&amp;"'!$E$2")="Location",
                "Cash Accounts",
                IF(INDIRECT("'"&amp;F2187&amp;"'!$B$2")="Amount",
                    "Investments",
                    "Bill Accounts"
                )
            )
        ),
    "")
)</f>
        <v/>
      </c>
      <c r="I2187" s="46" t="str" cm="1">
        <f t="array" aca="1" ref="I2187" ca="1">IF(F2187&lt;&gt;"",IF(OR(G2187="Bill Accounts",G2187="Investments", G2187="Cash Accounts"),INDIRECT("'"&amp;F2187&amp;"'!$C$10"),INDIRECT("'"&amp;F2187&amp;"'!$C$8")),"")</f>
        <v/>
      </c>
      <c r="K2187" s="48">
        <f t="shared" si="105"/>
        <v>2193</v>
      </c>
      <c r="L2187" s="114" t="str" cm="1">
        <f t="array" aca="1" ref="L2187" ca="1">IF(F2187&lt;&gt;"",INDIRECT("'"&amp;F2187&amp;"'!$F$17"),"")</f>
        <v/>
      </c>
      <c r="M2187" s="116" t="str">
        <f t="shared" ca="1" si="103"/>
        <v/>
      </c>
      <c r="O2187" s="49" t="str">
        <f t="shared" ca="1" si="104"/>
        <v/>
      </c>
      <c r="P2187" s="38" t="str">
        <f>IF(E2187&lt;&gt;"",RANK(E2187,$E$3:$E$2298)+COUNTIF($E$3:E2187,E2187)-1,"")</f>
        <v/>
      </c>
    </row>
    <row r="2188" spans="4:16" x14ac:dyDescent="0.25">
      <c r="D2188" s="36" t="str" cm="1">
        <f t="array" aca="1" ref="D2188" ca="1">IFERROR(IF(INDIRECT("'"&amp;F2188&amp;"'!$C$5")&gt;0,DATE(YEAR(Dashboard!$AL$2),Dashboard!$AU$4,INDIRECT("'"&amp;F2188&amp;"'!$C$5")),""),"")</f>
        <v/>
      </c>
      <c r="G2188" s="38" t="str" cm="1">
        <f t="array" aca="1" ref="G2188" ca="1">IF(F2188="",
    "",
    IFERROR(
        IF(INDIRECT("'"&amp;F2188&amp;"'!$B$2")="Credit Limit",
            "Credit Accounts",
            IF(INDIRECT("'"&amp;F2188&amp;"'!$E$2")="Location",
                "Cash Accounts",
                IF(INDIRECT("'"&amp;F2188&amp;"'!$B$2")="Amount",
                    "Investments",
                    "Bill Accounts"
                )
            )
        ),
    "")
)</f>
        <v/>
      </c>
      <c r="I2188" s="46" t="str" cm="1">
        <f t="array" aca="1" ref="I2188" ca="1">IF(F2188&lt;&gt;"",IF(OR(G2188="Bill Accounts",G2188="Investments", G2188="Cash Accounts"),INDIRECT("'"&amp;F2188&amp;"'!$C$10"),INDIRECT("'"&amp;F2188&amp;"'!$C$8")),"")</f>
        <v/>
      </c>
      <c r="K2188" s="48">
        <f t="shared" si="105"/>
        <v>2194</v>
      </c>
      <c r="L2188" s="114" t="str" cm="1">
        <f t="array" aca="1" ref="L2188" ca="1">IF(F2188&lt;&gt;"",INDIRECT("'"&amp;F2188&amp;"'!$F$17"),"")</f>
        <v/>
      </c>
      <c r="M2188" s="116" t="str">
        <f t="shared" ca="1" si="103"/>
        <v/>
      </c>
      <c r="O2188" s="49" t="str">
        <f t="shared" ca="1" si="104"/>
        <v/>
      </c>
      <c r="P2188" s="38" t="str">
        <f>IF(E2188&lt;&gt;"",RANK(E2188,$E$3:$E$2298)+COUNTIF($E$3:E2188,E2188)-1,"")</f>
        <v/>
      </c>
    </row>
    <row r="2189" spans="4:16" x14ac:dyDescent="0.25">
      <c r="D2189" s="36" t="str" cm="1">
        <f t="array" aca="1" ref="D2189" ca="1">IFERROR(IF(INDIRECT("'"&amp;F2189&amp;"'!$C$5")&gt;0,DATE(YEAR(Dashboard!$AL$2),Dashboard!$AU$4,INDIRECT("'"&amp;F2189&amp;"'!$C$5")),""),"")</f>
        <v/>
      </c>
      <c r="G2189" s="38" t="str" cm="1">
        <f t="array" aca="1" ref="G2189" ca="1">IF(F2189="",
    "",
    IFERROR(
        IF(INDIRECT("'"&amp;F2189&amp;"'!$B$2")="Credit Limit",
            "Credit Accounts",
            IF(INDIRECT("'"&amp;F2189&amp;"'!$E$2")="Location",
                "Cash Accounts",
                IF(INDIRECT("'"&amp;F2189&amp;"'!$B$2")="Amount",
                    "Investments",
                    "Bill Accounts"
                )
            )
        ),
    "")
)</f>
        <v/>
      </c>
      <c r="I2189" s="46" t="str" cm="1">
        <f t="array" aca="1" ref="I2189" ca="1">IF(F2189&lt;&gt;"",IF(OR(G2189="Bill Accounts",G2189="Investments", G2189="Cash Accounts"),INDIRECT("'"&amp;F2189&amp;"'!$C$10"),INDIRECT("'"&amp;F2189&amp;"'!$C$8")),"")</f>
        <v/>
      </c>
      <c r="K2189" s="48">
        <f t="shared" si="105"/>
        <v>2195</v>
      </c>
      <c r="L2189" s="114" t="str" cm="1">
        <f t="array" aca="1" ref="L2189" ca="1">IF(F2189&lt;&gt;"",INDIRECT("'"&amp;F2189&amp;"'!$F$17"),"")</f>
        <v/>
      </c>
      <c r="M2189" s="116" t="str">
        <f t="shared" ca="1" si="103"/>
        <v/>
      </c>
      <c r="O2189" s="49" t="str">
        <f t="shared" ca="1" si="104"/>
        <v/>
      </c>
      <c r="P2189" s="38" t="str">
        <f>IF(E2189&lt;&gt;"",RANK(E2189,$E$3:$E$2298)+COUNTIF($E$3:E2189,E2189)-1,"")</f>
        <v/>
      </c>
    </row>
    <row r="2190" spans="4:16" x14ac:dyDescent="0.25">
      <c r="D2190" s="36" t="str" cm="1">
        <f t="array" aca="1" ref="D2190" ca="1">IFERROR(IF(INDIRECT("'"&amp;F2190&amp;"'!$C$5")&gt;0,DATE(YEAR(Dashboard!$AL$2),Dashboard!$AU$4,INDIRECT("'"&amp;F2190&amp;"'!$C$5")),""),"")</f>
        <v/>
      </c>
      <c r="G2190" s="38" t="str" cm="1">
        <f t="array" aca="1" ref="G2190" ca="1">IF(F2190="",
    "",
    IFERROR(
        IF(INDIRECT("'"&amp;F2190&amp;"'!$B$2")="Credit Limit",
            "Credit Accounts",
            IF(INDIRECT("'"&amp;F2190&amp;"'!$E$2")="Location",
                "Cash Accounts",
                IF(INDIRECT("'"&amp;F2190&amp;"'!$B$2")="Amount",
                    "Investments",
                    "Bill Accounts"
                )
            )
        ),
    "")
)</f>
        <v/>
      </c>
      <c r="I2190" s="46" t="str" cm="1">
        <f t="array" aca="1" ref="I2190" ca="1">IF(F2190&lt;&gt;"",IF(OR(G2190="Bill Accounts",G2190="Investments", G2190="Cash Accounts"),INDIRECT("'"&amp;F2190&amp;"'!$C$10"),INDIRECT("'"&amp;F2190&amp;"'!$C$8")),"")</f>
        <v/>
      </c>
      <c r="K2190" s="48">
        <f t="shared" si="105"/>
        <v>2196</v>
      </c>
      <c r="L2190" s="114" t="str" cm="1">
        <f t="array" aca="1" ref="L2190" ca="1">IF(F2190&lt;&gt;"",INDIRECT("'"&amp;F2190&amp;"'!$F$17"),"")</f>
        <v/>
      </c>
      <c r="M2190" s="116" t="str">
        <f t="shared" ca="1" si="103"/>
        <v/>
      </c>
      <c r="O2190" s="49" t="str">
        <f t="shared" ca="1" si="104"/>
        <v/>
      </c>
      <c r="P2190" s="38" t="str">
        <f>IF(E2190&lt;&gt;"",RANK(E2190,$E$3:$E$2298)+COUNTIF($E$3:E2190,E2190)-1,"")</f>
        <v/>
      </c>
    </row>
    <row r="2191" spans="4:16" x14ac:dyDescent="0.25">
      <c r="D2191" s="36" t="str" cm="1">
        <f t="array" aca="1" ref="D2191" ca="1">IFERROR(IF(INDIRECT("'"&amp;F2191&amp;"'!$C$5")&gt;0,DATE(YEAR(Dashboard!$AL$2),Dashboard!$AU$4,INDIRECT("'"&amp;F2191&amp;"'!$C$5")),""),"")</f>
        <v/>
      </c>
      <c r="G2191" s="38" t="str" cm="1">
        <f t="array" aca="1" ref="G2191" ca="1">IF(F2191="",
    "",
    IFERROR(
        IF(INDIRECT("'"&amp;F2191&amp;"'!$B$2")="Credit Limit",
            "Credit Accounts",
            IF(INDIRECT("'"&amp;F2191&amp;"'!$E$2")="Location",
                "Cash Accounts",
                IF(INDIRECT("'"&amp;F2191&amp;"'!$B$2")="Amount",
                    "Investments",
                    "Bill Accounts"
                )
            )
        ),
    "")
)</f>
        <v/>
      </c>
      <c r="I2191" s="46" t="str" cm="1">
        <f t="array" aca="1" ref="I2191" ca="1">IF(F2191&lt;&gt;"",IF(OR(G2191="Bill Accounts",G2191="Investments", G2191="Cash Accounts"),INDIRECT("'"&amp;F2191&amp;"'!$C$10"),INDIRECT("'"&amp;F2191&amp;"'!$C$8")),"")</f>
        <v/>
      </c>
      <c r="K2191" s="48">
        <f t="shared" si="105"/>
        <v>2197</v>
      </c>
      <c r="L2191" s="114" t="str" cm="1">
        <f t="array" aca="1" ref="L2191" ca="1">IF(F2191&lt;&gt;"",INDIRECT("'"&amp;F2191&amp;"'!$F$17"),"")</f>
        <v/>
      </c>
      <c r="M2191" s="116" t="str">
        <f t="shared" ca="1" si="103"/>
        <v/>
      </c>
      <c r="O2191" s="49" t="str">
        <f t="shared" ca="1" si="104"/>
        <v/>
      </c>
      <c r="P2191" s="38" t="str">
        <f>IF(E2191&lt;&gt;"",RANK(E2191,$E$3:$E$2298)+COUNTIF($E$3:E2191,E2191)-1,"")</f>
        <v/>
      </c>
    </row>
    <row r="2192" spans="4:16" x14ac:dyDescent="0.25">
      <c r="D2192" s="36" t="str" cm="1">
        <f t="array" aca="1" ref="D2192" ca="1">IFERROR(IF(INDIRECT("'"&amp;F2192&amp;"'!$C$5")&gt;0,DATE(YEAR(Dashboard!$AL$2),Dashboard!$AU$4,INDIRECT("'"&amp;F2192&amp;"'!$C$5")),""),"")</f>
        <v/>
      </c>
      <c r="G2192" s="38" t="str" cm="1">
        <f t="array" aca="1" ref="G2192" ca="1">IF(F2192="",
    "",
    IFERROR(
        IF(INDIRECT("'"&amp;F2192&amp;"'!$B$2")="Credit Limit",
            "Credit Accounts",
            IF(INDIRECT("'"&amp;F2192&amp;"'!$E$2")="Location",
                "Cash Accounts",
                IF(INDIRECT("'"&amp;F2192&amp;"'!$B$2")="Amount",
                    "Investments",
                    "Bill Accounts"
                )
            )
        ),
    "")
)</f>
        <v/>
      </c>
      <c r="I2192" s="46" t="str" cm="1">
        <f t="array" aca="1" ref="I2192" ca="1">IF(F2192&lt;&gt;"",IF(OR(G2192="Bill Accounts",G2192="Investments", G2192="Cash Accounts"),INDIRECT("'"&amp;F2192&amp;"'!$C$10"),INDIRECT("'"&amp;F2192&amp;"'!$C$8")),"")</f>
        <v/>
      </c>
      <c r="K2192" s="48">
        <f t="shared" si="105"/>
        <v>2198</v>
      </c>
      <c r="L2192" s="114" t="str" cm="1">
        <f t="array" aca="1" ref="L2192" ca="1">IF(F2192&lt;&gt;"",INDIRECT("'"&amp;F2192&amp;"'!$F$17"),"")</f>
        <v/>
      </c>
      <c r="M2192" s="116" t="str">
        <f t="shared" ca="1" si="103"/>
        <v/>
      </c>
      <c r="O2192" s="49" t="str">
        <f t="shared" ca="1" si="104"/>
        <v/>
      </c>
      <c r="P2192" s="38" t="str">
        <f>IF(E2192&lt;&gt;"",RANK(E2192,$E$3:$E$2298)+COUNTIF($E$3:E2192,E2192)-1,"")</f>
        <v/>
      </c>
    </row>
    <row r="2193" spans="4:16" x14ac:dyDescent="0.25">
      <c r="D2193" s="36" t="str" cm="1">
        <f t="array" aca="1" ref="D2193" ca="1">IFERROR(IF(INDIRECT("'"&amp;F2193&amp;"'!$C$5")&gt;0,DATE(YEAR(Dashboard!$AL$2),Dashboard!$AU$4,INDIRECT("'"&amp;F2193&amp;"'!$C$5")),""),"")</f>
        <v/>
      </c>
      <c r="G2193" s="38" t="str" cm="1">
        <f t="array" aca="1" ref="G2193" ca="1">IF(F2193="",
    "",
    IFERROR(
        IF(INDIRECT("'"&amp;F2193&amp;"'!$B$2")="Credit Limit",
            "Credit Accounts",
            IF(INDIRECT("'"&amp;F2193&amp;"'!$E$2")="Location",
                "Cash Accounts",
                IF(INDIRECT("'"&amp;F2193&amp;"'!$B$2")="Amount",
                    "Investments",
                    "Bill Accounts"
                )
            )
        ),
    "")
)</f>
        <v/>
      </c>
      <c r="I2193" s="46" t="str" cm="1">
        <f t="array" aca="1" ref="I2193" ca="1">IF(F2193&lt;&gt;"",IF(OR(G2193="Bill Accounts",G2193="Investments", G2193="Cash Accounts"),INDIRECT("'"&amp;F2193&amp;"'!$C$10"),INDIRECT("'"&amp;F2193&amp;"'!$C$8")),"")</f>
        <v/>
      </c>
      <c r="K2193" s="48">
        <f t="shared" si="105"/>
        <v>2199</v>
      </c>
      <c r="L2193" s="114" t="str" cm="1">
        <f t="array" aca="1" ref="L2193" ca="1">IF(F2193&lt;&gt;"",INDIRECT("'"&amp;F2193&amp;"'!$F$17"),"")</f>
        <v/>
      </c>
      <c r="M2193" s="116" t="str">
        <f t="shared" ca="1" si="103"/>
        <v/>
      </c>
      <c r="O2193" s="49" t="str">
        <f t="shared" ca="1" si="104"/>
        <v/>
      </c>
      <c r="P2193" s="38" t="str">
        <f>IF(E2193&lt;&gt;"",RANK(E2193,$E$3:$E$2298)+COUNTIF($E$3:E2193,E2193)-1,"")</f>
        <v/>
      </c>
    </row>
    <row r="2194" spans="4:16" x14ac:dyDescent="0.25">
      <c r="D2194" s="36" t="str" cm="1">
        <f t="array" aca="1" ref="D2194" ca="1">IFERROR(IF(INDIRECT("'"&amp;F2194&amp;"'!$C$5")&gt;0,DATE(YEAR(Dashboard!$AL$2),Dashboard!$AU$4,INDIRECT("'"&amp;F2194&amp;"'!$C$5")),""),"")</f>
        <v/>
      </c>
      <c r="G2194" s="38" t="str" cm="1">
        <f t="array" aca="1" ref="G2194" ca="1">IF(F2194="",
    "",
    IFERROR(
        IF(INDIRECT("'"&amp;F2194&amp;"'!$B$2")="Credit Limit",
            "Credit Accounts",
            IF(INDIRECT("'"&amp;F2194&amp;"'!$E$2")="Location",
                "Cash Accounts",
                IF(INDIRECT("'"&amp;F2194&amp;"'!$B$2")="Amount",
                    "Investments",
                    "Bill Accounts"
                )
            )
        ),
    "")
)</f>
        <v/>
      </c>
      <c r="I2194" s="46" t="str" cm="1">
        <f t="array" aca="1" ref="I2194" ca="1">IF(F2194&lt;&gt;"",IF(OR(G2194="Bill Accounts",G2194="Investments", G2194="Cash Accounts"),INDIRECT("'"&amp;F2194&amp;"'!$C$10"),INDIRECT("'"&amp;F2194&amp;"'!$C$8")),"")</f>
        <v/>
      </c>
      <c r="K2194" s="48">
        <f t="shared" si="105"/>
        <v>2200</v>
      </c>
      <c r="L2194" s="114" t="str" cm="1">
        <f t="array" aca="1" ref="L2194" ca="1">IF(F2194&lt;&gt;"",INDIRECT("'"&amp;F2194&amp;"'!$F$17"),"")</f>
        <v/>
      </c>
      <c r="M2194" s="116" t="str">
        <f t="shared" ca="1" si="103"/>
        <v/>
      </c>
      <c r="O2194" s="49" t="str">
        <f t="shared" ca="1" si="104"/>
        <v/>
      </c>
      <c r="P2194" s="38" t="str">
        <f>IF(E2194&lt;&gt;"",RANK(E2194,$E$3:$E$2298)+COUNTIF($E$3:E2194,E2194)-1,"")</f>
        <v/>
      </c>
    </row>
    <row r="2195" spans="4:16" x14ac:dyDescent="0.25">
      <c r="D2195" s="36" t="str" cm="1">
        <f t="array" aca="1" ref="D2195" ca="1">IFERROR(IF(INDIRECT("'"&amp;F2195&amp;"'!$C$5")&gt;0,DATE(YEAR(Dashboard!$AL$2),Dashboard!$AU$4,INDIRECT("'"&amp;F2195&amp;"'!$C$5")),""),"")</f>
        <v/>
      </c>
      <c r="G2195" s="38" t="str" cm="1">
        <f t="array" aca="1" ref="G2195" ca="1">IF(F2195="",
    "",
    IFERROR(
        IF(INDIRECT("'"&amp;F2195&amp;"'!$B$2")="Credit Limit",
            "Credit Accounts",
            IF(INDIRECT("'"&amp;F2195&amp;"'!$E$2")="Location",
                "Cash Accounts",
                IF(INDIRECT("'"&amp;F2195&amp;"'!$B$2")="Amount",
                    "Investments",
                    "Bill Accounts"
                )
            )
        ),
    "")
)</f>
        <v/>
      </c>
      <c r="I2195" s="46" t="str" cm="1">
        <f t="array" aca="1" ref="I2195" ca="1">IF(F2195&lt;&gt;"",IF(OR(G2195="Bill Accounts",G2195="Investments", G2195="Cash Accounts"),INDIRECT("'"&amp;F2195&amp;"'!$C$10"),INDIRECT("'"&amp;F2195&amp;"'!$C$8")),"")</f>
        <v/>
      </c>
      <c r="K2195" s="48">
        <f t="shared" si="105"/>
        <v>2201</v>
      </c>
      <c r="L2195" s="114" t="str" cm="1">
        <f t="array" aca="1" ref="L2195" ca="1">IF(F2195&lt;&gt;"",INDIRECT("'"&amp;F2195&amp;"'!$F$17"),"")</f>
        <v/>
      </c>
      <c r="M2195" s="116" t="str">
        <f t="shared" ca="1" si="103"/>
        <v/>
      </c>
      <c r="O2195" s="49" t="str">
        <f t="shared" ca="1" si="104"/>
        <v/>
      </c>
      <c r="P2195" s="38" t="str">
        <f>IF(E2195&lt;&gt;"",RANK(E2195,$E$3:$E$2298)+COUNTIF($E$3:E2195,E2195)-1,"")</f>
        <v/>
      </c>
    </row>
    <row r="2196" spans="4:16" x14ac:dyDescent="0.25">
      <c r="D2196" s="36" t="str" cm="1">
        <f t="array" aca="1" ref="D2196" ca="1">IFERROR(IF(INDIRECT("'"&amp;F2196&amp;"'!$C$5")&gt;0,DATE(YEAR(Dashboard!$AL$2),Dashboard!$AU$4,INDIRECT("'"&amp;F2196&amp;"'!$C$5")),""),"")</f>
        <v/>
      </c>
      <c r="G2196" s="38" t="str" cm="1">
        <f t="array" aca="1" ref="G2196" ca="1">IF(F2196="",
    "",
    IFERROR(
        IF(INDIRECT("'"&amp;F2196&amp;"'!$B$2")="Credit Limit",
            "Credit Accounts",
            IF(INDIRECT("'"&amp;F2196&amp;"'!$E$2")="Location",
                "Cash Accounts",
                IF(INDIRECT("'"&amp;F2196&amp;"'!$B$2")="Amount",
                    "Investments",
                    "Bill Accounts"
                )
            )
        ),
    "")
)</f>
        <v/>
      </c>
      <c r="I2196" s="46" t="str" cm="1">
        <f t="array" aca="1" ref="I2196" ca="1">IF(F2196&lt;&gt;"",IF(OR(G2196="Bill Accounts",G2196="Investments", G2196="Cash Accounts"),INDIRECT("'"&amp;F2196&amp;"'!$C$10"),INDIRECT("'"&amp;F2196&amp;"'!$C$8")),"")</f>
        <v/>
      </c>
      <c r="K2196" s="48">
        <f t="shared" si="105"/>
        <v>2202</v>
      </c>
      <c r="L2196" s="114" t="str" cm="1">
        <f t="array" aca="1" ref="L2196" ca="1">IF(F2196&lt;&gt;"",INDIRECT("'"&amp;F2196&amp;"'!$F$17"),"")</f>
        <v/>
      </c>
      <c r="M2196" s="116" t="str">
        <f t="shared" ca="1" si="103"/>
        <v/>
      </c>
      <c r="O2196" s="49" t="str">
        <f t="shared" ca="1" si="104"/>
        <v/>
      </c>
      <c r="P2196" s="38" t="str">
        <f>IF(E2196&lt;&gt;"",RANK(E2196,$E$3:$E$2298)+COUNTIF($E$3:E2196,E2196)-1,"")</f>
        <v/>
      </c>
    </row>
    <row r="2197" spans="4:16" x14ac:dyDescent="0.25">
      <c r="D2197" s="36" t="str" cm="1">
        <f t="array" aca="1" ref="D2197" ca="1">IFERROR(IF(INDIRECT("'"&amp;F2197&amp;"'!$C$5")&gt;0,DATE(YEAR(Dashboard!$AL$2),Dashboard!$AU$4,INDIRECT("'"&amp;F2197&amp;"'!$C$5")),""),"")</f>
        <v/>
      </c>
      <c r="G2197" s="38" t="str" cm="1">
        <f t="array" aca="1" ref="G2197" ca="1">IF(F2197="",
    "",
    IFERROR(
        IF(INDIRECT("'"&amp;F2197&amp;"'!$B$2")="Credit Limit",
            "Credit Accounts",
            IF(INDIRECT("'"&amp;F2197&amp;"'!$E$2")="Location",
                "Cash Accounts",
                IF(INDIRECT("'"&amp;F2197&amp;"'!$B$2")="Amount",
                    "Investments",
                    "Bill Accounts"
                )
            )
        ),
    "")
)</f>
        <v/>
      </c>
      <c r="I2197" s="46" t="str" cm="1">
        <f t="array" aca="1" ref="I2197" ca="1">IF(F2197&lt;&gt;"",IF(OR(G2197="Bill Accounts",G2197="Investments", G2197="Cash Accounts"),INDIRECT("'"&amp;F2197&amp;"'!$C$10"),INDIRECT("'"&amp;F2197&amp;"'!$C$8")),"")</f>
        <v/>
      </c>
      <c r="K2197" s="48">
        <f t="shared" si="105"/>
        <v>2203</v>
      </c>
      <c r="L2197" s="114" t="str" cm="1">
        <f t="array" aca="1" ref="L2197" ca="1">IF(F2197&lt;&gt;"",INDIRECT("'"&amp;F2197&amp;"'!$F$17"),"")</f>
        <v/>
      </c>
      <c r="M2197" s="116" t="str">
        <f t="shared" ca="1" si="103"/>
        <v/>
      </c>
      <c r="O2197" s="49" t="str">
        <f t="shared" ca="1" si="104"/>
        <v/>
      </c>
      <c r="P2197" s="38" t="str">
        <f>IF(E2197&lt;&gt;"",RANK(E2197,$E$3:$E$2298)+COUNTIF($E$3:E2197,E2197)-1,"")</f>
        <v/>
      </c>
    </row>
    <row r="2198" spans="4:16" x14ac:dyDescent="0.25">
      <c r="D2198" s="36" t="str" cm="1">
        <f t="array" aca="1" ref="D2198" ca="1">IFERROR(IF(INDIRECT("'"&amp;F2198&amp;"'!$C$5")&gt;0,DATE(YEAR(Dashboard!$AL$2),Dashboard!$AU$4,INDIRECT("'"&amp;F2198&amp;"'!$C$5")),""),"")</f>
        <v/>
      </c>
      <c r="G2198" s="38" t="str" cm="1">
        <f t="array" aca="1" ref="G2198" ca="1">IF(F2198="",
    "",
    IFERROR(
        IF(INDIRECT("'"&amp;F2198&amp;"'!$B$2")="Credit Limit",
            "Credit Accounts",
            IF(INDIRECT("'"&amp;F2198&amp;"'!$E$2")="Location",
                "Cash Accounts",
                IF(INDIRECT("'"&amp;F2198&amp;"'!$B$2")="Amount",
                    "Investments",
                    "Bill Accounts"
                )
            )
        ),
    "")
)</f>
        <v/>
      </c>
      <c r="I2198" s="46" t="str" cm="1">
        <f t="array" aca="1" ref="I2198" ca="1">IF(F2198&lt;&gt;"",IF(OR(G2198="Bill Accounts",G2198="Investments", G2198="Cash Accounts"),INDIRECT("'"&amp;F2198&amp;"'!$C$10"),INDIRECT("'"&amp;F2198&amp;"'!$C$8")),"")</f>
        <v/>
      </c>
      <c r="K2198" s="48">
        <f t="shared" si="105"/>
        <v>2204</v>
      </c>
      <c r="L2198" s="114" t="str" cm="1">
        <f t="array" aca="1" ref="L2198" ca="1">IF(F2198&lt;&gt;"",INDIRECT("'"&amp;F2198&amp;"'!$F$17"),"")</f>
        <v/>
      </c>
      <c r="M2198" s="116" t="str">
        <f t="shared" ca="1" si="103"/>
        <v/>
      </c>
      <c r="O2198" s="49" t="str">
        <f t="shared" ca="1" si="104"/>
        <v/>
      </c>
      <c r="P2198" s="38" t="str">
        <f>IF(E2198&lt;&gt;"",RANK(E2198,$E$3:$E$2298)+COUNTIF($E$3:E2198,E2198)-1,"")</f>
        <v/>
      </c>
    </row>
    <row r="2199" spans="4:16" x14ac:dyDescent="0.25">
      <c r="D2199" s="36" t="str" cm="1">
        <f t="array" aca="1" ref="D2199" ca="1">IFERROR(IF(INDIRECT("'"&amp;F2199&amp;"'!$C$5")&gt;0,DATE(YEAR(Dashboard!$AL$2),Dashboard!$AU$4,INDIRECT("'"&amp;F2199&amp;"'!$C$5")),""),"")</f>
        <v/>
      </c>
      <c r="G2199" s="38" t="str" cm="1">
        <f t="array" aca="1" ref="G2199" ca="1">IF(F2199="",
    "",
    IFERROR(
        IF(INDIRECT("'"&amp;F2199&amp;"'!$B$2")="Credit Limit",
            "Credit Accounts",
            IF(INDIRECT("'"&amp;F2199&amp;"'!$E$2")="Location",
                "Cash Accounts",
                IF(INDIRECT("'"&amp;F2199&amp;"'!$B$2")="Amount",
                    "Investments",
                    "Bill Accounts"
                )
            )
        ),
    "")
)</f>
        <v/>
      </c>
      <c r="I2199" s="46" t="str" cm="1">
        <f t="array" aca="1" ref="I2199" ca="1">IF(F2199&lt;&gt;"",IF(OR(G2199="Bill Accounts",G2199="Investments", G2199="Cash Accounts"),INDIRECT("'"&amp;F2199&amp;"'!$C$10"),INDIRECT("'"&amp;F2199&amp;"'!$C$8")),"")</f>
        <v/>
      </c>
      <c r="K2199" s="48">
        <f t="shared" si="105"/>
        <v>2205</v>
      </c>
      <c r="L2199" s="114" t="str" cm="1">
        <f t="array" aca="1" ref="L2199" ca="1">IF(F2199&lt;&gt;"",INDIRECT("'"&amp;F2199&amp;"'!$F$17"),"")</f>
        <v/>
      </c>
      <c r="M2199" s="116" t="str">
        <f t="shared" ca="1" si="103"/>
        <v/>
      </c>
      <c r="O2199" s="49" t="str">
        <f t="shared" ca="1" si="104"/>
        <v/>
      </c>
      <c r="P2199" s="38" t="str">
        <f>IF(E2199&lt;&gt;"",RANK(E2199,$E$3:$E$2298)+COUNTIF($E$3:E2199,E2199)-1,"")</f>
        <v/>
      </c>
    </row>
    <row r="2200" spans="4:16" x14ac:dyDescent="0.25">
      <c r="D2200" s="36" t="str" cm="1">
        <f t="array" aca="1" ref="D2200" ca="1">IFERROR(IF(INDIRECT("'"&amp;F2200&amp;"'!$C$5")&gt;0,DATE(YEAR(Dashboard!$AL$2),Dashboard!$AU$4,INDIRECT("'"&amp;F2200&amp;"'!$C$5")),""),"")</f>
        <v/>
      </c>
      <c r="G2200" s="38" t="str" cm="1">
        <f t="array" aca="1" ref="G2200" ca="1">IF(F2200="",
    "",
    IFERROR(
        IF(INDIRECT("'"&amp;F2200&amp;"'!$B$2")="Credit Limit",
            "Credit Accounts",
            IF(INDIRECT("'"&amp;F2200&amp;"'!$E$2")="Location",
                "Cash Accounts",
                IF(INDIRECT("'"&amp;F2200&amp;"'!$B$2")="Amount",
                    "Investments",
                    "Bill Accounts"
                )
            )
        ),
    "")
)</f>
        <v/>
      </c>
      <c r="I2200" s="46" t="str" cm="1">
        <f t="array" aca="1" ref="I2200" ca="1">IF(F2200&lt;&gt;"",IF(OR(G2200="Bill Accounts",G2200="Investments", G2200="Cash Accounts"),INDIRECT("'"&amp;F2200&amp;"'!$C$10"),INDIRECT("'"&amp;F2200&amp;"'!$C$8")),"")</f>
        <v/>
      </c>
      <c r="K2200" s="48">
        <f t="shared" si="105"/>
        <v>2206</v>
      </c>
      <c r="L2200" s="114" t="str" cm="1">
        <f t="array" aca="1" ref="L2200" ca="1">IF(F2200&lt;&gt;"",INDIRECT("'"&amp;F2200&amp;"'!$F$17"),"")</f>
        <v/>
      </c>
      <c r="M2200" s="116" t="str">
        <f t="shared" ca="1" si="103"/>
        <v/>
      </c>
      <c r="O2200" s="49" t="str">
        <f t="shared" ca="1" si="104"/>
        <v/>
      </c>
      <c r="P2200" s="38" t="str">
        <f>IF(E2200&lt;&gt;"",RANK(E2200,$E$3:$E$2298)+COUNTIF($E$3:E2200,E2200)-1,"")</f>
        <v/>
      </c>
    </row>
    <row r="2201" spans="4:16" x14ac:dyDescent="0.25">
      <c r="D2201" s="36" t="str" cm="1">
        <f t="array" aca="1" ref="D2201" ca="1">IFERROR(IF(INDIRECT("'"&amp;F2201&amp;"'!$C$5")&gt;0,DATE(YEAR(Dashboard!$AL$2),Dashboard!$AU$4,INDIRECT("'"&amp;F2201&amp;"'!$C$5")),""),"")</f>
        <v/>
      </c>
      <c r="G2201" s="38" t="str" cm="1">
        <f t="array" aca="1" ref="G2201" ca="1">IF(F2201="",
    "",
    IFERROR(
        IF(INDIRECT("'"&amp;F2201&amp;"'!$B$2")="Credit Limit",
            "Credit Accounts",
            IF(INDIRECT("'"&amp;F2201&amp;"'!$E$2")="Location",
                "Cash Accounts",
                IF(INDIRECT("'"&amp;F2201&amp;"'!$B$2")="Amount",
                    "Investments",
                    "Bill Accounts"
                )
            )
        ),
    "")
)</f>
        <v/>
      </c>
      <c r="I2201" s="46" t="str" cm="1">
        <f t="array" aca="1" ref="I2201" ca="1">IF(F2201&lt;&gt;"",IF(OR(G2201="Bill Accounts",G2201="Investments", G2201="Cash Accounts"),INDIRECT("'"&amp;F2201&amp;"'!$C$10"),INDIRECT("'"&amp;F2201&amp;"'!$C$8")),"")</f>
        <v/>
      </c>
      <c r="K2201" s="48">
        <f t="shared" si="105"/>
        <v>2207</v>
      </c>
      <c r="L2201" s="114" t="str" cm="1">
        <f t="array" aca="1" ref="L2201" ca="1">IF(F2201&lt;&gt;"",INDIRECT("'"&amp;F2201&amp;"'!$F$17"),"")</f>
        <v/>
      </c>
      <c r="M2201" s="116" t="str">
        <f t="shared" ca="1" si="103"/>
        <v/>
      </c>
      <c r="O2201" s="49" t="str">
        <f t="shared" ca="1" si="104"/>
        <v/>
      </c>
      <c r="P2201" s="38" t="str">
        <f>IF(E2201&lt;&gt;"",RANK(E2201,$E$3:$E$2298)+COUNTIF($E$3:E2201,E2201)-1,"")</f>
        <v/>
      </c>
    </row>
    <row r="2202" spans="4:16" x14ac:dyDescent="0.25">
      <c r="D2202" s="36" t="str" cm="1">
        <f t="array" aca="1" ref="D2202" ca="1">IFERROR(IF(INDIRECT("'"&amp;F2202&amp;"'!$C$5")&gt;0,DATE(YEAR(Dashboard!$AL$2),Dashboard!$AU$4,INDIRECT("'"&amp;F2202&amp;"'!$C$5")),""),"")</f>
        <v/>
      </c>
      <c r="G2202" s="38" t="str" cm="1">
        <f t="array" aca="1" ref="G2202" ca="1">IF(F2202="",
    "",
    IFERROR(
        IF(INDIRECT("'"&amp;F2202&amp;"'!$B$2")="Credit Limit",
            "Credit Accounts",
            IF(INDIRECT("'"&amp;F2202&amp;"'!$E$2")="Location",
                "Cash Accounts",
                IF(INDIRECT("'"&amp;F2202&amp;"'!$B$2")="Amount",
                    "Investments",
                    "Bill Accounts"
                )
            )
        ),
    "")
)</f>
        <v/>
      </c>
      <c r="I2202" s="46" t="str" cm="1">
        <f t="array" aca="1" ref="I2202" ca="1">IF(F2202&lt;&gt;"",IF(OR(G2202="Bill Accounts",G2202="Investments", G2202="Cash Accounts"),INDIRECT("'"&amp;F2202&amp;"'!$C$10"),INDIRECT("'"&amp;F2202&amp;"'!$C$8")),"")</f>
        <v/>
      </c>
      <c r="K2202" s="48">
        <f t="shared" si="105"/>
        <v>2208</v>
      </c>
      <c r="L2202" s="114" t="str" cm="1">
        <f t="array" aca="1" ref="L2202" ca="1">IF(F2202&lt;&gt;"",INDIRECT("'"&amp;F2202&amp;"'!$F$17"),"")</f>
        <v/>
      </c>
      <c r="M2202" s="116" t="str">
        <f t="shared" ca="1" si="103"/>
        <v/>
      </c>
      <c r="O2202" s="49" t="str">
        <f t="shared" ca="1" si="104"/>
        <v/>
      </c>
      <c r="P2202" s="38" t="str">
        <f>IF(E2202&lt;&gt;"",RANK(E2202,$E$3:$E$2298)+COUNTIF($E$3:E2202,E2202)-1,"")</f>
        <v/>
      </c>
    </row>
    <row r="2203" spans="4:16" x14ac:dyDescent="0.25">
      <c r="D2203" s="36" t="str" cm="1">
        <f t="array" aca="1" ref="D2203" ca="1">IFERROR(IF(INDIRECT("'"&amp;F2203&amp;"'!$C$5")&gt;0,DATE(YEAR(Dashboard!$AL$2),Dashboard!$AU$4,INDIRECT("'"&amp;F2203&amp;"'!$C$5")),""),"")</f>
        <v/>
      </c>
      <c r="G2203" s="38" t="str" cm="1">
        <f t="array" aca="1" ref="G2203" ca="1">IF(F2203="",
    "",
    IFERROR(
        IF(INDIRECT("'"&amp;F2203&amp;"'!$B$2")="Credit Limit",
            "Credit Accounts",
            IF(INDIRECT("'"&amp;F2203&amp;"'!$E$2")="Location",
                "Cash Accounts",
                IF(INDIRECT("'"&amp;F2203&amp;"'!$B$2")="Amount",
                    "Investments",
                    "Bill Accounts"
                )
            )
        ),
    "")
)</f>
        <v/>
      </c>
      <c r="I2203" s="46" t="str" cm="1">
        <f t="array" aca="1" ref="I2203" ca="1">IF(F2203&lt;&gt;"",IF(OR(G2203="Bill Accounts",G2203="Investments", G2203="Cash Accounts"),INDIRECT("'"&amp;F2203&amp;"'!$C$10"),INDIRECT("'"&amp;F2203&amp;"'!$C$8")),"")</f>
        <v/>
      </c>
      <c r="K2203" s="48">
        <f t="shared" si="105"/>
        <v>2209</v>
      </c>
      <c r="L2203" s="114" t="str" cm="1">
        <f t="array" aca="1" ref="L2203" ca="1">IF(F2203&lt;&gt;"",INDIRECT("'"&amp;F2203&amp;"'!$F$17"),"")</f>
        <v/>
      </c>
      <c r="M2203" s="116" t="str">
        <f t="shared" ca="1" si="103"/>
        <v/>
      </c>
      <c r="O2203" s="49" t="str">
        <f t="shared" ca="1" si="104"/>
        <v/>
      </c>
      <c r="P2203" s="38" t="str">
        <f>IF(E2203&lt;&gt;"",RANK(E2203,$E$3:$E$2298)+COUNTIF($E$3:E2203,E2203)-1,"")</f>
        <v/>
      </c>
    </row>
    <row r="2204" spans="4:16" x14ac:dyDescent="0.25">
      <c r="D2204" s="36" t="str" cm="1">
        <f t="array" aca="1" ref="D2204" ca="1">IFERROR(IF(INDIRECT("'"&amp;F2204&amp;"'!$C$5")&gt;0,DATE(YEAR(Dashboard!$AL$2),Dashboard!$AU$4,INDIRECT("'"&amp;F2204&amp;"'!$C$5")),""),"")</f>
        <v/>
      </c>
      <c r="G2204" s="38" t="str" cm="1">
        <f t="array" aca="1" ref="G2204" ca="1">IF(F2204="",
    "",
    IFERROR(
        IF(INDIRECT("'"&amp;F2204&amp;"'!$B$2")="Credit Limit",
            "Credit Accounts",
            IF(INDIRECT("'"&amp;F2204&amp;"'!$E$2")="Location",
                "Cash Accounts",
                IF(INDIRECT("'"&amp;F2204&amp;"'!$B$2")="Amount",
                    "Investments",
                    "Bill Accounts"
                )
            )
        ),
    "")
)</f>
        <v/>
      </c>
      <c r="I2204" s="46" t="str" cm="1">
        <f t="array" aca="1" ref="I2204" ca="1">IF(F2204&lt;&gt;"",IF(OR(G2204="Bill Accounts",G2204="Investments", G2204="Cash Accounts"),INDIRECT("'"&amp;F2204&amp;"'!$C$10"),INDIRECT("'"&amp;F2204&amp;"'!$C$8")),"")</f>
        <v/>
      </c>
      <c r="K2204" s="48">
        <f t="shared" si="105"/>
        <v>2210</v>
      </c>
      <c r="L2204" s="114" t="str" cm="1">
        <f t="array" aca="1" ref="L2204" ca="1">IF(F2204&lt;&gt;"",INDIRECT("'"&amp;F2204&amp;"'!$F$17"),"")</f>
        <v/>
      </c>
      <c r="M2204" s="116" t="str">
        <f t="shared" ca="1" si="103"/>
        <v/>
      </c>
      <c r="O2204" s="49" t="str">
        <f t="shared" ca="1" si="104"/>
        <v/>
      </c>
      <c r="P2204" s="38" t="str">
        <f>IF(E2204&lt;&gt;"",RANK(E2204,$E$3:$E$2298)+COUNTIF($E$3:E2204,E2204)-1,"")</f>
        <v/>
      </c>
    </row>
    <row r="2205" spans="4:16" x14ac:dyDescent="0.25">
      <c r="D2205" s="36" t="str" cm="1">
        <f t="array" aca="1" ref="D2205" ca="1">IFERROR(IF(INDIRECT("'"&amp;F2205&amp;"'!$C$5")&gt;0,DATE(YEAR(Dashboard!$AL$2),Dashboard!$AU$4,INDIRECT("'"&amp;F2205&amp;"'!$C$5")),""),"")</f>
        <v/>
      </c>
      <c r="G2205" s="38" t="str" cm="1">
        <f t="array" aca="1" ref="G2205" ca="1">IF(F2205="",
    "",
    IFERROR(
        IF(INDIRECT("'"&amp;F2205&amp;"'!$B$2")="Credit Limit",
            "Credit Accounts",
            IF(INDIRECT("'"&amp;F2205&amp;"'!$E$2")="Location",
                "Cash Accounts",
                IF(INDIRECT("'"&amp;F2205&amp;"'!$B$2")="Amount",
                    "Investments",
                    "Bill Accounts"
                )
            )
        ),
    "")
)</f>
        <v/>
      </c>
      <c r="I2205" s="46" t="str" cm="1">
        <f t="array" aca="1" ref="I2205" ca="1">IF(F2205&lt;&gt;"",IF(OR(G2205="Bill Accounts",G2205="Investments", G2205="Cash Accounts"),INDIRECT("'"&amp;F2205&amp;"'!$C$10"),INDIRECT("'"&amp;F2205&amp;"'!$C$8")),"")</f>
        <v/>
      </c>
      <c r="K2205" s="48">
        <f t="shared" si="105"/>
        <v>2211</v>
      </c>
      <c r="L2205" s="114" t="str" cm="1">
        <f t="array" aca="1" ref="L2205" ca="1">IF(F2205&lt;&gt;"",INDIRECT("'"&amp;F2205&amp;"'!$F$17"),"")</f>
        <v/>
      </c>
      <c r="M2205" s="116" t="str">
        <f t="shared" ca="1" si="103"/>
        <v/>
      </c>
      <c r="O2205" s="49" t="str">
        <f t="shared" ca="1" si="104"/>
        <v/>
      </c>
      <c r="P2205" s="38" t="str">
        <f>IF(E2205&lt;&gt;"",RANK(E2205,$E$3:$E$2298)+COUNTIF($E$3:E2205,E2205)-1,"")</f>
        <v/>
      </c>
    </row>
    <row r="2206" spans="4:16" x14ac:dyDescent="0.25">
      <c r="D2206" s="36" t="str" cm="1">
        <f t="array" aca="1" ref="D2206" ca="1">IFERROR(IF(INDIRECT("'"&amp;F2206&amp;"'!$C$5")&gt;0,DATE(YEAR(Dashboard!$AL$2),Dashboard!$AU$4,INDIRECT("'"&amp;F2206&amp;"'!$C$5")),""),"")</f>
        <v/>
      </c>
      <c r="G2206" s="38" t="str" cm="1">
        <f t="array" aca="1" ref="G2206" ca="1">IF(F2206="",
    "",
    IFERROR(
        IF(INDIRECT("'"&amp;F2206&amp;"'!$B$2")="Credit Limit",
            "Credit Accounts",
            IF(INDIRECT("'"&amp;F2206&amp;"'!$E$2")="Location",
                "Cash Accounts",
                IF(INDIRECT("'"&amp;F2206&amp;"'!$B$2")="Amount",
                    "Investments",
                    "Bill Accounts"
                )
            )
        ),
    "")
)</f>
        <v/>
      </c>
      <c r="I2206" s="46" t="str" cm="1">
        <f t="array" aca="1" ref="I2206" ca="1">IF(F2206&lt;&gt;"",IF(OR(G2206="Bill Accounts",G2206="Investments", G2206="Cash Accounts"),INDIRECT("'"&amp;F2206&amp;"'!$C$10"),INDIRECT("'"&amp;F2206&amp;"'!$C$8")),"")</f>
        <v/>
      </c>
      <c r="K2206" s="48">
        <f t="shared" si="105"/>
        <v>2212</v>
      </c>
      <c r="L2206" s="114" t="str" cm="1">
        <f t="array" aca="1" ref="L2206" ca="1">IF(F2206&lt;&gt;"",INDIRECT("'"&amp;F2206&amp;"'!$F$17"),"")</f>
        <v/>
      </c>
      <c r="M2206" s="116" t="str">
        <f t="shared" ca="1" si="103"/>
        <v/>
      </c>
      <c r="O2206" s="49" t="str">
        <f t="shared" ca="1" si="104"/>
        <v/>
      </c>
      <c r="P2206" s="38" t="str">
        <f>IF(E2206&lt;&gt;"",RANK(E2206,$E$3:$E$2298)+COUNTIF($E$3:E2206,E2206)-1,"")</f>
        <v/>
      </c>
    </row>
    <row r="2207" spans="4:16" x14ac:dyDescent="0.25">
      <c r="D2207" s="36" t="str" cm="1">
        <f t="array" aca="1" ref="D2207" ca="1">IFERROR(IF(INDIRECT("'"&amp;F2207&amp;"'!$C$5")&gt;0,DATE(YEAR(Dashboard!$AL$2),Dashboard!$AU$4,INDIRECT("'"&amp;F2207&amp;"'!$C$5")),""),"")</f>
        <v/>
      </c>
      <c r="G2207" s="38" t="str" cm="1">
        <f t="array" aca="1" ref="G2207" ca="1">IF(F2207="",
    "",
    IFERROR(
        IF(INDIRECT("'"&amp;F2207&amp;"'!$B$2")="Credit Limit",
            "Credit Accounts",
            IF(INDIRECT("'"&amp;F2207&amp;"'!$E$2")="Location",
                "Cash Accounts",
                IF(INDIRECT("'"&amp;F2207&amp;"'!$B$2")="Amount",
                    "Investments",
                    "Bill Accounts"
                )
            )
        ),
    "")
)</f>
        <v/>
      </c>
      <c r="I2207" s="46" t="str" cm="1">
        <f t="array" aca="1" ref="I2207" ca="1">IF(F2207&lt;&gt;"",IF(OR(G2207="Bill Accounts",G2207="Investments", G2207="Cash Accounts"),INDIRECT("'"&amp;F2207&amp;"'!$C$10"),INDIRECT("'"&amp;F2207&amp;"'!$C$8")),"")</f>
        <v/>
      </c>
      <c r="K2207" s="48">
        <f t="shared" si="105"/>
        <v>2213</v>
      </c>
      <c r="L2207" s="114" t="str" cm="1">
        <f t="array" aca="1" ref="L2207" ca="1">IF(F2207&lt;&gt;"",INDIRECT("'"&amp;F2207&amp;"'!$F$17"),"")</f>
        <v/>
      </c>
      <c r="M2207" s="116" t="str">
        <f t="shared" ca="1" si="103"/>
        <v/>
      </c>
      <c r="O2207" s="49" t="str">
        <f t="shared" ca="1" si="104"/>
        <v/>
      </c>
      <c r="P2207" s="38" t="str">
        <f>IF(E2207&lt;&gt;"",RANK(E2207,$E$3:$E$2298)+COUNTIF($E$3:E2207,E2207)-1,"")</f>
        <v/>
      </c>
    </row>
    <row r="2208" spans="4:16" x14ac:dyDescent="0.25">
      <c r="D2208" s="36" t="str" cm="1">
        <f t="array" aca="1" ref="D2208" ca="1">IFERROR(IF(INDIRECT("'"&amp;F2208&amp;"'!$C$5")&gt;0,DATE(YEAR(Dashboard!$AL$2),Dashboard!$AU$4,INDIRECT("'"&amp;F2208&amp;"'!$C$5")),""),"")</f>
        <v/>
      </c>
      <c r="G2208" s="38" t="str" cm="1">
        <f t="array" aca="1" ref="G2208" ca="1">IF(F2208="",
    "",
    IFERROR(
        IF(INDIRECT("'"&amp;F2208&amp;"'!$B$2")="Credit Limit",
            "Credit Accounts",
            IF(INDIRECT("'"&amp;F2208&amp;"'!$E$2")="Location",
                "Cash Accounts",
                IF(INDIRECT("'"&amp;F2208&amp;"'!$B$2")="Amount",
                    "Investments",
                    "Bill Accounts"
                )
            )
        ),
    "")
)</f>
        <v/>
      </c>
      <c r="I2208" s="46" t="str" cm="1">
        <f t="array" aca="1" ref="I2208" ca="1">IF(F2208&lt;&gt;"",IF(OR(G2208="Bill Accounts",G2208="Investments", G2208="Cash Accounts"),INDIRECT("'"&amp;F2208&amp;"'!$C$10"),INDIRECT("'"&amp;F2208&amp;"'!$C$8")),"")</f>
        <v/>
      </c>
      <c r="K2208" s="48">
        <f t="shared" si="105"/>
        <v>2214</v>
      </c>
      <c r="L2208" s="114" t="str" cm="1">
        <f t="array" aca="1" ref="L2208" ca="1">IF(F2208&lt;&gt;"",INDIRECT("'"&amp;F2208&amp;"'!$F$17"),"")</f>
        <v/>
      </c>
      <c r="M2208" s="116" t="str">
        <f t="shared" ca="1" si="103"/>
        <v/>
      </c>
      <c r="O2208" s="49" t="str">
        <f t="shared" ca="1" si="104"/>
        <v/>
      </c>
      <c r="P2208" s="38" t="str">
        <f>IF(E2208&lt;&gt;"",RANK(E2208,$E$3:$E$2298)+COUNTIF($E$3:E2208,E2208)-1,"")</f>
        <v/>
      </c>
    </row>
    <row r="2209" spans="4:16" x14ac:dyDescent="0.25">
      <c r="D2209" s="36" t="str" cm="1">
        <f t="array" aca="1" ref="D2209" ca="1">IFERROR(IF(INDIRECT("'"&amp;F2209&amp;"'!$C$5")&gt;0,DATE(YEAR(Dashboard!$AL$2),Dashboard!$AU$4,INDIRECT("'"&amp;F2209&amp;"'!$C$5")),""),"")</f>
        <v/>
      </c>
      <c r="G2209" s="38" t="str" cm="1">
        <f t="array" aca="1" ref="G2209" ca="1">IF(F2209="",
    "",
    IFERROR(
        IF(INDIRECT("'"&amp;F2209&amp;"'!$B$2")="Credit Limit",
            "Credit Accounts",
            IF(INDIRECT("'"&amp;F2209&amp;"'!$E$2")="Location",
                "Cash Accounts",
                IF(INDIRECT("'"&amp;F2209&amp;"'!$B$2")="Amount",
                    "Investments",
                    "Bill Accounts"
                )
            )
        ),
    "")
)</f>
        <v/>
      </c>
      <c r="I2209" s="46" t="str" cm="1">
        <f t="array" aca="1" ref="I2209" ca="1">IF(F2209&lt;&gt;"",IF(OR(G2209="Bill Accounts",G2209="Investments", G2209="Cash Accounts"),INDIRECT("'"&amp;F2209&amp;"'!$C$10"),INDIRECT("'"&amp;F2209&amp;"'!$C$8")),"")</f>
        <v/>
      </c>
      <c r="K2209" s="48">
        <f t="shared" si="105"/>
        <v>2215</v>
      </c>
      <c r="L2209" s="114" t="str" cm="1">
        <f t="array" aca="1" ref="L2209" ca="1">IF(F2209&lt;&gt;"",INDIRECT("'"&amp;F2209&amp;"'!$F$17"),"")</f>
        <v/>
      </c>
      <c r="M2209" s="116" t="str">
        <f t="shared" ca="1" si="103"/>
        <v/>
      </c>
      <c r="O2209" s="49" t="str">
        <f t="shared" ca="1" si="104"/>
        <v/>
      </c>
      <c r="P2209" s="38" t="str">
        <f>IF(E2209&lt;&gt;"",RANK(E2209,$E$3:$E$2298)+COUNTIF($E$3:E2209,E2209)-1,"")</f>
        <v/>
      </c>
    </row>
    <row r="2210" spans="4:16" x14ac:dyDescent="0.25">
      <c r="D2210" s="36" t="str" cm="1">
        <f t="array" aca="1" ref="D2210" ca="1">IFERROR(IF(INDIRECT("'"&amp;F2210&amp;"'!$C$5")&gt;0,DATE(YEAR(Dashboard!$AL$2),Dashboard!$AU$4,INDIRECT("'"&amp;F2210&amp;"'!$C$5")),""),"")</f>
        <v/>
      </c>
      <c r="G2210" s="38" t="str" cm="1">
        <f t="array" aca="1" ref="G2210" ca="1">IF(F2210="",
    "",
    IFERROR(
        IF(INDIRECT("'"&amp;F2210&amp;"'!$B$2")="Credit Limit",
            "Credit Accounts",
            IF(INDIRECT("'"&amp;F2210&amp;"'!$E$2")="Location",
                "Cash Accounts",
                IF(INDIRECT("'"&amp;F2210&amp;"'!$B$2")="Amount",
                    "Investments",
                    "Bill Accounts"
                )
            )
        ),
    "")
)</f>
        <v/>
      </c>
      <c r="I2210" s="46" t="str" cm="1">
        <f t="array" aca="1" ref="I2210" ca="1">IF(F2210&lt;&gt;"",IF(OR(G2210="Bill Accounts",G2210="Investments", G2210="Cash Accounts"),INDIRECT("'"&amp;F2210&amp;"'!$C$10"),INDIRECT("'"&amp;F2210&amp;"'!$C$8")),"")</f>
        <v/>
      </c>
      <c r="K2210" s="48">
        <f t="shared" si="105"/>
        <v>2216</v>
      </c>
      <c r="L2210" s="114" t="str" cm="1">
        <f t="array" aca="1" ref="L2210" ca="1">IF(F2210&lt;&gt;"",INDIRECT("'"&amp;F2210&amp;"'!$F$17"),"")</f>
        <v/>
      </c>
      <c r="M2210" s="116" t="str">
        <f t="shared" ca="1" si="103"/>
        <v/>
      </c>
      <c r="O2210" s="49" t="str">
        <f t="shared" ca="1" si="104"/>
        <v/>
      </c>
      <c r="P2210" s="38" t="str">
        <f>IF(E2210&lt;&gt;"",RANK(E2210,$E$3:$E$2298)+COUNTIF($E$3:E2210,E2210)-1,"")</f>
        <v/>
      </c>
    </row>
    <row r="2211" spans="4:16" x14ac:dyDescent="0.25">
      <c r="D2211" s="36" t="str" cm="1">
        <f t="array" aca="1" ref="D2211" ca="1">IFERROR(IF(INDIRECT("'"&amp;F2211&amp;"'!$C$5")&gt;0,DATE(YEAR(Dashboard!$AL$2),Dashboard!$AU$4,INDIRECT("'"&amp;F2211&amp;"'!$C$5")),""),"")</f>
        <v/>
      </c>
      <c r="G2211" s="38" t="str" cm="1">
        <f t="array" aca="1" ref="G2211" ca="1">IF(F2211="",
    "",
    IFERROR(
        IF(INDIRECT("'"&amp;F2211&amp;"'!$B$2")="Credit Limit",
            "Credit Accounts",
            IF(INDIRECT("'"&amp;F2211&amp;"'!$E$2")="Location",
                "Cash Accounts",
                IF(INDIRECT("'"&amp;F2211&amp;"'!$B$2")="Amount",
                    "Investments",
                    "Bill Accounts"
                )
            )
        ),
    "")
)</f>
        <v/>
      </c>
      <c r="I2211" s="46" t="str" cm="1">
        <f t="array" aca="1" ref="I2211" ca="1">IF(F2211&lt;&gt;"",IF(OR(G2211="Bill Accounts",G2211="Investments", G2211="Cash Accounts"),INDIRECT("'"&amp;F2211&amp;"'!$C$10"),INDIRECT("'"&amp;F2211&amp;"'!$C$8")),"")</f>
        <v/>
      </c>
      <c r="K2211" s="48">
        <f t="shared" si="105"/>
        <v>2217</v>
      </c>
      <c r="L2211" s="114" t="str" cm="1">
        <f t="array" aca="1" ref="L2211" ca="1">IF(F2211&lt;&gt;"",INDIRECT("'"&amp;F2211&amp;"'!$F$17"),"")</f>
        <v/>
      </c>
      <c r="M2211" s="116" t="str">
        <f t="shared" ca="1" si="103"/>
        <v/>
      </c>
      <c r="O2211" s="49" t="str">
        <f t="shared" ca="1" si="104"/>
        <v/>
      </c>
      <c r="P2211" s="38" t="str">
        <f>IF(E2211&lt;&gt;"",RANK(E2211,$E$3:$E$2298)+COUNTIF($E$3:E2211,E2211)-1,"")</f>
        <v/>
      </c>
    </row>
    <row r="2212" spans="4:16" x14ac:dyDescent="0.25">
      <c r="D2212" s="36" t="str" cm="1">
        <f t="array" aca="1" ref="D2212" ca="1">IFERROR(IF(INDIRECT("'"&amp;F2212&amp;"'!$C$5")&gt;0,DATE(YEAR(Dashboard!$AL$2),Dashboard!$AU$4,INDIRECT("'"&amp;F2212&amp;"'!$C$5")),""),"")</f>
        <v/>
      </c>
      <c r="G2212" s="38" t="str" cm="1">
        <f t="array" aca="1" ref="G2212" ca="1">IF(F2212="",
    "",
    IFERROR(
        IF(INDIRECT("'"&amp;F2212&amp;"'!$B$2")="Credit Limit",
            "Credit Accounts",
            IF(INDIRECT("'"&amp;F2212&amp;"'!$E$2")="Location",
                "Cash Accounts",
                IF(INDIRECT("'"&amp;F2212&amp;"'!$B$2")="Amount",
                    "Investments",
                    "Bill Accounts"
                )
            )
        ),
    "")
)</f>
        <v/>
      </c>
      <c r="I2212" s="46" t="str" cm="1">
        <f t="array" aca="1" ref="I2212" ca="1">IF(F2212&lt;&gt;"",IF(OR(G2212="Bill Accounts",G2212="Investments", G2212="Cash Accounts"),INDIRECT("'"&amp;F2212&amp;"'!$C$10"),INDIRECT("'"&amp;F2212&amp;"'!$C$8")),"")</f>
        <v/>
      </c>
      <c r="K2212" s="48">
        <f t="shared" si="105"/>
        <v>2218</v>
      </c>
      <c r="L2212" s="114" t="str" cm="1">
        <f t="array" aca="1" ref="L2212" ca="1">IF(F2212&lt;&gt;"",INDIRECT("'"&amp;F2212&amp;"'!$F$17"),"")</f>
        <v/>
      </c>
      <c r="M2212" s="116" t="str">
        <f t="shared" ca="1" si="103"/>
        <v/>
      </c>
      <c r="O2212" s="49" t="str">
        <f t="shared" ca="1" si="104"/>
        <v/>
      </c>
      <c r="P2212" s="38" t="str">
        <f>IF(E2212&lt;&gt;"",RANK(E2212,$E$3:$E$2298)+COUNTIF($E$3:E2212,E2212)-1,"")</f>
        <v/>
      </c>
    </row>
    <row r="2213" spans="4:16" x14ac:dyDescent="0.25">
      <c r="D2213" s="36" t="str" cm="1">
        <f t="array" aca="1" ref="D2213" ca="1">IFERROR(IF(INDIRECT("'"&amp;F2213&amp;"'!$C$5")&gt;0,DATE(YEAR(Dashboard!$AL$2),Dashboard!$AU$4,INDIRECT("'"&amp;F2213&amp;"'!$C$5")),""),"")</f>
        <v/>
      </c>
      <c r="G2213" s="38" t="str" cm="1">
        <f t="array" aca="1" ref="G2213" ca="1">IF(F2213="",
    "",
    IFERROR(
        IF(INDIRECT("'"&amp;F2213&amp;"'!$B$2")="Credit Limit",
            "Credit Accounts",
            IF(INDIRECT("'"&amp;F2213&amp;"'!$E$2")="Location",
                "Cash Accounts",
                IF(INDIRECT("'"&amp;F2213&amp;"'!$B$2")="Amount",
                    "Investments",
                    "Bill Accounts"
                )
            )
        ),
    "")
)</f>
        <v/>
      </c>
      <c r="I2213" s="46" t="str" cm="1">
        <f t="array" aca="1" ref="I2213" ca="1">IF(F2213&lt;&gt;"",IF(OR(G2213="Bill Accounts",G2213="Investments", G2213="Cash Accounts"),INDIRECT("'"&amp;F2213&amp;"'!$C$10"),INDIRECT("'"&amp;F2213&amp;"'!$C$8")),"")</f>
        <v/>
      </c>
      <c r="K2213" s="48">
        <f t="shared" si="105"/>
        <v>2219</v>
      </c>
      <c r="L2213" s="114" t="str" cm="1">
        <f t="array" aca="1" ref="L2213" ca="1">IF(F2213&lt;&gt;"",INDIRECT("'"&amp;F2213&amp;"'!$F$17"),"")</f>
        <v/>
      </c>
      <c r="M2213" s="116" t="str">
        <f t="shared" ca="1" si="103"/>
        <v/>
      </c>
      <c r="O2213" s="49" t="str">
        <f t="shared" ca="1" si="104"/>
        <v/>
      </c>
      <c r="P2213" s="38" t="str">
        <f>IF(E2213&lt;&gt;"",RANK(E2213,$E$3:$E$2298)+COUNTIF($E$3:E2213,E2213)-1,"")</f>
        <v/>
      </c>
    </row>
    <row r="2214" spans="4:16" x14ac:dyDescent="0.25">
      <c r="D2214" s="36" t="str" cm="1">
        <f t="array" aca="1" ref="D2214" ca="1">IFERROR(IF(INDIRECT("'"&amp;F2214&amp;"'!$C$5")&gt;0,DATE(YEAR(Dashboard!$AL$2),Dashboard!$AU$4,INDIRECT("'"&amp;F2214&amp;"'!$C$5")),""),"")</f>
        <v/>
      </c>
      <c r="G2214" s="38" t="str" cm="1">
        <f t="array" aca="1" ref="G2214" ca="1">IF(F2214="",
    "",
    IFERROR(
        IF(INDIRECT("'"&amp;F2214&amp;"'!$B$2")="Credit Limit",
            "Credit Accounts",
            IF(INDIRECT("'"&amp;F2214&amp;"'!$E$2")="Location",
                "Cash Accounts",
                IF(INDIRECT("'"&amp;F2214&amp;"'!$B$2")="Amount",
                    "Investments",
                    "Bill Accounts"
                )
            )
        ),
    "")
)</f>
        <v/>
      </c>
      <c r="I2214" s="46" t="str" cm="1">
        <f t="array" aca="1" ref="I2214" ca="1">IF(F2214&lt;&gt;"",IF(OR(G2214="Bill Accounts",G2214="Investments", G2214="Cash Accounts"),INDIRECT("'"&amp;F2214&amp;"'!$C$10"),INDIRECT("'"&amp;F2214&amp;"'!$C$8")),"")</f>
        <v/>
      </c>
      <c r="K2214" s="48">
        <f t="shared" si="105"/>
        <v>2220</v>
      </c>
      <c r="L2214" s="114" t="str" cm="1">
        <f t="array" aca="1" ref="L2214" ca="1">IF(F2214&lt;&gt;"",INDIRECT("'"&amp;F2214&amp;"'!$F$17"),"")</f>
        <v/>
      </c>
      <c r="M2214" s="116" t="str">
        <f t="shared" ca="1" si="103"/>
        <v/>
      </c>
      <c r="O2214" s="49" t="str">
        <f t="shared" ca="1" si="104"/>
        <v/>
      </c>
      <c r="P2214" s="38" t="str">
        <f>IF(E2214&lt;&gt;"",RANK(E2214,$E$3:$E$2298)+COUNTIF($E$3:E2214,E2214)-1,"")</f>
        <v/>
      </c>
    </row>
    <row r="2215" spans="4:16" x14ac:dyDescent="0.25">
      <c r="D2215" s="36" t="str" cm="1">
        <f t="array" aca="1" ref="D2215" ca="1">IFERROR(IF(INDIRECT("'"&amp;F2215&amp;"'!$C$5")&gt;0,DATE(YEAR(Dashboard!$AL$2),Dashboard!$AU$4,INDIRECT("'"&amp;F2215&amp;"'!$C$5")),""),"")</f>
        <v/>
      </c>
      <c r="G2215" s="38" t="str" cm="1">
        <f t="array" aca="1" ref="G2215" ca="1">IF(F2215="",
    "",
    IFERROR(
        IF(INDIRECT("'"&amp;F2215&amp;"'!$B$2")="Credit Limit",
            "Credit Accounts",
            IF(INDIRECT("'"&amp;F2215&amp;"'!$E$2")="Location",
                "Cash Accounts",
                IF(INDIRECT("'"&amp;F2215&amp;"'!$B$2")="Amount",
                    "Investments",
                    "Bill Accounts"
                )
            )
        ),
    "")
)</f>
        <v/>
      </c>
      <c r="I2215" s="46" t="str" cm="1">
        <f t="array" aca="1" ref="I2215" ca="1">IF(F2215&lt;&gt;"",IF(OR(G2215="Bill Accounts",G2215="Investments", G2215="Cash Accounts"),INDIRECT("'"&amp;F2215&amp;"'!$C$10"),INDIRECT("'"&amp;F2215&amp;"'!$C$8")),"")</f>
        <v/>
      </c>
      <c r="K2215" s="48">
        <f t="shared" si="105"/>
        <v>2221</v>
      </c>
      <c r="L2215" s="114" t="str" cm="1">
        <f t="array" aca="1" ref="L2215" ca="1">IF(F2215&lt;&gt;"",INDIRECT("'"&amp;F2215&amp;"'!$F$17"),"")</f>
        <v/>
      </c>
      <c r="M2215" s="116" t="str">
        <f t="shared" ca="1" si="103"/>
        <v/>
      </c>
      <c r="O2215" s="49" t="str">
        <f t="shared" ca="1" si="104"/>
        <v/>
      </c>
      <c r="P2215" s="38" t="str">
        <f>IF(E2215&lt;&gt;"",RANK(E2215,$E$3:$E$2298)+COUNTIF($E$3:E2215,E2215)-1,"")</f>
        <v/>
      </c>
    </row>
    <row r="2216" spans="4:16" x14ac:dyDescent="0.25">
      <c r="D2216" s="36" t="str" cm="1">
        <f t="array" aca="1" ref="D2216" ca="1">IFERROR(IF(INDIRECT("'"&amp;F2216&amp;"'!$C$5")&gt;0,DATE(YEAR(Dashboard!$AL$2),Dashboard!$AU$4,INDIRECT("'"&amp;F2216&amp;"'!$C$5")),""),"")</f>
        <v/>
      </c>
      <c r="G2216" s="38" t="str" cm="1">
        <f t="array" aca="1" ref="G2216" ca="1">IF(F2216="",
    "",
    IFERROR(
        IF(INDIRECT("'"&amp;F2216&amp;"'!$B$2")="Credit Limit",
            "Credit Accounts",
            IF(INDIRECT("'"&amp;F2216&amp;"'!$E$2")="Location",
                "Cash Accounts",
                IF(INDIRECT("'"&amp;F2216&amp;"'!$B$2")="Amount",
                    "Investments",
                    "Bill Accounts"
                )
            )
        ),
    "")
)</f>
        <v/>
      </c>
      <c r="I2216" s="46" t="str" cm="1">
        <f t="array" aca="1" ref="I2216" ca="1">IF(F2216&lt;&gt;"",IF(OR(G2216="Bill Accounts",G2216="Investments", G2216="Cash Accounts"),INDIRECT("'"&amp;F2216&amp;"'!$C$10"),INDIRECT("'"&amp;F2216&amp;"'!$C$8")),"")</f>
        <v/>
      </c>
      <c r="K2216" s="48">
        <f t="shared" si="105"/>
        <v>2222</v>
      </c>
      <c r="L2216" s="114" t="str" cm="1">
        <f t="array" aca="1" ref="L2216" ca="1">IF(F2216&lt;&gt;"",INDIRECT("'"&amp;F2216&amp;"'!$F$17"),"")</f>
        <v/>
      </c>
      <c r="M2216" s="116" t="str">
        <f t="shared" ca="1" si="103"/>
        <v/>
      </c>
      <c r="O2216" s="49" t="str">
        <f t="shared" ca="1" si="104"/>
        <v/>
      </c>
      <c r="P2216" s="38" t="str">
        <f>IF(E2216&lt;&gt;"",RANK(E2216,$E$3:$E$2298)+COUNTIF($E$3:E2216,E2216)-1,"")</f>
        <v/>
      </c>
    </row>
    <row r="2217" spans="4:16" x14ac:dyDescent="0.25">
      <c r="D2217" s="36" t="str" cm="1">
        <f t="array" aca="1" ref="D2217" ca="1">IFERROR(IF(INDIRECT("'"&amp;F2217&amp;"'!$C$5")&gt;0,DATE(YEAR(Dashboard!$AL$2),Dashboard!$AU$4,INDIRECT("'"&amp;F2217&amp;"'!$C$5")),""),"")</f>
        <v/>
      </c>
      <c r="G2217" s="38" t="str" cm="1">
        <f t="array" aca="1" ref="G2217" ca="1">IF(F2217="",
    "",
    IFERROR(
        IF(INDIRECT("'"&amp;F2217&amp;"'!$B$2")="Credit Limit",
            "Credit Accounts",
            IF(INDIRECT("'"&amp;F2217&amp;"'!$E$2")="Location",
                "Cash Accounts",
                IF(INDIRECT("'"&amp;F2217&amp;"'!$B$2")="Amount",
                    "Investments",
                    "Bill Accounts"
                )
            )
        ),
    "")
)</f>
        <v/>
      </c>
      <c r="I2217" s="46" t="str" cm="1">
        <f t="array" aca="1" ref="I2217" ca="1">IF(F2217&lt;&gt;"",IF(OR(G2217="Bill Accounts",G2217="Investments", G2217="Cash Accounts"),INDIRECT("'"&amp;F2217&amp;"'!$C$10"),INDIRECT("'"&amp;F2217&amp;"'!$C$8")),"")</f>
        <v/>
      </c>
      <c r="K2217" s="48">
        <f t="shared" si="105"/>
        <v>2223</v>
      </c>
      <c r="L2217" s="114" t="str" cm="1">
        <f t="array" aca="1" ref="L2217" ca="1">IF(F2217&lt;&gt;"",INDIRECT("'"&amp;F2217&amp;"'!$F$17"),"")</f>
        <v/>
      </c>
      <c r="M2217" s="116" t="str">
        <f t="shared" ca="1" si="103"/>
        <v/>
      </c>
      <c r="O2217" s="49" t="str">
        <f t="shared" ca="1" si="104"/>
        <v/>
      </c>
      <c r="P2217" s="38" t="str">
        <f>IF(E2217&lt;&gt;"",RANK(E2217,$E$3:$E$2298)+COUNTIF($E$3:E2217,E2217)-1,"")</f>
        <v/>
      </c>
    </row>
    <row r="2218" spans="4:16" x14ac:dyDescent="0.25">
      <c r="D2218" s="36" t="str" cm="1">
        <f t="array" aca="1" ref="D2218" ca="1">IFERROR(IF(INDIRECT("'"&amp;F2218&amp;"'!$C$5")&gt;0,DATE(YEAR(Dashboard!$AL$2),Dashboard!$AU$4,INDIRECT("'"&amp;F2218&amp;"'!$C$5")),""),"")</f>
        <v/>
      </c>
      <c r="G2218" s="38" t="str" cm="1">
        <f t="array" aca="1" ref="G2218" ca="1">IF(F2218="",
    "",
    IFERROR(
        IF(INDIRECT("'"&amp;F2218&amp;"'!$B$2")="Credit Limit",
            "Credit Accounts",
            IF(INDIRECT("'"&amp;F2218&amp;"'!$E$2")="Location",
                "Cash Accounts",
                IF(INDIRECT("'"&amp;F2218&amp;"'!$B$2")="Amount",
                    "Investments",
                    "Bill Accounts"
                )
            )
        ),
    "")
)</f>
        <v/>
      </c>
      <c r="I2218" s="46" t="str" cm="1">
        <f t="array" aca="1" ref="I2218" ca="1">IF(F2218&lt;&gt;"",IF(OR(G2218="Bill Accounts",G2218="Investments", G2218="Cash Accounts"),INDIRECT("'"&amp;F2218&amp;"'!$C$10"),INDIRECT("'"&amp;F2218&amp;"'!$C$8")),"")</f>
        <v/>
      </c>
      <c r="K2218" s="48">
        <f t="shared" si="105"/>
        <v>2224</v>
      </c>
      <c r="L2218" s="114" t="str" cm="1">
        <f t="array" aca="1" ref="L2218" ca="1">IF(F2218&lt;&gt;"",INDIRECT("'"&amp;F2218&amp;"'!$F$17"),"")</f>
        <v/>
      </c>
      <c r="M2218" s="116" t="str">
        <f t="shared" ca="1" si="103"/>
        <v/>
      </c>
      <c r="O2218" s="49" t="str">
        <f t="shared" ca="1" si="104"/>
        <v/>
      </c>
      <c r="P2218" s="38" t="str">
        <f>IF(E2218&lt;&gt;"",RANK(E2218,$E$3:$E$2298)+COUNTIF($E$3:E2218,E2218)-1,"")</f>
        <v/>
      </c>
    </row>
    <row r="2219" spans="4:16" x14ac:dyDescent="0.25">
      <c r="D2219" s="36" t="str" cm="1">
        <f t="array" aca="1" ref="D2219" ca="1">IFERROR(IF(INDIRECT("'"&amp;F2219&amp;"'!$C$5")&gt;0,DATE(YEAR(Dashboard!$AL$2),Dashboard!$AU$4,INDIRECT("'"&amp;F2219&amp;"'!$C$5")),""),"")</f>
        <v/>
      </c>
      <c r="G2219" s="38" t="str" cm="1">
        <f t="array" aca="1" ref="G2219" ca="1">IF(F2219="",
    "",
    IFERROR(
        IF(INDIRECT("'"&amp;F2219&amp;"'!$B$2")="Credit Limit",
            "Credit Accounts",
            IF(INDIRECT("'"&amp;F2219&amp;"'!$E$2")="Location",
                "Cash Accounts",
                IF(INDIRECT("'"&amp;F2219&amp;"'!$B$2")="Amount",
                    "Investments",
                    "Bill Accounts"
                )
            )
        ),
    "")
)</f>
        <v/>
      </c>
      <c r="I2219" s="46" t="str" cm="1">
        <f t="array" aca="1" ref="I2219" ca="1">IF(F2219&lt;&gt;"",IF(OR(G2219="Bill Accounts",G2219="Investments", G2219="Cash Accounts"),INDIRECT("'"&amp;F2219&amp;"'!$C$10"),INDIRECT("'"&amp;F2219&amp;"'!$C$8")),"")</f>
        <v/>
      </c>
      <c r="K2219" s="48">
        <f t="shared" si="105"/>
        <v>2225</v>
      </c>
      <c r="L2219" s="114" t="str" cm="1">
        <f t="array" aca="1" ref="L2219" ca="1">IF(F2219&lt;&gt;"",INDIRECT("'"&amp;F2219&amp;"'!$F$17"),"")</f>
        <v/>
      </c>
      <c r="M2219" s="116" t="str">
        <f t="shared" ca="1" si="103"/>
        <v/>
      </c>
      <c r="O2219" s="49" t="str">
        <f t="shared" ca="1" si="104"/>
        <v/>
      </c>
      <c r="P2219" s="38" t="str">
        <f>IF(E2219&lt;&gt;"",RANK(E2219,$E$3:$E$2298)+COUNTIF($E$3:E2219,E2219)-1,"")</f>
        <v/>
      </c>
    </row>
    <row r="2220" spans="4:16" x14ac:dyDescent="0.25">
      <c r="D2220" s="36" t="str" cm="1">
        <f t="array" aca="1" ref="D2220" ca="1">IFERROR(IF(INDIRECT("'"&amp;F2220&amp;"'!$C$5")&gt;0,DATE(YEAR(Dashboard!$AL$2),Dashboard!$AU$4,INDIRECT("'"&amp;F2220&amp;"'!$C$5")),""),"")</f>
        <v/>
      </c>
      <c r="G2220" s="38" t="str" cm="1">
        <f t="array" aca="1" ref="G2220" ca="1">IF(F2220="",
    "",
    IFERROR(
        IF(INDIRECT("'"&amp;F2220&amp;"'!$B$2")="Credit Limit",
            "Credit Accounts",
            IF(INDIRECT("'"&amp;F2220&amp;"'!$E$2")="Location",
                "Cash Accounts",
                IF(INDIRECT("'"&amp;F2220&amp;"'!$B$2")="Amount",
                    "Investments",
                    "Bill Accounts"
                )
            )
        ),
    "")
)</f>
        <v/>
      </c>
      <c r="I2220" s="46" t="str" cm="1">
        <f t="array" aca="1" ref="I2220" ca="1">IF(F2220&lt;&gt;"",IF(OR(G2220="Bill Accounts",G2220="Investments", G2220="Cash Accounts"),INDIRECT("'"&amp;F2220&amp;"'!$C$10"),INDIRECT("'"&amp;F2220&amp;"'!$C$8")),"")</f>
        <v/>
      </c>
      <c r="K2220" s="48">
        <f t="shared" si="105"/>
        <v>2226</v>
      </c>
      <c r="L2220" s="114" t="str" cm="1">
        <f t="array" aca="1" ref="L2220" ca="1">IF(F2220&lt;&gt;"",INDIRECT("'"&amp;F2220&amp;"'!$F$17"),"")</f>
        <v/>
      </c>
      <c r="M2220" s="116" t="str">
        <f t="shared" ca="1" si="103"/>
        <v/>
      </c>
      <c r="O2220" s="49" t="str">
        <f t="shared" ca="1" si="104"/>
        <v/>
      </c>
      <c r="P2220" s="38" t="str">
        <f>IF(E2220&lt;&gt;"",RANK(E2220,$E$3:$E$2298)+COUNTIF($E$3:E2220,E2220)-1,"")</f>
        <v/>
      </c>
    </row>
    <row r="2221" spans="4:16" x14ac:dyDescent="0.25">
      <c r="D2221" s="36" t="str" cm="1">
        <f t="array" aca="1" ref="D2221" ca="1">IFERROR(IF(INDIRECT("'"&amp;F2221&amp;"'!$C$5")&gt;0,DATE(YEAR(Dashboard!$AL$2),Dashboard!$AU$4,INDIRECT("'"&amp;F2221&amp;"'!$C$5")),""),"")</f>
        <v/>
      </c>
      <c r="G2221" s="38" t="str" cm="1">
        <f t="array" aca="1" ref="G2221" ca="1">IF(F2221="",
    "",
    IFERROR(
        IF(INDIRECT("'"&amp;F2221&amp;"'!$B$2")="Credit Limit",
            "Credit Accounts",
            IF(INDIRECT("'"&amp;F2221&amp;"'!$E$2")="Location",
                "Cash Accounts",
                IF(INDIRECT("'"&amp;F2221&amp;"'!$B$2")="Amount",
                    "Investments",
                    "Bill Accounts"
                )
            )
        ),
    "")
)</f>
        <v/>
      </c>
      <c r="I2221" s="46" t="str" cm="1">
        <f t="array" aca="1" ref="I2221" ca="1">IF(F2221&lt;&gt;"",IF(OR(G2221="Bill Accounts",G2221="Investments", G2221="Cash Accounts"),INDIRECT("'"&amp;F2221&amp;"'!$C$10"),INDIRECT("'"&amp;F2221&amp;"'!$C$8")),"")</f>
        <v/>
      </c>
      <c r="K2221" s="48">
        <f t="shared" si="105"/>
        <v>2227</v>
      </c>
      <c r="L2221" s="114" t="str" cm="1">
        <f t="array" aca="1" ref="L2221" ca="1">IF(F2221&lt;&gt;"",INDIRECT("'"&amp;F2221&amp;"'!$F$17"),"")</f>
        <v/>
      </c>
      <c r="M2221" s="116" t="str">
        <f t="shared" ca="1" si="103"/>
        <v/>
      </c>
      <c r="O2221" s="49" t="str">
        <f t="shared" ca="1" si="104"/>
        <v/>
      </c>
      <c r="P2221" s="38" t="str">
        <f>IF(E2221&lt;&gt;"",RANK(E2221,$E$3:$E$2298)+COUNTIF($E$3:E2221,E2221)-1,"")</f>
        <v/>
      </c>
    </row>
    <row r="2222" spans="4:16" x14ac:dyDescent="0.25">
      <c r="D2222" s="36" t="str" cm="1">
        <f t="array" aca="1" ref="D2222" ca="1">IFERROR(IF(INDIRECT("'"&amp;F2222&amp;"'!$C$5")&gt;0,DATE(YEAR(Dashboard!$AL$2),Dashboard!$AU$4,INDIRECT("'"&amp;F2222&amp;"'!$C$5")),""),"")</f>
        <v/>
      </c>
      <c r="G2222" s="38" t="str" cm="1">
        <f t="array" aca="1" ref="G2222" ca="1">IF(F2222="",
    "",
    IFERROR(
        IF(INDIRECT("'"&amp;F2222&amp;"'!$B$2")="Credit Limit",
            "Credit Accounts",
            IF(INDIRECT("'"&amp;F2222&amp;"'!$E$2")="Location",
                "Cash Accounts",
                IF(INDIRECT("'"&amp;F2222&amp;"'!$B$2")="Amount",
                    "Investments",
                    "Bill Accounts"
                )
            )
        ),
    "")
)</f>
        <v/>
      </c>
      <c r="I2222" s="46" t="str" cm="1">
        <f t="array" aca="1" ref="I2222" ca="1">IF(F2222&lt;&gt;"",IF(OR(G2222="Bill Accounts",G2222="Investments", G2222="Cash Accounts"),INDIRECT("'"&amp;F2222&amp;"'!$C$10"),INDIRECT("'"&amp;F2222&amp;"'!$C$8")),"")</f>
        <v/>
      </c>
      <c r="K2222" s="48">
        <f t="shared" si="105"/>
        <v>2228</v>
      </c>
      <c r="L2222" s="114" t="str" cm="1">
        <f t="array" aca="1" ref="L2222" ca="1">IF(F2222&lt;&gt;"",INDIRECT("'"&amp;F2222&amp;"'!$F$17"),"")</f>
        <v/>
      </c>
      <c r="M2222" s="116" t="str">
        <f t="shared" ca="1" si="103"/>
        <v/>
      </c>
      <c r="O2222" s="49" t="str">
        <f t="shared" ca="1" si="104"/>
        <v/>
      </c>
      <c r="P2222" s="38" t="str">
        <f>IF(E2222&lt;&gt;"",RANK(E2222,$E$3:$E$2298)+COUNTIF($E$3:E2222,E2222)-1,"")</f>
        <v/>
      </c>
    </row>
    <row r="2223" spans="4:16" x14ac:dyDescent="0.25">
      <c r="D2223" s="36" t="str" cm="1">
        <f t="array" aca="1" ref="D2223" ca="1">IFERROR(IF(INDIRECT("'"&amp;F2223&amp;"'!$C$5")&gt;0,DATE(YEAR(Dashboard!$AL$2),Dashboard!$AU$4,INDIRECT("'"&amp;F2223&amp;"'!$C$5")),""),"")</f>
        <v/>
      </c>
      <c r="G2223" s="38" t="str" cm="1">
        <f t="array" aca="1" ref="G2223" ca="1">IF(F2223="",
    "",
    IFERROR(
        IF(INDIRECT("'"&amp;F2223&amp;"'!$B$2")="Credit Limit",
            "Credit Accounts",
            IF(INDIRECT("'"&amp;F2223&amp;"'!$E$2")="Location",
                "Cash Accounts",
                IF(INDIRECT("'"&amp;F2223&amp;"'!$B$2")="Amount",
                    "Investments",
                    "Bill Accounts"
                )
            )
        ),
    "")
)</f>
        <v/>
      </c>
      <c r="I2223" s="46" t="str" cm="1">
        <f t="array" aca="1" ref="I2223" ca="1">IF(F2223&lt;&gt;"",IF(OR(G2223="Bill Accounts",G2223="Investments", G2223="Cash Accounts"),INDIRECT("'"&amp;F2223&amp;"'!$C$10"),INDIRECT("'"&amp;F2223&amp;"'!$C$8")),"")</f>
        <v/>
      </c>
      <c r="K2223" s="48">
        <f t="shared" si="105"/>
        <v>2229</v>
      </c>
      <c r="L2223" s="114" t="str" cm="1">
        <f t="array" aca="1" ref="L2223" ca="1">IF(F2223&lt;&gt;"",INDIRECT("'"&amp;F2223&amp;"'!$F$17"),"")</f>
        <v/>
      </c>
      <c r="M2223" s="116" t="str">
        <f t="shared" ca="1" si="103"/>
        <v/>
      </c>
      <c r="O2223" s="49" t="str">
        <f t="shared" ca="1" si="104"/>
        <v/>
      </c>
      <c r="P2223" s="38" t="str">
        <f>IF(E2223&lt;&gt;"",RANK(E2223,$E$3:$E$2298)+COUNTIF($E$3:E2223,E2223)-1,"")</f>
        <v/>
      </c>
    </row>
    <row r="2224" spans="4:16" x14ac:dyDescent="0.25">
      <c r="D2224" s="36" t="str" cm="1">
        <f t="array" aca="1" ref="D2224" ca="1">IFERROR(IF(INDIRECT("'"&amp;F2224&amp;"'!$C$5")&gt;0,DATE(YEAR(Dashboard!$AL$2),Dashboard!$AU$4,INDIRECT("'"&amp;F2224&amp;"'!$C$5")),""),"")</f>
        <v/>
      </c>
      <c r="G2224" s="38" t="str" cm="1">
        <f t="array" aca="1" ref="G2224" ca="1">IF(F2224="",
    "",
    IFERROR(
        IF(INDIRECT("'"&amp;F2224&amp;"'!$B$2")="Credit Limit",
            "Credit Accounts",
            IF(INDIRECT("'"&amp;F2224&amp;"'!$E$2")="Location",
                "Cash Accounts",
                IF(INDIRECT("'"&amp;F2224&amp;"'!$B$2")="Amount",
                    "Investments",
                    "Bill Accounts"
                )
            )
        ),
    "")
)</f>
        <v/>
      </c>
      <c r="I2224" s="46" t="str" cm="1">
        <f t="array" aca="1" ref="I2224" ca="1">IF(F2224&lt;&gt;"",IF(OR(G2224="Bill Accounts",G2224="Investments", G2224="Cash Accounts"),INDIRECT("'"&amp;F2224&amp;"'!$C$10"),INDIRECT("'"&amp;F2224&amp;"'!$C$8")),"")</f>
        <v/>
      </c>
      <c r="K2224" s="48">
        <f t="shared" si="105"/>
        <v>2230</v>
      </c>
      <c r="L2224" s="114" t="str" cm="1">
        <f t="array" aca="1" ref="L2224" ca="1">IF(F2224&lt;&gt;"",INDIRECT("'"&amp;F2224&amp;"'!$F$17"),"")</f>
        <v/>
      </c>
      <c r="M2224" s="116" t="str">
        <f t="shared" ca="1" si="103"/>
        <v/>
      </c>
      <c r="O2224" s="49" t="str">
        <f t="shared" ca="1" si="104"/>
        <v/>
      </c>
      <c r="P2224" s="38" t="str">
        <f>IF(E2224&lt;&gt;"",RANK(E2224,$E$3:$E$2298)+COUNTIF($E$3:E2224,E2224)-1,"")</f>
        <v/>
      </c>
    </row>
    <row r="2225" spans="4:16" x14ac:dyDescent="0.25">
      <c r="D2225" s="36" t="str" cm="1">
        <f t="array" aca="1" ref="D2225" ca="1">IFERROR(IF(INDIRECT("'"&amp;F2225&amp;"'!$C$5")&gt;0,DATE(YEAR(Dashboard!$AL$2),Dashboard!$AU$4,INDIRECT("'"&amp;F2225&amp;"'!$C$5")),""),"")</f>
        <v/>
      </c>
      <c r="G2225" s="38" t="str" cm="1">
        <f t="array" aca="1" ref="G2225" ca="1">IF(F2225="",
    "",
    IFERROR(
        IF(INDIRECT("'"&amp;F2225&amp;"'!$B$2")="Credit Limit",
            "Credit Accounts",
            IF(INDIRECT("'"&amp;F2225&amp;"'!$E$2")="Location",
                "Cash Accounts",
                IF(INDIRECT("'"&amp;F2225&amp;"'!$B$2")="Amount",
                    "Investments",
                    "Bill Accounts"
                )
            )
        ),
    "")
)</f>
        <v/>
      </c>
      <c r="I2225" s="46" t="str" cm="1">
        <f t="array" aca="1" ref="I2225" ca="1">IF(F2225&lt;&gt;"",IF(OR(G2225="Bill Accounts",G2225="Investments", G2225="Cash Accounts"),INDIRECT("'"&amp;F2225&amp;"'!$C$10"),INDIRECT("'"&amp;F2225&amp;"'!$C$8")),"")</f>
        <v/>
      </c>
      <c r="K2225" s="48">
        <f t="shared" si="105"/>
        <v>2231</v>
      </c>
      <c r="L2225" s="114" t="str" cm="1">
        <f t="array" aca="1" ref="L2225" ca="1">IF(F2225&lt;&gt;"",INDIRECT("'"&amp;F2225&amp;"'!$F$17"),"")</f>
        <v/>
      </c>
      <c r="M2225" s="116" t="str">
        <f t="shared" ca="1" si="103"/>
        <v/>
      </c>
      <c r="O2225" s="49" t="str">
        <f t="shared" ca="1" si="104"/>
        <v/>
      </c>
      <c r="P2225" s="38" t="str">
        <f>IF(E2225&lt;&gt;"",RANK(E2225,$E$3:$E$2298)+COUNTIF($E$3:E2225,E2225)-1,"")</f>
        <v/>
      </c>
    </row>
    <row r="2226" spans="4:16" x14ac:dyDescent="0.25">
      <c r="D2226" s="36" t="str" cm="1">
        <f t="array" aca="1" ref="D2226" ca="1">IFERROR(IF(INDIRECT("'"&amp;F2226&amp;"'!$C$5")&gt;0,DATE(YEAR(Dashboard!$AL$2),Dashboard!$AU$4,INDIRECT("'"&amp;F2226&amp;"'!$C$5")),""),"")</f>
        <v/>
      </c>
      <c r="G2226" s="38" t="str" cm="1">
        <f t="array" aca="1" ref="G2226" ca="1">IF(F2226="",
    "",
    IFERROR(
        IF(INDIRECT("'"&amp;F2226&amp;"'!$B$2")="Credit Limit",
            "Credit Accounts",
            IF(INDIRECT("'"&amp;F2226&amp;"'!$E$2")="Location",
                "Cash Accounts",
                IF(INDIRECT("'"&amp;F2226&amp;"'!$B$2")="Amount",
                    "Investments",
                    "Bill Accounts"
                )
            )
        ),
    "")
)</f>
        <v/>
      </c>
      <c r="I2226" s="46" t="str" cm="1">
        <f t="array" aca="1" ref="I2226" ca="1">IF(F2226&lt;&gt;"",IF(OR(G2226="Bill Accounts",G2226="Investments", G2226="Cash Accounts"),INDIRECT("'"&amp;F2226&amp;"'!$C$10"),INDIRECT("'"&amp;F2226&amp;"'!$C$8")),"")</f>
        <v/>
      </c>
      <c r="K2226" s="48">
        <f t="shared" si="105"/>
        <v>2232</v>
      </c>
      <c r="L2226" s="114" t="str" cm="1">
        <f t="array" aca="1" ref="L2226" ca="1">IF(F2226&lt;&gt;"",INDIRECT("'"&amp;F2226&amp;"'!$F$17"),"")</f>
        <v/>
      </c>
      <c r="M2226" s="116" t="str">
        <f t="shared" ca="1" si="103"/>
        <v/>
      </c>
      <c r="O2226" s="49" t="str">
        <f t="shared" ca="1" si="104"/>
        <v/>
      </c>
      <c r="P2226" s="38" t="str">
        <f>IF(E2226&lt;&gt;"",RANK(E2226,$E$3:$E$2298)+COUNTIF($E$3:E2226,E2226)-1,"")</f>
        <v/>
      </c>
    </row>
    <row r="2227" spans="4:16" x14ac:dyDescent="0.25">
      <c r="D2227" s="36" t="str" cm="1">
        <f t="array" aca="1" ref="D2227" ca="1">IFERROR(IF(INDIRECT("'"&amp;F2227&amp;"'!$C$5")&gt;0,DATE(YEAR(Dashboard!$AL$2),Dashboard!$AU$4,INDIRECT("'"&amp;F2227&amp;"'!$C$5")),""),"")</f>
        <v/>
      </c>
      <c r="G2227" s="38" t="str" cm="1">
        <f t="array" aca="1" ref="G2227" ca="1">IF(F2227="",
    "",
    IFERROR(
        IF(INDIRECT("'"&amp;F2227&amp;"'!$B$2")="Credit Limit",
            "Credit Accounts",
            IF(INDIRECT("'"&amp;F2227&amp;"'!$E$2")="Location",
                "Cash Accounts",
                IF(INDIRECT("'"&amp;F2227&amp;"'!$B$2")="Amount",
                    "Investments",
                    "Bill Accounts"
                )
            )
        ),
    "")
)</f>
        <v/>
      </c>
      <c r="I2227" s="46" t="str" cm="1">
        <f t="array" aca="1" ref="I2227" ca="1">IF(F2227&lt;&gt;"",IF(OR(G2227="Bill Accounts",G2227="Investments", G2227="Cash Accounts"),INDIRECT("'"&amp;F2227&amp;"'!$C$10"),INDIRECT("'"&amp;F2227&amp;"'!$C$8")),"")</f>
        <v/>
      </c>
      <c r="K2227" s="48">
        <f t="shared" si="105"/>
        <v>2233</v>
      </c>
      <c r="L2227" s="114" t="str" cm="1">
        <f t="array" aca="1" ref="L2227" ca="1">IF(F2227&lt;&gt;"",INDIRECT("'"&amp;F2227&amp;"'!$F$17"),"")</f>
        <v/>
      </c>
      <c r="M2227" s="116" t="str">
        <f t="shared" ca="1" si="103"/>
        <v/>
      </c>
      <c r="O2227" s="49" t="str">
        <f t="shared" ca="1" si="104"/>
        <v/>
      </c>
      <c r="P2227" s="38" t="str">
        <f>IF(E2227&lt;&gt;"",RANK(E2227,$E$3:$E$2298)+COUNTIF($E$3:E2227,E2227)-1,"")</f>
        <v/>
      </c>
    </row>
    <row r="2228" spans="4:16" x14ac:dyDescent="0.25">
      <c r="D2228" s="36" t="str" cm="1">
        <f t="array" aca="1" ref="D2228" ca="1">IFERROR(IF(INDIRECT("'"&amp;F2228&amp;"'!$C$5")&gt;0,DATE(YEAR(Dashboard!$AL$2),Dashboard!$AU$4,INDIRECT("'"&amp;F2228&amp;"'!$C$5")),""),"")</f>
        <v/>
      </c>
      <c r="G2228" s="38" t="str" cm="1">
        <f t="array" aca="1" ref="G2228" ca="1">IF(F2228="",
    "",
    IFERROR(
        IF(INDIRECT("'"&amp;F2228&amp;"'!$B$2")="Credit Limit",
            "Credit Accounts",
            IF(INDIRECT("'"&amp;F2228&amp;"'!$E$2")="Location",
                "Cash Accounts",
                IF(INDIRECT("'"&amp;F2228&amp;"'!$B$2")="Amount",
                    "Investments",
                    "Bill Accounts"
                )
            )
        ),
    "")
)</f>
        <v/>
      </c>
      <c r="I2228" s="46" t="str" cm="1">
        <f t="array" aca="1" ref="I2228" ca="1">IF(F2228&lt;&gt;"",IF(OR(G2228="Bill Accounts",G2228="Investments", G2228="Cash Accounts"),INDIRECT("'"&amp;F2228&amp;"'!$C$10"),INDIRECT("'"&amp;F2228&amp;"'!$C$8")),"")</f>
        <v/>
      </c>
      <c r="K2228" s="48">
        <f t="shared" si="105"/>
        <v>2234</v>
      </c>
      <c r="L2228" s="114" t="str" cm="1">
        <f t="array" aca="1" ref="L2228" ca="1">IF(F2228&lt;&gt;"",INDIRECT("'"&amp;F2228&amp;"'!$F$17"),"")</f>
        <v/>
      </c>
      <c r="M2228" s="116" t="str">
        <f t="shared" ca="1" si="103"/>
        <v/>
      </c>
      <c r="O2228" s="49" t="str">
        <f t="shared" ca="1" si="104"/>
        <v/>
      </c>
      <c r="P2228" s="38" t="str">
        <f>IF(E2228&lt;&gt;"",RANK(E2228,$E$3:$E$2298)+COUNTIF($E$3:E2228,E2228)-1,"")</f>
        <v/>
      </c>
    </row>
    <row r="2229" spans="4:16" x14ac:dyDescent="0.25">
      <c r="D2229" s="36" t="str" cm="1">
        <f t="array" aca="1" ref="D2229" ca="1">IFERROR(IF(INDIRECT("'"&amp;F2229&amp;"'!$C$5")&gt;0,DATE(YEAR(Dashboard!$AL$2),Dashboard!$AU$4,INDIRECT("'"&amp;F2229&amp;"'!$C$5")),""),"")</f>
        <v/>
      </c>
      <c r="G2229" s="38" t="str" cm="1">
        <f t="array" aca="1" ref="G2229" ca="1">IF(F2229="",
    "",
    IFERROR(
        IF(INDIRECT("'"&amp;F2229&amp;"'!$B$2")="Credit Limit",
            "Credit Accounts",
            IF(INDIRECT("'"&amp;F2229&amp;"'!$E$2")="Location",
                "Cash Accounts",
                IF(INDIRECT("'"&amp;F2229&amp;"'!$B$2")="Amount",
                    "Investments",
                    "Bill Accounts"
                )
            )
        ),
    "")
)</f>
        <v/>
      </c>
      <c r="I2229" s="46" t="str" cm="1">
        <f t="array" aca="1" ref="I2229" ca="1">IF(F2229&lt;&gt;"",IF(OR(G2229="Bill Accounts",G2229="Investments", G2229="Cash Accounts"),INDIRECT("'"&amp;F2229&amp;"'!$C$10"),INDIRECT("'"&amp;F2229&amp;"'!$C$8")),"")</f>
        <v/>
      </c>
      <c r="K2229" s="48">
        <f t="shared" si="105"/>
        <v>2235</v>
      </c>
      <c r="L2229" s="114" t="str" cm="1">
        <f t="array" aca="1" ref="L2229" ca="1">IF(F2229&lt;&gt;"",INDIRECT("'"&amp;F2229&amp;"'!$F$17"),"")</f>
        <v/>
      </c>
      <c r="M2229" s="116" t="str">
        <f t="shared" ca="1" si="103"/>
        <v/>
      </c>
      <c r="O2229" s="49" t="str">
        <f t="shared" ca="1" si="104"/>
        <v/>
      </c>
      <c r="P2229" s="38" t="str">
        <f>IF(E2229&lt;&gt;"",RANK(E2229,$E$3:$E$2298)+COUNTIF($E$3:E2229,E2229)-1,"")</f>
        <v/>
      </c>
    </row>
    <row r="2230" spans="4:16" x14ac:dyDescent="0.25">
      <c r="D2230" s="36" t="str" cm="1">
        <f t="array" aca="1" ref="D2230" ca="1">IFERROR(IF(INDIRECT("'"&amp;F2230&amp;"'!$C$5")&gt;0,DATE(YEAR(Dashboard!$AL$2),Dashboard!$AU$4,INDIRECT("'"&amp;F2230&amp;"'!$C$5")),""),"")</f>
        <v/>
      </c>
      <c r="G2230" s="38" t="str" cm="1">
        <f t="array" aca="1" ref="G2230" ca="1">IF(F2230="",
    "",
    IFERROR(
        IF(INDIRECT("'"&amp;F2230&amp;"'!$B$2")="Credit Limit",
            "Credit Accounts",
            IF(INDIRECT("'"&amp;F2230&amp;"'!$E$2")="Location",
                "Cash Accounts",
                IF(INDIRECT("'"&amp;F2230&amp;"'!$B$2")="Amount",
                    "Investments",
                    "Bill Accounts"
                )
            )
        ),
    "")
)</f>
        <v/>
      </c>
      <c r="I2230" s="46" t="str" cm="1">
        <f t="array" aca="1" ref="I2230" ca="1">IF(F2230&lt;&gt;"",IF(OR(G2230="Bill Accounts",G2230="Investments", G2230="Cash Accounts"),INDIRECT("'"&amp;F2230&amp;"'!$C$10"),INDIRECT("'"&amp;F2230&amp;"'!$C$8")),"")</f>
        <v/>
      </c>
      <c r="K2230" s="48">
        <f t="shared" si="105"/>
        <v>2236</v>
      </c>
      <c r="L2230" s="114" t="str" cm="1">
        <f t="array" aca="1" ref="L2230" ca="1">IF(F2230&lt;&gt;"",INDIRECT("'"&amp;F2230&amp;"'!$F$17"),"")</f>
        <v/>
      </c>
      <c r="M2230" s="116" t="str">
        <f t="shared" ca="1" si="103"/>
        <v/>
      </c>
      <c r="O2230" s="49" t="str">
        <f t="shared" ca="1" si="104"/>
        <v/>
      </c>
      <c r="P2230" s="38" t="str">
        <f>IF(E2230&lt;&gt;"",RANK(E2230,$E$3:$E$2298)+COUNTIF($E$3:E2230,E2230)-1,"")</f>
        <v/>
      </c>
    </row>
    <row r="2231" spans="4:16" x14ac:dyDescent="0.25">
      <c r="D2231" s="36" t="str" cm="1">
        <f t="array" aca="1" ref="D2231" ca="1">IFERROR(IF(INDIRECT("'"&amp;F2231&amp;"'!$C$5")&gt;0,DATE(YEAR(Dashboard!$AL$2),Dashboard!$AU$4,INDIRECT("'"&amp;F2231&amp;"'!$C$5")),""),"")</f>
        <v/>
      </c>
      <c r="G2231" s="38" t="str" cm="1">
        <f t="array" aca="1" ref="G2231" ca="1">IF(F2231="",
    "",
    IFERROR(
        IF(INDIRECT("'"&amp;F2231&amp;"'!$B$2")="Credit Limit",
            "Credit Accounts",
            IF(INDIRECT("'"&amp;F2231&amp;"'!$E$2")="Location",
                "Cash Accounts",
                IF(INDIRECT("'"&amp;F2231&amp;"'!$B$2")="Amount",
                    "Investments",
                    "Bill Accounts"
                )
            )
        ),
    "")
)</f>
        <v/>
      </c>
      <c r="I2231" s="46" t="str" cm="1">
        <f t="array" aca="1" ref="I2231" ca="1">IF(F2231&lt;&gt;"",IF(OR(G2231="Bill Accounts",G2231="Investments", G2231="Cash Accounts"),INDIRECT("'"&amp;F2231&amp;"'!$C$10"),INDIRECT("'"&amp;F2231&amp;"'!$C$8")),"")</f>
        <v/>
      </c>
      <c r="K2231" s="48">
        <f t="shared" si="105"/>
        <v>2237</v>
      </c>
      <c r="L2231" s="114" t="str" cm="1">
        <f t="array" aca="1" ref="L2231" ca="1">IF(F2231&lt;&gt;"",INDIRECT("'"&amp;F2231&amp;"'!$F$17"),"")</f>
        <v/>
      </c>
      <c r="M2231" s="116" t="str">
        <f t="shared" ca="1" si="103"/>
        <v/>
      </c>
      <c r="O2231" s="49" t="str">
        <f t="shared" ca="1" si="104"/>
        <v/>
      </c>
      <c r="P2231" s="38" t="str">
        <f>IF(E2231&lt;&gt;"",RANK(E2231,$E$3:$E$2298)+COUNTIF($E$3:E2231,E2231)-1,"")</f>
        <v/>
      </c>
    </row>
    <row r="2232" spans="4:16" x14ac:dyDescent="0.25">
      <c r="D2232" s="36" t="str" cm="1">
        <f t="array" aca="1" ref="D2232" ca="1">IFERROR(IF(INDIRECT("'"&amp;F2232&amp;"'!$C$5")&gt;0,DATE(YEAR(Dashboard!$AL$2),Dashboard!$AU$4,INDIRECT("'"&amp;F2232&amp;"'!$C$5")),""),"")</f>
        <v/>
      </c>
      <c r="G2232" s="38" t="str" cm="1">
        <f t="array" aca="1" ref="G2232" ca="1">IF(F2232="",
    "",
    IFERROR(
        IF(INDIRECT("'"&amp;F2232&amp;"'!$B$2")="Credit Limit",
            "Credit Accounts",
            IF(INDIRECT("'"&amp;F2232&amp;"'!$E$2")="Location",
                "Cash Accounts",
                IF(INDIRECT("'"&amp;F2232&amp;"'!$B$2")="Amount",
                    "Investments",
                    "Bill Accounts"
                )
            )
        ),
    "")
)</f>
        <v/>
      </c>
      <c r="I2232" s="46" t="str" cm="1">
        <f t="array" aca="1" ref="I2232" ca="1">IF(F2232&lt;&gt;"",IF(OR(G2232="Bill Accounts",G2232="Investments", G2232="Cash Accounts"),INDIRECT("'"&amp;F2232&amp;"'!$C$10"),INDIRECT("'"&amp;F2232&amp;"'!$C$8")),"")</f>
        <v/>
      </c>
      <c r="K2232" s="48">
        <f t="shared" si="105"/>
        <v>2238</v>
      </c>
      <c r="L2232" s="114" t="str" cm="1">
        <f t="array" aca="1" ref="L2232" ca="1">IF(F2232&lt;&gt;"",INDIRECT("'"&amp;F2232&amp;"'!$F$17"),"")</f>
        <v/>
      </c>
      <c r="M2232" s="116" t="str">
        <f t="shared" ca="1" si="103"/>
        <v/>
      </c>
      <c r="O2232" s="49" t="str">
        <f t="shared" ca="1" si="104"/>
        <v/>
      </c>
      <c r="P2232" s="38" t="str">
        <f>IF(E2232&lt;&gt;"",RANK(E2232,$E$3:$E$2298)+COUNTIF($E$3:E2232,E2232)-1,"")</f>
        <v/>
      </c>
    </row>
    <row r="2233" spans="4:16" x14ac:dyDescent="0.25">
      <c r="D2233" s="36" t="str" cm="1">
        <f t="array" aca="1" ref="D2233" ca="1">IFERROR(IF(INDIRECT("'"&amp;F2233&amp;"'!$C$5")&gt;0,DATE(YEAR(Dashboard!$AL$2),Dashboard!$AU$4,INDIRECT("'"&amp;F2233&amp;"'!$C$5")),""),"")</f>
        <v/>
      </c>
      <c r="G2233" s="38" t="str" cm="1">
        <f t="array" aca="1" ref="G2233" ca="1">IF(F2233="",
    "",
    IFERROR(
        IF(INDIRECT("'"&amp;F2233&amp;"'!$B$2")="Credit Limit",
            "Credit Accounts",
            IF(INDIRECT("'"&amp;F2233&amp;"'!$E$2")="Location",
                "Cash Accounts",
                IF(INDIRECT("'"&amp;F2233&amp;"'!$B$2")="Amount",
                    "Investments",
                    "Bill Accounts"
                )
            )
        ),
    "")
)</f>
        <v/>
      </c>
      <c r="I2233" s="46" t="str" cm="1">
        <f t="array" aca="1" ref="I2233" ca="1">IF(F2233&lt;&gt;"",IF(OR(G2233="Bill Accounts",G2233="Investments", G2233="Cash Accounts"),INDIRECT("'"&amp;F2233&amp;"'!$C$10"),INDIRECT("'"&amp;F2233&amp;"'!$C$8")),"")</f>
        <v/>
      </c>
      <c r="K2233" s="48">
        <f t="shared" si="105"/>
        <v>2239</v>
      </c>
      <c r="L2233" s="114" t="str" cm="1">
        <f t="array" aca="1" ref="L2233" ca="1">IF(F2233&lt;&gt;"",INDIRECT("'"&amp;F2233&amp;"'!$F$17"),"")</f>
        <v/>
      </c>
      <c r="M2233" s="116" t="str">
        <f t="shared" ca="1" si="103"/>
        <v/>
      </c>
      <c r="O2233" s="49" t="str">
        <f t="shared" ca="1" si="104"/>
        <v/>
      </c>
      <c r="P2233" s="38" t="str">
        <f>IF(E2233&lt;&gt;"",RANK(E2233,$E$3:$E$2298)+COUNTIF($E$3:E2233,E2233)-1,"")</f>
        <v/>
      </c>
    </row>
    <row r="2234" spans="4:16" x14ac:dyDescent="0.25">
      <c r="D2234" s="36" t="str" cm="1">
        <f t="array" aca="1" ref="D2234" ca="1">IFERROR(IF(INDIRECT("'"&amp;F2234&amp;"'!$C$5")&gt;0,DATE(YEAR(Dashboard!$AL$2),Dashboard!$AU$4,INDIRECT("'"&amp;F2234&amp;"'!$C$5")),""),"")</f>
        <v/>
      </c>
      <c r="G2234" s="38" t="str" cm="1">
        <f t="array" aca="1" ref="G2234" ca="1">IF(F2234="",
    "",
    IFERROR(
        IF(INDIRECT("'"&amp;F2234&amp;"'!$B$2")="Credit Limit",
            "Credit Accounts",
            IF(INDIRECT("'"&amp;F2234&amp;"'!$E$2")="Location",
                "Cash Accounts",
                IF(INDIRECT("'"&amp;F2234&amp;"'!$B$2")="Amount",
                    "Investments",
                    "Bill Accounts"
                )
            )
        ),
    "")
)</f>
        <v/>
      </c>
      <c r="I2234" s="46" t="str" cm="1">
        <f t="array" aca="1" ref="I2234" ca="1">IF(F2234&lt;&gt;"",IF(OR(G2234="Bill Accounts",G2234="Investments", G2234="Cash Accounts"),INDIRECT("'"&amp;F2234&amp;"'!$C$10"),INDIRECT("'"&amp;F2234&amp;"'!$C$8")),"")</f>
        <v/>
      </c>
      <c r="K2234" s="48">
        <f t="shared" si="105"/>
        <v>2240</v>
      </c>
      <c r="L2234" s="114" t="str" cm="1">
        <f t="array" aca="1" ref="L2234" ca="1">IF(F2234&lt;&gt;"",INDIRECT("'"&amp;F2234&amp;"'!$F$17"),"")</f>
        <v/>
      </c>
      <c r="M2234" s="116" t="str">
        <f t="shared" ca="1" si="103"/>
        <v/>
      </c>
      <c r="O2234" s="49" t="str">
        <f t="shared" ca="1" si="104"/>
        <v/>
      </c>
      <c r="P2234" s="38" t="str">
        <f>IF(E2234&lt;&gt;"",RANK(E2234,$E$3:$E$2298)+COUNTIF($E$3:E2234,E2234)-1,"")</f>
        <v/>
      </c>
    </row>
    <row r="2235" spans="4:16" x14ac:dyDescent="0.25">
      <c r="D2235" s="36" t="str" cm="1">
        <f t="array" aca="1" ref="D2235" ca="1">IFERROR(IF(INDIRECT("'"&amp;F2235&amp;"'!$C$5")&gt;0,DATE(YEAR(Dashboard!$AL$2),Dashboard!$AU$4,INDIRECT("'"&amp;F2235&amp;"'!$C$5")),""),"")</f>
        <v/>
      </c>
      <c r="G2235" s="38" t="str" cm="1">
        <f t="array" aca="1" ref="G2235" ca="1">IF(F2235="",
    "",
    IFERROR(
        IF(INDIRECT("'"&amp;F2235&amp;"'!$B$2")="Credit Limit",
            "Credit Accounts",
            IF(INDIRECT("'"&amp;F2235&amp;"'!$E$2")="Location",
                "Cash Accounts",
                IF(INDIRECT("'"&amp;F2235&amp;"'!$B$2")="Amount",
                    "Investments",
                    "Bill Accounts"
                )
            )
        ),
    "")
)</f>
        <v/>
      </c>
      <c r="I2235" s="46" t="str" cm="1">
        <f t="array" aca="1" ref="I2235" ca="1">IF(F2235&lt;&gt;"",IF(OR(G2235="Bill Accounts",G2235="Investments", G2235="Cash Accounts"),INDIRECT("'"&amp;F2235&amp;"'!$C$10"),INDIRECT("'"&amp;F2235&amp;"'!$C$8")),"")</f>
        <v/>
      </c>
      <c r="K2235" s="48">
        <f t="shared" si="105"/>
        <v>2241</v>
      </c>
      <c r="L2235" s="114" t="str" cm="1">
        <f t="array" aca="1" ref="L2235" ca="1">IF(F2235&lt;&gt;"",INDIRECT("'"&amp;F2235&amp;"'!$F$17"),"")</f>
        <v/>
      </c>
      <c r="M2235" s="116" t="str">
        <f t="shared" ca="1" si="103"/>
        <v/>
      </c>
      <c r="O2235" s="49" t="str">
        <f t="shared" ca="1" si="104"/>
        <v/>
      </c>
      <c r="P2235" s="38" t="str">
        <f>IF(E2235&lt;&gt;"",RANK(E2235,$E$3:$E$2298)+COUNTIF($E$3:E2235,E2235)-1,"")</f>
        <v/>
      </c>
    </row>
    <row r="2236" spans="4:16" x14ac:dyDescent="0.25">
      <c r="D2236" s="36" t="str" cm="1">
        <f t="array" aca="1" ref="D2236" ca="1">IFERROR(IF(INDIRECT("'"&amp;F2236&amp;"'!$C$5")&gt;0,DATE(YEAR(Dashboard!$AL$2),Dashboard!$AU$4,INDIRECT("'"&amp;F2236&amp;"'!$C$5")),""),"")</f>
        <v/>
      </c>
      <c r="G2236" s="38" t="str" cm="1">
        <f t="array" aca="1" ref="G2236" ca="1">IF(F2236="",
    "",
    IFERROR(
        IF(INDIRECT("'"&amp;F2236&amp;"'!$B$2")="Credit Limit",
            "Credit Accounts",
            IF(INDIRECT("'"&amp;F2236&amp;"'!$E$2")="Location",
                "Cash Accounts",
                IF(INDIRECT("'"&amp;F2236&amp;"'!$B$2")="Amount",
                    "Investments",
                    "Bill Accounts"
                )
            )
        ),
    "")
)</f>
        <v/>
      </c>
      <c r="I2236" s="46" t="str" cm="1">
        <f t="array" aca="1" ref="I2236" ca="1">IF(F2236&lt;&gt;"",IF(OR(G2236="Bill Accounts",G2236="Investments", G2236="Cash Accounts"),INDIRECT("'"&amp;F2236&amp;"'!$C$10"),INDIRECT("'"&amp;F2236&amp;"'!$C$8")),"")</f>
        <v/>
      </c>
      <c r="K2236" s="48">
        <f t="shared" si="105"/>
        <v>2242</v>
      </c>
      <c r="L2236" s="114" t="str" cm="1">
        <f t="array" aca="1" ref="L2236" ca="1">IF(F2236&lt;&gt;"",INDIRECT("'"&amp;F2236&amp;"'!$F$17"),"")</f>
        <v/>
      </c>
      <c r="M2236" s="116" t="str">
        <f t="shared" ca="1" si="103"/>
        <v/>
      </c>
      <c r="O2236" s="49" t="str">
        <f t="shared" ca="1" si="104"/>
        <v/>
      </c>
      <c r="P2236" s="38" t="str">
        <f>IF(E2236&lt;&gt;"",RANK(E2236,$E$3:$E$2298)+COUNTIF($E$3:E2236,E2236)-1,"")</f>
        <v/>
      </c>
    </row>
    <row r="2237" spans="4:16" x14ac:dyDescent="0.25">
      <c r="D2237" s="36" t="str" cm="1">
        <f t="array" aca="1" ref="D2237" ca="1">IFERROR(IF(INDIRECT("'"&amp;F2237&amp;"'!$C$5")&gt;0,DATE(YEAR(Dashboard!$AL$2),Dashboard!$AU$4,INDIRECT("'"&amp;F2237&amp;"'!$C$5")),""),"")</f>
        <v/>
      </c>
      <c r="G2237" s="38" t="str" cm="1">
        <f t="array" aca="1" ref="G2237" ca="1">IF(F2237="",
    "",
    IFERROR(
        IF(INDIRECT("'"&amp;F2237&amp;"'!$B$2")="Credit Limit",
            "Credit Accounts",
            IF(INDIRECT("'"&amp;F2237&amp;"'!$E$2")="Location",
                "Cash Accounts",
                IF(INDIRECT("'"&amp;F2237&amp;"'!$B$2")="Amount",
                    "Investments",
                    "Bill Accounts"
                )
            )
        ),
    "")
)</f>
        <v/>
      </c>
      <c r="I2237" s="46" t="str" cm="1">
        <f t="array" aca="1" ref="I2237" ca="1">IF(F2237&lt;&gt;"",IF(OR(G2237="Bill Accounts",G2237="Investments", G2237="Cash Accounts"),INDIRECT("'"&amp;F2237&amp;"'!$C$10"),INDIRECT("'"&amp;F2237&amp;"'!$C$8")),"")</f>
        <v/>
      </c>
      <c r="K2237" s="48">
        <f t="shared" si="105"/>
        <v>2243</v>
      </c>
      <c r="L2237" s="114" t="str" cm="1">
        <f t="array" aca="1" ref="L2237" ca="1">IF(F2237&lt;&gt;"",INDIRECT("'"&amp;F2237&amp;"'!$F$17"),"")</f>
        <v/>
      </c>
      <c r="M2237" s="116" t="str">
        <f t="shared" ca="1" si="103"/>
        <v/>
      </c>
      <c r="O2237" s="49" t="str">
        <f t="shared" ca="1" si="104"/>
        <v/>
      </c>
      <c r="P2237" s="38" t="str">
        <f>IF(E2237&lt;&gt;"",RANK(E2237,$E$3:$E$2298)+COUNTIF($E$3:E2237,E2237)-1,"")</f>
        <v/>
      </c>
    </row>
    <row r="2238" spans="4:16" x14ac:dyDescent="0.25">
      <c r="D2238" s="36" t="str" cm="1">
        <f t="array" aca="1" ref="D2238" ca="1">IFERROR(IF(INDIRECT("'"&amp;F2238&amp;"'!$C$5")&gt;0,DATE(YEAR(Dashboard!$AL$2),Dashboard!$AU$4,INDIRECT("'"&amp;F2238&amp;"'!$C$5")),""),"")</f>
        <v/>
      </c>
      <c r="G2238" s="38" t="str" cm="1">
        <f t="array" aca="1" ref="G2238" ca="1">IF(F2238="",
    "",
    IFERROR(
        IF(INDIRECT("'"&amp;F2238&amp;"'!$B$2")="Credit Limit",
            "Credit Accounts",
            IF(INDIRECT("'"&amp;F2238&amp;"'!$E$2")="Location",
                "Cash Accounts",
                IF(INDIRECT("'"&amp;F2238&amp;"'!$B$2")="Amount",
                    "Investments",
                    "Bill Accounts"
                )
            )
        ),
    "")
)</f>
        <v/>
      </c>
      <c r="I2238" s="46" t="str" cm="1">
        <f t="array" aca="1" ref="I2238" ca="1">IF(F2238&lt;&gt;"",IF(OR(G2238="Bill Accounts",G2238="Investments", G2238="Cash Accounts"),INDIRECT("'"&amp;F2238&amp;"'!$C$10"),INDIRECT("'"&amp;F2238&amp;"'!$C$8")),"")</f>
        <v/>
      </c>
      <c r="K2238" s="48">
        <f t="shared" si="105"/>
        <v>2244</v>
      </c>
      <c r="L2238" s="114" t="str" cm="1">
        <f t="array" aca="1" ref="L2238" ca="1">IF(F2238&lt;&gt;"",INDIRECT("'"&amp;F2238&amp;"'!$F$17"),"")</f>
        <v/>
      </c>
      <c r="M2238" s="116" t="str">
        <f t="shared" ca="1" si="103"/>
        <v/>
      </c>
      <c r="O2238" s="49" t="str">
        <f t="shared" ca="1" si="104"/>
        <v/>
      </c>
      <c r="P2238" s="38" t="str">
        <f>IF(E2238&lt;&gt;"",RANK(E2238,$E$3:$E$2298)+COUNTIF($E$3:E2238,E2238)-1,"")</f>
        <v/>
      </c>
    </row>
    <row r="2239" spans="4:16" x14ac:dyDescent="0.25">
      <c r="D2239" s="36" t="str" cm="1">
        <f t="array" aca="1" ref="D2239" ca="1">IFERROR(IF(INDIRECT("'"&amp;F2239&amp;"'!$C$5")&gt;0,DATE(YEAR(Dashboard!$AL$2),Dashboard!$AU$4,INDIRECT("'"&amp;F2239&amp;"'!$C$5")),""),"")</f>
        <v/>
      </c>
      <c r="G2239" s="38" t="str" cm="1">
        <f t="array" aca="1" ref="G2239" ca="1">IF(F2239="",
    "",
    IFERROR(
        IF(INDIRECT("'"&amp;F2239&amp;"'!$B$2")="Credit Limit",
            "Credit Accounts",
            IF(INDIRECT("'"&amp;F2239&amp;"'!$E$2")="Location",
                "Cash Accounts",
                IF(INDIRECT("'"&amp;F2239&amp;"'!$B$2")="Amount",
                    "Investments",
                    "Bill Accounts"
                )
            )
        ),
    "")
)</f>
        <v/>
      </c>
      <c r="I2239" s="46" t="str" cm="1">
        <f t="array" aca="1" ref="I2239" ca="1">IF(F2239&lt;&gt;"",IF(OR(G2239="Bill Accounts",G2239="Investments", G2239="Cash Accounts"),INDIRECT("'"&amp;F2239&amp;"'!$C$10"),INDIRECT("'"&amp;F2239&amp;"'!$C$8")),"")</f>
        <v/>
      </c>
      <c r="K2239" s="48">
        <f t="shared" si="105"/>
        <v>2245</v>
      </c>
      <c r="L2239" s="114" t="str" cm="1">
        <f t="array" aca="1" ref="L2239" ca="1">IF(F2239&lt;&gt;"",INDIRECT("'"&amp;F2239&amp;"'!$F$17"),"")</f>
        <v/>
      </c>
      <c r="M2239" s="116" t="str">
        <f t="shared" ca="1" si="103"/>
        <v/>
      </c>
      <c r="O2239" s="49" t="str">
        <f t="shared" ca="1" si="104"/>
        <v/>
      </c>
      <c r="P2239" s="38" t="str">
        <f>IF(E2239&lt;&gt;"",RANK(E2239,$E$3:$E$2298)+COUNTIF($E$3:E2239,E2239)-1,"")</f>
        <v/>
      </c>
    </row>
    <row r="2240" spans="4:16" x14ac:dyDescent="0.25">
      <c r="D2240" s="36" t="str" cm="1">
        <f t="array" aca="1" ref="D2240" ca="1">IFERROR(IF(INDIRECT("'"&amp;F2240&amp;"'!$C$5")&gt;0,DATE(YEAR(Dashboard!$AL$2),Dashboard!$AU$4,INDIRECT("'"&amp;F2240&amp;"'!$C$5")),""),"")</f>
        <v/>
      </c>
      <c r="G2240" s="38" t="str" cm="1">
        <f t="array" aca="1" ref="G2240" ca="1">IF(F2240="",
    "",
    IFERROR(
        IF(INDIRECT("'"&amp;F2240&amp;"'!$B$2")="Credit Limit",
            "Credit Accounts",
            IF(INDIRECT("'"&amp;F2240&amp;"'!$E$2")="Location",
                "Cash Accounts",
                IF(INDIRECT("'"&amp;F2240&amp;"'!$B$2")="Amount",
                    "Investments",
                    "Bill Accounts"
                )
            )
        ),
    "")
)</f>
        <v/>
      </c>
      <c r="I2240" s="46" t="str" cm="1">
        <f t="array" aca="1" ref="I2240" ca="1">IF(F2240&lt;&gt;"",IF(OR(G2240="Bill Accounts",G2240="Investments", G2240="Cash Accounts"),INDIRECT("'"&amp;F2240&amp;"'!$C$10"),INDIRECT("'"&amp;F2240&amp;"'!$C$8")),"")</f>
        <v/>
      </c>
      <c r="K2240" s="48">
        <f t="shared" si="105"/>
        <v>2246</v>
      </c>
      <c r="L2240" s="114" t="str" cm="1">
        <f t="array" aca="1" ref="L2240" ca="1">IF(F2240&lt;&gt;"",INDIRECT("'"&amp;F2240&amp;"'!$F$17"),"")</f>
        <v/>
      </c>
      <c r="M2240" s="116" t="str">
        <f t="shared" ca="1" si="103"/>
        <v/>
      </c>
      <c r="O2240" s="49" t="str">
        <f t="shared" ca="1" si="104"/>
        <v/>
      </c>
      <c r="P2240" s="38" t="str">
        <f>IF(E2240&lt;&gt;"",RANK(E2240,$E$3:$E$2298)+COUNTIF($E$3:E2240,E2240)-1,"")</f>
        <v/>
      </c>
    </row>
    <row r="2241" spans="4:16" x14ac:dyDescent="0.25">
      <c r="D2241" s="36" t="str" cm="1">
        <f t="array" aca="1" ref="D2241" ca="1">IFERROR(IF(INDIRECT("'"&amp;F2241&amp;"'!$C$5")&gt;0,DATE(YEAR(Dashboard!$AL$2),Dashboard!$AU$4,INDIRECT("'"&amp;F2241&amp;"'!$C$5")),""),"")</f>
        <v/>
      </c>
      <c r="G2241" s="38" t="str" cm="1">
        <f t="array" aca="1" ref="G2241" ca="1">IF(F2241="",
    "",
    IFERROR(
        IF(INDIRECT("'"&amp;F2241&amp;"'!$B$2")="Credit Limit",
            "Credit Accounts",
            IF(INDIRECT("'"&amp;F2241&amp;"'!$E$2")="Location",
                "Cash Accounts",
                IF(INDIRECT("'"&amp;F2241&amp;"'!$B$2")="Amount",
                    "Investments",
                    "Bill Accounts"
                )
            )
        ),
    "")
)</f>
        <v/>
      </c>
      <c r="I2241" s="46" t="str" cm="1">
        <f t="array" aca="1" ref="I2241" ca="1">IF(F2241&lt;&gt;"",IF(OR(G2241="Bill Accounts",G2241="Investments", G2241="Cash Accounts"),INDIRECT("'"&amp;F2241&amp;"'!$C$10"),INDIRECT("'"&amp;F2241&amp;"'!$C$8")),"")</f>
        <v/>
      </c>
      <c r="K2241" s="48">
        <f t="shared" si="105"/>
        <v>2247</v>
      </c>
      <c r="L2241" s="114" t="str" cm="1">
        <f t="array" aca="1" ref="L2241" ca="1">IF(F2241&lt;&gt;"",INDIRECT("'"&amp;F2241&amp;"'!$F$17"),"")</f>
        <v/>
      </c>
      <c r="M2241" s="116" t="str">
        <f t="shared" ca="1" si="103"/>
        <v/>
      </c>
      <c r="O2241" s="49" t="str">
        <f t="shared" ca="1" si="104"/>
        <v/>
      </c>
      <c r="P2241" s="38" t="str">
        <f>IF(E2241&lt;&gt;"",RANK(E2241,$E$3:$E$2298)+COUNTIF($E$3:E2241,E2241)-1,"")</f>
        <v/>
      </c>
    </row>
    <row r="2242" spans="4:16" x14ac:dyDescent="0.25">
      <c r="D2242" s="36" t="str" cm="1">
        <f t="array" aca="1" ref="D2242" ca="1">IFERROR(IF(INDIRECT("'"&amp;F2242&amp;"'!$C$5")&gt;0,DATE(YEAR(Dashboard!$AL$2),Dashboard!$AU$4,INDIRECT("'"&amp;F2242&amp;"'!$C$5")),""),"")</f>
        <v/>
      </c>
      <c r="G2242" s="38" t="str" cm="1">
        <f t="array" aca="1" ref="G2242" ca="1">IF(F2242="",
    "",
    IFERROR(
        IF(INDIRECT("'"&amp;F2242&amp;"'!$B$2")="Credit Limit",
            "Credit Accounts",
            IF(INDIRECT("'"&amp;F2242&amp;"'!$E$2")="Location",
                "Cash Accounts",
                IF(INDIRECT("'"&amp;F2242&amp;"'!$B$2")="Amount",
                    "Investments",
                    "Bill Accounts"
                )
            )
        ),
    "")
)</f>
        <v/>
      </c>
      <c r="I2242" s="46" t="str" cm="1">
        <f t="array" aca="1" ref="I2242" ca="1">IF(F2242&lt;&gt;"",IF(OR(G2242="Bill Accounts",G2242="Investments", G2242="Cash Accounts"),INDIRECT("'"&amp;F2242&amp;"'!$C$10"),INDIRECT("'"&amp;F2242&amp;"'!$C$8")),"")</f>
        <v/>
      </c>
      <c r="K2242" s="48">
        <f t="shared" si="105"/>
        <v>2248</v>
      </c>
      <c r="L2242" s="114" t="str" cm="1">
        <f t="array" aca="1" ref="L2242" ca="1">IF(F2242&lt;&gt;"",INDIRECT("'"&amp;F2242&amp;"'!$F$17"),"")</f>
        <v/>
      </c>
      <c r="M2242" s="116" t="str">
        <f t="shared" ca="1" si="103"/>
        <v/>
      </c>
      <c r="O2242" s="49" t="str">
        <f t="shared" ca="1" si="104"/>
        <v/>
      </c>
      <c r="P2242" s="38" t="str">
        <f>IF(E2242&lt;&gt;"",RANK(E2242,$E$3:$E$2298)+COUNTIF($E$3:E2242,E2242)-1,"")</f>
        <v/>
      </c>
    </row>
    <row r="2243" spans="4:16" x14ac:dyDescent="0.25">
      <c r="D2243" s="36" t="str" cm="1">
        <f t="array" aca="1" ref="D2243" ca="1">IFERROR(IF(INDIRECT("'"&amp;F2243&amp;"'!$C$5")&gt;0,DATE(YEAR(Dashboard!$AL$2),Dashboard!$AU$4,INDIRECT("'"&amp;F2243&amp;"'!$C$5")),""),"")</f>
        <v/>
      </c>
      <c r="G2243" s="38" t="str" cm="1">
        <f t="array" aca="1" ref="G2243" ca="1">IF(F2243="",
    "",
    IFERROR(
        IF(INDIRECT("'"&amp;F2243&amp;"'!$B$2")="Credit Limit",
            "Credit Accounts",
            IF(INDIRECT("'"&amp;F2243&amp;"'!$E$2")="Location",
                "Cash Accounts",
                IF(INDIRECT("'"&amp;F2243&amp;"'!$B$2")="Amount",
                    "Investments",
                    "Bill Accounts"
                )
            )
        ),
    "")
)</f>
        <v/>
      </c>
      <c r="I2243" s="46" t="str" cm="1">
        <f t="array" aca="1" ref="I2243" ca="1">IF(F2243&lt;&gt;"",IF(OR(G2243="Bill Accounts",G2243="Investments", G2243="Cash Accounts"),INDIRECT("'"&amp;F2243&amp;"'!$C$10"),INDIRECT("'"&amp;F2243&amp;"'!$C$8")),"")</f>
        <v/>
      </c>
      <c r="K2243" s="48">
        <f t="shared" si="105"/>
        <v>2249</v>
      </c>
      <c r="L2243" s="114" t="str" cm="1">
        <f t="array" aca="1" ref="L2243" ca="1">IF(F2243&lt;&gt;"",INDIRECT("'"&amp;F2243&amp;"'!$F$17"),"")</f>
        <v/>
      </c>
      <c r="M2243" s="116" t="str">
        <f t="shared" ca="1" si="103"/>
        <v/>
      </c>
      <c r="O2243" s="49" t="str">
        <f t="shared" ca="1" si="104"/>
        <v/>
      </c>
      <c r="P2243" s="38" t="str">
        <f>IF(E2243&lt;&gt;"",RANK(E2243,$E$3:$E$2298)+COUNTIF($E$3:E2243,E2243)-1,"")</f>
        <v/>
      </c>
    </row>
    <row r="2244" spans="4:16" x14ac:dyDescent="0.25">
      <c r="D2244" s="36" t="str" cm="1">
        <f t="array" aca="1" ref="D2244" ca="1">IFERROR(IF(INDIRECT("'"&amp;F2244&amp;"'!$C$5")&gt;0,DATE(YEAR(Dashboard!$AL$2),Dashboard!$AU$4,INDIRECT("'"&amp;F2244&amp;"'!$C$5")),""),"")</f>
        <v/>
      </c>
      <c r="G2244" s="38" t="str" cm="1">
        <f t="array" aca="1" ref="G2244" ca="1">IF(F2244="",
    "",
    IFERROR(
        IF(INDIRECT("'"&amp;F2244&amp;"'!$B$2")="Credit Limit",
            "Credit Accounts",
            IF(INDIRECT("'"&amp;F2244&amp;"'!$E$2")="Location",
                "Cash Accounts",
                IF(INDIRECT("'"&amp;F2244&amp;"'!$B$2")="Amount",
                    "Investments",
                    "Bill Accounts"
                )
            )
        ),
    "")
)</f>
        <v/>
      </c>
      <c r="I2244" s="46" t="str" cm="1">
        <f t="array" aca="1" ref="I2244" ca="1">IF(F2244&lt;&gt;"",IF(OR(G2244="Bill Accounts",G2244="Investments", G2244="Cash Accounts"),INDIRECT("'"&amp;F2244&amp;"'!$C$10"),INDIRECT("'"&amp;F2244&amp;"'!$C$8")),"")</f>
        <v/>
      </c>
      <c r="K2244" s="48">
        <f t="shared" si="105"/>
        <v>2250</v>
      </c>
      <c r="L2244" s="114" t="str" cm="1">
        <f t="array" aca="1" ref="L2244" ca="1">IF(F2244&lt;&gt;"",INDIRECT("'"&amp;F2244&amp;"'!$F$17"),"")</f>
        <v/>
      </c>
      <c r="M2244" s="116" t="str">
        <f t="shared" ref="M2244:M2298" ca="1" si="106">IF(G2244="Credit Accounts",EDATE(TODAY(),INDIRECT("'"&amp;F2244&amp;"'!$C$14")),"")</f>
        <v/>
      </c>
      <c r="O2244" s="49" t="str">
        <f t="shared" ref="O2244:O2298" ca="1" si="107">IF(D2244&lt;&gt;"",DAY(D2244),"")</f>
        <v/>
      </c>
      <c r="P2244" s="38" t="str">
        <f>IF(E2244&lt;&gt;"",RANK(E2244,$E$3:$E$2298)+COUNTIF($E$3:E2244,E2244)-1,"")</f>
        <v/>
      </c>
    </row>
    <row r="2245" spans="4:16" x14ac:dyDescent="0.25">
      <c r="D2245" s="36" t="str" cm="1">
        <f t="array" aca="1" ref="D2245" ca="1">IFERROR(IF(INDIRECT("'"&amp;F2245&amp;"'!$C$5")&gt;0,DATE(YEAR(Dashboard!$AL$2),Dashboard!$AU$4,INDIRECT("'"&amp;F2245&amp;"'!$C$5")),""),"")</f>
        <v/>
      </c>
      <c r="G2245" s="38" t="str" cm="1">
        <f t="array" aca="1" ref="G2245" ca="1">IF(F2245="",
    "",
    IFERROR(
        IF(INDIRECT("'"&amp;F2245&amp;"'!$B$2")="Credit Limit",
            "Credit Accounts",
            IF(INDIRECT("'"&amp;F2245&amp;"'!$E$2")="Location",
                "Cash Accounts",
                IF(INDIRECT("'"&amp;F2245&amp;"'!$B$2")="Amount",
                    "Investments",
                    "Bill Accounts"
                )
            )
        ),
    "")
)</f>
        <v/>
      </c>
      <c r="I2245" s="46" t="str" cm="1">
        <f t="array" aca="1" ref="I2245" ca="1">IF(F2245&lt;&gt;"",IF(OR(G2245="Bill Accounts",G2245="Investments", G2245="Cash Accounts"),INDIRECT("'"&amp;F2245&amp;"'!$C$10"),INDIRECT("'"&amp;F2245&amp;"'!$C$8")),"")</f>
        <v/>
      </c>
      <c r="K2245" s="48">
        <f t="shared" si="105"/>
        <v>2251</v>
      </c>
      <c r="L2245" s="114" t="str" cm="1">
        <f t="array" aca="1" ref="L2245" ca="1">IF(F2245&lt;&gt;"",INDIRECT("'"&amp;F2245&amp;"'!$F$17"),"")</f>
        <v/>
      </c>
      <c r="M2245" s="116" t="str">
        <f t="shared" ca="1" si="106"/>
        <v/>
      </c>
      <c r="O2245" s="49" t="str">
        <f t="shared" ca="1" si="107"/>
        <v/>
      </c>
      <c r="P2245" s="38" t="str">
        <f>IF(E2245&lt;&gt;"",RANK(E2245,$E$3:$E$2298)+COUNTIF($E$3:E2245,E2245)-1,"")</f>
        <v/>
      </c>
    </row>
    <row r="2246" spans="4:16" x14ac:dyDescent="0.25">
      <c r="D2246" s="36" t="str" cm="1">
        <f t="array" aca="1" ref="D2246" ca="1">IFERROR(IF(INDIRECT("'"&amp;F2246&amp;"'!$C$5")&gt;0,DATE(YEAR(Dashboard!$AL$2),Dashboard!$AU$4,INDIRECT("'"&amp;F2246&amp;"'!$C$5")),""),"")</f>
        <v/>
      </c>
      <c r="G2246" s="38" t="str" cm="1">
        <f t="array" aca="1" ref="G2246" ca="1">IF(F2246="",
    "",
    IFERROR(
        IF(INDIRECT("'"&amp;F2246&amp;"'!$B$2")="Credit Limit",
            "Credit Accounts",
            IF(INDIRECT("'"&amp;F2246&amp;"'!$E$2")="Location",
                "Cash Accounts",
                IF(INDIRECT("'"&amp;F2246&amp;"'!$B$2")="Amount",
                    "Investments",
                    "Bill Accounts"
                )
            )
        ),
    "")
)</f>
        <v/>
      </c>
      <c r="I2246" s="46" t="str" cm="1">
        <f t="array" aca="1" ref="I2246" ca="1">IF(F2246&lt;&gt;"",IF(OR(G2246="Bill Accounts",G2246="Investments", G2246="Cash Accounts"),INDIRECT("'"&amp;F2246&amp;"'!$C$10"),INDIRECT("'"&amp;F2246&amp;"'!$C$8")),"")</f>
        <v/>
      </c>
      <c r="K2246" s="48">
        <f t="shared" si="105"/>
        <v>2252</v>
      </c>
      <c r="L2246" s="114" t="str" cm="1">
        <f t="array" aca="1" ref="L2246" ca="1">IF(F2246&lt;&gt;"",INDIRECT("'"&amp;F2246&amp;"'!$F$17"),"")</f>
        <v/>
      </c>
      <c r="M2246" s="116" t="str">
        <f t="shared" ca="1" si="106"/>
        <v/>
      </c>
      <c r="O2246" s="49" t="str">
        <f t="shared" ca="1" si="107"/>
        <v/>
      </c>
      <c r="P2246" s="38" t="str">
        <f>IF(E2246&lt;&gt;"",RANK(E2246,$E$3:$E$2298)+COUNTIF($E$3:E2246,E2246)-1,"")</f>
        <v/>
      </c>
    </row>
    <row r="2247" spans="4:16" x14ac:dyDescent="0.25">
      <c r="D2247" s="36" t="str" cm="1">
        <f t="array" aca="1" ref="D2247" ca="1">IFERROR(IF(INDIRECT("'"&amp;F2247&amp;"'!$C$5")&gt;0,DATE(YEAR(Dashboard!$AL$2),Dashboard!$AU$4,INDIRECT("'"&amp;F2247&amp;"'!$C$5")),""),"")</f>
        <v/>
      </c>
      <c r="G2247" s="38" t="str" cm="1">
        <f t="array" aca="1" ref="G2247" ca="1">IF(F2247="",
    "",
    IFERROR(
        IF(INDIRECT("'"&amp;F2247&amp;"'!$B$2")="Credit Limit",
            "Credit Accounts",
            IF(INDIRECT("'"&amp;F2247&amp;"'!$E$2")="Location",
                "Cash Accounts",
                IF(INDIRECT("'"&amp;F2247&amp;"'!$B$2")="Amount",
                    "Investments",
                    "Bill Accounts"
                )
            )
        ),
    "")
)</f>
        <v/>
      </c>
      <c r="I2247" s="46" t="str" cm="1">
        <f t="array" aca="1" ref="I2247" ca="1">IF(F2247&lt;&gt;"",IF(OR(G2247="Bill Accounts",G2247="Investments", G2247="Cash Accounts"),INDIRECT("'"&amp;F2247&amp;"'!$C$10"),INDIRECT("'"&amp;F2247&amp;"'!$C$8")),"")</f>
        <v/>
      </c>
      <c r="K2247" s="48">
        <f t="shared" si="105"/>
        <v>2253</v>
      </c>
      <c r="L2247" s="114" t="str" cm="1">
        <f t="array" aca="1" ref="L2247" ca="1">IF(F2247&lt;&gt;"",INDIRECT("'"&amp;F2247&amp;"'!$F$17"),"")</f>
        <v/>
      </c>
      <c r="M2247" s="116" t="str">
        <f t="shared" ca="1" si="106"/>
        <v/>
      </c>
      <c r="O2247" s="49" t="str">
        <f t="shared" ca="1" si="107"/>
        <v/>
      </c>
      <c r="P2247" s="38" t="str">
        <f>IF(E2247&lt;&gt;"",RANK(E2247,$E$3:$E$2298)+COUNTIF($E$3:E2247,E2247)-1,"")</f>
        <v/>
      </c>
    </row>
    <row r="2248" spans="4:16" x14ac:dyDescent="0.25">
      <c r="D2248" s="36" t="str" cm="1">
        <f t="array" aca="1" ref="D2248" ca="1">IFERROR(IF(INDIRECT("'"&amp;F2248&amp;"'!$C$5")&gt;0,DATE(YEAR(Dashboard!$AL$2),Dashboard!$AU$4,INDIRECT("'"&amp;F2248&amp;"'!$C$5")),""),"")</f>
        <v/>
      </c>
      <c r="G2248" s="38" t="str" cm="1">
        <f t="array" aca="1" ref="G2248" ca="1">IF(F2248="",
    "",
    IFERROR(
        IF(INDIRECT("'"&amp;F2248&amp;"'!$B$2")="Credit Limit",
            "Credit Accounts",
            IF(INDIRECT("'"&amp;F2248&amp;"'!$E$2")="Location",
                "Cash Accounts",
                IF(INDIRECT("'"&amp;F2248&amp;"'!$B$2")="Amount",
                    "Investments",
                    "Bill Accounts"
                )
            )
        ),
    "")
)</f>
        <v/>
      </c>
      <c r="I2248" s="46" t="str" cm="1">
        <f t="array" aca="1" ref="I2248" ca="1">IF(F2248&lt;&gt;"",IF(OR(G2248="Bill Accounts",G2248="Investments", G2248="Cash Accounts"),INDIRECT("'"&amp;F2248&amp;"'!$C$10"),INDIRECT("'"&amp;F2248&amp;"'!$C$8")),"")</f>
        <v/>
      </c>
      <c r="K2248" s="48">
        <f t="shared" ref="K2248:K2298" si="108">SUM(K2247+1)</f>
        <v>2254</v>
      </c>
      <c r="L2248" s="114" t="str" cm="1">
        <f t="array" aca="1" ref="L2248" ca="1">IF(F2248&lt;&gt;"",INDIRECT("'"&amp;F2248&amp;"'!$F$17"),"")</f>
        <v/>
      </c>
      <c r="M2248" s="116" t="str">
        <f t="shared" ca="1" si="106"/>
        <v/>
      </c>
      <c r="O2248" s="49" t="str">
        <f t="shared" ca="1" si="107"/>
        <v/>
      </c>
      <c r="P2248" s="38" t="str">
        <f>IF(E2248&lt;&gt;"",RANK(E2248,$E$3:$E$2298)+COUNTIF($E$3:E2248,E2248)-1,"")</f>
        <v/>
      </c>
    </row>
    <row r="2249" spans="4:16" x14ac:dyDescent="0.25">
      <c r="D2249" s="36" t="str" cm="1">
        <f t="array" aca="1" ref="D2249" ca="1">IFERROR(IF(INDIRECT("'"&amp;F2249&amp;"'!$C$5")&gt;0,DATE(YEAR(Dashboard!$AL$2),Dashboard!$AU$4,INDIRECT("'"&amp;F2249&amp;"'!$C$5")),""),"")</f>
        <v/>
      </c>
      <c r="G2249" s="38" t="str" cm="1">
        <f t="array" aca="1" ref="G2249" ca="1">IF(F2249="",
    "",
    IFERROR(
        IF(INDIRECT("'"&amp;F2249&amp;"'!$B$2")="Credit Limit",
            "Credit Accounts",
            IF(INDIRECT("'"&amp;F2249&amp;"'!$E$2")="Location",
                "Cash Accounts",
                IF(INDIRECT("'"&amp;F2249&amp;"'!$B$2")="Amount",
                    "Investments",
                    "Bill Accounts"
                )
            )
        ),
    "")
)</f>
        <v/>
      </c>
      <c r="I2249" s="46" t="str" cm="1">
        <f t="array" aca="1" ref="I2249" ca="1">IF(F2249&lt;&gt;"",IF(OR(G2249="Bill Accounts",G2249="Investments", G2249="Cash Accounts"),INDIRECT("'"&amp;F2249&amp;"'!$C$10"),INDIRECT("'"&amp;F2249&amp;"'!$C$8")),"")</f>
        <v/>
      </c>
      <c r="K2249" s="48">
        <f t="shared" si="108"/>
        <v>2255</v>
      </c>
      <c r="L2249" s="114" t="str" cm="1">
        <f t="array" aca="1" ref="L2249" ca="1">IF(F2249&lt;&gt;"",INDIRECT("'"&amp;F2249&amp;"'!$F$17"),"")</f>
        <v/>
      </c>
      <c r="M2249" s="116" t="str">
        <f t="shared" ca="1" si="106"/>
        <v/>
      </c>
      <c r="O2249" s="49" t="str">
        <f t="shared" ca="1" si="107"/>
        <v/>
      </c>
      <c r="P2249" s="38" t="str">
        <f>IF(E2249&lt;&gt;"",RANK(E2249,$E$3:$E$2298)+COUNTIF($E$3:E2249,E2249)-1,"")</f>
        <v/>
      </c>
    </row>
    <row r="2250" spans="4:16" x14ac:dyDescent="0.25">
      <c r="D2250" s="36" t="str" cm="1">
        <f t="array" aca="1" ref="D2250" ca="1">IFERROR(IF(INDIRECT("'"&amp;F2250&amp;"'!$C$5")&gt;0,DATE(YEAR(Dashboard!$AL$2),Dashboard!$AU$4,INDIRECT("'"&amp;F2250&amp;"'!$C$5")),""),"")</f>
        <v/>
      </c>
      <c r="G2250" s="38" t="str" cm="1">
        <f t="array" aca="1" ref="G2250" ca="1">IF(F2250="",
    "",
    IFERROR(
        IF(INDIRECT("'"&amp;F2250&amp;"'!$B$2")="Credit Limit",
            "Credit Accounts",
            IF(INDIRECT("'"&amp;F2250&amp;"'!$E$2")="Location",
                "Cash Accounts",
                IF(INDIRECT("'"&amp;F2250&amp;"'!$B$2")="Amount",
                    "Investments",
                    "Bill Accounts"
                )
            )
        ),
    "")
)</f>
        <v/>
      </c>
      <c r="I2250" s="46" t="str" cm="1">
        <f t="array" aca="1" ref="I2250" ca="1">IF(F2250&lt;&gt;"",IF(OR(G2250="Bill Accounts",G2250="Investments", G2250="Cash Accounts"),INDIRECT("'"&amp;F2250&amp;"'!$C$10"),INDIRECT("'"&amp;F2250&amp;"'!$C$8")),"")</f>
        <v/>
      </c>
      <c r="K2250" s="48">
        <f t="shared" si="108"/>
        <v>2256</v>
      </c>
      <c r="L2250" s="114" t="str" cm="1">
        <f t="array" aca="1" ref="L2250" ca="1">IF(F2250&lt;&gt;"",INDIRECT("'"&amp;F2250&amp;"'!$F$17"),"")</f>
        <v/>
      </c>
      <c r="M2250" s="116" t="str">
        <f t="shared" ca="1" si="106"/>
        <v/>
      </c>
      <c r="O2250" s="49" t="str">
        <f t="shared" ca="1" si="107"/>
        <v/>
      </c>
      <c r="P2250" s="38" t="str">
        <f>IF(E2250&lt;&gt;"",RANK(E2250,$E$3:$E$2298)+COUNTIF($E$3:E2250,E2250)-1,"")</f>
        <v/>
      </c>
    </row>
    <row r="2251" spans="4:16" x14ac:dyDescent="0.25">
      <c r="D2251" s="36" t="str" cm="1">
        <f t="array" aca="1" ref="D2251" ca="1">IFERROR(IF(INDIRECT("'"&amp;F2251&amp;"'!$C$5")&gt;0,DATE(YEAR(Dashboard!$AL$2),Dashboard!$AU$4,INDIRECT("'"&amp;F2251&amp;"'!$C$5")),""),"")</f>
        <v/>
      </c>
      <c r="G2251" s="38" t="str" cm="1">
        <f t="array" aca="1" ref="G2251" ca="1">IF(F2251="",
    "",
    IFERROR(
        IF(INDIRECT("'"&amp;F2251&amp;"'!$B$2")="Credit Limit",
            "Credit Accounts",
            IF(INDIRECT("'"&amp;F2251&amp;"'!$E$2")="Location",
                "Cash Accounts",
                IF(INDIRECT("'"&amp;F2251&amp;"'!$B$2")="Amount",
                    "Investments",
                    "Bill Accounts"
                )
            )
        ),
    "")
)</f>
        <v/>
      </c>
      <c r="I2251" s="46" t="str" cm="1">
        <f t="array" aca="1" ref="I2251" ca="1">IF(F2251&lt;&gt;"",IF(OR(G2251="Bill Accounts",G2251="Investments", G2251="Cash Accounts"),INDIRECT("'"&amp;F2251&amp;"'!$C$10"),INDIRECT("'"&amp;F2251&amp;"'!$C$8")),"")</f>
        <v/>
      </c>
      <c r="K2251" s="48">
        <f t="shared" si="108"/>
        <v>2257</v>
      </c>
      <c r="L2251" s="114" t="str" cm="1">
        <f t="array" aca="1" ref="L2251" ca="1">IF(F2251&lt;&gt;"",INDIRECT("'"&amp;F2251&amp;"'!$F$17"),"")</f>
        <v/>
      </c>
      <c r="M2251" s="116" t="str">
        <f t="shared" ca="1" si="106"/>
        <v/>
      </c>
      <c r="O2251" s="49" t="str">
        <f t="shared" ca="1" si="107"/>
        <v/>
      </c>
      <c r="P2251" s="38" t="str">
        <f>IF(E2251&lt;&gt;"",RANK(E2251,$E$3:$E$2298)+COUNTIF($E$3:E2251,E2251)-1,"")</f>
        <v/>
      </c>
    </row>
    <row r="2252" spans="4:16" x14ac:dyDescent="0.25">
      <c r="D2252" s="36" t="str" cm="1">
        <f t="array" aca="1" ref="D2252" ca="1">IFERROR(IF(INDIRECT("'"&amp;F2252&amp;"'!$C$5")&gt;0,DATE(YEAR(Dashboard!$AL$2),Dashboard!$AU$4,INDIRECT("'"&amp;F2252&amp;"'!$C$5")),""),"")</f>
        <v/>
      </c>
      <c r="G2252" s="38" t="str" cm="1">
        <f t="array" aca="1" ref="G2252" ca="1">IF(F2252="",
    "",
    IFERROR(
        IF(INDIRECT("'"&amp;F2252&amp;"'!$B$2")="Credit Limit",
            "Credit Accounts",
            IF(INDIRECT("'"&amp;F2252&amp;"'!$E$2")="Location",
                "Cash Accounts",
                IF(INDIRECT("'"&amp;F2252&amp;"'!$B$2")="Amount",
                    "Investments",
                    "Bill Accounts"
                )
            )
        ),
    "")
)</f>
        <v/>
      </c>
      <c r="I2252" s="46" t="str" cm="1">
        <f t="array" aca="1" ref="I2252" ca="1">IF(F2252&lt;&gt;"",IF(OR(G2252="Bill Accounts",G2252="Investments", G2252="Cash Accounts"),INDIRECT("'"&amp;F2252&amp;"'!$C$10"),INDIRECT("'"&amp;F2252&amp;"'!$C$8")),"")</f>
        <v/>
      </c>
      <c r="K2252" s="48">
        <f t="shared" si="108"/>
        <v>2258</v>
      </c>
      <c r="L2252" s="114" t="str" cm="1">
        <f t="array" aca="1" ref="L2252" ca="1">IF(F2252&lt;&gt;"",INDIRECT("'"&amp;F2252&amp;"'!$F$17"),"")</f>
        <v/>
      </c>
      <c r="M2252" s="116" t="str">
        <f t="shared" ca="1" si="106"/>
        <v/>
      </c>
      <c r="O2252" s="49" t="str">
        <f t="shared" ca="1" si="107"/>
        <v/>
      </c>
      <c r="P2252" s="38" t="str">
        <f>IF(E2252&lt;&gt;"",RANK(E2252,$E$3:$E$2298)+COUNTIF($E$3:E2252,E2252)-1,"")</f>
        <v/>
      </c>
    </row>
    <row r="2253" spans="4:16" x14ac:dyDescent="0.25">
      <c r="D2253" s="36" t="str" cm="1">
        <f t="array" aca="1" ref="D2253" ca="1">IFERROR(IF(INDIRECT("'"&amp;F2253&amp;"'!$C$5")&gt;0,DATE(YEAR(Dashboard!$AL$2),Dashboard!$AU$4,INDIRECT("'"&amp;F2253&amp;"'!$C$5")),""),"")</f>
        <v/>
      </c>
      <c r="G2253" s="38" t="str" cm="1">
        <f t="array" aca="1" ref="G2253" ca="1">IF(F2253="",
    "",
    IFERROR(
        IF(INDIRECT("'"&amp;F2253&amp;"'!$B$2")="Credit Limit",
            "Credit Accounts",
            IF(INDIRECT("'"&amp;F2253&amp;"'!$E$2")="Location",
                "Cash Accounts",
                IF(INDIRECT("'"&amp;F2253&amp;"'!$B$2")="Amount",
                    "Investments",
                    "Bill Accounts"
                )
            )
        ),
    "")
)</f>
        <v/>
      </c>
      <c r="I2253" s="46" t="str" cm="1">
        <f t="array" aca="1" ref="I2253" ca="1">IF(F2253&lt;&gt;"",IF(OR(G2253="Bill Accounts",G2253="Investments", G2253="Cash Accounts"),INDIRECT("'"&amp;F2253&amp;"'!$C$10"),INDIRECT("'"&amp;F2253&amp;"'!$C$8")),"")</f>
        <v/>
      </c>
      <c r="K2253" s="48">
        <f t="shared" si="108"/>
        <v>2259</v>
      </c>
      <c r="L2253" s="114" t="str" cm="1">
        <f t="array" aca="1" ref="L2253" ca="1">IF(F2253&lt;&gt;"",INDIRECT("'"&amp;F2253&amp;"'!$F$17"),"")</f>
        <v/>
      </c>
      <c r="M2253" s="116" t="str">
        <f t="shared" ca="1" si="106"/>
        <v/>
      </c>
      <c r="O2253" s="49" t="str">
        <f t="shared" ca="1" si="107"/>
        <v/>
      </c>
      <c r="P2253" s="38" t="str">
        <f>IF(E2253&lt;&gt;"",RANK(E2253,$E$3:$E$2298)+COUNTIF($E$3:E2253,E2253)-1,"")</f>
        <v/>
      </c>
    </row>
    <row r="2254" spans="4:16" x14ac:dyDescent="0.25">
      <c r="D2254" s="36" t="str" cm="1">
        <f t="array" aca="1" ref="D2254" ca="1">IFERROR(IF(INDIRECT("'"&amp;F2254&amp;"'!$C$5")&gt;0,DATE(YEAR(Dashboard!$AL$2),Dashboard!$AU$4,INDIRECT("'"&amp;F2254&amp;"'!$C$5")),""),"")</f>
        <v/>
      </c>
      <c r="G2254" s="38" t="str" cm="1">
        <f t="array" aca="1" ref="G2254" ca="1">IF(F2254="",
    "",
    IFERROR(
        IF(INDIRECT("'"&amp;F2254&amp;"'!$B$2")="Credit Limit",
            "Credit Accounts",
            IF(INDIRECT("'"&amp;F2254&amp;"'!$E$2")="Location",
                "Cash Accounts",
                IF(INDIRECT("'"&amp;F2254&amp;"'!$B$2")="Amount",
                    "Investments",
                    "Bill Accounts"
                )
            )
        ),
    "")
)</f>
        <v/>
      </c>
      <c r="I2254" s="46" t="str" cm="1">
        <f t="array" aca="1" ref="I2254" ca="1">IF(F2254&lt;&gt;"",IF(OR(G2254="Bill Accounts",G2254="Investments", G2254="Cash Accounts"),INDIRECT("'"&amp;F2254&amp;"'!$C$10"),INDIRECT("'"&amp;F2254&amp;"'!$C$8")),"")</f>
        <v/>
      </c>
      <c r="K2254" s="48">
        <f t="shared" si="108"/>
        <v>2260</v>
      </c>
      <c r="L2254" s="114" t="str" cm="1">
        <f t="array" aca="1" ref="L2254" ca="1">IF(F2254&lt;&gt;"",INDIRECT("'"&amp;F2254&amp;"'!$F$17"),"")</f>
        <v/>
      </c>
      <c r="M2254" s="116" t="str">
        <f t="shared" ca="1" si="106"/>
        <v/>
      </c>
      <c r="O2254" s="49" t="str">
        <f t="shared" ca="1" si="107"/>
        <v/>
      </c>
      <c r="P2254" s="38" t="str">
        <f>IF(E2254&lt;&gt;"",RANK(E2254,$E$3:$E$2298)+COUNTIF($E$3:E2254,E2254)-1,"")</f>
        <v/>
      </c>
    </row>
    <row r="2255" spans="4:16" x14ac:dyDescent="0.25">
      <c r="D2255" s="36" t="str" cm="1">
        <f t="array" aca="1" ref="D2255" ca="1">IFERROR(IF(INDIRECT("'"&amp;F2255&amp;"'!$C$5")&gt;0,DATE(YEAR(Dashboard!$AL$2),Dashboard!$AU$4,INDIRECT("'"&amp;F2255&amp;"'!$C$5")),""),"")</f>
        <v/>
      </c>
      <c r="G2255" s="38" t="str" cm="1">
        <f t="array" aca="1" ref="G2255" ca="1">IF(F2255="",
    "",
    IFERROR(
        IF(INDIRECT("'"&amp;F2255&amp;"'!$B$2")="Credit Limit",
            "Credit Accounts",
            IF(INDIRECT("'"&amp;F2255&amp;"'!$E$2")="Location",
                "Cash Accounts",
                IF(INDIRECT("'"&amp;F2255&amp;"'!$B$2")="Amount",
                    "Investments",
                    "Bill Accounts"
                )
            )
        ),
    "")
)</f>
        <v/>
      </c>
      <c r="I2255" s="46" t="str" cm="1">
        <f t="array" aca="1" ref="I2255" ca="1">IF(F2255&lt;&gt;"",IF(OR(G2255="Bill Accounts",G2255="Investments", G2255="Cash Accounts"),INDIRECT("'"&amp;F2255&amp;"'!$C$10"),INDIRECT("'"&amp;F2255&amp;"'!$C$8")),"")</f>
        <v/>
      </c>
      <c r="K2255" s="48">
        <f t="shared" si="108"/>
        <v>2261</v>
      </c>
      <c r="L2255" s="114" t="str" cm="1">
        <f t="array" aca="1" ref="L2255" ca="1">IF(F2255&lt;&gt;"",INDIRECT("'"&amp;F2255&amp;"'!$F$17"),"")</f>
        <v/>
      </c>
      <c r="M2255" s="116" t="str">
        <f t="shared" ca="1" si="106"/>
        <v/>
      </c>
      <c r="O2255" s="49" t="str">
        <f t="shared" ca="1" si="107"/>
        <v/>
      </c>
      <c r="P2255" s="38" t="str">
        <f>IF(E2255&lt;&gt;"",RANK(E2255,$E$3:$E$2298)+COUNTIF($E$3:E2255,E2255)-1,"")</f>
        <v/>
      </c>
    </row>
    <row r="2256" spans="4:16" x14ac:dyDescent="0.25">
      <c r="D2256" s="36" t="str" cm="1">
        <f t="array" aca="1" ref="D2256" ca="1">IFERROR(IF(INDIRECT("'"&amp;F2256&amp;"'!$C$5")&gt;0,DATE(YEAR(Dashboard!$AL$2),Dashboard!$AU$4,INDIRECT("'"&amp;F2256&amp;"'!$C$5")),""),"")</f>
        <v/>
      </c>
      <c r="G2256" s="38" t="str" cm="1">
        <f t="array" aca="1" ref="G2256" ca="1">IF(F2256="",
    "",
    IFERROR(
        IF(INDIRECT("'"&amp;F2256&amp;"'!$B$2")="Credit Limit",
            "Credit Accounts",
            IF(INDIRECT("'"&amp;F2256&amp;"'!$E$2")="Location",
                "Cash Accounts",
                IF(INDIRECT("'"&amp;F2256&amp;"'!$B$2")="Amount",
                    "Investments",
                    "Bill Accounts"
                )
            )
        ),
    "")
)</f>
        <v/>
      </c>
      <c r="I2256" s="46" t="str" cm="1">
        <f t="array" aca="1" ref="I2256" ca="1">IF(F2256&lt;&gt;"",IF(OR(G2256="Bill Accounts",G2256="Investments", G2256="Cash Accounts"),INDIRECT("'"&amp;F2256&amp;"'!$C$10"),INDIRECT("'"&amp;F2256&amp;"'!$C$8")),"")</f>
        <v/>
      </c>
      <c r="K2256" s="48">
        <f t="shared" si="108"/>
        <v>2262</v>
      </c>
      <c r="L2256" s="114" t="str" cm="1">
        <f t="array" aca="1" ref="L2256" ca="1">IF(F2256&lt;&gt;"",INDIRECT("'"&amp;F2256&amp;"'!$F$17"),"")</f>
        <v/>
      </c>
      <c r="M2256" s="116" t="str">
        <f t="shared" ca="1" si="106"/>
        <v/>
      </c>
      <c r="O2256" s="49" t="str">
        <f t="shared" ca="1" si="107"/>
        <v/>
      </c>
      <c r="P2256" s="38" t="str">
        <f>IF(E2256&lt;&gt;"",RANK(E2256,$E$3:$E$2298)+COUNTIF($E$3:E2256,E2256)-1,"")</f>
        <v/>
      </c>
    </row>
    <row r="2257" spans="4:16" x14ac:dyDescent="0.25">
      <c r="D2257" s="36" t="str" cm="1">
        <f t="array" aca="1" ref="D2257" ca="1">IFERROR(IF(INDIRECT("'"&amp;F2257&amp;"'!$C$5")&gt;0,DATE(YEAR(Dashboard!$AL$2),Dashboard!$AU$4,INDIRECT("'"&amp;F2257&amp;"'!$C$5")),""),"")</f>
        <v/>
      </c>
      <c r="G2257" s="38" t="str" cm="1">
        <f t="array" aca="1" ref="G2257" ca="1">IF(F2257="",
    "",
    IFERROR(
        IF(INDIRECT("'"&amp;F2257&amp;"'!$B$2")="Credit Limit",
            "Credit Accounts",
            IF(INDIRECT("'"&amp;F2257&amp;"'!$E$2")="Location",
                "Cash Accounts",
                IF(INDIRECT("'"&amp;F2257&amp;"'!$B$2")="Amount",
                    "Investments",
                    "Bill Accounts"
                )
            )
        ),
    "")
)</f>
        <v/>
      </c>
      <c r="I2257" s="46" t="str" cm="1">
        <f t="array" aca="1" ref="I2257" ca="1">IF(F2257&lt;&gt;"",IF(OR(G2257="Bill Accounts",G2257="Investments", G2257="Cash Accounts"),INDIRECT("'"&amp;F2257&amp;"'!$C$10"),INDIRECT("'"&amp;F2257&amp;"'!$C$8")),"")</f>
        <v/>
      </c>
      <c r="K2257" s="48">
        <f t="shared" si="108"/>
        <v>2263</v>
      </c>
      <c r="L2257" s="114" t="str" cm="1">
        <f t="array" aca="1" ref="L2257" ca="1">IF(F2257&lt;&gt;"",INDIRECT("'"&amp;F2257&amp;"'!$F$17"),"")</f>
        <v/>
      </c>
      <c r="M2257" s="116" t="str">
        <f t="shared" ca="1" si="106"/>
        <v/>
      </c>
      <c r="O2257" s="49" t="str">
        <f t="shared" ca="1" si="107"/>
        <v/>
      </c>
      <c r="P2257" s="38" t="str">
        <f>IF(E2257&lt;&gt;"",RANK(E2257,$E$3:$E$2298)+COUNTIF($E$3:E2257,E2257)-1,"")</f>
        <v/>
      </c>
    </row>
    <row r="2258" spans="4:16" x14ac:dyDescent="0.25">
      <c r="D2258" s="36" t="str" cm="1">
        <f t="array" aca="1" ref="D2258" ca="1">IFERROR(IF(INDIRECT("'"&amp;F2258&amp;"'!$C$5")&gt;0,DATE(YEAR(Dashboard!$AL$2),Dashboard!$AU$4,INDIRECT("'"&amp;F2258&amp;"'!$C$5")),""),"")</f>
        <v/>
      </c>
      <c r="G2258" s="38" t="str" cm="1">
        <f t="array" aca="1" ref="G2258" ca="1">IF(F2258="",
    "",
    IFERROR(
        IF(INDIRECT("'"&amp;F2258&amp;"'!$B$2")="Credit Limit",
            "Credit Accounts",
            IF(INDIRECT("'"&amp;F2258&amp;"'!$E$2")="Location",
                "Cash Accounts",
                IF(INDIRECT("'"&amp;F2258&amp;"'!$B$2")="Amount",
                    "Investments",
                    "Bill Accounts"
                )
            )
        ),
    "")
)</f>
        <v/>
      </c>
      <c r="I2258" s="46" t="str" cm="1">
        <f t="array" aca="1" ref="I2258" ca="1">IF(F2258&lt;&gt;"",IF(OR(G2258="Bill Accounts",G2258="Investments", G2258="Cash Accounts"),INDIRECT("'"&amp;F2258&amp;"'!$C$10"),INDIRECT("'"&amp;F2258&amp;"'!$C$8")),"")</f>
        <v/>
      </c>
      <c r="K2258" s="48">
        <f t="shared" si="108"/>
        <v>2264</v>
      </c>
      <c r="L2258" s="114" t="str" cm="1">
        <f t="array" aca="1" ref="L2258" ca="1">IF(F2258&lt;&gt;"",INDIRECT("'"&amp;F2258&amp;"'!$F$17"),"")</f>
        <v/>
      </c>
      <c r="M2258" s="116" t="str">
        <f t="shared" ca="1" si="106"/>
        <v/>
      </c>
      <c r="O2258" s="49" t="str">
        <f t="shared" ca="1" si="107"/>
        <v/>
      </c>
      <c r="P2258" s="38" t="str">
        <f>IF(E2258&lt;&gt;"",RANK(E2258,$E$3:$E$2298)+COUNTIF($E$3:E2258,E2258)-1,"")</f>
        <v/>
      </c>
    </row>
    <row r="2259" spans="4:16" x14ac:dyDescent="0.25">
      <c r="D2259" s="36" t="str" cm="1">
        <f t="array" aca="1" ref="D2259" ca="1">IFERROR(IF(INDIRECT("'"&amp;F2259&amp;"'!$C$5")&gt;0,DATE(YEAR(Dashboard!$AL$2),Dashboard!$AU$4,INDIRECT("'"&amp;F2259&amp;"'!$C$5")),""),"")</f>
        <v/>
      </c>
      <c r="G2259" s="38" t="str" cm="1">
        <f t="array" aca="1" ref="G2259" ca="1">IF(F2259="",
    "",
    IFERROR(
        IF(INDIRECT("'"&amp;F2259&amp;"'!$B$2")="Credit Limit",
            "Credit Accounts",
            IF(INDIRECT("'"&amp;F2259&amp;"'!$E$2")="Location",
                "Cash Accounts",
                IF(INDIRECT("'"&amp;F2259&amp;"'!$B$2")="Amount",
                    "Investments",
                    "Bill Accounts"
                )
            )
        ),
    "")
)</f>
        <v/>
      </c>
      <c r="I2259" s="46" t="str" cm="1">
        <f t="array" aca="1" ref="I2259" ca="1">IF(F2259&lt;&gt;"",IF(OR(G2259="Bill Accounts",G2259="Investments", G2259="Cash Accounts"),INDIRECT("'"&amp;F2259&amp;"'!$C$10"),INDIRECT("'"&amp;F2259&amp;"'!$C$8")),"")</f>
        <v/>
      </c>
      <c r="K2259" s="48">
        <f t="shared" si="108"/>
        <v>2265</v>
      </c>
      <c r="L2259" s="114" t="str" cm="1">
        <f t="array" aca="1" ref="L2259" ca="1">IF(F2259&lt;&gt;"",INDIRECT("'"&amp;F2259&amp;"'!$F$17"),"")</f>
        <v/>
      </c>
      <c r="M2259" s="116" t="str">
        <f t="shared" ca="1" si="106"/>
        <v/>
      </c>
      <c r="O2259" s="49" t="str">
        <f t="shared" ca="1" si="107"/>
        <v/>
      </c>
      <c r="P2259" s="38" t="str">
        <f>IF(E2259&lt;&gt;"",RANK(E2259,$E$3:$E$2298)+COUNTIF($E$3:E2259,E2259)-1,"")</f>
        <v/>
      </c>
    </row>
    <row r="2260" spans="4:16" x14ac:dyDescent="0.25">
      <c r="D2260" s="36" t="str" cm="1">
        <f t="array" aca="1" ref="D2260" ca="1">IFERROR(IF(INDIRECT("'"&amp;F2260&amp;"'!$C$5")&gt;0,DATE(YEAR(Dashboard!$AL$2),Dashboard!$AU$4,INDIRECT("'"&amp;F2260&amp;"'!$C$5")),""),"")</f>
        <v/>
      </c>
      <c r="G2260" s="38" t="str" cm="1">
        <f t="array" aca="1" ref="G2260" ca="1">IF(F2260="",
    "",
    IFERROR(
        IF(INDIRECT("'"&amp;F2260&amp;"'!$B$2")="Credit Limit",
            "Credit Accounts",
            IF(INDIRECT("'"&amp;F2260&amp;"'!$E$2")="Location",
                "Cash Accounts",
                IF(INDIRECT("'"&amp;F2260&amp;"'!$B$2")="Amount",
                    "Investments",
                    "Bill Accounts"
                )
            )
        ),
    "")
)</f>
        <v/>
      </c>
      <c r="I2260" s="46" t="str" cm="1">
        <f t="array" aca="1" ref="I2260" ca="1">IF(F2260&lt;&gt;"",IF(OR(G2260="Bill Accounts",G2260="Investments", G2260="Cash Accounts"),INDIRECT("'"&amp;F2260&amp;"'!$C$10"),INDIRECT("'"&amp;F2260&amp;"'!$C$8")),"")</f>
        <v/>
      </c>
      <c r="K2260" s="48">
        <f t="shared" si="108"/>
        <v>2266</v>
      </c>
      <c r="L2260" s="114" t="str" cm="1">
        <f t="array" aca="1" ref="L2260" ca="1">IF(F2260&lt;&gt;"",INDIRECT("'"&amp;F2260&amp;"'!$F$17"),"")</f>
        <v/>
      </c>
      <c r="M2260" s="116" t="str">
        <f t="shared" ca="1" si="106"/>
        <v/>
      </c>
      <c r="O2260" s="49" t="str">
        <f t="shared" ca="1" si="107"/>
        <v/>
      </c>
      <c r="P2260" s="38" t="str">
        <f>IF(E2260&lt;&gt;"",RANK(E2260,$E$3:$E$2298)+COUNTIF($E$3:E2260,E2260)-1,"")</f>
        <v/>
      </c>
    </row>
    <row r="2261" spans="4:16" x14ac:dyDescent="0.25">
      <c r="D2261" s="36" t="str" cm="1">
        <f t="array" aca="1" ref="D2261" ca="1">IFERROR(IF(INDIRECT("'"&amp;F2261&amp;"'!$C$5")&gt;0,DATE(YEAR(Dashboard!$AL$2),Dashboard!$AU$4,INDIRECT("'"&amp;F2261&amp;"'!$C$5")),""),"")</f>
        <v/>
      </c>
      <c r="G2261" s="38" t="str" cm="1">
        <f t="array" aca="1" ref="G2261" ca="1">IF(F2261="",
    "",
    IFERROR(
        IF(INDIRECT("'"&amp;F2261&amp;"'!$B$2")="Credit Limit",
            "Credit Accounts",
            IF(INDIRECT("'"&amp;F2261&amp;"'!$E$2")="Location",
                "Cash Accounts",
                IF(INDIRECT("'"&amp;F2261&amp;"'!$B$2")="Amount",
                    "Investments",
                    "Bill Accounts"
                )
            )
        ),
    "")
)</f>
        <v/>
      </c>
      <c r="I2261" s="46" t="str" cm="1">
        <f t="array" aca="1" ref="I2261" ca="1">IF(F2261&lt;&gt;"",IF(OR(G2261="Bill Accounts",G2261="Investments", G2261="Cash Accounts"),INDIRECT("'"&amp;F2261&amp;"'!$C$10"),INDIRECT("'"&amp;F2261&amp;"'!$C$8")),"")</f>
        <v/>
      </c>
      <c r="K2261" s="48">
        <f t="shared" si="108"/>
        <v>2267</v>
      </c>
      <c r="L2261" s="114" t="str" cm="1">
        <f t="array" aca="1" ref="L2261" ca="1">IF(F2261&lt;&gt;"",INDIRECT("'"&amp;F2261&amp;"'!$F$17"),"")</f>
        <v/>
      </c>
      <c r="M2261" s="116" t="str">
        <f t="shared" ca="1" si="106"/>
        <v/>
      </c>
      <c r="O2261" s="49" t="str">
        <f t="shared" ca="1" si="107"/>
        <v/>
      </c>
      <c r="P2261" s="38" t="str">
        <f>IF(E2261&lt;&gt;"",RANK(E2261,$E$3:$E$2298)+COUNTIF($E$3:E2261,E2261)-1,"")</f>
        <v/>
      </c>
    </row>
    <row r="2262" spans="4:16" x14ac:dyDescent="0.25">
      <c r="D2262" s="36" t="str" cm="1">
        <f t="array" aca="1" ref="D2262" ca="1">IFERROR(IF(INDIRECT("'"&amp;F2262&amp;"'!$C$5")&gt;0,DATE(YEAR(Dashboard!$AL$2),Dashboard!$AU$4,INDIRECT("'"&amp;F2262&amp;"'!$C$5")),""),"")</f>
        <v/>
      </c>
      <c r="G2262" s="38" t="str" cm="1">
        <f t="array" aca="1" ref="G2262" ca="1">IF(F2262="",
    "",
    IFERROR(
        IF(INDIRECT("'"&amp;F2262&amp;"'!$B$2")="Credit Limit",
            "Credit Accounts",
            IF(INDIRECT("'"&amp;F2262&amp;"'!$E$2")="Location",
                "Cash Accounts",
                IF(INDIRECT("'"&amp;F2262&amp;"'!$B$2")="Amount",
                    "Investments",
                    "Bill Accounts"
                )
            )
        ),
    "")
)</f>
        <v/>
      </c>
      <c r="I2262" s="46" t="str" cm="1">
        <f t="array" aca="1" ref="I2262" ca="1">IF(F2262&lt;&gt;"",IF(OR(G2262="Bill Accounts",G2262="Investments", G2262="Cash Accounts"),INDIRECT("'"&amp;F2262&amp;"'!$C$10"),INDIRECT("'"&amp;F2262&amp;"'!$C$8")),"")</f>
        <v/>
      </c>
      <c r="K2262" s="48">
        <f t="shared" si="108"/>
        <v>2268</v>
      </c>
      <c r="L2262" s="114" t="str" cm="1">
        <f t="array" aca="1" ref="L2262" ca="1">IF(F2262&lt;&gt;"",INDIRECT("'"&amp;F2262&amp;"'!$F$17"),"")</f>
        <v/>
      </c>
      <c r="M2262" s="116" t="str">
        <f t="shared" ca="1" si="106"/>
        <v/>
      </c>
      <c r="O2262" s="49" t="str">
        <f t="shared" ca="1" si="107"/>
        <v/>
      </c>
      <c r="P2262" s="38" t="str">
        <f>IF(E2262&lt;&gt;"",RANK(E2262,$E$3:$E$2298)+COUNTIF($E$3:E2262,E2262)-1,"")</f>
        <v/>
      </c>
    </row>
    <row r="2263" spans="4:16" x14ac:dyDescent="0.25">
      <c r="D2263" s="36" t="str" cm="1">
        <f t="array" aca="1" ref="D2263" ca="1">IFERROR(IF(INDIRECT("'"&amp;F2263&amp;"'!$C$5")&gt;0,DATE(YEAR(Dashboard!$AL$2),Dashboard!$AU$4,INDIRECT("'"&amp;F2263&amp;"'!$C$5")),""),"")</f>
        <v/>
      </c>
      <c r="G2263" s="38" t="str" cm="1">
        <f t="array" aca="1" ref="G2263" ca="1">IF(F2263="",
    "",
    IFERROR(
        IF(INDIRECT("'"&amp;F2263&amp;"'!$B$2")="Credit Limit",
            "Credit Accounts",
            IF(INDIRECT("'"&amp;F2263&amp;"'!$E$2")="Location",
                "Cash Accounts",
                IF(INDIRECT("'"&amp;F2263&amp;"'!$B$2")="Amount",
                    "Investments",
                    "Bill Accounts"
                )
            )
        ),
    "")
)</f>
        <v/>
      </c>
      <c r="I2263" s="46" t="str" cm="1">
        <f t="array" aca="1" ref="I2263" ca="1">IF(F2263&lt;&gt;"",IF(OR(G2263="Bill Accounts",G2263="Investments", G2263="Cash Accounts"),INDIRECT("'"&amp;F2263&amp;"'!$C$10"),INDIRECT("'"&amp;F2263&amp;"'!$C$8")),"")</f>
        <v/>
      </c>
      <c r="K2263" s="48">
        <f t="shared" si="108"/>
        <v>2269</v>
      </c>
      <c r="L2263" s="114" t="str" cm="1">
        <f t="array" aca="1" ref="L2263" ca="1">IF(F2263&lt;&gt;"",INDIRECT("'"&amp;F2263&amp;"'!$F$17"),"")</f>
        <v/>
      </c>
      <c r="M2263" s="116" t="str">
        <f t="shared" ca="1" si="106"/>
        <v/>
      </c>
      <c r="O2263" s="49" t="str">
        <f t="shared" ca="1" si="107"/>
        <v/>
      </c>
      <c r="P2263" s="38" t="str">
        <f>IF(E2263&lt;&gt;"",RANK(E2263,$E$3:$E$2298)+COUNTIF($E$3:E2263,E2263)-1,"")</f>
        <v/>
      </c>
    </row>
    <row r="2264" spans="4:16" x14ac:dyDescent="0.25">
      <c r="D2264" s="36" t="str" cm="1">
        <f t="array" aca="1" ref="D2264" ca="1">IFERROR(IF(INDIRECT("'"&amp;F2264&amp;"'!$C$5")&gt;0,DATE(YEAR(Dashboard!$AL$2),Dashboard!$AU$4,INDIRECT("'"&amp;F2264&amp;"'!$C$5")),""),"")</f>
        <v/>
      </c>
      <c r="G2264" s="38" t="str" cm="1">
        <f t="array" aca="1" ref="G2264" ca="1">IF(F2264="",
    "",
    IFERROR(
        IF(INDIRECT("'"&amp;F2264&amp;"'!$B$2")="Credit Limit",
            "Credit Accounts",
            IF(INDIRECT("'"&amp;F2264&amp;"'!$E$2")="Location",
                "Cash Accounts",
                IF(INDIRECT("'"&amp;F2264&amp;"'!$B$2")="Amount",
                    "Investments",
                    "Bill Accounts"
                )
            )
        ),
    "")
)</f>
        <v/>
      </c>
      <c r="I2264" s="46" t="str" cm="1">
        <f t="array" aca="1" ref="I2264" ca="1">IF(F2264&lt;&gt;"",IF(OR(G2264="Bill Accounts",G2264="Investments", G2264="Cash Accounts"),INDIRECT("'"&amp;F2264&amp;"'!$C$10"),INDIRECT("'"&amp;F2264&amp;"'!$C$8")),"")</f>
        <v/>
      </c>
      <c r="K2264" s="48">
        <f t="shared" si="108"/>
        <v>2270</v>
      </c>
      <c r="L2264" s="114" t="str" cm="1">
        <f t="array" aca="1" ref="L2264" ca="1">IF(F2264&lt;&gt;"",INDIRECT("'"&amp;F2264&amp;"'!$F$17"),"")</f>
        <v/>
      </c>
      <c r="M2264" s="116" t="str">
        <f t="shared" ca="1" si="106"/>
        <v/>
      </c>
      <c r="O2264" s="49" t="str">
        <f t="shared" ca="1" si="107"/>
        <v/>
      </c>
      <c r="P2264" s="38" t="str">
        <f>IF(E2264&lt;&gt;"",RANK(E2264,$E$3:$E$2298)+COUNTIF($E$3:E2264,E2264)-1,"")</f>
        <v/>
      </c>
    </row>
    <row r="2265" spans="4:16" x14ac:dyDescent="0.25">
      <c r="D2265" s="36" t="str" cm="1">
        <f t="array" aca="1" ref="D2265" ca="1">IFERROR(IF(INDIRECT("'"&amp;F2265&amp;"'!$C$5")&gt;0,DATE(YEAR(Dashboard!$AL$2),Dashboard!$AU$4,INDIRECT("'"&amp;F2265&amp;"'!$C$5")),""),"")</f>
        <v/>
      </c>
      <c r="G2265" s="38" t="str" cm="1">
        <f t="array" aca="1" ref="G2265" ca="1">IF(F2265="",
    "",
    IFERROR(
        IF(INDIRECT("'"&amp;F2265&amp;"'!$B$2")="Credit Limit",
            "Credit Accounts",
            IF(INDIRECT("'"&amp;F2265&amp;"'!$E$2")="Location",
                "Cash Accounts",
                IF(INDIRECT("'"&amp;F2265&amp;"'!$B$2")="Amount",
                    "Investments",
                    "Bill Accounts"
                )
            )
        ),
    "")
)</f>
        <v/>
      </c>
      <c r="I2265" s="46" t="str" cm="1">
        <f t="array" aca="1" ref="I2265" ca="1">IF(F2265&lt;&gt;"",IF(OR(G2265="Bill Accounts",G2265="Investments", G2265="Cash Accounts"),INDIRECT("'"&amp;F2265&amp;"'!$C$10"),INDIRECT("'"&amp;F2265&amp;"'!$C$8")),"")</f>
        <v/>
      </c>
      <c r="K2265" s="48">
        <f t="shared" si="108"/>
        <v>2271</v>
      </c>
      <c r="L2265" s="114" t="str" cm="1">
        <f t="array" aca="1" ref="L2265" ca="1">IF(F2265&lt;&gt;"",INDIRECT("'"&amp;F2265&amp;"'!$F$17"),"")</f>
        <v/>
      </c>
      <c r="M2265" s="116" t="str">
        <f t="shared" ca="1" si="106"/>
        <v/>
      </c>
      <c r="O2265" s="49" t="str">
        <f t="shared" ca="1" si="107"/>
        <v/>
      </c>
      <c r="P2265" s="38" t="str">
        <f>IF(E2265&lt;&gt;"",RANK(E2265,$E$3:$E$2298)+COUNTIF($E$3:E2265,E2265)-1,"")</f>
        <v/>
      </c>
    </row>
    <row r="2266" spans="4:16" x14ac:dyDescent="0.25">
      <c r="D2266" s="36" t="str" cm="1">
        <f t="array" aca="1" ref="D2266" ca="1">IFERROR(IF(INDIRECT("'"&amp;F2266&amp;"'!$C$5")&gt;0,DATE(YEAR(Dashboard!$AL$2),Dashboard!$AU$4,INDIRECT("'"&amp;F2266&amp;"'!$C$5")),""),"")</f>
        <v/>
      </c>
      <c r="G2266" s="38" t="str" cm="1">
        <f t="array" aca="1" ref="G2266" ca="1">IF(F2266="",
    "",
    IFERROR(
        IF(INDIRECT("'"&amp;F2266&amp;"'!$B$2")="Credit Limit",
            "Credit Accounts",
            IF(INDIRECT("'"&amp;F2266&amp;"'!$E$2")="Location",
                "Cash Accounts",
                IF(INDIRECT("'"&amp;F2266&amp;"'!$B$2")="Amount",
                    "Investments",
                    "Bill Accounts"
                )
            )
        ),
    "")
)</f>
        <v/>
      </c>
      <c r="I2266" s="46" t="str" cm="1">
        <f t="array" aca="1" ref="I2266" ca="1">IF(F2266&lt;&gt;"",IF(OR(G2266="Bill Accounts",G2266="Investments", G2266="Cash Accounts"),INDIRECT("'"&amp;F2266&amp;"'!$C$10"),INDIRECT("'"&amp;F2266&amp;"'!$C$8")),"")</f>
        <v/>
      </c>
      <c r="K2266" s="48">
        <f t="shared" si="108"/>
        <v>2272</v>
      </c>
      <c r="L2266" s="114" t="str" cm="1">
        <f t="array" aca="1" ref="L2266" ca="1">IF(F2266&lt;&gt;"",INDIRECT("'"&amp;F2266&amp;"'!$F$17"),"")</f>
        <v/>
      </c>
      <c r="M2266" s="116" t="str">
        <f t="shared" ca="1" si="106"/>
        <v/>
      </c>
      <c r="O2266" s="49" t="str">
        <f t="shared" ca="1" si="107"/>
        <v/>
      </c>
      <c r="P2266" s="38" t="str">
        <f>IF(E2266&lt;&gt;"",RANK(E2266,$E$3:$E$2298)+COUNTIF($E$3:E2266,E2266)-1,"")</f>
        <v/>
      </c>
    </row>
    <row r="2267" spans="4:16" x14ac:dyDescent="0.25">
      <c r="D2267" s="36" t="str" cm="1">
        <f t="array" aca="1" ref="D2267" ca="1">IFERROR(IF(INDIRECT("'"&amp;F2267&amp;"'!$C$5")&gt;0,DATE(YEAR(Dashboard!$AL$2),Dashboard!$AU$4,INDIRECT("'"&amp;F2267&amp;"'!$C$5")),""),"")</f>
        <v/>
      </c>
      <c r="G2267" s="38" t="str" cm="1">
        <f t="array" aca="1" ref="G2267" ca="1">IF(F2267="",
    "",
    IFERROR(
        IF(INDIRECT("'"&amp;F2267&amp;"'!$B$2")="Credit Limit",
            "Credit Accounts",
            IF(INDIRECT("'"&amp;F2267&amp;"'!$E$2")="Location",
                "Cash Accounts",
                IF(INDIRECT("'"&amp;F2267&amp;"'!$B$2")="Amount",
                    "Investments",
                    "Bill Accounts"
                )
            )
        ),
    "")
)</f>
        <v/>
      </c>
      <c r="I2267" s="46" t="str" cm="1">
        <f t="array" aca="1" ref="I2267" ca="1">IF(F2267&lt;&gt;"",IF(OR(G2267="Bill Accounts",G2267="Investments", G2267="Cash Accounts"),INDIRECT("'"&amp;F2267&amp;"'!$C$10"),INDIRECT("'"&amp;F2267&amp;"'!$C$8")),"")</f>
        <v/>
      </c>
      <c r="K2267" s="48">
        <f t="shared" si="108"/>
        <v>2273</v>
      </c>
      <c r="L2267" s="114" t="str" cm="1">
        <f t="array" aca="1" ref="L2267" ca="1">IF(F2267&lt;&gt;"",INDIRECT("'"&amp;F2267&amp;"'!$F$17"),"")</f>
        <v/>
      </c>
      <c r="M2267" s="116" t="str">
        <f t="shared" ca="1" si="106"/>
        <v/>
      </c>
      <c r="O2267" s="49" t="str">
        <f t="shared" ca="1" si="107"/>
        <v/>
      </c>
      <c r="P2267" s="38" t="str">
        <f>IF(E2267&lt;&gt;"",RANK(E2267,$E$3:$E$2298)+COUNTIF($E$3:E2267,E2267)-1,"")</f>
        <v/>
      </c>
    </row>
    <row r="2268" spans="4:16" x14ac:dyDescent="0.25">
      <c r="D2268" s="36" t="str" cm="1">
        <f t="array" aca="1" ref="D2268" ca="1">IFERROR(IF(INDIRECT("'"&amp;F2268&amp;"'!$C$5")&gt;0,DATE(YEAR(Dashboard!$AL$2),Dashboard!$AU$4,INDIRECT("'"&amp;F2268&amp;"'!$C$5")),""),"")</f>
        <v/>
      </c>
      <c r="G2268" s="38" t="str" cm="1">
        <f t="array" aca="1" ref="G2268" ca="1">IF(F2268="",
    "",
    IFERROR(
        IF(INDIRECT("'"&amp;F2268&amp;"'!$B$2")="Credit Limit",
            "Credit Accounts",
            IF(INDIRECT("'"&amp;F2268&amp;"'!$E$2")="Location",
                "Cash Accounts",
                IF(INDIRECT("'"&amp;F2268&amp;"'!$B$2")="Amount",
                    "Investments",
                    "Bill Accounts"
                )
            )
        ),
    "")
)</f>
        <v/>
      </c>
      <c r="I2268" s="46" t="str" cm="1">
        <f t="array" aca="1" ref="I2268" ca="1">IF(F2268&lt;&gt;"",IF(OR(G2268="Bill Accounts",G2268="Investments", G2268="Cash Accounts"),INDIRECT("'"&amp;F2268&amp;"'!$C$10"),INDIRECT("'"&amp;F2268&amp;"'!$C$8")),"")</f>
        <v/>
      </c>
      <c r="K2268" s="48">
        <f t="shared" si="108"/>
        <v>2274</v>
      </c>
      <c r="L2268" s="114" t="str" cm="1">
        <f t="array" aca="1" ref="L2268" ca="1">IF(F2268&lt;&gt;"",INDIRECT("'"&amp;F2268&amp;"'!$F$17"),"")</f>
        <v/>
      </c>
      <c r="M2268" s="116" t="str">
        <f t="shared" ca="1" si="106"/>
        <v/>
      </c>
      <c r="O2268" s="49" t="str">
        <f t="shared" ca="1" si="107"/>
        <v/>
      </c>
      <c r="P2268" s="38" t="str">
        <f>IF(E2268&lt;&gt;"",RANK(E2268,$E$3:$E$2298)+COUNTIF($E$3:E2268,E2268)-1,"")</f>
        <v/>
      </c>
    </row>
    <row r="2269" spans="4:16" x14ac:dyDescent="0.25">
      <c r="D2269" s="36" t="str" cm="1">
        <f t="array" aca="1" ref="D2269" ca="1">IFERROR(IF(INDIRECT("'"&amp;F2269&amp;"'!$C$5")&gt;0,DATE(YEAR(Dashboard!$AL$2),Dashboard!$AU$4,INDIRECT("'"&amp;F2269&amp;"'!$C$5")),""),"")</f>
        <v/>
      </c>
      <c r="G2269" s="38" t="str" cm="1">
        <f t="array" aca="1" ref="G2269" ca="1">IF(F2269="",
    "",
    IFERROR(
        IF(INDIRECT("'"&amp;F2269&amp;"'!$B$2")="Credit Limit",
            "Credit Accounts",
            IF(INDIRECT("'"&amp;F2269&amp;"'!$E$2")="Location",
                "Cash Accounts",
                IF(INDIRECT("'"&amp;F2269&amp;"'!$B$2")="Amount",
                    "Investments",
                    "Bill Accounts"
                )
            )
        ),
    "")
)</f>
        <v/>
      </c>
      <c r="I2269" s="46" t="str" cm="1">
        <f t="array" aca="1" ref="I2269" ca="1">IF(F2269&lt;&gt;"",IF(OR(G2269="Bill Accounts",G2269="Investments", G2269="Cash Accounts"),INDIRECT("'"&amp;F2269&amp;"'!$C$10"),INDIRECT("'"&amp;F2269&amp;"'!$C$8")),"")</f>
        <v/>
      </c>
      <c r="K2269" s="48">
        <f t="shared" si="108"/>
        <v>2275</v>
      </c>
      <c r="L2269" s="114" t="str" cm="1">
        <f t="array" aca="1" ref="L2269" ca="1">IF(F2269&lt;&gt;"",INDIRECT("'"&amp;F2269&amp;"'!$F$17"),"")</f>
        <v/>
      </c>
      <c r="M2269" s="116" t="str">
        <f t="shared" ca="1" si="106"/>
        <v/>
      </c>
      <c r="O2269" s="49" t="str">
        <f t="shared" ca="1" si="107"/>
        <v/>
      </c>
      <c r="P2269" s="38" t="str">
        <f>IF(E2269&lt;&gt;"",RANK(E2269,$E$3:$E$2298)+COUNTIF($E$3:E2269,E2269)-1,"")</f>
        <v/>
      </c>
    </row>
    <row r="2270" spans="4:16" x14ac:dyDescent="0.25">
      <c r="D2270" s="36" t="str" cm="1">
        <f t="array" aca="1" ref="D2270" ca="1">IFERROR(IF(INDIRECT("'"&amp;F2270&amp;"'!$C$5")&gt;0,DATE(YEAR(Dashboard!$AL$2),Dashboard!$AU$4,INDIRECT("'"&amp;F2270&amp;"'!$C$5")),""),"")</f>
        <v/>
      </c>
      <c r="G2270" s="38" t="str" cm="1">
        <f t="array" aca="1" ref="G2270" ca="1">IF(F2270="",
    "",
    IFERROR(
        IF(INDIRECT("'"&amp;F2270&amp;"'!$B$2")="Credit Limit",
            "Credit Accounts",
            IF(INDIRECT("'"&amp;F2270&amp;"'!$E$2")="Location",
                "Cash Accounts",
                IF(INDIRECT("'"&amp;F2270&amp;"'!$B$2")="Amount",
                    "Investments",
                    "Bill Accounts"
                )
            )
        ),
    "")
)</f>
        <v/>
      </c>
      <c r="I2270" s="46" t="str" cm="1">
        <f t="array" aca="1" ref="I2270" ca="1">IF(F2270&lt;&gt;"",IF(OR(G2270="Bill Accounts",G2270="Investments", G2270="Cash Accounts"),INDIRECT("'"&amp;F2270&amp;"'!$C$10"),INDIRECT("'"&amp;F2270&amp;"'!$C$8")),"")</f>
        <v/>
      </c>
      <c r="K2270" s="48">
        <f t="shared" si="108"/>
        <v>2276</v>
      </c>
      <c r="L2270" s="114" t="str" cm="1">
        <f t="array" aca="1" ref="L2270" ca="1">IF(F2270&lt;&gt;"",INDIRECT("'"&amp;F2270&amp;"'!$F$17"),"")</f>
        <v/>
      </c>
      <c r="M2270" s="116" t="str">
        <f t="shared" ca="1" si="106"/>
        <v/>
      </c>
      <c r="O2270" s="49" t="str">
        <f t="shared" ca="1" si="107"/>
        <v/>
      </c>
      <c r="P2270" s="38" t="str">
        <f>IF(E2270&lt;&gt;"",RANK(E2270,$E$3:$E$2298)+COUNTIF($E$3:E2270,E2270)-1,"")</f>
        <v/>
      </c>
    </row>
    <row r="2271" spans="4:16" x14ac:dyDescent="0.25">
      <c r="D2271" s="36" t="str" cm="1">
        <f t="array" aca="1" ref="D2271" ca="1">IFERROR(IF(INDIRECT("'"&amp;F2271&amp;"'!$C$5")&gt;0,DATE(YEAR(Dashboard!$AL$2),Dashboard!$AU$4,INDIRECT("'"&amp;F2271&amp;"'!$C$5")),""),"")</f>
        <v/>
      </c>
      <c r="G2271" s="38" t="str" cm="1">
        <f t="array" aca="1" ref="G2271" ca="1">IF(F2271="",
    "",
    IFERROR(
        IF(INDIRECT("'"&amp;F2271&amp;"'!$B$2")="Credit Limit",
            "Credit Accounts",
            IF(INDIRECT("'"&amp;F2271&amp;"'!$E$2")="Location",
                "Cash Accounts",
                IF(INDIRECT("'"&amp;F2271&amp;"'!$B$2")="Amount",
                    "Investments",
                    "Bill Accounts"
                )
            )
        ),
    "")
)</f>
        <v/>
      </c>
      <c r="I2271" s="46" t="str" cm="1">
        <f t="array" aca="1" ref="I2271" ca="1">IF(F2271&lt;&gt;"",IF(OR(G2271="Bill Accounts",G2271="Investments", G2271="Cash Accounts"),INDIRECT("'"&amp;F2271&amp;"'!$C$10"),INDIRECT("'"&amp;F2271&amp;"'!$C$8")),"")</f>
        <v/>
      </c>
      <c r="K2271" s="48">
        <f t="shared" si="108"/>
        <v>2277</v>
      </c>
      <c r="L2271" s="114" t="str" cm="1">
        <f t="array" aca="1" ref="L2271" ca="1">IF(F2271&lt;&gt;"",INDIRECT("'"&amp;F2271&amp;"'!$F$17"),"")</f>
        <v/>
      </c>
      <c r="M2271" s="116" t="str">
        <f t="shared" ca="1" si="106"/>
        <v/>
      </c>
      <c r="O2271" s="49" t="str">
        <f t="shared" ca="1" si="107"/>
        <v/>
      </c>
      <c r="P2271" s="38" t="str">
        <f>IF(E2271&lt;&gt;"",RANK(E2271,$E$3:$E$2298)+COUNTIF($E$3:E2271,E2271)-1,"")</f>
        <v/>
      </c>
    </row>
    <row r="2272" spans="4:16" x14ac:dyDescent="0.25">
      <c r="D2272" s="36" t="str" cm="1">
        <f t="array" aca="1" ref="D2272" ca="1">IFERROR(IF(INDIRECT("'"&amp;F2272&amp;"'!$C$5")&gt;0,DATE(YEAR(Dashboard!$AL$2),Dashboard!$AU$4,INDIRECT("'"&amp;F2272&amp;"'!$C$5")),""),"")</f>
        <v/>
      </c>
      <c r="G2272" s="38" t="str" cm="1">
        <f t="array" aca="1" ref="G2272" ca="1">IF(F2272="",
    "",
    IFERROR(
        IF(INDIRECT("'"&amp;F2272&amp;"'!$B$2")="Credit Limit",
            "Credit Accounts",
            IF(INDIRECT("'"&amp;F2272&amp;"'!$E$2")="Location",
                "Cash Accounts",
                IF(INDIRECT("'"&amp;F2272&amp;"'!$B$2")="Amount",
                    "Investments",
                    "Bill Accounts"
                )
            )
        ),
    "")
)</f>
        <v/>
      </c>
      <c r="I2272" s="46" t="str" cm="1">
        <f t="array" aca="1" ref="I2272" ca="1">IF(F2272&lt;&gt;"",IF(OR(G2272="Bill Accounts",G2272="Investments", G2272="Cash Accounts"),INDIRECT("'"&amp;F2272&amp;"'!$C$10"),INDIRECT("'"&amp;F2272&amp;"'!$C$8")),"")</f>
        <v/>
      </c>
      <c r="K2272" s="48">
        <f t="shared" si="108"/>
        <v>2278</v>
      </c>
      <c r="L2272" s="114" t="str" cm="1">
        <f t="array" aca="1" ref="L2272" ca="1">IF(F2272&lt;&gt;"",INDIRECT("'"&amp;F2272&amp;"'!$F$17"),"")</f>
        <v/>
      </c>
      <c r="M2272" s="116" t="str">
        <f t="shared" ca="1" si="106"/>
        <v/>
      </c>
      <c r="O2272" s="49" t="str">
        <f t="shared" ca="1" si="107"/>
        <v/>
      </c>
      <c r="P2272" s="38" t="str">
        <f>IF(E2272&lt;&gt;"",RANK(E2272,$E$3:$E$2298)+COUNTIF($E$3:E2272,E2272)-1,"")</f>
        <v/>
      </c>
    </row>
    <row r="2273" spans="4:16" x14ac:dyDescent="0.25">
      <c r="D2273" s="36" t="str" cm="1">
        <f t="array" aca="1" ref="D2273" ca="1">IFERROR(IF(INDIRECT("'"&amp;F2273&amp;"'!$C$5")&gt;0,DATE(YEAR(Dashboard!$AL$2),Dashboard!$AU$4,INDIRECT("'"&amp;F2273&amp;"'!$C$5")),""),"")</f>
        <v/>
      </c>
      <c r="G2273" s="38" t="str" cm="1">
        <f t="array" aca="1" ref="G2273" ca="1">IF(F2273="",
    "",
    IFERROR(
        IF(INDIRECT("'"&amp;F2273&amp;"'!$B$2")="Credit Limit",
            "Credit Accounts",
            IF(INDIRECT("'"&amp;F2273&amp;"'!$E$2")="Location",
                "Cash Accounts",
                IF(INDIRECT("'"&amp;F2273&amp;"'!$B$2")="Amount",
                    "Investments",
                    "Bill Accounts"
                )
            )
        ),
    "")
)</f>
        <v/>
      </c>
      <c r="I2273" s="46" t="str" cm="1">
        <f t="array" aca="1" ref="I2273" ca="1">IF(F2273&lt;&gt;"",IF(OR(G2273="Bill Accounts",G2273="Investments", G2273="Cash Accounts"),INDIRECT("'"&amp;F2273&amp;"'!$C$10"),INDIRECT("'"&amp;F2273&amp;"'!$C$8")),"")</f>
        <v/>
      </c>
      <c r="K2273" s="48">
        <f t="shared" si="108"/>
        <v>2279</v>
      </c>
      <c r="L2273" s="114" t="str" cm="1">
        <f t="array" aca="1" ref="L2273" ca="1">IF(F2273&lt;&gt;"",INDIRECT("'"&amp;F2273&amp;"'!$F$17"),"")</f>
        <v/>
      </c>
      <c r="M2273" s="116" t="str">
        <f t="shared" ca="1" si="106"/>
        <v/>
      </c>
      <c r="O2273" s="49" t="str">
        <f t="shared" ca="1" si="107"/>
        <v/>
      </c>
      <c r="P2273" s="38" t="str">
        <f>IF(E2273&lt;&gt;"",RANK(E2273,$E$3:$E$2298)+COUNTIF($E$3:E2273,E2273)-1,"")</f>
        <v/>
      </c>
    </row>
    <row r="2274" spans="4:16" x14ac:dyDescent="0.25">
      <c r="D2274" s="36" t="str" cm="1">
        <f t="array" aca="1" ref="D2274" ca="1">IFERROR(IF(INDIRECT("'"&amp;F2274&amp;"'!$C$5")&gt;0,DATE(YEAR(Dashboard!$AL$2),Dashboard!$AU$4,INDIRECT("'"&amp;F2274&amp;"'!$C$5")),""),"")</f>
        <v/>
      </c>
      <c r="G2274" s="38" t="str" cm="1">
        <f t="array" aca="1" ref="G2274" ca="1">IF(F2274="",
    "",
    IFERROR(
        IF(INDIRECT("'"&amp;F2274&amp;"'!$B$2")="Credit Limit",
            "Credit Accounts",
            IF(INDIRECT("'"&amp;F2274&amp;"'!$E$2")="Location",
                "Cash Accounts",
                IF(INDIRECT("'"&amp;F2274&amp;"'!$B$2")="Amount",
                    "Investments",
                    "Bill Accounts"
                )
            )
        ),
    "")
)</f>
        <v/>
      </c>
      <c r="I2274" s="46" t="str" cm="1">
        <f t="array" aca="1" ref="I2274" ca="1">IF(F2274&lt;&gt;"",IF(OR(G2274="Bill Accounts",G2274="Investments", G2274="Cash Accounts"),INDIRECT("'"&amp;F2274&amp;"'!$C$10"),INDIRECT("'"&amp;F2274&amp;"'!$C$8")),"")</f>
        <v/>
      </c>
      <c r="K2274" s="48">
        <f t="shared" si="108"/>
        <v>2280</v>
      </c>
      <c r="L2274" s="114" t="str" cm="1">
        <f t="array" aca="1" ref="L2274" ca="1">IF(F2274&lt;&gt;"",INDIRECT("'"&amp;F2274&amp;"'!$F$17"),"")</f>
        <v/>
      </c>
      <c r="M2274" s="116" t="str">
        <f t="shared" ca="1" si="106"/>
        <v/>
      </c>
      <c r="O2274" s="49" t="str">
        <f t="shared" ca="1" si="107"/>
        <v/>
      </c>
      <c r="P2274" s="38" t="str">
        <f>IF(E2274&lt;&gt;"",RANK(E2274,$E$3:$E$2298)+COUNTIF($E$3:E2274,E2274)-1,"")</f>
        <v/>
      </c>
    </row>
    <row r="2275" spans="4:16" x14ac:dyDescent="0.25">
      <c r="D2275" s="36" t="str" cm="1">
        <f t="array" aca="1" ref="D2275" ca="1">IFERROR(IF(INDIRECT("'"&amp;F2275&amp;"'!$C$5")&gt;0,DATE(YEAR(Dashboard!$AL$2),Dashboard!$AU$4,INDIRECT("'"&amp;F2275&amp;"'!$C$5")),""),"")</f>
        <v/>
      </c>
      <c r="G2275" s="38" t="str" cm="1">
        <f t="array" aca="1" ref="G2275" ca="1">IF(F2275="",
    "",
    IFERROR(
        IF(INDIRECT("'"&amp;F2275&amp;"'!$B$2")="Credit Limit",
            "Credit Accounts",
            IF(INDIRECT("'"&amp;F2275&amp;"'!$E$2")="Location",
                "Cash Accounts",
                IF(INDIRECT("'"&amp;F2275&amp;"'!$B$2")="Amount",
                    "Investments",
                    "Bill Accounts"
                )
            )
        ),
    "")
)</f>
        <v/>
      </c>
      <c r="I2275" s="46" t="str" cm="1">
        <f t="array" aca="1" ref="I2275" ca="1">IF(F2275&lt;&gt;"",IF(OR(G2275="Bill Accounts",G2275="Investments", G2275="Cash Accounts"),INDIRECT("'"&amp;F2275&amp;"'!$C$10"),INDIRECT("'"&amp;F2275&amp;"'!$C$8")),"")</f>
        <v/>
      </c>
      <c r="K2275" s="48">
        <f t="shared" si="108"/>
        <v>2281</v>
      </c>
      <c r="L2275" s="114" t="str" cm="1">
        <f t="array" aca="1" ref="L2275" ca="1">IF(F2275&lt;&gt;"",INDIRECT("'"&amp;F2275&amp;"'!$F$17"),"")</f>
        <v/>
      </c>
      <c r="M2275" s="116" t="str">
        <f t="shared" ca="1" si="106"/>
        <v/>
      </c>
      <c r="O2275" s="49" t="str">
        <f t="shared" ca="1" si="107"/>
        <v/>
      </c>
      <c r="P2275" s="38" t="str">
        <f>IF(E2275&lt;&gt;"",RANK(E2275,$E$3:$E$2298)+COUNTIF($E$3:E2275,E2275)-1,"")</f>
        <v/>
      </c>
    </row>
    <row r="2276" spans="4:16" x14ac:dyDescent="0.25">
      <c r="D2276" s="36" t="str" cm="1">
        <f t="array" aca="1" ref="D2276" ca="1">IFERROR(IF(INDIRECT("'"&amp;F2276&amp;"'!$C$5")&gt;0,DATE(YEAR(Dashboard!$AL$2),Dashboard!$AU$4,INDIRECT("'"&amp;F2276&amp;"'!$C$5")),""),"")</f>
        <v/>
      </c>
      <c r="G2276" s="38" t="str" cm="1">
        <f t="array" aca="1" ref="G2276" ca="1">IF(F2276="",
    "",
    IFERROR(
        IF(INDIRECT("'"&amp;F2276&amp;"'!$B$2")="Credit Limit",
            "Credit Accounts",
            IF(INDIRECT("'"&amp;F2276&amp;"'!$E$2")="Location",
                "Cash Accounts",
                IF(INDIRECT("'"&amp;F2276&amp;"'!$B$2")="Amount",
                    "Investments",
                    "Bill Accounts"
                )
            )
        ),
    "")
)</f>
        <v/>
      </c>
      <c r="I2276" s="46" t="str" cm="1">
        <f t="array" aca="1" ref="I2276" ca="1">IF(F2276&lt;&gt;"",IF(OR(G2276="Bill Accounts",G2276="Investments", G2276="Cash Accounts"),INDIRECT("'"&amp;F2276&amp;"'!$C$10"),INDIRECT("'"&amp;F2276&amp;"'!$C$8")),"")</f>
        <v/>
      </c>
      <c r="K2276" s="48">
        <f t="shared" si="108"/>
        <v>2282</v>
      </c>
      <c r="L2276" s="114" t="str" cm="1">
        <f t="array" aca="1" ref="L2276" ca="1">IF(F2276&lt;&gt;"",INDIRECT("'"&amp;F2276&amp;"'!$F$17"),"")</f>
        <v/>
      </c>
      <c r="M2276" s="116" t="str">
        <f t="shared" ca="1" si="106"/>
        <v/>
      </c>
      <c r="O2276" s="49" t="str">
        <f t="shared" ca="1" si="107"/>
        <v/>
      </c>
      <c r="P2276" s="38" t="str">
        <f>IF(E2276&lt;&gt;"",RANK(E2276,$E$3:$E$2298)+COUNTIF($E$3:E2276,E2276)-1,"")</f>
        <v/>
      </c>
    </row>
    <row r="2277" spans="4:16" x14ac:dyDescent="0.25">
      <c r="D2277" s="36" t="str" cm="1">
        <f t="array" aca="1" ref="D2277" ca="1">IFERROR(IF(INDIRECT("'"&amp;F2277&amp;"'!$C$5")&gt;0,DATE(YEAR(Dashboard!$AL$2),Dashboard!$AU$4,INDIRECT("'"&amp;F2277&amp;"'!$C$5")),""),"")</f>
        <v/>
      </c>
      <c r="G2277" s="38" t="str" cm="1">
        <f t="array" aca="1" ref="G2277" ca="1">IF(F2277="",
    "",
    IFERROR(
        IF(INDIRECT("'"&amp;F2277&amp;"'!$B$2")="Credit Limit",
            "Credit Accounts",
            IF(INDIRECT("'"&amp;F2277&amp;"'!$E$2")="Location",
                "Cash Accounts",
                IF(INDIRECT("'"&amp;F2277&amp;"'!$B$2")="Amount",
                    "Investments",
                    "Bill Accounts"
                )
            )
        ),
    "")
)</f>
        <v/>
      </c>
      <c r="I2277" s="46" t="str" cm="1">
        <f t="array" aca="1" ref="I2277" ca="1">IF(F2277&lt;&gt;"",IF(OR(G2277="Bill Accounts",G2277="Investments", G2277="Cash Accounts"),INDIRECT("'"&amp;F2277&amp;"'!$C$10"),INDIRECT("'"&amp;F2277&amp;"'!$C$8")),"")</f>
        <v/>
      </c>
      <c r="K2277" s="48">
        <f t="shared" si="108"/>
        <v>2283</v>
      </c>
      <c r="L2277" s="114" t="str" cm="1">
        <f t="array" aca="1" ref="L2277" ca="1">IF(F2277&lt;&gt;"",INDIRECT("'"&amp;F2277&amp;"'!$F$17"),"")</f>
        <v/>
      </c>
      <c r="M2277" s="116" t="str">
        <f t="shared" ca="1" si="106"/>
        <v/>
      </c>
      <c r="O2277" s="49" t="str">
        <f t="shared" ca="1" si="107"/>
        <v/>
      </c>
      <c r="P2277" s="38" t="str">
        <f>IF(E2277&lt;&gt;"",RANK(E2277,$E$3:$E$2298)+COUNTIF($E$3:E2277,E2277)-1,"")</f>
        <v/>
      </c>
    </row>
    <row r="2278" spans="4:16" x14ac:dyDescent="0.25">
      <c r="D2278" s="36" t="str" cm="1">
        <f t="array" aca="1" ref="D2278" ca="1">IFERROR(IF(INDIRECT("'"&amp;F2278&amp;"'!$C$5")&gt;0,DATE(YEAR(Dashboard!$AL$2),Dashboard!$AU$4,INDIRECT("'"&amp;F2278&amp;"'!$C$5")),""),"")</f>
        <v/>
      </c>
      <c r="G2278" s="38" t="str" cm="1">
        <f t="array" aca="1" ref="G2278" ca="1">IF(F2278="",
    "",
    IFERROR(
        IF(INDIRECT("'"&amp;F2278&amp;"'!$B$2")="Credit Limit",
            "Credit Accounts",
            IF(INDIRECT("'"&amp;F2278&amp;"'!$E$2")="Location",
                "Cash Accounts",
                IF(INDIRECT("'"&amp;F2278&amp;"'!$B$2")="Amount",
                    "Investments",
                    "Bill Accounts"
                )
            )
        ),
    "")
)</f>
        <v/>
      </c>
      <c r="I2278" s="46" t="str" cm="1">
        <f t="array" aca="1" ref="I2278" ca="1">IF(F2278&lt;&gt;"",IF(OR(G2278="Bill Accounts",G2278="Investments", G2278="Cash Accounts"),INDIRECT("'"&amp;F2278&amp;"'!$C$10"),INDIRECT("'"&amp;F2278&amp;"'!$C$8")),"")</f>
        <v/>
      </c>
      <c r="K2278" s="48">
        <f t="shared" si="108"/>
        <v>2284</v>
      </c>
      <c r="L2278" s="114" t="str" cm="1">
        <f t="array" aca="1" ref="L2278" ca="1">IF(F2278&lt;&gt;"",INDIRECT("'"&amp;F2278&amp;"'!$F$17"),"")</f>
        <v/>
      </c>
      <c r="M2278" s="116" t="str">
        <f t="shared" ca="1" si="106"/>
        <v/>
      </c>
      <c r="O2278" s="49" t="str">
        <f t="shared" ca="1" si="107"/>
        <v/>
      </c>
      <c r="P2278" s="38" t="str">
        <f>IF(E2278&lt;&gt;"",RANK(E2278,$E$3:$E$2298)+COUNTIF($E$3:E2278,E2278)-1,"")</f>
        <v/>
      </c>
    </row>
    <row r="2279" spans="4:16" x14ac:dyDescent="0.25">
      <c r="D2279" s="36" t="str" cm="1">
        <f t="array" aca="1" ref="D2279" ca="1">IFERROR(IF(INDIRECT("'"&amp;F2279&amp;"'!$C$5")&gt;0,DATE(YEAR(Dashboard!$AL$2),Dashboard!$AU$4,INDIRECT("'"&amp;F2279&amp;"'!$C$5")),""),"")</f>
        <v/>
      </c>
      <c r="G2279" s="38" t="str" cm="1">
        <f t="array" aca="1" ref="G2279" ca="1">IF(F2279="",
    "",
    IFERROR(
        IF(INDIRECT("'"&amp;F2279&amp;"'!$B$2")="Credit Limit",
            "Credit Accounts",
            IF(INDIRECT("'"&amp;F2279&amp;"'!$E$2")="Location",
                "Cash Accounts",
                IF(INDIRECT("'"&amp;F2279&amp;"'!$B$2")="Amount",
                    "Investments",
                    "Bill Accounts"
                )
            )
        ),
    "")
)</f>
        <v/>
      </c>
      <c r="I2279" s="46" t="str" cm="1">
        <f t="array" aca="1" ref="I2279" ca="1">IF(F2279&lt;&gt;"",IF(OR(G2279="Bill Accounts",G2279="Investments", G2279="Cash Accounts"),INDIRECT("'"&amp;F2279&amp;"'!$C$10"),INDIRECT("'"&amp;F2279&amp;"'!$C$8")),"")</f>
        <v/>
      </c>
      <c r="K2279" s="48">
        <f t="shared" si="108"/>
        <v>2285</v>
      </c>
      <c r="L2279" s="114" t="str" cm="1">
        <f t="array" aca="1" ref="L2279" ca="1">IF(F2279&lt;&gt;"",INDIRECT("'"&amp;F2279&amp;"'!$F$17"),"")</f>
        <v/>
      </c>
      <c r="M2279" s="116" t="str">
        <f t="shared" ca="1" si="106"/>
        <v/>
      </c>
      <c r="O2279" s="49" t="str">
        <f t="shared" ca="1" si="107"/>
        <v/>
      </c>
      <c r="P2279" s="38" t="str">
        <f>IF(E2279&lt;&gt;"",RANK(E2279,$E$3:$E$2298)+COUNTIF($E$3:E2279,E2279)-1,"")</f>
        <v/>
      </c>
    </row>
    <row r="2280" spans="4:16" x14ac:dyDescent="0.25">
      <c r="D2280" s="36" t="str" cm="1">
        <f t="array" aca="1" ref="D2280" ca="1">IFERROR(IF(INDIRECT("'"&amp;F2280&amp;"'!$C$5")&gt;0,DATE(YEAR(Dashboard!$AL$2),Dashboard!$AU$4,INDIRECT("'"&amp;F2280&amp;"'!$C$5")),""),"")</f>
        <v/>
      </c>
      <c r="G2280" s="38" t="str" cm="1">
        <f t="array" aca="1" ref="G2280" ca="1">IF(F2280="",
    "",
    IFERROR(
        IF(INDIRECT("'"&amp;F2280&amp;"'!$B$2")="Credit Limit",
            "Credit Accounts",
            IF(INDIRECT("'"&amp;F2280&amp;"'!$E$2")="Location",
                "Cash Accounts",
                IF(INDIRECT("'"&amp;F2280&amp;"'!$B$2")="Amount",
                    "Investments",
                    "Bill Accounts"
                )
            )
        ),
    "")
)</f>
        <v/>
      </c>
      <c r="I2280" s="46" t="str" cm="1">
        <f t="array" aca="1" ref="I2280" ca="1">IF(F2280&lt;&gt;"",IF(OR(G2280="Bill Accounts",G2280="Investments", G2280="Cash Accounts"),INDIRECT("'"&amp;F2280&amp;"'!$C$10"),INDIRECT("'"&amp;F2280&amp;"'!$C$8")),"")</f>
        <v/>
      </c>
      <c r="K2280" s="48">
        <f t="shared" si="108"/>
        <v>2286</v>
      </c>
      <c r="L2280" s="114" t="str" cm="1">
        <f t="array" aca="1" ref="L2280" ca="1">IF(F2280&lt;&gt;"",INDIRECT("'"&amp;F2280&amp;"'!$F$17"),"")</f>
        <v/>
      </c>
      <c r="M2280" s="116" t="str">
        <f t="shared" ca="1" si="106"/>
        <v/>
      </c>
      <c r="O2280" s="49" t="str">
        <f t="shared" ca="1" si="107"/>
        <v/>
      </c>
      <c r="P2280" s="38" t="str">
        <f>IF(E2280&lt;&gt;"",RANK(E2280,$E$3:$E$2298)+COUNTIF($E$3:E2280,E2280)-1,"")</f>
        <v/>
      </c>
    </row>
    <row r="2281" spans="4:16" x14ac:dyDescent="0.25">
      <c r="D2281" s="36" t="str" cm="1">
        <f t="array" aca="1" ref="D2281" ca="1">IFERROR(IF(INDIRECT("'"&amp;F2281&amp;"'!$C$5")&gt;0,DATE(YEAR(Dashboard!$AL$2),Dashboard!$AU$4,INDIRECT("'"&amp;F2281&amp;"'!$C$5")),""),"")</f>
        <v/>
      </c>
      <c r="G2281" s="38" t="str" cm="1">
        <f t="array" aca="1" ref="G2281" ca="1">IF(F2281="",
    "",
    IFERROR(
        IF(INDIRECT("'"&amp;F2281&amp;"'!$B$2")="Credit Limit",
            "Credit Accounts",
            IF(INDIRECT("'"&amp;F2281&amp;"'!$E$2")="Location",
                "Cash Accounts",
                IF(INDIRECT("'"&amp;F2281&amp;"'!$B$2")="Amount",
                    "Investments",
                    "Bill Accounts"
                )
            )
        ),
    "")
)</f>
        <v/>
      </c>
      <c r="I2281" s="46" t="str" cm="1">
        <f t="array" aca="1" ref="I2281" ca="1">IF(F2281&lt;&gt;"",IF(OR(G2281="Bill Accounts",G2281="Investments", G2281="Cash Accounts"),INDIRECT("'"&amp;F2281&amp;"'!$C$10"),INDIRECT("'"&amp;F2281&amp;"'!$C$8")),"")</f>
        <v/>
      </c>
      <c r="K2281" s="48">
        <f t="shared" si="108"/>
        <v>2287</v>
      </c>
      <c r="L2281" s="114" t="str" cm="1">
        <f t="array" aca="1" ref="L2281" ca="1">IF(F2281&lt;&gt;"",INDIRECT("'"&amp;F2281&amp;"'!$F$17"),"")</f>
        <v/>
      </c>
      <c r="M2281" s="116" t="str">
        <f t="shared" ca="1" si="106"/>
        <v/>
      </c>
      <c r="O2281" s="49" t="str">
        <f t="shared" ca="1" si="107"/>
        <v/>
      </c>
      <c r="P2281" s="38" t="str">
        <f>IF(E2281&lt;&gt;"",RANK(E2281,$E$3:$E$2298)+COUNTIF($E$3:E2281,E2281)-1,"")</f>
        <v/>
      </c>
    </row>
    <row r="2282" spans="4:16" x14ac:dyDescent="0.25">
      <c r="D2282" s="36" t="str" cm="1">
        <f t="array" aca="1" ref="D2282" ca="1">IFERROR(IF(INDIRECT("'"&amp;F2282&amp;"'!$C$5")&gt;0,DATE(YEAR(Dashboard!$AL$2),Dashboard!$AU$4,INDIRECT("'"&amp;F2282&amp;"'!$C$5")),""),"")</f>
        <v/>
      </c>
      <c r="G2282" s="38" t="str" cm="1">
        <f t="array" aca="1" ref="G2282" ca="1">IF(F2282="",
    "",
    IFERROR(
        IF(INDIRECT("'"&amp;F2282&amp;"'!$B$2")="Credit Limit",
            "Credit Accounts",
            IF(INDIRECT("'"&amp;F2282&amp;"'!$E$2")="Location",
                "Cash Accounts",
                IF(INDIRECT("'"&amp;F2282&amp;"'!$B$2")="Amount",
                    "Investments",
                    "Bill Accounts"
                )
            )
        ),
    "")
)</f>
        <v/>
      </c>
      <c r="I2282" s="46" t="str" cm="1">
        <f t="array" aca="1" ref="I2282" ca="1">IF(F2282&lt;&gt;"",IF(OR(G2282="Bill Accounts",G2282="Investments", G2282="Cash Accounts"),INDIRECT("'"&amp;F2282&amp;"'!$C$10"),INDIRECT("'"&amp;F2282&amp;"'!$C$8")),"")</f>
        <v/>
      </c>
      <c r="K2282" s="48">
        <f t="shared" si="108"/>
        <v>2288</v>
      </c>
      <c r="L2282" s="114" t="str" cm="1">
        <f t="array" aca="1" ref="L2282" ca="1">IF(F2282&lt;&gt;"",INDIRECT("'"&amp;F2282&amp;"'!$F$17"),"")</f>
        <v/>
      </c>
      <c r="M2282" s="116" t="str">
        <f t="shared" ca="1" si="106"/>
        <v/>
      </c>
      <c r="O2282" s="49" t="str">
        <f t="shared" ca="1" si="107"/>
        <v/>
      </c>
      <c r="P2282" s="38" t="str">
        <f>IF(E2282&lt;&gt;"",RANK(E2282,$E$3:$E$2298)+COUNTIF($E$3:E2282,E2282)-1,"")</f>
        <v/>
      </c>
    </row>
    <row r="2283" spans="4:16" x14ac:dyDescent="0.25">
      <c r="D2283" s="36" t="str" cm="1">
        <f t="array" aca="1" ref="D2283" ca="1">IFERROR(IF(INDIRECT("'"&amp;F2283&amp;"'!$C$5")&gt;0,DATE(YEAR(Dashboard!$AL$2),Dashboard!$AU$4,INDIRECT("'"&amp;F2283&amp;"'!$C$5")),""),"")</f>
        <v/>
      </c>
      <c r="G2283" s="38" t="str" cm="1">
        <f t="array" aca="1" ref="G2283" ca="1">IF(F2283="",
    "",
    IFERROR(
        IF(INDIRECT("'"&amp;F2283&amp;"'!$B$2")="Credit Limit",
            "Credit Accounts",
            IF(INDIRECT("'"&amp;F2283&amp;"'!$E$2")="Location",
                "Cash Accounts",
                IF(INDIRECT("'"&amp;F2283&amp;"'!$B$2")="Amount",
                    "Investments",
                    "Bill Accounts"
                )
            )
        ),
    "")
)</f>
        <v/>
      </c>
      <c r="I2283" s="46" t="str" cm="1">
        <f t="array" aca="1" ref="I2283" ca="1">IF(F2283&lt;&gt;"",IF(OR(G2283="Bill Accounts",G2283="Investments", G2283="Cash Accounts"),INDIRECT("'"&amp;F2283&amp;"'!$C$10"),INDIRECT("'"&amp;F2283&amp;"'!$C$8")),"")</f>
        <v/>
      </c>
      <c r="K2283" s="48">
        <f t="shared" si="108"/>
        <v>2289</v>
      </c>
      <c r="L2283" s="114" t="str" cm="1">
        <f t="array" aca="1" ref="L2283" ca="1">IF(F2283&lt;&gt;"",INDIRECT("'"&amp;F2283&amp;"'!$F$17"),"")</f>
        <v/>
      </c>
      <c r="M2283" s="116" t="str">
        <f t="shared" ca="1" si="106"/>
        <v/>
      </c>
      <c r="O2283" s="49" t="str">
        <f t="shared" ca="1" si="107"/>
        <v/>
      </c>
      <c r="P2283" s="38" t="str">
        <f>IF(E2283&lt;&gt;"",RANK(E2283,$E$3:$E$2298)+COUNTIF($E$3:E2283,E2283)-1,"")</f>
        <v/>
      </c>
    </row>
    <row r="2284" spans="4:16" x14ac:dyDescent="0.25">
      <c r="D2284" s="36" t="str" cm="1">
        <f t="array" aca="1" ref="D2284" ca="1">IFERROR(IF(INDIRECT("'"&amp;F2284&amp;"'!$C$5")&gt;0,DATE(YEAR(Dashboard!$AL$2),Dashboard!$AU$4,INDIRECT("'"&amp;F2284&amp;"'!$C$5")),""),"")</f>
        <v/>
      </c>
      <c r="G2284" s="38" t="str" cm="1">
        <f t="array" aca="1" ref="G2284" ca="1">IF(F2284="",
    "",
    IFERROR(
        IF(INDIRECT("'"&amp;F2284&amp;"'!$B$2")="Credit Limit",
            "Credit Accounts",
            IF(INDIRECT("'"&amp;F2284&amp;"'!$E$2")="Location",
                "Cash Accounts",
                IF(INDIRECT("'"&amp;F2284&amp;"'!$B$2")="Amount",
                    "Investments",
                    "Bill Accounts"
                )
            )
        ),
    "")
)</f>
        <v/>
      </c>
      <c r="I2284" s="46" t="str" cm="1">
        <f t="array" aca="1" ref="I2284" ca="1">IF(F2284&lt;&gt;"",IF(OR(G2284="Bill Accounts",G2284="Investments", G2284="Cash Accounts"),INDIRECT("'"&amp;F2284&amp;"'!$C$10"),INDIRECT("'"&amp;F2284&amp;"'!$C$8")),"")</f>
        <v/>
      </c>
      <c r="K2284" s="48">
        <f t="shared" si="108"/>
        <v>2290</v>
      </c>
      <c r="L2284" s="114" t="str" cm="1">
        <f t="array" aca="1" ref="L2284" ca="1">IF(F2284&lt;&gt;"",INDIRECT("'"&amp;F2284&amp;"'!$F$17"),"")</f>
        <v/>
      </c>
      <c r="M2284" s="116" t="str">
        <f t="shared" ca="1" si="106"/>
        <v/>
      </c>
      <c r="O2284" s="49" t="str">
        <f t="shared" ca="1" si="107"/>
        <v/>
      </c>
      <c r="P2284" s="38" t="str">
        <f>IF(E2284&lt;&gt;"",RANK(E2284,$E$3:$E$2298)+COUNTIF($E$3:E2284,E2284)-1,"")</f>
        <v/>
      </c>
    </row>
    <row r="2285" spans="4:16" x14ac:dyDescent="0.25">
      <c r="D2285" s="36" t="str" cm="1">
        <f t="array" aca="1" ref="D2285" ca="1">IFERROR(IF(INDIRECT("'"&amp;F2285&amp;"'!$C$5")&gt;0,DATE(YEAR(Dashboard!$AL$2),Dashboard!$AU$4,INDIRECT("'"&amp;F2285&amp;"'!$C$5")),""),"")</f>
        <v/>
      </c>
      <c r="G2285" s="38" t="str" cm="1">
        <f t="array" aca="1" ref="G2285" ca="1">IF(F2285="",
    "",
    IFERROR(
        IF(INDIRECT("'"&amp;F2285&amp;"'!$B$2")="Credit Limit",
            "Credit Accounts",
            IF(INDIRECT("'"&amp;F2285&amp;"'!$E$2")="Location",
                "Cash Accounts",
                IF(INDIRECT("'"&amp;F2285&amp;"'!$B$2")="Amount",
                    "Investments",
                    "Bill Accounts"
                )
            )
        ),
    "")
)</f>
        <v/>
      </c>
      <c r="I2285" s="46" t="str" cm="1">
        <f t="array" aca="1" ref="I2285" ca="1">IF(F2285&lt;&gt;"",IF(OR(G2285="Bill Accounts",G2285="Investments", G2285="Cash Accounts"),INDIRECT("'"&amp;F2285&amp;"'!$C$10"),INDIRECT("'"&amp;F2285&amp;"'!$C$8")),"")</f>
        <v/>
      </c>
      <c r="K2285" s="48">
        <f t="shared" si="108"/>
        <v>2291</v>
      </c>
      <c r="L2285" s="114" t="str" cm="1">
        <f t="array" aca="1" ref="L2285" ca="1">IF(F2285&lt;&gt;"",INDIRECT("'"&amp;F2285&amp;"'!$F$17"),"")</f>
        <v/>
      </c>
      <c r="M2285" s="116" t="str">
        <f t="shared" ca="1" si="106"/>
        <v/>
      </c>
      <c r="O2285" s="49" t="str">
        <f t="shared" ca="1" si="107"/>
        <v/>
      </c>
      <c r="P2285" s="38" t="str">
        <f>IF(E2285&lt;&gt;"",RANK(E2285,$E$3:$E$2298)+COUNTIF($E$3:E2285,E2285)-1,"")</f>
        <v/>
      </c>
    </row>
    <row r="2286" spans="4:16" x14ac:dyDescent="0.25">
      <c r="D2286" s="36" t="str" cm="1">
        <f t="array" aca="1" ref="D2286" ca="1">IFERROR(IF(INDIRECT("'"&amp;F2286&amp;"'!$C$5")&gt;0,DATE(YEAR(Dashboard!$AL$2),Dashboard!$AU$4,INDIRECT("'"&amp;F2286&amp;"'!$C$5")),""),"")</f>
        <v/>
      </c>
      <c r="G2286" s="38" t="str" cm="1">
        <f t="array" aca="1" ref="G2286" ca="1">IF(F2286="",
    "",
    IFERROR(
        IF(INDIRECT("'"&amp;F2286&amp;"'!$B$2")="Credit Limit",
            "Credit Accounts",
            IF(INDIRECT("'"&amp;F2286&amp;"'!$E$2")="Location",
                "Cash Accounts",
                IF(INDIRECT("'"&amp;F2286&amp;"'!$B$2")="Amount",
                    "Investments",
                    "Bill Accounts"
                )
            )
        ),
    "")
)</f>
        <v/>
      </c>
      <c r="I2286" s="46" t="str" cm="1">
        <f t="array" aca="1" ref="I2286" ca="1">IF(F2286&lt;&gt;"",IF(OR(G2286="Bill Accounts",G2286="Investments", G2286="Cash Accounts"),INDIRECT("'"&amp;F2286&amp;"'!$C$10"),INDIRECT("'"&amp;F2286&amp;"'!$C$8")),"")</f>
        <v/>
      </c>
      <c r="K2286" s="48">
        <f t="shared" si="108"/>
        <v>2292</v>
      </c>
      <c r="L2286" s="114" t="str" cm="1">
        <f t="array" aca="1" ref="L2286" ca="1">IF(F2286&lt;&gt;"",INDIRECT("'"&amp;F2286&amp;"'!$F$17"),"")</f>
        <v/>
      </c>
      <c r="M2286" s="116" t="str">
        <f t="shared" ca="1" si="106"/>
        <v/>
      </c>
      <c r="O2286" s="49" t="str">
        <f t="shared" ca="1" si="107"/>
        <v/>
      </c>
      <c r="P2286" s="38" t="str">
        <f>IF(E2286&lt;&gt;"",RANK(E2286,$E$3:$E$2298)+COUNTIF($E$3:E2286,E2286)-1,"")</f>
        <v/>
      </c>
    </row>
    <row r="2287" spans="4:16" x14ac:dyDescent="0.25">
      <c r="D2287" s="36" t="str" cm="1">
        <f t="array" aca="1" ref="D2287" ca="1">IFERROR(IF(INDIRECT("'"&amp;F2287&amp;"'!$C$5")&gt;0,DATE(YEAR(Dashboard!$AL$2),Dashboard!$AU$4,INDIRECT("'"&amp;F2287&amp;"'!$C$5")),""),"")</f>
        <v/>
      </c>
      <c r="G2287" s="38" t="str" cm="1">
        <f t="array" aca="1" ref="G2287" ca="1">IF(F2287="",
    "",
    IFERROR(
        IF(INDIRECT("'"&amp;F2287&amp;"'!$B$2")="Credit Limit",
            "Credit Accounts",
            IF(INDIRECT("'"&amp;F2287&amp;"'!$E$2")="Location",
                "Cash Accounts",
                IF(INDIRECT("'"&amp;F2287&amp;"'!$B$2")="Amount",
                    "Investments",
                    "Bill Accounts"
                )
            )
        ),
    "")
)</f>
        <v/>
      </c>
      <c r="I2287" s="46" t="str" cm="1">
        <f t="array" aca="1" ref="I2287" ca="1">IF(F2287&lt;&gt;"",IF(OR(G2287="Bill Accounts",G2287="Investments", G2287="Cash Accounts"),INDIRECT("'"&amp;F2287&amp;"'!$C$10"),INDIRECT("'"&amp;F2287&amp;"'!$C$8")),"")</f>
        <v/>
      </c>
      <c r="K2287" s="48">
        <f t="shared" si="108"/>
        <v>2293</v>
      </c>
      <c r="L2287" s="114" t="str" cm="1">
        <f t="array" aca="1" ref="L2287" ca="1">IF(F2287&lt;&gt;"",INDIRECT("'"&amp;F2287&amp;"'!$F$17"),"")</f>
        <v/>
      </c>
      <c r="M2287" s="116" t="str">
        <f t="shared" ca="1" si="106"/>
        <v/>
      </c>
      <c r="O2287" s="49" t="str">
        <f t="shared" ca="1" si="107"/>
        <v/>
      </c>
      <c r="P2287" s="38" t="str">
        <f>IF(E2287&lt;&gt;"",RANK(E2287,$E$3:$E$2298)+COUNTIF($E$3:E2287,E2287)-1,"")</f>
        <v/>
      </c>
    </row>
    <row r="2288" spans="4:16" x14ac:dyDescent="0.25">
      <c r="D2288" s="36" t="str" cm="1">
        <f t="array" aca="1" ref="D2288" ca="1">IFERROR(IF(INDIRECT("'"&amp;F2288&amp;"'!$C$5")&gt;0,DATE(YEAR(Dashboard!$AL$2),Dashboard!$AU$4,INDIRECT("'"&amp;F2288&amp;"'!$C$5")),""),"")</f>
        <v/>
      </c>
      <c r="G2288" s="38" t="str" cm="1">
        <f t="array" aca="1" ref="G2288" ca="1">IF(F2288="",
    "",
    IFERROR(
        IF(INDIRECT("'"&amp;F2288&amp;"'!$B$2")="Credit Limit",
            "Credit Accounts",
            IF(INDIRECT("'"&amp;F2288&amp;"'!$E$2")="Location",
                "Cash Accounts",
                IF(INDIRECT("'"&amp;F2288&amp;"'!$B$2")="Amount",
                    "Investments",
                    "Bill Accounts"
                )
            )
        ),
    "")
)</f>
        <v/>
      </c>
      <c r="I2288" s="46" t="str" cm="1">
        <f t="array" aca="1" ref="I2288" ca="1">IF(F2288&lt;&gt;"",IF(OR(G2288="Bill Accounts",G2288="Investments", G2288="Cash Accounts"),INDIRECT("'"&amp;F2288&amp;"'!$C$10"),INDIRECT("'"&amp;F2288&amp;"'!$C$8")),"")</f>
        <v/>
      </c>
      <c r="K2288" s="48">
        <f t="shared" si="108"/>
        <v>2294</v>
      </c>
      <c r="L2288" s="114" t="str" cm="1">
        <f t="array" aca="1" ref="L2288" ca="1">IF(F2288&lt;&gt;"",INDIRECT("'"&amp;F2288&amp;"'!$F$17"),"")</f>
        <v/>
      </c>
      <c r="M2288" s="116" t="str">
        <f t="shared" ca="1" si="106"/>
        <v/>
      </c>
      <c r="O2288" s="49" t="str">
        <f t="shared" ca="1" si="107"/>
        <v/>
      </c>
      <c r="P2288" s="38" t="str">
        <f>IF(E2288&lt;&gt;"",RANK(E2288,$E$3:$E$2298)+COUNTIF($E$3:E2288,E2288)-1,"")</f>
        <v/>
      </c>
    </row>
    <row r="2289" spans="4:16" x14ac:dyDescent="0.25">
      <c r="D2289" s="36" t="str" cm="1">
        <f t="array" aca="1" ref="D2289" ca="1">IFERROR(IF(INDIRECT("'"&amp;F2289&amp;"'!$C$5")&gt;0,DATE(YEAR(Dashboard!$AL$2),Dashboard!$AU$4,INDIRECT("'"&amp;F2289&amp;"'!$C$5")),""),"")</f>
        <v/>
      </c>
      <c r="G2289" s="38" t="str" cm="1">
        <f t="array" aca="1" ref="G2289" ca="1">IF(F2289="",
    "",
    IFERROR(
        IF(INDIRECT("'"&amp;F2289&amp;"'!$B$2")="Credit Limit",
            "Credit Accounts",
            IF(INDIRECT("'"&amp;F2289&amp;"'!$E$2")="Location",
                "Cash Accounts",
                IF(INDIRECT("'"&amp;F2289&amp;"'!$B$2")="Amount",
                    "Investments",
                    "Bill Accounts"
                )
            )
        ),
    "")
)</f>
        <v/>
      </c>
      <c r="I2289" s="46" t="str" cm="1">
        <f t="array" aca="1" ref="I2289" ca="1">IF(F2289&lt;&gt;"",IF(OR(G2289="Bill Accounts",G2289="Investments", G2289="Cash Accounts"),INDIRECT("'"&amp;F2289&amp;"'!$C$10"),INDIRECT("'"&amp;F2289&amp;"'!$C$8")),"")</f>
        <v/>
      </c>
      <c r="K2289" s="48">
        <f t="shared" si="108"/>
        <v>2295</v>
      </c>
      <c r="L2289" s="114" t="str" cm="1">
        <f t="array" aca="1" ref="L2289" ca="1">IF(F2289&lt;&gt;"",INDIRECT("'"&amp;F2289&amp;"'!$F$17"),"")</f>
        <v/>
      </c>
      <c r="M2289" s="116" t="str">
        <f t="shared" ca="1" si="106"/>
        <v/>
      </c>
      <c r="O2289" s="49" t="str">
        <f t="shared" ca="1" si="107"/>
        <v/>
      </c>
      <c r="P2289" s="38" t="str">
        <f>IF(E2289&lt;&gt;"",RANK(E2289,$E$3:$E$2298)+COUNTIF($E$3:E2289,E2289)-1,"")</f>
        <v/>
      </c>
    </row>
    <row r="2290" spans="4:16" x14ac:dyDescent="0.25">
      <c r="D2290" s="36" t="str" cm="1">
        <f t="array" aca="1" ref="D2290" ca="1">IFERROR(IF(INDIRECT("'"&amp;F2290&amp;"'!$C$5")&gt;0,DATE(YEAR(Dashboard!$AL$2),Dashboard!$AU$4,INDIRECT("'"&amp;F2290&amp;"'!$C$5")),""),"")</f>
        <v/>
      </c>
      <c r="G2290" s="38" t="str" cm="1">
        <f t="array" aca="1" ref="G2290" ca="1">IF(F2290="",
    "",
    IFERROR(
        IF(INDIRECT("'"&amp;F2290&amp;"'!$B$2")="Credit Limit",
            "Credit Accounts",
            IF(INDIRECT("'"&amp;F2290&amp;"'!$E$2")="Location",
                "Cash Accounts",
                IF(INDIRECT("'"&amp;F2290&amp;"'!$B$2")="Amount",
                    "Investments",
                    "Bill Accounts"
                )
            )
        ),
    "")
)</f>
        <v/>
      </c>
      <c r="I2290" s="46" t="str" cm="1">
        <f t="array" aca="1" ref="I2290" ca="1">IF(F2290&lt;&gt;"",IF(OR(G2290="Bill Accounts",G2290="Investments", G2290="Cash Accounts"),INDIRECT("'"&amp;F2290&amp;"'!$C$10"),INDIRECT("'"&amp;F2290&amp;"'!$C$8")),"")</f>
        <v/>
      </c>
      <c r="K2290" s="48">
        <f t="shared" si="108"/>
        <v>2296</v>
      </c>
      <c r="L2290" s="114" t="str" cm="1">
        <f t="array" aca="1" ref="L2290" ca="1">IF(F2290&lt;&gt;"",INDIRECT("'"&amp;F2290&amp;"'!$F$17"),"")</f>
        <v/>
      </c>
      <c r="M2290" s="116" t="str">
        <f t="shared" ca="1" si="106"/>
        <v/>
      </c>
      <c r="O2290" s="49" t="str">
        <f t="shared" ca="1" si="107"/>
        <v/>
      </c>
      <c r="P2290" s="38" t="str">
        <f>IF(E2290&lt;&gt;"",RANK(E2290,$E$3:$E$2298)+COUNTIF($E$3:E2290,E2290)-1,"")</f>
        <v/>
      </c>
    </row>
    <row r="2291" spans="4:16" x14ac:dyDescent="0.25">
      <c r="D2291" s="36" t="str" cm="1">
        <f t="array" aca="1" ref="D2291" ca="1">IFERROR(IF(INDIRECT("'"&amp;F2291&amp;"'!$C$5")&gt;0,DATE(YEAR(Dashboard!$AL$2),Dashboard!$AU$4,INDIRECT("'"&amp;F2291&amp;"'!$C$5")),""),"")</f>
        <v/>
      </c>
      <c r="G2291" s="38" t="str" cm="1">
        <f t="array" aca="1" ref="G2291" ca="1">IF(F2291="",
    "",
    IFERROR(
        IF(INDIRECT("'"&amp;F2291&amp;"'!$B$2")="Credit Limit",
            "Credit Accounts",
            IF(INDIRECT("'"&amp;F2291&amp;"'!$E$2")="Location",
                "Cash Accounts",
                IF(INDIRECT("'"&amp;F2291&amp;"'!$B$2")="Amount",
                    "Investments",
                    "Bill Accounts"
                )
            )
        ),
    "")
)</f>
        <v/>
      </c>
      <c r="I2291" s="46" t="str" cm="1">
        <f t="array" aca="1" ref="I2291" ca="1">IF(F2291&lt;&gt;"",IF(OR(G2291="Bill Accounts",G2291="Investments", G2291="Cash Accounts"),INDIRECT("'"&amp;F2291&amp;"'!$C$10"),INDIRECT("'"&amp;F2291&amp;"'!$C$8")),"")</f>
        <v/>
      </c>
      <c r="K2291" s="48">
        <f t="shared" si="108"/>
        <v>2297</v>
      </c>
      <c r="L2291" s="114" t="str" cm="1">
        <f t="array" aca="1" ref="L2291" ca="1">IF(F2291&lt;&gt;"",INDIRECT("'"&amp;F2291&amp;"'!$F$17"),"")</f>
        <v/>
      </c>
      <c r="M2291" s="116" t="str">
        <f t="shared" ca="1" si="106"/>
        <v/>
      </c>
      <c r="O2291" s="49" t="str">
        <f t="shared" ca="1" si="107"/>
        <v/>
      </c>
      <c r="P2291" s="38" t="str">
        <f>IF(E2291&lt;&gt;"",RANK(E2291,$E$3:$E$2298)+COUNTIF($E$3:E2291,E2291)-1,"")</f>
        <v/>
      </c>
    </row>
    <row r="2292" spans="4:16" x14ac:dyDescent="0.25">
      <c r="D2292" s="36" t="str" cm="1">
        <f t="array" aca="1" ref="D2292" ca="1">IFERROR(IF(INDIRECT("'"&amp;F2292&amp;"'!$C$5")&gt;0,DATE(YEAR(Dashboard!$AL$2),Dashboard!$AU$4,INDIRECT("'"&amp;F2292&amp;"'!$C$5")),""),"")</f>
        <v/>
      </c>
      <c r="G2292" s="38" t="str" cm="1">
        <f t="array" aca="1" ref="G2292" ca="1">IF(F2292="",
    "",
    IFERROR(
        IF(INDIRECT("'"&amp;F2292&amp;"'!$B$2")="Credit Limit",
            "Credit Accounts",
            IF(INDIRECT("'"&amp;F2292&amp;"'!$E$2")="Location",
                "Cash Accounts",
                IF(INDIRECT("'"&amp;F2292&amp;"'!$B$2")="Amount",
                    "Investments",
                    "Bill Accounts"
                )
            )
        ),
    "")
)</f>
        <v/>
      </c>
      <c r="I2292" s="46" t="str" cm="1">
        <f t="array" aca="1" ref="I2292" ca="1">IF(F2292&lt;&gt;"",IF(OR(G2292="Bill Accounts",G2292="Investments", G2292="Cash Accounts"),INDIRECT("'"&amp;F2292&amp;"'!$C$10"),INDIRECT("'"&amp;F2292&amp;"'!$C$8")),"")</f>
        <v/>
      </c>
      <c r="K2292" s="48">
        <f t="shared" si="108"/>
        <v>2298</v>
      </c>
      <c r="L2292" s="114" t="str" cm="1">
        <f t="array" aca="1" ref="L2292" ca="1">IF(F2292&lt;&gt;"",INDIRECT("'"&amp;F2292&amp;"'!$F$17"),"")</f>
        <v/>
      </c>
      <c r="M2292" s="116" t="str">
        <f t="shared" ca="1" si="106"/>
        <v/>
      </c>
      <c r="O2292" s="49" t="str">
        <f t="shared" ca="1" si="107"/>
        <v/>
      </c>
      <c r="P2292" s="38" t="str">
        <f>IF(E2292&lt;&gt;"",RANK(E2292,$E$3:$E$2298)+COUNTIF($E$3:E2292,E2292)-1,"")</f>
        <v/>
      </c>
    </row>
    <row r="2293" spans="4:16" x14ac:dyDescent="0.25">
      <c r="D2293" s="36" t="str" cm="1">
        <f t="array" aca="1" ref="D2293" ca="1">IFERROR(IF(INDIRECT("'"&amp;F2293&amp;"'!$C$5")&gt;0,DATE(YEAR(Dashboard!$AL$2),Dashboard!$AU$4,INDIRECT("'"&amp;F2293&amp;"'!$C$5")),""),"")</f>
        <v/>
      </c>
      <c r="G2293" s="38" t="str" cm="1">
        <f t="array" aca="1" ref="G2293" ca="1">IF(F2293="",
    "",
    IFERROR(
        IF(INDIRECT("'"&amp;F2293&amp;"'!$B$2")="Credit Limit",
            "Credit Accounts",
            IF(INDIRECT("'"&amp;F2293&amp;"'!$E$2")="Location",
                "Cash Accounts",
                IF(INDIRECT("'"&amp;F2293&amp;"'!$B$2")="Amount",
                    "Investments",
                    "Bill Accounts"
                )
            )
        ),
    "")
)</f>
        <v/>
      </c>
      <c r="I2293" s="46" t="str" cm="1">
        <f t="array" aca="1" ref="I2293" ca="1">IF(F2293&lt;&gt;"",IF(OR(G2293="Bill Accounts",G2293="Investments", G2293="Cash Accounts"),INDIRECT("'"&amp;F2293&amp;"'!$C$10"),INDIRECT("'"&amp;F2293&amp;"'!$C$8")),"")</f>
        <v/>
      </c>
      <c r="K2293" s="48">
        <f t="shared" si="108"/>
        <v>2299</v>
      </c>
      <c r="L2293" s="114" t="str" cm="1">
        <f t="array" aca="1" ref="L2293" ca="1">IF(F2293&lt;&gt;"",INDIRECT("'"&amp;F2293&amp;"'!$F$17"),"")</f>
        <v/>
      </c>
      <c r="M2293" s="116" t="str">
        <f t="shared" ca="1" si="106"/>
        <v/>
      </c>
      <c r="O2293" s="49" t="str">
        <f t="shared" ca="1" si="107"/>
        <v/>
      </c>
      <c r="P2293" s="38" t="str">
        <f>IF(E2293&lt;&gt;"",RANK(E2293,$E$3:$E$2298)+COUNTIF($E$3:E2293,E2293)-1,"")</f>
        <v/>
      </c>
    </row>
    <row r="2294" spans="4:16" x14ac:dyDescent="0.25">
      <c r="D2294" s="36" t="str" cm="1">
        <f t="array" aca="1" ref="D2294" ca="1">IFERROR(IF(INDIRECT("'"&amp;F2294&amp;"'!$C$5")&gt;0,DATE(YEAR(Dashboard!$AL$2),Dashboard!$AU$4,INDIRECT("'"&amp;F2294&amp;"'!$C$5")),""),"")</f>
        <v/>
      </c>
      <c r="G2294" s="38" t="str" cm="1">
        <f t="array" aca="1" ref="G2294" ca="1">IF(F2294="",
    "",
    IFERROR(
        IF(INDIRECT("'"&amp;F2294&amp;"'!$B$2")="Credit Limit",
            "Credit Accounts",
            IF(INDIRECT("'"&amp;F2294&amp;"'!$E$2")="Location",
                "Cash Accounts",
                IF(INDIRECT("'"&amp;F2294&amp;"'!$B$2")="Amount",
                    "Investments",
                    "Bill Accounts"
                )
            )
        ),
    "")
)</f>
        <v/>
      </c>
      <c r="I2294" s="46" t="str" cm="1">
        <f t="array" aca="1" ref="I2294" ca="1">IF(F2294&lt;&gt;"",IF(OR(G2294="Bill Accounts",G2294="Investments", G2294="Cash Accounts"),INDIRECT("'"&amp;F2294&amp;"'!$C$10"),INDIRECT("'"&amp;F2294&amp;"'!$C$8")),"")</f>
        <v/>
      </c>
      <c r="K2294" s="48">
        <f t="shared" si="108"/>
        <v>2300</v>
      </c>
      <c r="L2294" s="114" t="str" cm="1">
        <f t="array" aca="1" ref="L2294" ca="1">IF(F2294&lt;&gt;"",INDIRECT("'"&amp;F2294&amp;"'!$F$17"),"")</f>
        <v/>
      </c>
      <c r="M2294" s="116" t="str">
        <f t="shared" ca="1" si="106"/>
        <v/>
      </c>
      <c r="O2294" s="49" t="str">
        <f t="shared" ca="1" si="107"/>
        <v/>
      </c>
      <c r="P2294" s="38" t="str">
        <f>IF(E2294&lt;&gt;"",RANK(E2294,$E$3:$E$2298)+COUNTIF($E$3:E2294,E2294)-1,"")</f>
        <v/>
      </c>
    </row>
    <row r="2295" spans="4:16" x14ac:dyDescent="0.25">
      <c r="D2295" s="36" t="str" cm="1">
        <f t="array" aca="1" ref="D2295" ca="1">IFERROR(IF(INDIRECT("'"&amp;F2295&amp;"'!$C$5")&gt;0,DATE(YEAR(Dashboard!$AL$2),Dashboard!$AU$4,INDIRECT("'"&amp;F2295&amp;"'!$C$5")),""),"")</f>
        <v/>
      </c>
      <c r="G2295" s="38" t="str" cm="1">
        <f t="array" aca="1" ref="G2295" ca="1">IF(F2295="",
    "",
    IFERROR(
        IF(INDIRECT("'"&amp;F2295&amp;"'!$B$2")="Credit Limit",
            "Credit Accounts",
            IF(INDIRECT("'"&amp;F2295&amp;"'!$E$2")="Location",
                "Cash Accounts",
                IF(INDIRECT("'"&amp;F2295&amp;"'!$B$2")="Amount",
                    "Investments",
                    "Bill Accounts"
                )
            )
        ),
    "")
)</f>
        <v/>
      </c>
      <c r="I2295" s="46" t="str" cm="1">
        <f t="array" aca="1" ref="I2295" ca="1">IF(F2295&lt;&gt;"",IF(OR(G2295="Bill Accounts",G2295="Investments", G2295="Cash Accounts"),INDIRECT("'"&amp;F2295&amp;"'!$C$10"),INDIRECT("'"&amp;F2295&amp;"'!$C$8")),"")</f>
        <v/>
      </c>
      <c r="K2295" s="48">
        <f t="shared" si="108"/>
        <v>2301</v>
      </c>
      <c r="L2295" s="114" t="str" cm="1">
        <f t="array" aca="1" ref="L2295" ca="1">IF(F2295&lt;&gt;"",INDIRECT("'"&amp;F2295&amp;"'!$F$17"),"")</f>
        <v/>
      </c>
      <c r="M2295" s="116" t="str">
        <f t="shared" ca="1" si="106"/>
        <v/>
      </c>
      <c r="O2295" s="49" t="str">
        <f t="shared" ca="1" si="107"/>
        <v/>
      </c>
      <c r="P2295" s="38" t="str">
        <f>IF(E2295&lt;&gt;"",RANK(E2295,$E$3:$E$2298)+COUNTIF($E$3:E2295,E2295)-1,"")</f>
        <v/>
      </c>
    </row>
    <row r="2296" spans="4:16" x14ac:dyDescent="0.25">
      <c r="D2296" s="36" t="str" cm="1">
        <f t="array" aca="1" ref="D2296" ca="1">IFERROR(IF(INDIRECT("'"&amp;F2296&amp;"'!$C$5")&gt;0,DATE(YEAR(Dashboard!$AL$2),Dashboard!$AU$4,INDIRECT("'"&amp;F2296&amp;"'!$C$5")),""),"")</f>
        <v/>
      </c>
      <c r="G2296" s="38" t="str" cm="1">
        <f t="array" aca="1" ref="G2296" ca="1">IF(F2296="",
    "",
    IFERROR(
        IF(INDIRECT("'"&amp;F2296&amp;"'!$B$2")="Credit Limit",
            "Credit Accounts",
            IF(INDIRECT("'"&amp;F2296&amp;"'!$E$2")="Location",
                "Cash Accounts",
                IF(INDIRECT("'"&amp;F2296&amp;"'!$B$2")="Amount",
                    "Investments",
                    "Bill Accounts"
                )
            )
        ),
    "")
)</f>
        <v/>
      </c>
      <c r="I2296" s="46" t="str" cm="1">
        <f t="array" aca="1" ref="I2296" ca="1">IF(F2296&lt;&gt;"",IF(OR(G2296="Bill Accounts",G2296="Investments", G2296="Cash Accounts"),INDIRECT("'"&amp;F2296&amp;"'!$C$10"),INDIRECT("'"&amp;F2296&amp;"'!$C$8")),"")</f>
        <v/>
      </c>
      <c r="K2296" s="48">
        <f t="shared" si="108"/>
        <v>2302</v>
      </c>
      <c r="L2296" s="114" t="str" cm="1">
        <f t="array" aca="1" ref="L2296" ca="1">IF(F2296&lt;&gt;"",INDIRECT("'"&amp;F2296&amp;"'!$F$17"),"")</f>
        <v/>
      </c>
      <c r="M2296" s="116" t="str">
        <f t="shared" ca="1" si="106"/>
        <v/>
      </c>
      <c r="O2296" s="49" t="str">
        <f t="shared" ca="1" si="107"/>
        <v/>
      </c>
      <c r="P2296" s="38" t="str">
        <f>IF(E2296&lt;&gt;"",RANK(E2296,$E$3:$E$2298)+COUNTIF($E$3:E2296,E2296)-1,"")</f>
        <v/>
      </c>
    </row>
    <row r="2297" spans="4:16" x14ac:dyDescent="0.25">
      <c r="D2297" s="36" t="str" cm="1">
        <f t="array" aca="1" ref="D2297" ca="1">IFERROR(IF(INDIRECT("'"&amp;F2297&amp;"'!$C$5")&gt;0,DATE(YEAR(Dashboard!$AL$2),Dashboard!$AU$4,INDIRECT("'"&amp;F2297&amp;"'!$C$5")),""),"")</f>
        <v/>
      </c>
      <c r="G2297" s="38" t="str" cm="1">
        <f t="array" aca="1" ref="G2297" ca="1">IF(F2297="",
    "",
    IFERROR(
        IF(INDIRECT("'"&amp;F2297&amp;"'!$B$2")="Credit Limit",
            "Credit Accounts",
            IF(INDIRECT("'"&amp;F2297&amp;"'!$E$2")="Location",
                "Cash Accounts",
                IF(INDIRECT("'"&amp;F2297&amp;"'!$B$2")="Amount",
                    "Investments",
                    "Bill Accounts"
                )
            )
        ),
    "")
)</f>
        <v/>
      </c>
      <c r="I2297" s="46" t="str" cm="1">
        <f t="array" aca="1" ref="I2297" ca="1">IF(F2297&lt;&gt;"",IF(OR(G2297="Bill Accounts",G2297="Investments", G2297="Cash Accounts"),INDIRECT("'"&amp;F2297&amp;"'!$C$10"),INDIRECT("'"&amp;F2297&amp;"'!$C$8")),"")</f>
        <v/>
      </c>
      <c r="K2297" s="48">
        <f t="shared" si="108"/>
        <v>2303</v>
      </c>
      <c r="L2297" s="114" t="str" cm="1">
        <f t="array" aca="1" ref="L2297" ca="1">IF(F2297&lt;&gt;"",INDIRECT("'"&amp;F2297&amp;"'!$F$17"),"")</f>
        <v/>
      </c>
      <c r="M2297" s="116" t="str">
        <f t="shared" ca="1" si="106"/>
        <v/>
      </c>
      <c r="O2297" s="49" t="str">
        <f t="shared" ca="1" si="107"/>
        <v/>
      </c>
      <c r="P2297" s="38" t="str">
        <f>IF(E2297&lt;&gt;"",RANK(E2297,$E$3:$E$2298)+COUNTIF($E$3:E2297,E2297)-1,"")</f>
        <v/>
      </c>
    </row>
    <row r="2298" spans="4:16" x14ac:dyDescent="0.25">
      <c r="D2298" s="36" t="str" cm="1">
        <f t="array" aca="1" ref="D2298" ca="1">IFERROR(IF(INDIRECT("'"&amp;F2298&amp;"'!$C$5")&gt;0,DATE(YEAR(Dashboard!$AL$2),Dashboard!$AU$4,INDIRECT("'"&amp;F2298&amp;"'!$C$5")),""),"")</f>
        <v/>
      </c>
      <c r="G2298" s="38" t="str" cm="1">
        <f t="array" aca="1" ref="G2298" ca="1">IF(F2298="",
    "",
    IFERROR(
        IF(INDIRECT("'"&amp;F2298&amp;"'!$B$2")="Credit Limit",
            "Credit Accounts",
            IF(INDIRECT("'"&amp;F2298&amp;"'!$E$2")="Location",
                "Cash Accounts",
                IF(INDIRECT("'"&amp;F2298&amp;"'!$B$2")="Amount",
                    "Investments",
                    "Bill Accounts"
                )
            )
        ),
    "")
)</f>
        <v/>
      </c>
      <c r="I2298" s="46" t="str" cm="1">
        <f t="array" aca="1" ref="I2298" ca="1">IF(F2298&lt;&gt;"",IF(OR(G2298="Bill Accounts",G2298="Investments", G2298="Cash Accounts"),INDIRECT("'"&amp;F2298&amp;"'!$C$10"),INDIRECT("'"&amp;F2298&amp;"'!$C$8")),"")</f>
        <v/>
      </c>
      <c r="K2298" s="48">
        <f t="shared" si="108"/>
        <v>2304</v>
      </c>
      <c r="L2298" s="114" t="str" cm="1">
        <f t="array" aca="1" ref="L2298" ca="1">IF(F2298&lt;&gt;"",INDIRECT("'"&amp;F2298&amp;"'!$F$17"),"")</f>
        <v/>
      </c>
      <c r="M2298" s="116" t="str">
        <f t="shared" ca="1" si="106"/>
        <v/>
      </c>
      <c r="O2298" s="49" t="str">
        <f t="shared" ca="1" si="107"/>
        <v/>
      </c>
      <c r="P2298" s="38" t="str">
        <f>IF(E2298&lt;&gt;"",RANK(E2298,$E$3:$E$2298)+COUNTIF($E$3:E2298,E2298)-1,"")</f>
        <v/>
      </c>
    </row>
  </sheetData>
  <mergeCells count="1">
    <mergeCell ref="D1:P1"/>
  </mergeCells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33027-80EC-44FD-976B-8BCBB53AA370}">
  <sheetPr codeName="Sheet3"/>
  <dimension ref="A2:AMB40"/>
  <sheetViews>
    <sheetView tabSelected="1" workbookViewId="0">
      <selection activeCell="F1" sqref="F1"/>
    </sheetView>
  </sheetViews>
  <sheetFormatPr defaultRowHeight="15" x14ac:dyDescent="0.25"/>
  <cols>
    <col min="1" max="1" width="9.5703125" customWidth="1"/>
    <col min="2" max="2" width="22.85546875" bestFit="1" customWidth="1"/>
    <col min="3" max="3" width="15" bestFit="1" customWidth="1"/>
    <col min="4" max="4" width="10.5703125" bestFit="1" customWidth="1"/>
    <col min="5" max="5" width="15.7109375" customWidth="1"/>
    <col min="6" max="6" width="12.5703125" bestFit="1" customWidth="1"/>
    <col min="7" max="7" width="12.5703125" customWidth="1"/>
    <col min="8" max="8" width="12.5703125" style="22" customWidth="1"/>
    <col min="9" max="9" width="15.28515625" style="120" bestFit="1" customWidth="1"/>
    <col min="10" max="10" width="14.140625" bestFit="1" customWidth="1"/>
    <col min="11" max="11" width="14.140625" style="22" customWidth="1"/>
    <col min="12" max="12" width="13.42578125" bestFit="1" customWidth="1"/>
    <col min="13" max="21" width="10.42578125" bestFit="1" customWidth="1"/>
  </cols>
  <sheetData>
    <row r="2" spans="1:1016" x14ac:dyDescent="0.25">
      <c r="A2" s="196" t="s">
        <v>115</v>
      </c>
      <c r="B2" s="196"/>
      <c r="C2" s="102">
        <f>SUM(D:D)</f>
        <v>0</v>
      </c>
      <c r="D2" s="99"/>
      <c r="E2" s="101" t="str">
        <f>_xlfn.CONCAT([1]Dashboard!$AH$16, " income")</f>
        <v>March income</v>
      </c>
      <c r="F2" s="100">
        <f ca="1">Dashboard!AA12</f>
        <v>0</v>
      </c>
      <c r="G2" s="211"/>
      <c r="H2" s="100"/>
      <c r="I2" s="118"/>
      <c r="J2" s="211"/>
    </row>
    <row r="3" spans="1:1016" x14ac:dyDescent="0.25">
      <c r="A3" s="196" t="s">
        <v>108</v>
      </c>
      <c r="B3" s="196"/>
      <c r="C3" s="102">
        <f>IF(
    Dashboard!$N$24&gt;0,
    IF(
        SUM(
            Dashboard!N24-F3-Dashboard!BM9
        )&lt;0,
        0,
        Dashboard!N24-F3-Dashboard!BM9
    ),
    0
)</f>
        <v>0</v>
      </c>
      <c r="D3" s="99"/>
      <c r="E3" s="101" t="str">
        <f>_xlfn.CONCAT([1]Dashboard!$AH$16, " savings")</f>
        <v>March savings</v>
      </c>
      <c r="F3" s="100">
        <f ca="1">SUM(Dashboard!$BM$8*COUNTIFS(Income!$I$3:$I$150,"&gt;="&amp;Dashboard!$AL$2-DAY(Dashboard!$AL$2)+1,Income!$I$3:$I$150,"&lt;="&amp;EOMONTH(Dashboard!$AL$2,0)))</f>
        <v>0</v>
      </c>
      <c r="G3" s="211"/>
      <c r="H3" s="100"/>
      <c r="I3" s="118"/>
      <c r="J3" s="211"/>
    </row>
    <row r="4" spans="1:1016" x14ac:dyDescent="0.25">
      <c r="A4" s="196" t="s">
        <v>109</v>
      </c>
      <c r="B4" s="196"/>
      <c r="C4" s="102">
        <f>SUM(C2+C3)</f>
        <v>0</v>
      </c>
      <c r="D4" s="99"/>
      <c r="E4" s="101" t="str">
        <f>_xlfn.CONCAT([1]Dashboard!$AH$16," expenses")</f>
        <v>March expenses</v>
      </c>
      <c r="F4" s="103">
        <f ca="1">Dashboard!N8</f>
        <v>0</v>
      </c>
      <c r="G4" s="99"/>
      <c r="H4" s="100"/>
      <c r="I4" s="119"/>
      <c r="J4" s="99"/>
    </row>
    <row r="5" spans="1:1016" x14ac:dyDescent="0.25">
      <c r="K5"/>
    </row>
    <row r="6" spans="1:1016" x14ac:dyDescent="0.25">
      <c r="A6" s="106" t="s">
        <v>118</v>
      </c>
      <c r="B6" s="106" t="s">
        <v>72</v>
      </c>
      <c r="C6" s="106" t="s">
        <v>79</v>
      </c>
      <c r="D6" s="106" t="s">
        <v>111</v>
      </c>
      <c r="E6" s="106" t="s">
        <v>13</v>
      </c>
      <c r="F6" s="106" t="s">
        <v>5</v>
      </c>
      <c r="G6" s="106" t="s">
        <v>76</v>
      </c>
      <c r="H6" s="117" t="s">
        <v>119</v>
      </c>
      <c r="I6" s="121" t="s">
        <v>120</v>
      </c>
      <c r="J6" s="106" t="s">
        <v>126</v>
      </c>
      <c r="K6" s="107" t="str">
        <f>[1]Dashboard!$BM$7</f>
        <v>Snowball</v>
      </c>
      <c r="L6" s="108" t="s">
        <v>131</v>
      </c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  <c r="KO6" s="108"/>
      <c r="KP6" s="108"/>
      <c r="KQ6" s="108"/>
      <c r="KR6" s="108"/>
      <c r="KS6" s="108"/>
      <c r="KT6" s="108"/>
      <c r="KU6" s="108"/>
      <c r="KV6" s="108"/>
      <c r="KW6" s="108"/>
      <c r="KX6" s="108"/>
      <c r="KY6" s="108"/>
      <c r="KZ6" s="108"/>
      <c r="LA6" s="108"/>
      <c r="LB6" s="108"/>
      <c r="LC6" s="108"/>
      <c r="LD6" s="108"/>
      <c r="LE6" s="108"/>
      <c r="LF6" s="108"/>
      <c r="LG6" s="108"/>
      <c r="LH6" s="108"/>
      <c r="LI6" s="108"/>
      <c r="LJ6" s="108"/>
      <c r="LK6" s="108"/>
      <c r="LL6" s="108"/>
      <c r="LM6" s="108"/>
      <c r="LN6" s="108"/>
      <c r="LO6" s="108"/>
      <c r="LP6" s="108"/>
      <c r="LQ6" s="108"/>
      <c r="LR6" s="108"/>
      <c r="LS6" s="108"/>
      <c r="LT6" s="108"/>
      <c r="LU6" s="108"/>
      <c r="LV6" s="108"/>
      <c r="LW6" s="108"/>
      <c r="LX6" s="108"/>
      <c r="LY6" s="108"/>
      <c r="LZ6" s="108"/>
      <c r="MA6" s="108"/>
      <c r="MB6" s="108"/>
      <c r="MC6" s="108"/>
      <c r="MD6" s="108"/>
      <c r="ME6" s="108"/>
      <c r="MF6" s="108"/>
      <c r="MG6" s="108"/>
      <c r="MH6" s="108"/>
      <c r="MI6" s="108"/>
      <c r="MJ6" s="108"/>
      <c r="MK6" s="108"/>
      <c r="ML6" s="108"/>
      <c r="MM6" s="108"/>
      <c r="MN6" s="108"/>
      <c r="MO6" s="108"/>
      <c r="MP6" s="108"/>
      <c r="MQ6" s="108"/>
      <c r="MR6" s="108"/>
      <c r="MS6" s="108"/>
      <c r="MT6" s="108"/>
      <c r="MU6" s="108"/>
      <c r="MV6" s="108"/>
      <c r="MW6" s="108"/>
      <c r="MX6" s="108"/>
      <c r="MY6" s="108"/>
      <c r="MZ6" s="108"/>
      <c r="NA6" s="108"/>
      <c r="NB6" s="108"/>
      <c r="NC6" s="108"/>
      <c r="ND6" s="108"/>
      <c r="NE6" s="108"/>
      <c r="NF6" s="108"/>
      <c r="NG6" s="108"/>
      <c r="NH6" s="108"/>
      <c r="NI6" s="108"/>
      <c r="NJ6" s="108"/>
      <c r="NK6" s="108"/>
      <c r="NL6" s="108"/>
      <c r="NM6" s="108"/>
      <c r="NN6" s="108"/>
      <c r="NO6" s="108"/>
      <c r="NP6" s="108"/>
      <c r="NQ6" s="108"/>
      <c r="NR6" s="108"/>
      <c r="NS6" s="108"/>
      <c r="NT6" s="108"/>
      <c r="NU6" s="108"/>
      <c r="NV6" s="108"/>
      <c r="NW6" s="108"/>
      <c r="NX6" s="108"/>
      <c r="NY6" s="108"/>
      <c r="NZ6" s="108"/>
      <c r="OA6" s="108"/>
      <c r="OB6" s="108"/>
      <c r="OC6" s="108"/>
      <c r="OD6" s="108"/>
      <c r="OE6" s="108"/>
      <c r="OF6" s="108"/>
      <c r="OG6" s="108"/>
      <c r="OH6" s="108"/>
      <c r="OI6" s="108"/>
      <c r="OJ6" s="108"/>
      <c r="OK6" s="108"/>
      <c r="OL6" s="108"/>
      <c r="OM6" s="108"/>
      <c r="ON6" s="108"/>
      <c r="OO6" s="108"/>
      <c r="OP6" s="108"/>
      <c r="OQ6" s="108"/>
      <c r="OR6" s="108"/>
      <c r="OS6" s="108"/>
      <c r="OT6" s="108"/>
      <c r="OU6" s="108"/>
      <c r="OV6" s="108"/>
      <c r="OW6" s="108"/>
      <c r="OX6" s="108"/>
      <c r="OY6" s="108"/>
      <c r="OZ6" s="108"/>
      <c r="PA6" s="108"/>
      <c r="PB6" s="108"/>
      <c r="PC6" s="108"/>
      <c r="PD6" s="108"/>
      <c r="PE6" s="108"/>
      <c r="PF6" s="108"/>
      <c r="PG6" s="108"/>
      <c r="PH6" s="108"/>
      <c r="PI6" s="108"/>
      <c r="PJ6" s="108"/>
      <c r="PK6" s="108"/>
      <c r="PL6" s="108"/>
      <c r="PM6" s="108"/>
      <c r="PN6" s="108"/>
      <c r="PO6" s="108"/>
      <c r="PP6" s="108"/>
      <c r="PQ6" s="108"/>
      <c r="PR6" s="108"/>
      <c r="PS6" s="108"/>
      <c r="PT6" s="108"/>
      <c r="PU6" s="108"/>
      <c r="PV6" s="108"/>
      <c r="PW6" s="108"/>
      <c r="PX6" s="108"/>
      <c r="PY6" s="108"/>
      <c r="PZ6" s="108"/>
      <c r="QA6" s="108"/>
      <c r="QB6" s="108"/>
      <c r="QC6" s="108"/>
      <c r="QD6" s="108"/>
      <c r="QE6" s="108"/>
      <c r="QF6" s="108"/>
      <c r="QG6" s="108"/>
      <c r="QH6" s="108"/>
      <c r="QI6" s="108"/>
      <c r="QJ6" s="108"/>
      <c r="QK6" s="108"/>
      <c r="QL6" s="108"/>
      <c r="QM6" s="108"/>
      <c r="QN6" s="108"/>
      <c r="QO6" s="108"/>
      <c r="QP6" s="108"/>
      <c r="QQ6" s="108"/>
      <c r="QR6" s="108"/>
      <c r="QS6" s="108"/>
      <c r="QT6" s="108"/>
      <c r="QU6" s="108"/>
      <c r="QV6" s="108"/>
      <c r="QW6" s="108"/>
      <c r="QX6" s="108"/>
      <c r="QY6" s="108"/>
      <c r="QZ6" s="108"/>
      <c r="RA6" s="108"/>
      <c r="RB6" s="108"/>
      <c r="RC6" s="108"/>
      <c r="RD6" s="108"/>
      <c r="RE6" s="108"/>
      <c r="RF6" s="108"/>
      <c r="RG6" s="108"/>
      <c r="RH6" s="108"/>
      <c r="RI6" s="108"/>
      <c r="RJ6" s="108"/>
      <c r="RK6" s="108"/>
      <c r="RL6" s="108"/>
      <c r="RM6" s="108"/>
      <c r="RN6" s="108"/>
      <c r="RO6" s="108"/>
      <c r="RP6" s="108"/>
      <c r="RQ6" s="108"/>
      <c r="RR6" s="108"/>
      <c r="RS6" s="108"/>
      <c r="RT6" s="108"/>
      <c r="RU6" s="108"/>
      <c r="RV6" s="108"/>
      <c r="RW6" s="108"/>
      <c r="RX6" s="108"/>
      <c r="RY6" s="108"/>
      <c r="RZ6" s="108"/>
      <c r="SA6" s="108"/>
      <c r="SB6" s="108"/>
      <c r="SC6" s="108"/>
      <c r="SD6" s="108"/>
      <c r="SE6" s="108"/>
      <c r="SF6" s="108"/>
      <c r="SG6" s="108"/>
      <c r="SH6" s="108"/>
      <c r="SI6" s="108"/>
      <c r="SJ6" s="108"/>
      <c r="SK6" s="108"/>
      <c r="SL6" s="108"/>
      <c r="SM6" s="108"/>
      <c r="SN6" s="108"/>
      <c r="SO6" s="108"/>
      <c r="SP6" s="108"/>
      <c r="SQ6" s="108"/>
      <c r="SR6" s="108"/>
      <c r="SS6" s="108"/>
      <c r="ST6" s="108"/>
      <c r="SU6" s="108"/>
      <c r="SV6" s="108"/>
      <c r="SW6" s="108"/>
      <c r="SX6" s="108"/>
      <c r="SY6" s="108"/>
      <c r="SZ6" s="108"/>
      <c r="TA6" s="108"/>
      <c r="TB6" s="108"/>
      <c r="TC6" s="108"/>
      <c r="TD6" s="108"/>
      <c r="TE6" s="108"/>
      <c r="TF6" s="108"/>
      <c r="TG6" s="108"/>
      <c r="TH6" s="108"/>
      <c r="TI6" s="108"/>
      <c r="TJ6" s="108"/>
      <c r="TK6" s="108"/>
      <c r="TL6" s="108"/>
      <c r="TM6" s="108"/>
      <c r="TN6" s="108"/>
      <c r="TO6" s="108"/>
      <c r="TP6" s="108"/>
      <c r="TQ6" s="108"/>
      <c r="TR6" s="108"/>
      <c r="TS6" s="108"/>
      <c r="TT6" s="108"/>
      <c r="TU6" s="108"/>
      <c r="TV6" s="108"/>
      <c r="TW6" s="108"/>
      <c r="TX6" s="108"/>
      <c r="TY6" s="108"/>
      <c r="TZ6" s="108"/>
      <c r="UA6" s="108"/>
      <c r="UB6" s="108"/>
      <c r="UC6" s="108"/>
      <c r="UD6" s="108"/>
      <c r="UE6" s="108"/>
      <c r="UF6" s="108"/>
      <c r="UG6" s="108"/>
      <c r="UH6" s="108"/>
      <c r="UI6" s="108"/>
      <c r="UJ6" s="108"/>
      <c r="UK6" s="108"/>
      <c r="UL6" s="108"/>
      <c r="UM6" s="108"/>
      <c r="UN6" s="108"/>
      <c r="UO6" s="108"/>
      <c r="UP6" s="108"/>
      <c r="UQ6" s="108"/>
      <c r="UR6" s="108"/>
      <c r="US6" s="108"/>
      <c r="UT6" s="108"/>
      <c r="UU6" s="108"/>
      <c r="UV6" s="108"/>
      <c r="UW6" s="108"/>
      <c r="UX6" s="108"/>
      <c r="UY6" s="108"/>
      <c r="UZ6" s="108"/>
      <c r="VA6" s="108"/>
      <c r="VB6" s="108"/>
      <c r="VC6" s="108"/>
      <c r="VD6" s="108"/>
      <c r="VE6" s="108"/>
      <c r="VF6" s="108"/>
      <c r="VG6" s="108"/>
      <c r="VH6" s="108"/>
      <c r="VI6" s="108"/>
      <c r="VJ6" s="108"/>
      <c r="VK6" s="108"/>
      <c r="VL6" s="108"/>
      <c r="VM6" s="108"/>
      <c r="VN6" s="108"/>
      <c r="VO6" s="108"/>
      <c r="VP6" s="108"/>
      <c r="VQ6" s="108"/>
      <c r="VR6" s="108"/>
      <c r="VS6" s="108"/>
      <c r="VT6" s="108"/>
      <c r="VU6" s="108"/>
      <c r="VV6" s="108"/>
      <c r="VW6" s="108"/>
      <c r="VX6" s="108"/>
      <c r="VY6" s="108"/>
      <c r="VZ6" s="108"/>
      <c r="WA6" s="108"/>
      <c r="WB6" s="108"/>
      <c r="WC6" s="108"/>
      <c r="WD6" s="108"/>
      <c r="WE6" s="108"/>
      <c r="WF6" s="108"/>
      <c r="WG6" s="108"/>
      <c r="WH6" s="108"/>
      <c r="WI6" s="108"/>
      <c r="WJ6" s="108"/>
      <c r="WK6" s="108"/>
      <c r="WL6" s="108"/>
      <c r="WM6" s="108"/>
      <c r="WN6" s="108"/>
      <c r="WO6" s="108"/>
      <c r="WP6" s="108"/>
      <c r="WQ6" s="108"/>
      <c r="WR6" s="108"/>
      <c r="WS6" s="108"/>
      <c r="WT6" s="108"/>
      <c r="WU6" s="108"/>
      <c r="WV6" s="108"/>
      <c r="WW6" s="108"/>
      <c r="WX6" s="108"/>
      <c r="WY6" s="108"/>
      <c r="WZ6" s="108"/>
      <c r="XA6" s="108"/>
      <c r="XB6" s="108"/>
      <c r="XC6" s="108"/>
      <c r="XD6" s="108"/>
      <c r="XE6" s="108"/>
      <c r="XF6" s="108"/>
      <c r="XG6" s="108"/>
      <c r="XH6" s="108"/>
      <c r="XI6" s="108"/>
      <c r="XJ6" s="108"/>
      <c r="XK6" s="108"/>
      <c r="XL6" s="108"/>
      <c r="XM6" s="108"/>
      <c r="XN6" s="108"/>
      <c r="XO6" s="108"/>
      <c r="XP6" s="108"/>
      <c r="XQ6" s="108"/>
      <c r="XR6" s="108"/>
      <c r="XS6" s="108"/>
      <c r="XT6" s="108"/>
      <c r="XU6" s="108"/>
      <c r="XV6" s="108"/>
      <c r="XW6" s="108"/>
      <c r="XX6" s="108"/>
      <c r="XY6" s="108"/>
      <c r="XZ6" s="108"/>
      <c r="YA6" s="108"/>
      <c r="YB6" s="108"/>
      <c r="YC6" s="108"/>
      <c r="YD6" s="108"/>
      <c r="YE6" s="108"/>
      <c r="YF6" s="108"/>
      <c r="YG6" s="108"/>
      <c r="YH6" s="108"/>
      <c r="YI6" s="108"/>
      <c r="YJ6" s="108"/>
      <c r="YK6" s="108"/>
      <c r="YL6" s="108"/>
      <c r="YM6" s="108"/>
      <c r="YN6" s="108"/>
      <c r="YO6" s="108"/>
      <c r="YP6" s="108"/>
      <c r="YQ6" s="108"/>
      <c r="YR6" s="108"/>
      <c r="YS6" s="108"/>
      <c r="YT6" s="108"/>
      <c r="YU6" s="108"/>
      <c r="YV6" s="108"/>
      <c r="YW6" s="108"/>
      <c r="YX6" s="108"/>
      <c r="YY6" s="108"/>
      <c r="YZ6" s="108"/>
      <c r="ZA6" s="108"/>
      <c r="ZB6" s="108"/>
      <c r="ZC6" s="108"/>
      <c r="ZD6" s="108"/>
      <c r="ZE6" s="108"/>
      <c r="ZF6" s="108"/>
      <c r="ZG6" s="108"/>
      <c r="ZH6" s="108"/>
      <c r="ZI6" s="108"/>
      <c r="ZJ6" s="108"/>
      <c r="ZK6" s="108"/>
      <c r="ZL6" s="108"/>
      <c r="ZM6" s="108"/>
      <c r="ZN6" s="108"/>
      <c r="ZO6" s="108"/>
      <c r="ZP6" s="108"/>
      <c r="ZQ6" s="108"/>
      <c r="ZR6" s="108"/>
      <c r="ZS6" s="108"/>
      <c r="ZT6" s="108"/>
      <c r="ZU6" s="108"/>
      <c r="ZV6" s="108"/>
      <c r="ZW6" s="108"/>
      <c r="ZX6" s="108"/>
      <c r="ZY6" s="108"/>
      <c r="ZZ6" s="108"/>
      <c r="AAA6" s="108"/>
      <c r="AAB6" s="108"/>
      <c r="AAC6" s="108"/>
      <c r="AAD6" s="108"/>
      <c r="AAE6" s="108"/>
      <c r="AAF6" s="108"/>
      <c r="AAG6" s="108"/>
      <c r="AAH6" s="108"/>
      <c r="AAI6" s="108"/>
      <c r="AAJ6" s="108"/>
      <c r="AAK6" s="108"/>
      <c r="AAL6" s="108"/>
      <c r="AAM6" s="108"/>
      <c r="AAN6" s="108"/>
      <c r="AAO6" s="108"/>
      <c r="AAP6" s="108"/>
      <c r="AAQ6" s="108"/>
      <c r="AAR6" s="108"/>
      <c r="AAS6" s="108"/>
      <c r="AAT6" s="108"/>
      <c r="AAU6" s="108"/>
      <c r="AAV6" s="108"/>
      <c r="AAW6" s="108"/>
      <c r="AAX6" s="108"/>
      <c r="AAY6" s="108"/>
      <c r="AAZ6" s="108"/>
      <c r="ABA6" s="108"/>
      <c r="ABB6" s="108"/>
      <c r="ABC6" s="108"/>
      <c r="ABD6" s="108"/>
      <c r="ABE6" s="108"/>
      <c r="ABF6" s="108"/>
      <c r="ABG6" s="108"/>
      <c r="ABH6" s="108"/>
      <c r="ABI6" s="108"/>
      <c r="ABJ6" s="108"/>
      <c r="ABK6" s="108"/>
      <c r="ABL6" s="108"/>
      <c r="ABM6" s="108"/>
      <c r="ABN6" s="108"/>
      <c r="ABO6" s="108"/>
      <c r="ABP6" s="108"/>
      <c r="ABQ6" s="108"/>
      <c r="ABR6" s="108"/>
      <c r="ABS6" s="108"/>
      <c r="ABT6" s="108"/>
      <c r="ABU6" s="108"/>
      <c r="ABV6" s="108"/>
      <c r="ABW6" s="108"/>
      <c r="ABX6" s="108"/>
      <c r="ABY6" s="108"/>
      <c r="ABZ6" s="108"/>
      <c r="ACA6" s="108"/>
      <c r="ACB6" s="108"/>
      <c r="ACC6" s="108"/>
      <c r="ACD6" s="108"/>
      <c r="ACE6" s="108"/>
      <c r="ACF6" s="108"/>
      <c r="ACG6" s="108"/>
      <c r="ACH6" s="108"/>
      <c r="ACI6" s="108"/>
      <c r="ACJ6" s="108"/>
      <c r="ACK6" s="108"/>
      <c r="ACL6" s="108"/>
      <c r="ACM6" s="108"/>
      <c r="ACN6" s="108"/>
      <c r="ACO6" s="108"/>
      <c r="ACP6" s="108"/>
      <c r="ACQ6" s="108"/>
      <c r="ACR6" s="108"/>
      <c r="ACS6" s="108"/>
      <c r="ACT6" s="108"/>
      <c r="ACU6" s="108"/>
      <c r="ACV6" s="108"/>
      <c r="ACW6" s="108"/>
      <c r="ACX6" s="108"/>
      <c r="ACY6" s="108"/>
      <c r="ACZ6" s="108"/>
      <c r="ADA6" s="108"/>
      <c r="ADB6" s="108"/>
      <c r="ADC6" s="108"/>
      <c r="ADD6" s="108"/>
      <c r="ADE6" s="108"/>
      <c r="ADF6" s="108"/>
      <c r="ADG6" s="108"/>
      <c r="ADH6" s="108"/>
      <c r="ADI6" s="108"/>
      <c r="ADJ6" s="108"/>
      <c r="ADK6" s="108"/>
      <c r="ADL6" s="108"/>
      <c r="ADM6" s="108"/>
      <c r="ADN6" s="108"/>
      <c r="ADO6" s="108"/>
      <c r="ADP6" s="108"/>
      <c r="ADQ6" s="108"/>
      <c r="ADR6" s="108"/>
      <c r="ADS6" s="108"/>
      <c r="ADT6" s="108"/>
      <c r="ADU6" s="108"/>
      <c r="ADV6" s="108"/>
      <c r="ADW6" s="108"/>
      <c r="ADX6" s="108"/>
      <c r="ADY6" s="108"/>
      <c r="ADZ6" s="108"/>
      <c r="AEA6" s="108"/>
      <c r="AEB6" s="108"/>
      <c r="AEC6" s="108"/>
      <c r="AED6" s="108"/>
      <c r="AEE6" s="108"/>
      <c r="AEF6" s="108"/>
      <c r="AEG6" s="108"/>
      <c r="AEH6" s="108"/>
      <c r="AEI6" s="108"/>
      <c r="AEJ6" s="108"/>
      <c r="AEK6" s="108"/>
      <c r="AEL6" s="108"/>
      <c r="AEM6" s="108"/>
      <c r="AEN6" s="108"/>
      <c r="AEO6" s="108"/>
      <c r="AEP6" s="108"/>
      <c r="AEQ6" s="108"/>
      <c r="AER6" s="108"/>
      <c r="AES6" s="108"/>
      <c r="AET6" s="108"/>
      <c r="AEU6" s="108"/>
      <c r="AEV6" s="108"/>
      <c r="AEW6" s="108"/>
      <c r="AEX6" s="108"/>
      <c r="AEY6" s="108"/>
      <c r="AEZ6" s="108"/>
      <c r="AFA6" s="108"/>
      <c r="AFB6" s="108"/>
      <c r="AFC6" s="108"/>
      <c r="AFD6" s="108"/>
      <c r="AFE6" s="108"/>
      <c r="AFF6" s="108"/>
      <c r="AFG6" s="108"/>
      <c r="AFH6" s="108"/>
      <c r="AFI6" s="108"/>
      <c r="AFJ6" s="108"/>
      <c r="AFK6" s="108"/>
      <c r="AFL6" s="108"/>
      <c r="AFM6" s="108"/>
      <c r="AFN6" s="108"/>
      <c r="AFO6" s="108"/>
      <c r="AFP6" s="108"/>
      <c r="AFQ6" s="108"/>
      <c r="AFR6" s="108"/>
      <c r="AFS6" s="108"/>
      <c r="AFT6" s="108"/>
      <c r="AFU6" s="108"/>
      <c r="AFV6" s="108"/>
      <c r="AFW6" s="108"/>
      <c r="AFX6" s="108"/>
      <c r="AFY6" s="108"/>
      <c r="AFZ6" s="108"/>
      <c r="AGA6" s="108"/>
      <c r="AGB6" s="108"/>
      <c r="AGC6" s="108"/>
      <c r="AGD6" s="108"/>
      <c r="AGE6" s="108"/>
      <c r="AGF6" s="108"/>
      <c r="AGG6" s="108"/>
      <c r="AGH6" s="108"/>
      <c r="AGI6" s="108"/>
      <c r="AGJ6" s="108"/>
      <c r="AGK6" s="108"/>
      <c r="AGL6" s="108"/>
      <c r="AGM6" s="108"/>
      <c r="AGN6" s="108"/>
      <c r="AGO6" s="108"/>
      <c r="AGP6" s="108"/>
      <c r="AGQ6" s="108"/>
      <c r="AGR6" s="108"/>
      <c r="AGS6" s="108"/>
      <c r="AGT6" s="108"/>
      <c r="AGU6" s="108"/>
      <c r="AGV6" s="108"/>
      <c r="AGW6" s="108"/>
      <c r="AGX6" s="108"/>
      <c r="AGY6" s="108"/>
      <c r="AGZ6" s="108"/>
      <c r="AHA6" s="108"/>
      <c r="AHB6" s="108"/>
      <c r="AHC6" s="108"/>
      <c r="AHD6" s="108"/>
      <c r="AHE6" s="108"/>
      <c r="AHF6" s="108"/>
      <c r="AHG6" s="108"/>
      <c r="AHH6" s="108"/>
      <c r="AHI6" s="108"/>
      <c r="AHJ6" s="108"/>
      <c r="AHK6" s="108"/>
      <c r="AHL6" s="108"/>
      <c r="AHM6" s="108"/>
      <c r="AHN6" s="108"/>
      <c r="AHO6" s="108"/>
      <c r="AHP6" s="108"/>
      <c r="AHQ6" s="108"/>
      <c r="AHR6" s="108"/>
      <c r="AHS6" s="108"/>
      <c r="AHT6" s="108"/>
      <c r="AHU6" s="108"/>
      <c r="AHV6" s="108"/>
      <c r="AHW6" s="108"/>
      <c r="AHX6" s="108"/>
      <c r="AHY6" s="108"/>
      <c r="AHZ6" s="108"/>
      <c r="AIA6" s="108"/>
      <c r="AIB6" s="108"/>
      <c r="AIC6" s="108"/>
      <c r="AID6" s="108"/>
      <c r="AIE6" s="108"/>
      <c r="AIF6" s="108"/>
      <c r="AIG6" s="108"/>
      <c r="AIH6" s="108"/>
      <c r="AII6" s="108"/>
      <c r="AIJ6" s="108"/>
      <c r="AIK6" s="108"/>
      <c r="AIL6" s="108"/>
      <c r="AIM6" s="108"/>
      <c r="AIN6" s="108"/>
      <c r="AIO6" s="108"/>
      <c r="AIP6" s="108"/>
      <c r="AIQ6" s="108"/>
      <c r="AIR6" s="108"/>
      <c r="AIS6" s="108"/>
      <c r="AIT6" s="108"/>
      <c r="AIU6" s="108"/>
      <c r="AIV6" s="108"/>
      <c r="AIW6" s="108"/>
      <c r="AIX6" s="108"/>
      <c r="AIY6" s="108"/>
      <c r="AIZ6" s="108"/>
      <c r="AJA6" s="108"/>
      <c r="AJB6" s="108"/>
      <c r="AJC6" s="108"/>
      <c r="AJD6" s="108"/>
      <c r="AJE6" s="108"/>
      <c r="AJF6" s="108"/>
      <c r="AJG6" s="108"/>
      <c r="AJH6" s="108"/>
      <c r="AJI6" s="108"/>
      <c r="AJJ6" s="108"/>
      <c r="AJK6" s="108"/>
      <c r="AJL6" s="108"/>
      <c r="AJM6" s="108"/>
      <c r="AJN6" s="108"/>
      <c r="AJO6" s="108"/>
      <c r="AJP6" s="108"/>
      <c r="AJQ6" s="108"/>
      <c r="AJR6" s="108"/>
      <c r="AJS6" s="108"/>
      <c r="AJT6" s="108"/>
      <c r="AJU6" s="108"/>
      <c r="AJV6" s="108"/>
      <c r="AJW6" s="108"/>
      <c r="AJX6" s="108"/>
      <c r="AJY6" s="108"/>
      <c r="AJZ6" s="108"/>
      <c r="AKA6" s="108"/>
      <c r="AKB6" s="108"/>
      <c r="AKC6" s="108"/>
      <c r="AKD6" s="108"/>
      <c r="AKE6" s="108"/>
      <c r="AKF6" s="108"/>
      <c r="AKG6" s="108"/>
      <c r="AKH6" s="108"/>
      <c r="AKI6" s="108"/>
      <c r="AKJ6" s="108"/>
      <c r="AKK6" s="108"/>
      <c r="AKL6" s="108"/>
      <c r="AKM6" s="108"/>
      <c r="AKN6" s="108"/>
      <c r="AKO6" s="108"/>
      <c r="AKP6" s="108"/>
      <c r="AKQ6" s="108"/>
      <c r="AKR6" s="108"/>
      <c r="AKS6" s="108"/>
      <c r="AKT6" s="108"/>
      <c r="AKU6" s="108"/>
      <c r="AKV6" s="108"/>
      <c r="AKW6" s="108"/>
      <c r="AKX6" s="108"/>
      <c r="AKY6" s="108"/>
      <c r="AKZ6" s="108"/>
      <c r="ALA6" s="108"/>
      <c r="ALB6" s="108"/>
      <c r="ALC6" s="108"/>
      <c r="ALD6" s="108"/>
      <c r="ALE6" s="108"/>
      <c r="ALF6" s="108"/>
      <c r="ALG6" s="108"/>
      <c r="ALH6" s="108"/>
      <c r="ALI6" s="108"/>
      <c r="ALJ6" s="108"/>
      <c r="ALK6" s="108"/>
      <c r="ALL6" s="108"/>
      <c r="ALM6" s="108"/>
      <c r="ALN6" s="108"/>
      <c r="ALO6" s="108"/>
      <c r="ALP6" s="108"/>
      <c r="ALQ6" s="108"/>
      <c r="ALR6" s="108"/>
      <c r="ALS6" s="108"/>
      <c r="ALT6" s="108"/>
      <c r="ALU6" s="108"/>
      <c r="ALV6" s="108"/>
      <c r="ALW6" s="108"/>
      <c r="ALX6" s="108"/>
      <c r="ALY6" s="108"/>
      <c r="ALZ6" s="108"/>
      <c r="AMA6" s="108"/>
      <c r="AMB6" s="108"/>
    </row>
    <row r="7" spans="1:1016" x14ac:dyDescent="0.25">
      <c r="A7" s="98" t="str" cm="1">
        <f t="array" aca="1" ref="A7" ca="1">IFERROR(IF(K6="Avalanche",_xlfn._xlws.SORT(_xlfn._xlws.FILTER(Data!$E$3:$L$2298,(Data!$G$3:$G$2298="Credit Accounts")*(Data!J3:J2298&gt;0)),1,-1),_xlfn._xlws.SORT(_xlfn._xlws.FILTER(Data!$E$3:$L$2298,(Data!$G$3:$G$2298="Credit Accounts")*(Data!$J$3:$J$2298&gt;0)),6,1)),"")</f>
        <v/>
      </c>
      <c r="B7" s="99"/>
      <c r="C7" s="99"/>
      <c r="D7" s="100"/>
      <c r="E7" s="100"/>
      <c r="F7" s="100"/>
      <c r="G7" s="211"/>
      <c r="H7" s="100"/>
      <c r="I7" s="118"/>
      <c r="J7" s="211" t="str">
        <f ca="1">IF(I7&lt;&gt;"",SUM(((YEAR(I7)-YEAR(TODAY()))*12)+(MONTH(I7)-MONTH(TODAY()))),"")</f>
        <v/>
      </c>
      <c r="K7" s="100">
        <f>IF($C$3+D7&gt;=F7,F7,($C$3+D7))</f>
        <v>0</v>
      </c>
      <c r="L7" s="10">
        <f>IF(F7&gt;0,IF($C$3-(F7-E7)&gt;0,$C$3-(F7-E7),0),0)</f>
        <v>0</v>
      </c>
    </row>
    <row r="8" spans="1:1016" x14ac:dyDescent="0.25">
      <c r="A8" s="98"/>
      <c r="B8" s="99"/>
      <c r="C8" s="99"/>
      <c r="D8" s="100"/>
      <c r="E8" s="100"/>
      <c r="F8" s="100"/>
      <c r="G8" s="211"/>
      <c r="H8" s="100"/>
      <c r="I8" s="118"/>
      <c r="J8" s="211" t="str">
        <f t="shared" ref="J8:J40" ca="1" si="0">IF(I8&lt;&gt;"",SUM(((YEAR(I8)-YEAR(TODAY()))*12)+(MONTH(I8)-MONTH(TODAY()))),"")</f>
        <v/>
      </c>
      <c r="K8" s="100">
        <f>IF(L7&gt;0,L7+E8,E8)</f>
        <v>0</v>
      </c>
      <c r="L8" s="10">
        <f t="shared" ref="L8:L40" si="1">IF(F8&gt;0,IF($C$3-(F8-E8)&gt;0,$C$3-(F8-E8),0),0)</f>
        <v>0</v>
      </c>
    </row>
    <row r="9" spans="1:1016" x14ac:dyDescent="0.25">
      <c r="A9" s="98"/>
      <c r="B9" s="99"/>
      <c r="C9" s="99"/>
      <c r="D9" s="100"/>
      <c r="E9" s="100"/>
      <c r="F9" s="100"/>
      <c r="G9" s="211"/>
      <c r="H9" s="100"/>
      <c r="I9" s="118"/>
      <c r="J9" s="211" t="str">
        <f t="shared" ca="1" si="0"/>
        <v/>
      </c>
      <c r="K9" s="100">
        <f>IF(L8&gt;0,L8+E9,E9)</f>
        <v>0</v>
      </c>
      <c r="L9" s="10">
        <f t="shared" si="1"/>
        <v>0</v>
      </c>
    </row>
    <row r="10" spans="1:1016" x14ac:dyDescent="0.25">
      <c r="A10" s="98"/>
      <c r="B10" s="99"/>
      <c r="C10" s="99"/>
      <c r="D10" s="100"/>
      <c r="E10" s="100"/>
      <c r="F10" s="100"/>
      <c r="G10" s="211"/>
      <c r="H10" s="100"/>
      <c r="I10" s="118"/>
      <c r="J10" s="211" t="str">
        <f t="shared" ca="1" si="0"/>
        <v/>
      </c>
      <c r="K10" s="100">
        <f t="shared" ref="K10:K40" si="2">IF(L9&gt;0,L9+E10,E10)</f>
        <v>0</v>
      </c>
      <c r="L10" s="10">
        <f t="shared" si="1"/>
        <v>0</v>
      </c>
    </row>
    <row r="11" spans="1:1016" x14ac:dyDescent="0.25">
      <c r="A11" s="98"/>
      <c r="B11" s="99"/>
      <c r="C11" s="99"/>
      <c r="D11" s="100"/>
      <c r="E11" s="100"/>
      <c r="F11" s="100"/>
      <c r="G11" s="211"/>
      <c r="H11" s="100"/>
      <c r="I11" s="118"/>
      <c r="J11" s="211" t="str">
        <f t="shared" ca="1" si="0"/>
        <v/>
      </c>
      <c r="K11" s="100">
        <f t="shared" si="2"/>
        <v>0</v>
      </c>
      <c r="L11" s="10">
        <f t="shared" si="1"/>
        <v>0</v>
      </c>
    </row>
    <row r="12" spans="1:1016" x14ac:dyDescent="0.25">
      <c r="A12" s="98"/>
      <c r="B12" s="99"/>
      <c r="C12" s="99"/>
      <c r="D12" s="100"/>
      <c r="E12" s="100"/>
      <c r="F12" s="100"/>
      <c r="G12" s="211"/>
      <c r="H12" s="100"/>
      <c r="I12" s="118"/>
      <c r="J12" s="211" t="str">
        <f t="shared" ca="1" si="0"/>
        <v/>
      </c>
      <c r="K12" s="100">
        <f t="shared" si="2"/>
        <v>0</v>
      </c>
      <c r="L12" s="10">
        <f t="shared" si="1"/>
        <v>0</v>
      </c>
    </row>
    <row r="13" spans="1:1016" x14ac:dyDescent="0.25">
      <c r="A13" s="98"/>
      <c r="B13" s="99"/>
      <c r="C13" s="99"/>
      <c r="D13" s="100"/>
      <c r="E13" s="100"/>
      <c r="F13" s="100"/>
      <c r="G13" s="211"/>
      <c r="H13" s="100"/>
      <c r="I13" s="118"/>
      <c r="J13" s="211" t="str">
        <f t="shared" ca="1" si="0"/>
        <v/>
      </c>
      <c r="K13" s="100">
        <f t="shared" si="2"/>
        <v>0</v>
      </c>
      <c r="L13" s="10">
        <f t="shared" si="1"/>
        <v>0</v>
      </c>
    </row>
    <row r="14" spans="1:1016" x14ac:dyDescent="0.25">
      <c r="A14" s="98"/>
      <c r="B14" s="99"/>
      <c r="C14" s="99"/>
      <c r="D14" s="100"/>
      <c r="E14" s="100"/>
      <c r="F14" s="100"/>
      <c r="G14" s="211"/>
      <c r="H14" s="100"/>
      <c r="I14" s="118"/>
      <c r="J14" s="211" t="str">
        <f t="shared" ca="1" si="0"/>
        <v/>
      </c>
      <c r="K14" s="100">
        <f t="shared" si="2"/>
        <v>0</v>
      </c>
      <c r="L14" s="10">
        <f t="shared" si="1"/>
        <v>0</v>
      </c>
    </row>
    <row r="15" spans="1:1016" x14ac:dyDescent="0.25">
      <c r="A15" s="98"/>
      <c r="B15" s="99"/>
      <c r="C15" s="99"/>
      <c r="D15" s="100"/>
      <c r="E15" s="100"/>
      <c r="F15" s="100"/>
      <c r="G15" s="211"/>
      <c r="H15" s="100"/>
      <c r="I15" s="118"/>
      <c r="J15" s="211" t="str">
        <f t="shared" ca="1" si="0"/>
        <v/>
      </c>
      <c r="K15" s="100">
        <f t="shared" si="2"/>
        <v>0</v>
      </c>
      <c r="L15" s="10">
        <f t="shared" si="1"/>
        <v>0</v>
      </c>
    </row>
    <row r="16" spans="1:1016" x14ac:dyDescent="0.25">
      <c r="A16" s="98"/>
      <c r="B16" s="99"/>
      <c r="C16" s="99"/>
      <c r="D16" s="100"/>
      <c r="E16" s="100"/>
      <c r="F16" s="100"/>
      <c r="G16" s="211"/>
      <c r="H16" s="100"/>
      <c r="I16" s="118"/>
      <c r="J16" s="211" t="str">
        <f t="shared" ca="1" si="0"/>
        <v/>
      </c>
      <c r="K16" s="100">
        <f t="shared" si="2"/>
        <v>0</v>
      </c>
      <c r="L16" s="10">
        <f t="shared" si="1"/>
        <v>0</v>
      </c>
    </row>
    <row r="17" spans="1:12" x14ac:dyDescent="0.25">
      <c r="A17" s="98"/>
      <c r="B17" s="99"/>
      <c r="C17" s="99"/>
      <c r="D17" s="100"/>
      <c r="E17" s="100"/>
      <c r="F17" s="100"/>
      <c r="G17" s="211"/>
      <c r="H17" s="100"/>
      <c r="I17" s="118"/>
      <c r="J17" s="211" t="str">
        <f t="shared" ca="1" si="0"/>
        <v/>
      </c>
      <c r="K17" s="100">
        <f t="shared" si="2"/>
        <v>0</v>
      </c>
      <c r="L17" s="10">
        <f t="shared" si="1"/>
        <v>0</v>
      </c>
    </row>
    <row r="18" spans="1:12" x14ac:dyDescent="0.25">
      <c r="A18" s="98"/>
      <c r="B18" s="99"/>
      <c r="C18" s="99"/>
      <c r="D18" s="100"/>
      <c r="E18" s="100"/>
      <c r="F18" s="100"/>
      <c r="G18" s="211"/>
      <c r="H18" s="100"/>
      <c r="I18" s="118"/>
      <c r="J18" s="211" t="str">
        <f t="shared" ca="1" si="0"/>
        <v/>
      </c>
      <c r="K18" s="100">
        <f t="shared" si="2"/>
        <v>0</v>
      </c>
      <c r="L18" s="10">
        <f t="shared" si="1"/>
        <v>0</v>
      </c>
    </row>
    <row r="19" spans="1:12" x14ac:dyDescent="0.25">
      <c r="A19" s="98"/>
      <c r="B19" s="99"/>
      <c r="C19" s="99"/>
      <c r="D19" s="100"/>
      <c r="E19" s="100"/>
      <c r="F19" s="100"/>
      <c r="G19" s="211"/>
      <c r="H19" s="100"/>
      <c r="I19" s="118"/>
      <c r="J19" s="211" t="str">
        <f t="shared" ca="1" si="0"/>
        <v/>
      </c>
      <c r="K19" s="100">
        <f t="shared" si="2"/>
        <v>0</v>
      </c>
      <c r="L19" s="10">
        <f t="shared" si="1"/>
        <v>0</v>
      </c>
    </row>
    <row r="20" spans="1:12" x14ac:dyDescent="0.25">
      <c r="A20" s="98"/>
      <c r="B20" s="99"/>
      <c r="C20" s="99"/>
      <c r="D20" s="100"/>
      <c r="E20" s="100"/>
      <c r="F20" s="100"/>
      <c r="G20" s="211"/>
      <c r="H20" s="100"/>
      <c r="I20" s="118"/>
      <c r="J20" s="211" t="str">
        <f t="shared" ca="1" si="0"/>
        <v/>
      </c>
      <c r="K20" s="100">
        <f t="shared" si="2"/>
        <v>0</v>
      </c>
      <c r="L20" s="10">
        <f t="shared" si="1"/>
        <v>0</v>
      </c>
    </row>
    <row r="21" spans="1:12" x14ac:dyDescent="0.25">
      <c r="A21" s="98"/>
      <c r="B21" s="99"/>
      <c r="C21" s="99"/>
      <c r="D21" s="100"/>
      <c r="E21" s="100"/>
      <c r="F21" s="100"/>
      <c r="G21" s="211"/>
      <c r="H21" s="100"/>
      <c r="I21" s="118"/>
      <c r="J21" s="211" t="str">
        <f t="shared" ca="1" si="0"/>
        <v/>
      </c>
      <c r="K21" s="100">
        <f t="shared" si="2"/>
        <v>0</v>
      </c>
      <c r="L21" s="10">
        <f t="shared" si="1"/>
        <v>0</v>
      </c>
    </row>
    <row r="22" spans="1:12" x14ac:dyDescent="0.25">
      <c r="A22" s="98"/>
      <c r="B22" s="99"/>
      <c r="C22" s="99"/>
      <c r="D22" s="100"/>
      <c r="E22" s="100"/>
      <c r="F22" s="100"/>
      <c r="G22" s="211"/>
      <c r="H22" s="100"/>
      <c r="I22" s="118"/>
      <c r="J22" s="211" t="str">
        <f t="shared" ca="1" si="0"/>
        <v/>
      </c>
      <c r="K22" s="100">
        <f t="shared" si="2"/>
        <v>0</v>
      </c>
      <c r="L22" s="10">
        <f t="shared" si="1"/>
        <v>0</v>
      </c>
    </row>
    <row r="23" spans="1:12" x14ac:dyDescent="0.25">
      <c r="A23" s="98"/>
      <c r="B23" s="99"/>
      <c r="C23" s="99"/>
      <c r="D23" s="100"/>
      <c r="E23" s="100"/>
      <c r="F23" s="100"/>
      <c r="G23" s="211"/>
      <c r="H23" s="100"/>
      <c r="I23" s="118"/>
      <c r="J23" s="211" t="str">
        <f t="shared" ca="1" si="0"/>
        <v/>
      </c>
      <c r="K23" s="100">
        <f t="shared" si="2"/>
        <v>0</v>
      </c>
      <c r="L23" s="10">
        <f t="shared" si="1"/>
        <v>0</v>
      </c>
    </row>
    <row r="24" spans="1:12" x14ac:dyDescent="0.25">
      <c r="A24" s="98"/>
      <c r="B24" s="99"/>
      <c r="C24" s="99"/>
      <c r="D24" s="100"/>
      <c r="E24" s="100"/>
      <c r="F24" s="100"/>
      <c r="G24" s="211"/>
      <c r="H24" s="100"/>
      <c r="I24" s="118"/>
      <c r="J24" s="211" t="str">
        <f t="shared" ca="1" si="0"/>
        <v/>
      </c>
      <c r="K24" s="100">
        <f t="shared" si="2"/>
        <v>0</v>
      </c>
      <c r="L24" s="10">
        <f t="shared" si="1"/>
        <v>0</v>
      </c>
    </row>
    <row r="25" spans="1:12" x14ac:dyDescent="0.25">
      <c r="A25" s="98"/>
      <c r="B25" s="99"/>
      <c r="C25" s="99"/>
      <c r="D25" s="100"/>
      <c r="E25" s="100"/>
      <c r="F25" s="100"/>
      <c r="G25" s="211"/>
      <c r="H25" s="100"/>
      <c r="I25" s="118"/>
      <c r="J25" s="211" t="str">
        <f t="shared" ca="1" si="0"/>
        <v/>
      </c>
      <c r="K25" s="100">
        <f t="shared" si="2"/>
        <v>0</v>
      </c>
      <c r="L25" s="10">
        <f t="shared" si="1"/>
        <v>0</v>
      </c>
    </row>
    <row r="26" spans="1:12" x14ac:dyDescent="0.25">
      <c r="A26" s="98"/>
      <c r="B26" s="99"/>
      <c r="C26" s="99"/>
      <c r="D26" s="100"/>
      <c r="E26" s="100"/>
      <c r="F26" s="100"/>
      <c r="G26" s="211"/>
      <c r="H26" s="100"/>
      <c r="I26" s="118"/>
      <c r="J26" s="211" t="str">
        <f t="shared" ca="1" si="0"/>
        <v/>
      </c>
      <c r="K26" s="100">
        <f t="shared" si="2"/>
        <v>0</v>
      </c>
      <c r="L26" s="10">
        <f t="shared" si="1"/>
        <v>0</v>
      </c>
    </row>
    <row r="27" spans="1:12" x14ac:dyDescent="0.25">
      <c r="A27" s="98"/>
      <c r="B27" s="99"/>
      <c r="C27" s="99"/>
      <c r="D27" s="100"/>
      <c r="E27" s="100"/>
      <c r="F27" s="100"/>
      <c r="G27" s="211"/>
      <c r="H27" s="100"/>
      <c r="I27" s="118"/>
      <c r="J27" s="211" t="str">
        <f t="shared" ca="1" si="0"/>
        <v/>
      </c>
      <c r="K27" s="100">
        <f t="shared" si="2"/>
        <v>0</v>
      </c>
      <c r="L27" s="10">
        <f t="shared" si="1"/>
        <v>0</v>
      </c>
    </row>
    <row r="28" spans="1:12" x14ac:dyDescent="0.25">
      <c r="A28" s="98"/>
      <c r="B28" s="99"/>
      <c r="C28" s="99"/>
      <c r="D28" s="100"/>
      <c r="E28" s="100"/>
      <c r="F28" s="100"/>
      <c r="G28" s="211"/>
      <c r="H28" s="100"/>
      <c r="I28" s="118"/>
      <c r="J28" s="211" t="str">
        <f t="shared" ca="1" si="0"/>
        <v/>
      </c>
      <c r="K28" s="100">
        <f t="shared" si="2"/>
        <v>0</v>
      </c>
      <c r="L28" s="10">
        <f t="shared" si="1"/>
        <v>0</v>
      </c>
    </row>
    <row r="29" spans="1:12" x14ac:dyDescent="0.25">
      <c r="A29" s="98"/>
      <c r="B29" s="99"/>
      <c r="C29" s="99"/>
      <c r="D29" s="100"/>
      <c r="E29" s="100"/>
      <c r="F29" s="100"/>
      <c r="G29" s="211"/>
      <c r="H29" s="100"/>
      <c r="I29" s="118"/>
      <c r="J29" s="211" t="str">
        <f t="shared" ca="1" si="0"/>
        <v/>
      </c>
      <c r="K29" s="100">
        <f t="shared" si="2"/>
        <v>0</v>
      </c>
      <c r="L29" s="10">
        <f t="shared" si="1"/>
        <v>0</v>
      </c>
    </row>
    <row r="30" spans="1:12" x14ac:dyDescent="0.25">
      <c r="A30" s="98"/>
      <c r="B30" s="99"/>
      <c r="C30" s="99"/>
      <c r="D30" s="100"/>
      <c r="E30" s="100"/>
      <c r="F30" s="100"/>
      <c r="G30" s="211"/>
      <c r="H30" s="100"/>
      <c r="I30" s="118"/>
      <c r="J30" s="211" t="str">
        <f t="shared" ca="1" si="0"/>
        <v/>
      </c>
      <c r="K30" s="100">
        <f t="shared" si="2"/>
        <v>0</v>
      </c>
      <c r="L30" s="10">
        <f t="shared" si="1"/>
        <v>0</v>
      </c>
    </row>
    <row r="31" spans="1:12" x14ac:dyDescent="0.25">
      <c r="A31" s="98"/>
      <c r="B31" s="99"/>
      <c r="C31" s="99"/>
      <c r="D31" s="100"/>
      <c r="E31" s="100"/>
      <c r="F31" s="100"/>
      <c r="G31" s="211"/>
      <c r="H31" s="100"/>
      <c r="I31" s="118"/>
      <c r="J31" s="211" t="str">
        <f t="shared" ca="1" si="0"/>
        <v/>
      </c>
      <c r="K31" s="100">
        <f t="shared" si="2"/>
        <v>0</v>
      </c>
      <c r="L31" s="10">
        <f t="shared" si="1"/>
        <v>0</v>
      </c>
    </row>
    <row r="32" spans="1:12" x14ac:dyDescent="0.25">
      <c r="A32" s="98"/>
      <c r="B32" s="99"/>
      <c r="C32" s="99"/>
      <c r="D32" s="100"/>
      <c r="E32" s="100"/>
      <c r="F32" s="100"/>
      <c r="G32" s="211"/>
      <c r="H32" s="100"/>
      <c r="I32" s="118"/>
      <c r="J32" s="211" t="str">
        <f t="shared" ca="1" si="0"/>
        <v/>
      </c>
      <c r="K32" s="100">
        <f t="shared" si="2"/>
        <v>0</v>
      </c>
      <c r="L32" s="10">
        <f t="shared" si="1"/>
        <v>0</v>
      </c>
    </row>
    <row r="33" spans="1:12" x14ac:dyDescent="0.25">
      <c r="A33" s="99"/>
      <c r="B33" s="99"/>
      <c r="C33" s="99"/>
      <c r="D33" s="99"/>
      <c r="E33" s="99"/>
      <c r="F33" s="99"/>
      <c r="G33" s="99"/>
      <c r="H33" s="100"/>
      <c r="I33" s="119"/>
      <c r="J33" s="211" t="str">
        <f t="shared" ca="1" si="0"/>
        <v/>
      </c>
      <c r="K33" s="100">
        <f t="shared" si="2"/>
        <v>0</v>
      </c>
      <c r="L33" s="10">
        <f t="shared" si="1"/>
        <v>0</v>
      </c>
    </row>
    <row r="34" spans="1:12" x14ac:dyDescent="0.25">
      <c r="A34" s="99"/>
      <c r="B34" s="99"/>
      <c r="C34" s="99"/>
      <c r="D34" s="99"/>
      <c r="E34" s="99"/>
      <c r="F34" s="99"/>
      <c r="G34" s="99"/>
      <c r="H34" s="100"/>
      <c r="I34" s="119"/>
      <c r="J34" s="211" t="str">
        <f t="shared" ca="1" si="0"/>
        <v/>
      </c>
      <c r="K34" s="100">
        <f t="shared" si="2"/>
        <v>0</v>
      </c>
      <c r="L34" s="10">
        <f t="shared" si="1"/>
        <v>0</v>
      </c>
    </row>
    <row r="35" spans="1:12" x14ac:dyDescent="0.25">
      <c r="A35" s="99"/>
      <c r="B35" s="99"/>
      <c r="C35" s="99"/>
      <c r="D35" s="99"/>
      <c r="E35" s="99"/>
      <c r="F35" s="99"/>
      <c r="G35" s="99"/>
      <c r="H35" s="100"/>
      <c r="I35" s="119"/>
      <c r="J35" s="211" t="str">
        <f t="shared" ca="1" si="0"/>
        <v/>
      </c>
      <c r="K35" s="100">
        <f t="shared" si="2"/>
        <v>0</v>
      </c>
      <c r="L35" s="10">
        <f t="shared" si="1"/>
        <v>0</v>
      </c>
    </row>
    <row r="36" spans="1:12" x14ac:dyDescent="0.25">
      <c r="A36" s="99"/>
      <c r="B36" s="99"/>
      <c r="C36" s="99"/>
      <c r="D36" s="99"/>
      <c r="E36" s="99"/>
      <c r="F36" s="99"/>
      <c r="G36" s="99"/>
      <c r="H36" s="100"/>
      <c r="I36" s="119"/>
      <c r="J36" s="211" t="str">
        <f t="shared" ca="1" si="0"/>
        <v/>
      </c>
      <c r="K36" s="100">
        <f t="shared" si="2"/>
        <v>0</v>
      </c>
      <c r="L36" s="10">
        <f t="shared" si="1"/>
        <v>0</v>
      </c>
    </row>
    <row r="37" spans="1:12" x14ac:dyDescent="0.25">
      <c r="A37" s="99"/>
      <c r="B37" s="99"/>
      <c r="C37" s="99"/>
      <c r="D37" s="99"/>
      <c r="E37" s="99"/>
      <c r="F37" s="99"/>
      <c r="G37" s="99"/>
      <c r="H37" s="100"/>
      <c r="I37" s="119"/>
      <c r="J37" s="211" t="str">
        <f t="shared" ca="1" si="0"/>
        <v/>
      </c>
      <c r="K37" s="100">
        <f t="shared" si="2"/>
        <v>0</v>
      </c>
      <c r="L37" s="10">
        <f t="shared" si="1"/>
        <v>0</v>
      </c>
    </row>
    <row r="38" spans="1:12" x14ac:dyDescent="0.25">
      <c r="A38" s="99"/>
      <c r="B38" s="99"/>
      <c r="C38" s="99"/>
      <c r="D38" s="99"/>
      <c r="E38" s="99"/>
      <c r="F38" s="99"/>
      <c r="G38" s="99"/>
      <c r="H38" s="100"/>
      <c r="I38" s="119"/>
      <c r="J38" s="211" t="str">
        <f t="shared" ca="1" si="0"/>
        <v/>
      </c>
      <c r="K38" s="100">
        <f t="shared" si="2"/>
        <v>0</v>
      </c>
      <c r="L38" s="10">
        <f t="shared" si="1"/>
        <v>0</v>
      </c>
    </row>
    <row r="39" spans="1:12" x14ac:dyDescent="0.25">
      <c r="A39" s="99"/>
      <c r="B39" s="99"/>
      <c r="C39" s="99"/>
      <c r="D39" s="99"/>
      <c r="E39" s="99"/>
      <c r="F39" s="99"/>
      <c r="G39" s="99"/>
      <c r="H39" s="100"/>
      <c r="I39" s="119"/>
      <c r="J39" s="211" t="str">
        <f t="shared" ca="1" si="0"/>
        <v/>
      </c>
      <c r="K39" s="100">
        <f t="shared" si="2"/>
        <v>0</v>
      </c>
      <c r="L39" s="10">
        <f t="shared" si="1"/>
        <v>0</v>
      </c>
    </row>
    <row r="40" spans="1:12" x14ac:dyDescent="0.25">
      <c r="A40" s="99"/>
      <c r="B40" s="99"/>
      <c r="C40" s="99"/>
      <c r="D40" s="99"/>
      <c r="E40" s="99"/>
      <c r="F40" s="99"/>
      <c r="G40" s="99"/>
      <c r="H40" s="100"/>
      <c r="I40" s="119"/>
      <c r="J40" s="211" t="str">
        <f t="shared" ca="1" si="0"/>
        <v/>
      </c>
      <c r="K40" s="100">
        <f t="shared" si="2"/>
        <v>0</v>
      </c>
      <c r="L40" s="10">
        <f t="shared" si="1"/>
        <v>0</v>
      </c>
    </row>
  </sheetData>
  <mergeCells count="3">
    <mergeCell ref="A2:B2"/>
    <mergeCell ref="A3:B3"/>
    <mergeCell ref="A4:B4"/>
  </mergeCells>
  <phoneticPr fontId="16" type="noConversion"/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F779-EDC7-4594-97B5-44A5E06C59CD}">
  <sheetPr codeName="Sheet15"/>
  <dimension ref="A1:U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7" width="18.140625" style="10" customWidth="1"/>
  </cols>
  <sheetData>
    <row r="1" spans="1:2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9"/>
      <c r="R1" s="3"/>
      <c r="S1" s="3"/>
      <c r="T1" s="3"/>
      <c r="U1" s="3"/>
    </row>
    <row r="2" spans="1:21" ht="18.75" customHeight="1" x14ac:dyDescent="0.3">
      <c r="A2" s="3"/>
      <c r="B2" s="189" t="s">
        <v>2</v>
      </c>
      <c r="C2" s="190"/>
      <c r="D2" s="3"/>
      <c r="E2" s="189" t="s">
        <v>4</v>
      </c>
      <c r="F2" s="203"/>
      <c r="G2" s="3"/>
      <c r="H2" s="189" t="s">
        <v>5</v>
      </c>
      <c r="I2" s="190" cm="1">
        <f t="array" ref="I2">LOOKUP(2,1/($Q:$Q&lt;&gt;""),$Q:$Q)</f>
        <v>0</v>
      </c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13</v>
      </c>
      <c r="Q2" s="14" t="s">
        <v>5</v>
      </c>
      <c r="R2" s="3"/>
      <c r="S2" s="3"/>
      <c r="T2" s="3"/>
      <c r="U2" s="3"/>
    </row>
    <row r="3" spans="1:21" x14ac:dyDescent="0.25">
      <c r="A3" s="3"/>
      <c r="B3" s="189"/>
      <c r="C3" s="190"/>
      <c r="D3" s="3"/>
      <c r="E3" s="189"/>
      <c r="F3" s="203"/>
      <c r="G3" s="3"/>
      <c r="H3" s="189"/>
      <c r="I3" s="190"/>
      <c r="J3" s="3"/>
      <c r="Q3" s="10">
        <f>SUM(O3)</f>
        <v>0</v>
      </c>
      <c r="R3" s="3"/>
      <c r="S3" s="3"/>
      <c r="T3" s="3"/>
      <c r="U3" s="3"/>
    </row>
    <row r="4" spans="1:21" x14ac:dyDescent="0.25">
      <c r="A4" s="3"/>
      <c r="B4" s="3"/>
      <c r="C4" s="3"/>
      <c r="D4" s="3"/>
      <c r="E4" s="3"/>
      <c r="F4" s="3"/>
      <c r="G4" s="3"/>
      <c r="H4" s="3"/>
      <c r="I4" s="3"/>
      <c r="J4" s="3"/>
      <c r="Q4" s="10" t="str">
        <f t="shared" ref="Q4:Q10" si="0">IF(AND(ISBLANK(O4),ISBLANK(P4)),"",IF(ISBLANK(P4), ROUND(Q3+O4,2), ROUND(Q3+P4,2)))</f>
        <v/>
      </c>
      <c r="R4" s="3"/>
      <c r="S4" s="3"/>
      <c r="T4" s="3"/>
      <c r="U4" s="3"/>
    </row>
    <row r="5" spans="1:21" x14ac:dyDescent="0.25">
      <c r="A5" s="3"/>
      <c r="B5" s="189" t="s">
        <v>6</v>
      </c>
      <c r="C5" s="192"/>
      <c r="D5" s="3"/>
      <c r="E5" s="189" t="s">
        <v>72</v>
      </c>
      <c r="F5" s="194"/>
      <c r="G5" s="194"/>
      <c r="H5" s="194"/>
      <c r="I5" s="194"/>
      <c r="J5" s="3"/>
      <c r="Q5" s="10" t="str">
        <f t="shared" si="0"/>
        <v/>
      </c>
      <c r="R5" s="3"/>
      <c r="S5" s="3"/>
      <c r="T5" s="3"/>
      <c r="U5" s="3"/>
    </row>
    <row r="6" spans="1:21" x14ac:dyDescent="0.25">
      <c r="A6" s="3"/>
      <c r="B6" s="189"/>
      <c r="C6" s="192"/>
      <c r="D6" s="3"/>
      <c r="E6" s="189"/>
      <c r="F6" s="194"/>
      <c r="G6" s="194"/>
      <c r="H6" s="194"/>
      <c r="I6" s="194"/>
      <c r="J6" s="3"/>
      <c r="Q6" s="10" t="str">
        <f t="shared" si="0"/>
        <v/>
      </c>
      <c r="R6" s="3"/>
      <c r="S6" s="3"/>
      <c r="T6" s="3"/>
      <c r="U6" s="3"/>
    </row>
    <row r="7" spans="1:21" x14ac:dyDescent="0.25">
      <c r="A7" s="3"/>
      <c r="B7" s="3"/>
      <c r="C7" s="3"/>
      <c r="D7" s="3"/>
      <c r="E7" s="3"/>
      <c r="F7" s="3"/>
      <c r="G7" s="3"/>
      <c r="H7" s="3"/>
      <c r="I7" s="3"/>
      <c r="J7" s="3"/>
      <c r="Q7" s="10" t="str">
        <f t="shared" si="0"/>
        <v/>
      </c>
      <c r="R7" s="3"/>
      <c r="S7" s="3"/>
      <c r="T7" s="3"/>
      <c r="U7" s="3"/>
    </row>
    <row r="8" spans="1:21" ht="15" customHeight="1" x14ac:dyDescent="0.25">
      <c r="A8" s="3"/>
      <c r="B8" s="189" t="s">
        <v>14</v>
      </c>
      <c r="C8" s="190"/>
      <c r="D8" s="3"/>
      <c r="E8" s="189" t="s">
        <v>20</v>
      </c>
      <c r="F8" s="194"/>
      <c r="G8" s="194"/>
      <c r="H8" s="194"/>
      <c r="I8" s="194"/>
      <c r="J8" s="3"/>
      <c r="Q8" s="10" t="str">
        <f t="shared" si="0"/>
        <v/>
      </c>
      <c r="R8" s="3"/>
      <c r="S8" s="3"/>
      <c r="T8" s="3"/>
      <c r="U8" s="3"/>
    </row>
    <row r="9" spans="1:21" x14ac:dyDescent="0.25">
      <c r="A9" s="3"/>
      <c r="B9" s="189"/>
      <c r="C9" s="190"/>
      <c r="D9" s="3"/>
      <c r="E9" s="189"/>
      <c r="F9" s="194"/>
      <c r="G9" s="194"/>
      <c r="H9" s="194"/>
      <c r="I9" s="194"/>
      <c r="J9" s="3"/>
      <c r="Q9" s="10" t="str">
        <f t="shared" si="0"/>
        <v/>
      </c>
      <c r="R9" s="3"/>
      <c r="S9" s="3"/>
      <c r="T9" s="3"/>
      <c r="U9" s="3"/>
    </row>
    <row r="10" spans="1:21" x14ac:dyDescent="0.25">
      <c r="A10" s="3"/>
      <c r="B10" s="3"/>
      <c r="C10" s="15">
        <f>IF(ABS(I2)&gt;C8,C8,ABS(I2))</f>
        <v>0</v>
      </c>
      <c r="D10" s="3"/>
      <c r="E10" s="3"/>
      <c r="F10" s="3"/>
      <c r="G10" s="3"/>
      <c r="H10" s="3"/>
      <c r="I10" s="3"/>
      <c r="J10" s="3"/>
      <c r="Q10" s="10" t="str">
        <f t="shared" si="0"/>
        <v/>
      </c>
      <c r="R10" s="3"/>
      <c r="S10" s="3"/>
      <c r="T10" s="3"/>
      <c r="U10" s="3"/>
    </row>
    <row r="11" spans="1:21" x14ac:dyDescent="0.25">
      <c r="A11" s="3"/>
      <c r="B11" s="189" t="s">
        <v>77</v>
      </c>
      <c r="C11" s="201"/>
      <c r="D11" s="3"/>
      <c r="E11" s="189" t="s">
        <v>19</v>
      </c>
      <c r="F11" s="192"/>
      <c r="G11" s="192"/>
      <c r="H11" s="192"/>
      <c r="I11" s="192"/>
      <c r="J11" s="3"/>
      <c r="Q11" s="10" t="str">
        <f t="shared" ref="Q11:Q74" si="1">IF(AND(ISBLANK(O11),ISBLANK(P11)),"",IF(ISBLANK(P11), ROUND(Q10+O11,2), ROUND(Q10+P11,2)))</f>
        <v/>
      </c>
      <c r="R11" s="3"/>
      <c r="S11" s="3"/>
      <c r="T11" s="3"/>
      <c r="U11" s="3"/>
    </row>
    <row r="12" spans="1:21" x14ac:dyDescent="0.25">
      <c r="A12" s="3"/>
      <c r="B12" s="189"/>
      <c r="C12" s="201"/>
      <c r="D12" s="3"/>
      <c r="E12" s="189"/>
      <c r="F12" s="192"/>
      <c r="G12" s="192"/>
      <c r="H12" s="192"/>
      <c r="I12" s="192"/>
      <c r="J12" s="3"/>
      <c r="Q12" s="10" t="str">
        <f t="shared" si="1"/>
        <v/>
      </c>
      <c r="R12" s="3"/>
      <c r="S12" s="3"/>
      <c r="T12" s="3"/>
      <c r="U12" s="3"/>
    </row>
    <row r="13" spans="1:2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Q13" s="10" t="str">
        <f t="shared" si="1"/>
        <v/>
      </c>
      <c r="R13" s="3"/>
      <c r="S13" s="3"/>
      <c r="T13" s="3"/>
      <c r="U13" s="3"/>
    </row>
    <row r="14" spans="1:21" x14ac:dyDescent="0.25">
      <c r="A14" s="3"/>
      <c r="B14" s="189" t="s">
        <v>21</v>
      </c>
      <c r="C14" s="202">
        <f>IF((AND(ABS($I$2)&gt;0,$F$2&gt;0, $C$8&gt;0)),ROUND(NPER($F$2/12,$C$8,$I$2),0),IF(AND(ABS($I$2)&gt;0,$C$8&gt;0),_xlfn.CEILING.MATH(ABS($I$2)/$C$8),0))</f>
        <v>0</v>
      </c>
      <c r="D14" s="3"/>
      <c r="E14" s="189" t="s">
        <v>7</v>
      </c>
      <c r="F14" s="194"/>
      <c r="G14" s="194"/>
      <c r="H14" s="194"/>
      <c r="I14" s="194"/>
      <c r="J14" s="3"/>
      <c r="Q14" s="10" t="str">
        <f t="shared" si="1"/>
        <v/>
      </c>
      <c r="R14" s="3"/>
      <c r="S14" s="3"/>
      <c r="T14" s="3"/>
      <c r="U14" s="3"/>
    </row>
    <row r="15" spans="1:21" x14ac:dyDescent="0.25">
      <c r="A15" s="3"/>
      <c r="B15" s="189"/>
      <c r="C15" s="202"/>
      <c r="D15" s="3"/>
      <c r="E15" s="189"/>
      <c r="F15" s="194"/>
      <c r="G15" s="194"/>
      <c r="H15" s="194"/>
      <c r="I15" s="194"/>
      <c r="J15" s="3"/>
      <c r="Q15" s="10" t="str">
        <f t="shared" si="1"/>
        <v/>
      </c>
      <c r="R15" s="3"/>
      <c r="S15" s="3"/>
      <c r="T15" s="3"/>
      <c r="U15" s="3"/>
    </row>
    <row r="16" spans="1:21" x14ac:dyDescent="0.25">
      <c r="A16" s="3"/>
      <c r="B16" s="3"/>
      <c r="D16" s="3"/>
      <c r="E16" s="3"/>
      <c r="F16" s="3"/>
      <c r="G16" s="3"/>
      <c r="H16" s="3"/>
      <c r="I16" s="3"/>
      <c r="J16" s="3"/>
      <c r="Q16" s="10" t="str">
        <f t="shared" si="1"/>
        <v/>
      </c>
      <c r="R16" s="3"/>
      <c r="S16" s="3"/>
      <c r="T16" s="3"/>
      <c r="U16" s="3"/>
    </row>
    <row r="17" spans="1:21" ht="15" customHeight="1" x14ac:dyDescent="0.25">
      <c r="A17" s="3"/>
      <c r="B17" s="189" t="s">
        <v>16</v>
      </c>
      <c r="C17" s="200"/>
      <c r="D17" s="3"/>
      <c r="E17" s="189" t="s">
        <v>119</v>
      </c>
      <c r="F17" s="198">
        <f>ABS(SUM(E22:E501))</f>
        <v>0</v>
      </c>
      <c r="G17" s="198"/>
      <c r="H17" s="198"/>
      <c r="I17" s="198"/>
      <c r="J17" s="3"/>
      <c r="Q17" s="10" t="str">
        <f t="shared" si="1"/>
        <v/>
      </c>
      <c r="R17" s="3"/>
      <c r="S17" s="3"/>
      <c r="T17" s="3"/>
      <c r="U17" s="3"/>
    </row>
    <row r="18" spans="1:21" x14ac:dyDescent="0.25">
      <c r="A18" s="3"/>
      <c r="B18" s="189"/>
      <c r="C18" s="200"/>
      <c r="D18" s="3"/>
      <c r="E18" s="189"/>
      <c r="F18" s="198"/>
      <c r="G18" s="198"/>
      <c r="H18" s="198"/>
      <c r="I18" s="198"/>
      <c r="J18" s="3"/>
      <c r="Q18" s="10" t="str">
        <f t="shared" si="1"/>
        <v/>
      </c>
      <c r="R18" s="3"/>
      <c r="S18" s="3"/>
      <c r="T18" s="3"/>
      <c r="U18" s="3"/>
    </row>
    <row r="19" spans="1:2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Q19" s="10" t="str">
        <f t="shared" si="1"/>
        <v/>
      </c>
      <c r="R19" s="3"/>
      <c r="S19" s="3"/>
      <c r="T19" s="3"/>
      <c r="U19" s="3"/>
    </row>
    <row r="20" spans="1:2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Q20" s="10" t="str">
        <f t="shared" si="1"/>
        <v/>
      </c>
      <c r="R20" s="3"/>
      <c r="S20" s="3"/>
      <c r="T20" s="3"/>
      <c r="U20" s="3"/>
    </row>
    <row r="21" spans="1:21" x14ac:dyDescent="0.25">
      <c r="A21" s="3"/>
      <c r="B21" s="111" t="s">
        <v>127</v>
      </c>
      <c r="C21" s="109" t="s">
        <v>129</v>
      </c>
      <c r="D21" s="109" t="s">
        <v>13</v>
      </c>
      <c r="E21" s="109" t="s">
        <v>15</v>
      </c>
      <c r="F21" s="109" t="s">
        <v>128</v>
      </c>
      <c r="G21" s="199" t="s">
        <v>5</v>
      </c>
      <c r="H21" s="199"/>
      <c r="I21" s="3"/>
      <c r="J21" s="3"/>
      <c r="Q21" s="10" t="str">
        <f t="shared" si="1"/>
        <v/>
      </c>
      <c r="R21" s="3"/>
      <c r="S21" s="3"/>
      <c r="T21" s="3"/>
      <c r="U21" s="3"/>
    </row>
    <row r="22" spans="1:21" x14ac:dyDescent="0.25">
      <c r="A22" s="3"/>
      <c r="B22" s="112" t="str">
        <f>IF($C$14&gt;0,1,"")</f>
        <v/>
      </c>
      <c r="C22" s="9" t="str">
        <f>IFERROR(SUM($C$8-ABS(D22)),"")</f>
        <v/>
      </c>
      <c r="D22" s="110" t="str">
        <f>IF(G22&lt;&gt;"",PMT($F$2/12,$C$14,ABS($I$2)),"")</f>
        <v/>
      </c>
      <c r="E22" s="110" t="str">
        <f>IFERROR(IPMT($F$2/12, B22, $C$14, ABS($I$2)),"")</f>
        <v/>
      </c>
      <c r="F22" s="110" t="str">
        <f>IFERROR(PPMT($F$2/12, B22, $C$14, ABS($I$2)),"")</f>
        <v/>
      </c>
      <c r="G22" s="197" t="str">
        <f>IFERROR(ABS(I2)+F22,"")</f>
        <v/>
      </c>
      <c r="H22" s="197"/>
      <c r="I22" s="3"/>
      <c r="J22" s="3"/>
      <c r="Q22" s="10" t="str">
        <f t="shared" si="1"/>
        <v/>
      </c>
      <c r="R22" s="3"/>
      <c r="S22" s="3"/>
      <c r="T22" s="3"/>
      <c r="U22" s="3"/>
    </row>
    <row r="23" spans="1:21" x14ac:dyDescent="0.25">
      <c r="A23" s="3"/>
      <c r="B23" s="112" t="str">
        <f>IF(B22&gt;=$C$14,"",SUM(B22+1))</f>
        <v/>
      </c>
      <c r="C23" s="9" t="str">
        <f t="shared" ref="C23:C86" si="2">IFERROR(SUM($C$8-ABS(D23)),"")</f>
        <v/>
      </c>
      <c r="D23" s="110" t="str">
        <f t="shared" ref="D23:D86" si="3">IF(G23&lt;&gt;"",PMT($F$2/12,$C$14,ABS($I$2)),"")</f>
        <v/>
      </c>
      <c r="E23" s="110" t="str">
        <f t="shared" ref="E23:E86" si="4">IFERROR(IPMT($F$2/12, B23, $C$14, ABS($I$2)),"")</f>
        <v/>
      </c>
      <c r="F23" s="110" t="str">
        <f t="shared" ref="F23:F86" si="5">IFERROR(PPMT($F$2/12, B23, $C$14, ABS($I$2)),"")</f>
        <v/>
      </c>
      <c r="G23" s="197" t="str">
        <f>IFERROR(G22+F23,"")</f>
        <v/>
      </c>
      <c r="H23" s="197"/>
      <c r="I23" s="3"/>
      <c r="J23" s="3"/>
      <c r="Q23" s="10" t="str">
        <f t="shared" si="1"/>
        <v/>
      </c>
      <c r="R23" s="3"/>
      <c r="S23" s="3"/>
      <c r="T23" s="3"/>
      <c r="U23" s="3"/>
    </row>
    <row r="24" spans="1:21" x14ac:dyDescent="0.25">
      <c r="A24" s="3"/>
      <c r="B24" s="112" t="str">
        <f t="shared" ref="B24:B87" si="6">IF(B23&gt;=$C$14,"",SUM(B23+1))</f>
        <v/>
      </c>
      <c r="C24" s="9" t="str">
        <f t="shared" si="2"/>
        <v/>
      </c>
      <c r="D24" s="110" t="str">
        <f t="shared" si="3"/>
        <v/>
      </c>
      <c r="E24" s="110" t="str">
        <f t="shared" si="4"/>
        <v/>
      </c>
      <c r="F24" s="110" t="str">
        <f t="shared" si="5"/>
        <v/>
      </c>
      <c r="G24" s="197" t="str">
        <f t="shared" ref="G24:G87" si="7">IFERROR(G23+F24,"")</f>
        <v/>
      </c>
      <c r="H24" s="197"/>
      <c r="I24" s="3"/>
      <c r="J24" s="3"/>
      <c r="Q24" s="10" t="str">
        <f t="shared" si="1"/>
        <v/>
      </c>
      <c r="R24" s="3"/>
      <c r="S24" s="3"/>
      <c r="T24" s="3"/>
      <c r="U24" s="3"/>
    </row>
    <row r="25" spans="1:21" x14ac:dyDescent="0.25">
      <c r="A25" s="3"/>
      <c r="B25" s="112" t="str">
        <f t="shared" si="6"/>
        <v/>
      </c>
      <c r="C25" s="9" t="str">
        <f t="shared" si="2"/>
        <v/>
      </c>
      <c r="D25" s="110" t="str">
        <f t="shared" si="3"/>
        <v/>
      </c>
      <c r="E25" s="110" t="str">
        <f t="shared" si="4"/>
        <v/>
      </c>
      <c r="F25" s="110" t="str">
        <f t="shared" si="5"/>
        <v/>
      </c>
      <c r="G25" s="197" t="str">
        <f t="shared" si="7"/>
        <v/>
      </c>
      <c r="H25" s="197"/>
      <c r="I25" s="3"/>
      <c r="J25" s="3"/>
      <c r="Q25" s="10" t="str">
        <f t="shared" si="1"/>
        <v/>
      </c>
      <c r="R25" s="3"/>
      <c r="S25" s="3"/>
      <c r="T25" s="3"/>
      <c r="U25" s="3"/>
    </row>
    <row r="26" spans="1:21" x14ac:dyDescent="0.25">
      <c r="A26" s="3"/>
      <c r="B26" s="112" t="str">
        <f t="shared" si="6"/>
        <v/>
      </c>
      <c r="C26" s="9" t="str">
        <f t="shared" si="2"/>
        <v/>
      </c>
      <c r="D26" s="110" t="str">
        <f t="shared" si="3"/>
        <v/>
      </c>
      <c r="E26" s="110" t="str">
        <f t="shared" si="4"/>
        <v/>
      </c>
      <c r="F26" s="110" t="str">
        <f t="shared" si="5"/>
        <v/>
      </c>
      <c r="G26" s="197" t="str">
        <f t="shared" si="7"/>
        <v/>
      </c>
      <c r="H26" s="197"/>
      <c r="I26" s="3"/>
      <c r="J26" s="3"/>
      <c r="Q26" s="10" t="str">
        <f t="shared" si="1"/>
        <v/>
      </c>
      <c r="R26" s="3"/>
      <c r="S26" s="3"/>
      <c r="T26" s="3"/>
      <c r="U26" s="3"/>
    </row>
    <row r="27" spans="1:21" x14ac:dyDescent="0.25">
      <c r="A27" s="3"/>
      <c r="B27" s="112" t="str">
        <f t="shared" si="6"/>
        <v/>
      </c>
      <c r="C27" s="9" t="str">
        <f t="shared" si="2"/>
        <v/>
      </c>
      <c r="D27" s="110" t="str">
        <f t="shared" si="3"/>
        <v/>
      </c>
      <c r="E27" s="110" t="str">
        <f t="shared" si="4"/>
        <v/>
      </c>
      <c r="F27" s="110" t="str">
        <f t="shared" si="5"/>
        <v/>
      </c>
      <c r="G27" s="197" t="str">
        <f t="shared" si="7"/>
        <v/>
      </c>
      <c r="H27" s="197"/>
      <c r="I27" s="3"/>
      <c r="J27" s="3"/>
      <c r="Q27" s="10" t="str">
        <f t="shared" si="1"/>
        <v/>
      </c>
      <c r="R27" s="3"/>
      <c r="S27" s="3"/>
      <c r="T27" s="3"/>
      <c r="U27" s="3"/>
    </row>
    <row r="28" spans="1:21" x14ac:dyDescent="0.25">
      <c r="A28" s="3"/>
      <c r="B28" s="112" t="str">
        <f t="shared" si="6"/>
        <v/>
      </c>
      <c r="C28" s="9" t="str">
        <f t="shared" si="2"/>
        <v/>
      </c>
      <c r="D28" s="110" t="str">
        <f t="shared" si="3"/>
        <v/>
      </c>
      <c r="E28" s="110" t="str">
        <f t="shared" si="4"/>
        <v/>
      </c>
      <c r="F28" s="110" t="str">
        <f t="shared" si="5"/>
        <v/>
      </c>
      <c r="G28" s="197" t="str">
        <f t="shared" si="7"/>
        <v/>
      </c>
      <c r="H28" s="197"/>
      <c r="I28" s="3"/>
      <c r="J28" s="3"/>
      <c r="Q28" s="10" t="str">
        <f t="shared" si="1"/>
        <v/>
      </c>
      <c r="R28" s="3"/>
      <c r="S28" s="3"/>
      <c r="T28" s="3"/>
      <c r="U28" s="3"/>
    </row>
    <row r="29" spans="1:21" x14ac:dyDescent="0.25">
      <c r="A29" s="3"/>
      <c r="B29" s="112" t="str">
        <f t="shared" si="6"/>
        <v/>
      </c>
      <c r="C29" s="9" t="str">
        <f t="shared" si="2"/>
        <v/>
      </c>
      <c r="D29" s="110" t="str">
        <f t="shared" si="3"/>
        <v/>
      </c>
      <c r="E29" s="110" t="str">
        <f t="shared" si="4"/>
        <v/>
      </c>
      <c r="F29" s="110" t="str">
        <f t="shared" si="5"/>
        <v/>
      </c>
      <c r="G29" s="197" t="str">
        <f t="shared" si="7"/>
        <v/>
      </c>
      <c r="H29" s="197"/>
      <c r="I29" s="3"/>
      <c r="J29" s="3"/>
      <c r="Q29" s="10" t="str">
        <f t="shared" si="1"/>
        <v/>
      </c>
      <c r="R29" s="3"/>
      <c r="S29" s="3"/>
      <c r="T29" s="3"/>
      <c r="U29" s="3"/>
    </row>
    <row r="30" spans="1:21" x14ac:dyDescent="0.25">
      <c r="A30" s="3"/>
      <c r="B30" s="112" t="str">
        <f t="shared" si="6"/>
        <v/>
      </c>
      <c r="C30" s="9" t="str">
        <f t="shared" si="2"/>
        <v/>
      </c>
      <c r="D30" s="110" t="str">
        <f t="shared" si="3"/>
        <v/>
      </c>
      <c r="E30" s="110" t="str">
        <f t="shared" si="4"/>
        <v/>
      </c>
      <c r="F30" s="110" t="str">
        <f t="shared" si="5"/>
        <v/>
      </c>
      <c r="G30" s="197" t="str">
        <f t="shared" si="7"/>
        <v/>
      </c>
      <c r="H30" s="197"/>
      <c r="I30" s="3"/>
      <c r="J30" s="3"/>
      <c r="Q30" s="10" t="str">
        <f t="shared" si="1"/>
        <v/>
      </c>
      <c r="R30" s="3"/>
      <c r="S30" s="3"/>
      <c r="T30" s="3"/>
      <c r="U30" s="3"/>
    </row>
    <row r="31" spans="1:21" x14ac:dyDescent="0.25">
      <c r="A31" s="3"/>
      <c r="B31" s="112" t="str">
        <f t="shared" si="6"/>
        <v/>
      </c>
      <c r="C31" s="9" t="str">
        <f t="shared" si="2"/>
        <v/>
      </c>
      <c r="D31" s="110" t="str">
        <f t="shared" si="3"/>
        <v/>
      </c>
      <c r="E31" s="110" t="str">
        <f t="shared" si="4"/>
        <v/>
      </c>
      <c r="F31" s="110" t="str">
        <f t="shared" si="5"/>
        <v/>
      </c>
      <c r="G31" s="197" t="str">
        <f t="shared" si="7"/>
        <v/>
      </c>
      <c r="H31" s="197"/>
      <c r="I31" s="3"/>
      <c r="J31" s="3"/>
      <c r="Q31" s="10" t="str">
        <f t="shared" si="1"/>
        <v/>
      </c>
      <c r="R31" s="3"/>
      <c r="S31" s="3"/>
      <c r="T31" s="3"/>
      <c r="U31" s="3"/>
    </row>
    <row r="32" spans="1:21" x14ac:dyDescent="0.25">
      <c r="A32" s="3"/>
      <c r="B32" s="112" t="str">
        <f t="shared" si="6"/>
        <v/>
      </c>
      <c r="C32" s="9" t="str">
        <f t="shared" si="2"/>
        <v/>
      </c>
      <c r="D32" s="110" t="str">
        <f t="shared" si="3"/>
        <v/>
      </c>
      <c r="E32" s="110" t="str">
        <f t="shared" si="4"/>
        <v/>
      </c>
      <c r="F32" s="110" t="str">
        <f t="shared" si="5"/>
        <v/>
      </c>
      <c r="G32" s="197" t="str">
        <f t="shared" si="7"/>
        <v/>
      </c>
      <c r="H32" s="197"/>
      <c r="I32" s="3"/>
      <c r="J32" s="3"/>
      <c r="Q32" s="10" t="str">
        <f t="shared" si="1"/>
        <v/>
      </c>
      <c r="R32" s="3"/>
      <c r="S32" s="3"/>
      <c r="T32" s="3"/>
      <c r="U32" s="3"/>
    </row>
    <row r="33" spans="1:21" x14ac:dyDescent="0.25">
      <c r="A33" s="3"/>
      <c r="B33" s="112" t="str">
        <f t="shared" si="6"/>
        <v/>
      </c>
      <c r="C33" s="9" t="str">
        <f t="shared" si="2"/>
        <v/>
      </c>
      <c r="D33" s="110" t="str">
        <f t="shared" si="3"/>
        <v/>
      </c>
      <c r="E33" s="110" t="str">
        <f t="shared" si="4"/>
        <v/>
      </c>
      <c r="F33" s="110" t="str">
        <f t="shared" si="5"/>
        <v/>
      </c>
      <c r="G33" s="197" t="str">
        <f t="shared" si="7"/>
        <v/>
      </c>
      <c r="H33" s="197"/>
      <c r="I33" s="3"/>
      <c r="J33" s="3"/>
      <c r="Q33" s="10" t="str">
        <f t="shared" si="1"/>
        <v/>
      </c>
      <c r="R33" s="3"/>
      <c r="S33" s="3"/>
      <c r="T33" s="3"/>
      <c r="U33" s="3"/>
    </row>
    <row r="34" spans="1:21" x14ac:dyDescent="0.25">
      <c r="A34" s="3"/>
      <c r="B34" s="112" t="str">
        <f t="shared" si="6"/>
        <v/>
      </c>
      <c r="C34" s="9" t="str">
        <f t="shared" si="2"/>
        <v/>
      </c>
      <c r="D34" s="110" t="str">
        <f t="shared" si="3"/>
        <v/>
      </c>
      <c r="E34" s="110" t="str">
        <f t="shared" si="4"/>
        <v/>
      </c>
      <c r="F34" s="110" t="str">
        <f t="shared" si="5"/>
        <v/>
      </c>
      <c r="G34" s="197" t="str">
        <f t="shared" si="7"/>
        <v/>
      </c>
      <c r="H34" s="197"/>
      <c r="I34" s="3"/>
      <c r="J34" s="3"/>
      <c r="Q34" s="10" t="str">
        <f t="shared" si="1"/>
        <v/>
      </c>
      <c r="R34" s="3"/>
      <c r="S34" s="3"/>
      <c r="T34" s="3"/>
      <c r="U34" s="3"/>
    </row>
    <row r="35" spans="1:21" x14ac:dyDescent="0.25">
      <c r="A35" s="3"/>
      <c r="B35" s="112" t="str">
        <f t="shared" si="6"/>
        <v/>
      </c>
      <c r="C35" s="9" t="str">
        <f t="shared" si="2"/>
        <v/>
      </c>
      <c r="D35" s="110" t="str">
        <f t="shared" si="3"/>
        <v/>
      </c>
      <c r="E35" s="110" t="str">
        <f t="shared" si="4"/>
        <v/>
      </c>
      <c r="F35" s="110" t="str">
        <f t="shared" si="5"/>
        <v/>
      </c>
      <c r="G35" s="197" t="str">
        <f t="shared" si="7"/>
        <v/>
      </c>
      <c r="H35" s="197"/>
      <c r="I35" s="3"/>
      <c r="J35" s="3"/>
      <c r="Q35" s="10" t="str">
        <f t="shared" si="1"/>
        <v/>
      </c>
      <c r="R35" s="3"/>
      <c r="S35" s="3"/>
      <c r="T35" s="3"/>
      <c r="U35" s="3"/>
    </row>
    <row r="36" spans="1:21" x14ac:dyDescent="0.25">
      <c r="A36" s="3"/>
      <c r="B36" s="112" t="str">
        <f t="shared" si="6"/>
        <v/>
      </c>
      <c r="C36" s="9" t="str">
        <f t="shared" si="2"/>
        <v/>
      </c>
      <c r="D36" s="110" t="str">
        <f t="shared" si="3"/>
        <v/>
      </c>
      <c r="E36" s="110" t="str">
        <f t="shared" si="4"/>
        <v/>
      </c>
      <c r="F36" s="110" t="str">
        <f t="shared" si="5"/>
        <v/>
      </c>
      <c r="G36" s="197" t="str">
        <f t="shared" si="7"/>
        <v/>
      </c>
      <c r="H36" s="197"/>
      <c r="I36" s="3"/>
      <c r="J36" s="3"/>
      <c r="Q36" s="10" t="str">
        <f t="shared" si="1"/>
        <v/>
      </c>
      <c r="R36" s="3"/>
      <c r="S36" s="3"/>
      <c r="T36" s="3"/>
      <c r="U36" s="3"/>
    </row>
    <row r="37" spans="1:21" x14ac:dyDescent="0.25">
      <c r="A37" s="3"/>
      <c r="B37" s="112" t="str">
        <f t="shared" si="6"/>
        <v/>
      </c>
      <c r="C37" s="9" t="str">
        <f t="shared" si="2"/>
        <v/>
      </c>
      <c r="D37" s="110" t="str">
        <f t="shared" si="3"/>
        <v/>
      </c>
      <c r="E37" s="110" t="str">
        <f t="shared" si="4"/>
        <v/>
      </c>
      <c r="F37" s="110" t="str">
        <f t="shared" si="5"/>
        <v/>
      </c>
      <c r="G37" s="197" t="str">
        <f t="shared" si="7"/>
        <v/>
      </c>
      <c r="H37" s="197"/>
      <c r="I37" s="3"/>
      <c r="J37" s="3"/>
      <c r="Q37" s="10" t="str">
        <f t="shared" si="1"/>
        <v/>
      </c>
      <c r="R37" s="3"/>
      <c r="S37" s="3"/>
      <c r="T37" s="3"/>
      <c r="U37" s="3"/>
    </row>
    <row r="38" spans="1:21" x14ac:dyDescent="0.25">
      <c r="A38" s="3"/>
      <c r="B38" s="112" t="str">
        <f t="shared" si="6"/>
        <v/>
      </c>
      <c r="C38" s="9" t="str">
        <f t="shared" si="2"/>
        <v/>
      </c>
      <c r="D38" s="110" t="str">
        <f t="shared" si="3"/>
        <v/>
      </c>
      <c r="E38" s="110" t="str">
        <f t="shared" si="4"/>
        <v/>
      </c>
      <c r="F38" s="110" t="str">
        <f t="shared" si="5"/>
        <v/>
      </c>
      <c r="G38" s="197" t="str">
        <f t="shared" si="7"/>
        <v/>
      </c>
      <c r="H38" s="197"/>
      <c r="I38" s="3"/>
      <c r="J38" s="3"/>
      <c r="Q38" s="10" t="str">
        <f t="shared" si="1"/>
        <v/>
      </c>
      <c r="R38" s="3"/>
      <c r="S38" s="3"/>
      <c r="T38" s="3"/>
      <c r="U38" s="3"/>
    </row>
    <row r="39" spans="1:21" x14ac:dyDescent="0.25">
      <c r="B39" s="112" t="str">
        <f t="shared" si="6"/>
        <v/>
      </c>
      <c r="C39" s="9" t="str">
        <f t="shared" si="2"/>
        <v/>
      </c>
      <c r="D39" s="110" t="str">
        <f t="shared" si="3"/>
        <v/>
      </c>
      <c r="E39" s="110" t="str">
        <f t="shared" si="4"/>
        <v/>
      </c>
      <c r="F39" s="110" t="str">
        <f t="shared" si="5"/>
        <v/>
      </c>
      <c r="G39" s="197" t="str">
        <f t="shared" si="7"/>
        <v/>
      </c>
      <c r="H39" s="197"/>
      <c r="Q39" s="10" t="str">
        <f t="shared" si="1"/>
        <v/>
      </c>
    </row>
    <row r="40" spans="1:21" x14ac:dyDescent="0.25">
      <c r="B40" s="112" t="str">
        <f t="shared" si="6"/>
        <v/>
      </c>
      <c r="C40" s="9" t="str">
        <f t="shared" si="2"/>
        <v/>
      </c>
      <c r="D40" s="110" t="str">
        <f t="shared" si="3"/>
        <v/>
      </c>
      <c r="E40" s="110" t="str">
        <f t="shared" si="4"/>
        <v/>
      </c>
      <c r="F40" s="110" t="str">
        <f t="shared" si="5"/>
        <v/>
      </c>
      <c r="G40" s="197" t="str">
        <f t="shared" si="7"/>
        <v/>
      </c>
      <c r="H40" s="197"/>
      <c r="Q40" s="10" t="str">
        <f t="shared" si="1"/>
        <v/>
      </c>
    </row>
    <row r="41" spans="1:21" x14ac:dyDescent="0.25">
      <c r="B41" s="112" t="str">
        <f t="shared" si="6"/>
        <v/>
      </c>
      <c r="C41" s="9" t="str">
        <f t="shared" si="2"/>
        <v/>
      </c>
      <c r="D41" s="110" t="str">
        <f t="shared" si="3"/>
        <v/>
      </c>
      <c r="E41" s="110" t="str">
        <f t="shared" si="4"/>
        <v/>
      </c>
      <c r="F41" s="110" t="str">
        <f t="shared" si="5"/>
        <v/>
      </c>
      <c r="G41" s="197" t="str">
        <f t="shared" si="7"/>
        <v/>
      </c>
      <c r="H41" s="197"/>
      <c r="Q41" s="10" t="str">
        <f t="shared" si="1"/>
        <v/>
      </c>
    </row>
    <row r="42" spans="1:21" x14ac:dyDescent="0.25">
      <c r="B42" s="112" t="str">
        <f t="shared" si="6"/>
        <v/>
      </c>
      <c r="C42" s="9" t="str">
        <f t="shared" si="2"/>
        <v/>
      </c>
      <c r="D42" s="110" t="str">
        <f t="shared" si="3"/>
        <v/>
      </c>
      <c r="E42" s="110" t="str">
        <f t="shared" si="4"/>
        <v/>
      </c>
      <c r="F42" s="110" t="str">
        <f t="shared" si="5"/>
        <v/>
      </c>
      <c r="G42" s="197" t="str">
        <f t="shared" si="7"/>
        <v/>
      </c>
      <c r="H42" s="197"/>
      <c r="Q42" s="10" t="str">
        <f t="shared" si="1"/>
        <v/>
      </c>
    </row>
    <row r="43" spans="1:21" x14ac:dyDescent="0.25">
      <c r="B43" s="112" t="str">
        <f t="shared" si="6"/>
        <v/>
      </c>
      <c r="C43" s="9" t="str">
        <f t="shared" si="2"/>
        <v/>
      </c>
      <c r="D43" s="110" t="str">
        <f t="shared" si="3"/>
        <v/>
      </c>
      <c r="E43" s="110" t="str">
        <f t="shared" si="4"/>
        <v/>
      </c>
      <c r="F43" s="110" t="str">
        <f t="shared" si="5"/>
        <v/>
      </c>
      <c r="G43" s="197" t="str">
        <f t="shared" si="7"/>
        <v/>
      </c>
      <c r="H43" s="197"/>
      <c r="Q43" s="10" t="str">
        <f t="shared" si="1"/>
        <v/>
      </c>
    </row>
    <row r="44" spans="1:21" x14ac:dyDescent="0.25">
      <c r="B44" s="112" t="str">
        <f t="shared" si="6"/>
        <v/>
      </c>
      <c r="C44" s="9" t="str">
        <f t="shared" si="2"/>
        <v/>
      </c>
      <c r="D44" s="110" t="str">
        <f t="shared" si="3"/>
        <v/>
      </c>
      <c r="E44" s="110" t="str">
        <f t="shared" si="4"/>
        <v/>
      </c>
      <c r="F44" s="110" t="str">
        <f t="shared" si="5"/>
        <v/>
      </c>
      <c r="G44" s="197" t="str">
        <f t="shared" si="7"/>
        <v/>
      </c>
      <c r="H44" s="197"/>
      <c r="Q44" s="10" t="str">
        <f t="shared" si="1"/>
        <v/>
      </c>
    </row>
    <row r="45" spans="1:21" x14ac:dyDescent="0.25">
      <c r="B45" s="112" t="str">
        <f t="shared" si="6"/>
        <v/>
      </c>
      <c r="C45" s="9" t="str">
        <f t="shared" si="2"/>
        <v/>
      </c>
      <c r="D45" s="110" t="str">
        <f t="shared" si="3"/>
        <v/>
      </c>
      <c r="E45" s="110" t="str">
        <f t="shared" si="4"/>
        <v/>
      </c>
      <c r="F45" s="110" t="str">
        <f t="shared" si="5"/>
        <v/>
      </c>
      <c r="G45" s="197" t="str">
        <f t="shared" si="7"/>
        <v/>
      </c>
      <c r="H45" s="197"/>
      <c r="Q45" s="10" t="str">
        <f t="shared" si="1"/>
        <v/>
      </c>
    </row>
    <row r="46" spans="1:21" x14ac:dyDescent="0.25">
      <c r="B46" s="112" t="str">
        <f t="shared" si="6"/>
        <v/>
      </c>
      <c r="C46" s="9" t="str">
        <f t="shared" si="2"/>
        <v/>
      </c>
      <c r="D46" s="110" t="str">
        <f t="shared" si="3"/>
        <v/>
      </c>
      <c r="E46" s="110" t="str">
        <f t="shared" si="4"/>
        <v/>
      </c>
      <c r="F46" s="110" t="str">
        <f t="shared" si="5"/>
        <v/>
      </c>
      <c r="G46" s="197" t="str">
        <f t="shared" si="7"/>
        <v/>
      </c>
      <c r="H46" s="197"/>
      <c r="Q46" s="10" t="str">
        <f t="shared" si="1"/>
        <v/>
      </c>
    </row>
    <row r="47" spans="1:21" x14ac:dyDescent="0.25">
      <c r="B47" s="112" t="str">
        <f t="shared" si="6"/>
        <v/>
      </c>
      <c r="C47" s="9" t="str">
        <f t="shared" si="2"/>
        <v/>
      </c>
      <c r="D47" s="110" t="str">
        <f t="shared" si="3"/>
        <v/>
      </c>
      <c r="E47" s="110" t="str">
        <f t="shared" si="4"/>
        <v/>
      </c>
      <c r="F47" s="110" t="str">
        <f t="shared" si="5"/>
        <v/>
      </c>
      <c r="G47" s="197" t="str">
        <f t="shared" si="7"/>
        <v/>
      </c>
      <c r="H47" s="197"/>
      <c r="Q47" s="10" t="str">
        <f t="shared" si="1"/>
        <v/>
      </c>
    </row>
    <row r="48" spans="1:21" x14ac:dyDescent="0.25">
      <c r="B48" s="112" t="str">
        <f t="shared" si="6"/>
        <v/>
      </c>
      <c r="C48" s="9" t="str">
        <f t="shared" si="2"/>
        <v/>
      </c>
      <c r="D48" s="110" t="str">
        <f t="shared" si="3"/>
        <v/>
      </c>
      <c r="E48" s="110" t="str">
        <f t="shared" si="4"/>
        <v/>
      </c>
      <c r="F48" s="110" t="str">
        <f t="shared" si="5"/>
        <v/>
      </c>
      <c r="G48" s="197" t="str">
        <f t="shared" si="7"/>
        <v/>
      </c>
      <c r="H48" s="197"/>
      <c r="Q48" s="10" t="str">
        <f t="shared" si="1"/>
        <v/>
      </c>
    </row>
    <row r="49" spans="2:17" x14ac:dyDescent="0.25">
      <c r="B49" s="112" t="str">
        <f t="shared" si="6"/>
        <v/>
      </c>
      <c r="C49" s="9" t="str">
        <f t="shared" si="2"/>
        <v/>
      </c>
      <c r="D49" s="110" t="str">
        <f t="shared" si="3"/>
        <v/>
      </c>
      <c r="E49" s="110" t="str">
        <f t="shared" si="4"/>
        <v/>
      </c>
      <c r="F49" s="110" t="str">
        <f t="shared" si="5"/>
        <v/>
      </c>
      <c r="G49" s="197" t="str">
        <f t="shared" si="7"/>
        <v/>
      </c>
      <c r="H49" s="197"/>
      <c r="Q49" s="10" t="str">
        <f t="shared" si="1"/>
        <v/>
      </c>
    </row>
    <row r="50" spans="2:17" x14ac:dyDescent="0.25">
      <c r="B50" s="112" t="str">
        <f t="shared" si="6"/>
        <v/>
      </c>
      <c r="C50" s="9" t="str">
        <f t="shared" si="2"/>
        <v/>
      </c>
      <c r="D50" s="110" t="str">
        <f t="shared" si="3"/>
        <v/>
      </c>
      <c r="E50" s="110" t="str">
        <f t="shared" si="4"/>
        <v/>
      </c>
      <c r="F50" s="110" t="str">
        <f t="shared" si="5"/>
        <v/>
      </c>
      <c r="G50" s="197" t="str">
        <f t="shared" si="7"/>
        <v/>
      </c>
      <c r="H50" s="197"/>
      <c r="Q50" s="10" t="str">
        <f t="shared" si="1"/>
        <v/>
      </c>
    </row>
    <row r="51" spans="2:17" x14ac:dyDescent="0.25">
      <c r="B51" s="112" t="str">
        <f t="shared" si="6"/>
        <v/>
      </c>
      <c r="C51" s="9" t="str">
        <f t="shared" si="2"/>
        <v/>
      </c>
      <c r="D51" s="110" t="str">
        <f t="shared" si="3"/>
        <v/>
      </c>
      <c r="E51" s="110" t="str">
        <f t="shared" si="4"/>
        <v/>
      </c>
      <c r="F51" s="110" t="str">
        <f t="shared" si="5"/>
        <v/>
      </c>
      <c r="G51" s="197" t="str">
        <f t="shared" si="7"/>
        <v/>
      </c>
      <c r="H51" s="197"/>
      <c r="Q51" s="10" t="str">
        <f t="shared" si="1"/>
        <v/>
      </c>
    </row>
    <row r="52" spans="2:17" x14ac:dyDescent="0.25">
      <c r="B52" s="112" t="str">
        <f t="shared" si="6"/>
        <v/>
      </c>
      <c r="C52" s="9" t="str">
        <f t="shared" si="2"/>
        <v/>
      </c>
      <c r="D52" s="110" t="str">
        <f t="shared" si="3"/>
        <v/>
      </c>
      <c r="E52" s="110" t="str">
        <f t="shared" si="4"/>
        <v/>
      </c>
      <c r="F52" s="110" t="str">
        <f t="shared" si="5"/>
        <v/>
      </c>
      <c r="G52" s="197" t="str">
        <f t="shared" si="7"/>
        <v/>
      </c>
      <c r="H52" s="197"/>
      <c r="Q52" s="10" t="str">
        <f t="shared" si="1"/>
        <v/>
      </c>
    </row>
    <row r="53" spans="2:17" x14ac:dyDescent="0.25">
      <c r="B53" s="112" t="str">
        <f t="shared" si="6"/>
        <v/>
      </c>
      <c r="C53" s="9" t="str">
        <f t="shared" si="2"/>
        <v/>
      </c>
      <c r="D53" s="110" t="str">
        <f t="shared" si="3"/>
        <v/>
      </c>
      <c r="E53" s="110" t="str">
        <f t="shared" si="4"/>
        <v/>
      </c>
      <c r="F53" s="110" t="str">
        <f t="shared" si="5"/>
        <v/>
      </c>
      <c r="G53" s="197" t="str">
        <f t="shared" si="7"/>
        <v/>
      </c>
      <c r="H53" s="197"/>
      <c r="Q53" s="10" t="str">
        <f t="shared" si="1"/>
        <v/>
      </c>
    </row>
    <row r="54" spans="2:17" x14ac:dyDescent="0.25">
      <c r="B54" s="112" t="str">
        <f t="shared" si="6"/>
        <v/>
      </c>
      <c r="C54" s="9" t="str">
        <f t="shared" si="2"/>
        <v/>
      </c>
      <c r="D54" s="110" t="str">
        <f t="shared" si="3"/>
        <v/>
      </c>
      <c r="E54" s="110" t="str">
        <f t="shared" si="4"/>
        <v/>
      </c>
      <c r="F54" s="110" t="str">
        <f t="shared" si="5"/>
        <v/>
      </c>
      <c r="G54" s="197" t="str">
        <f t="shared" si="7"/>
        <v/>
      </c>
      <c r="H54" s="197"/>
      <c r="Q54" s="10" t="str">
        <f t="shared" si="1"/>
        <v/>
      </c>
    </row>
    <row r="55" spans="2:17" x14ac:dyDescent="0.25">
      <c r="B55" s="112" t="str">
        <f t="shared" si="6"/>
        <v/>
      </c>
      <c r="C55" s="9" t="str">
        <f t="shared" si="2"/>
        <v/>
      </c>
      <c r="D55" s="110" t="str">
        <f t="shared" si="3"/>
        <v/>
      </c>
      <c r="E55" s="110" t="str">
        <f t="shared" si="4"/>
        <v/>
      </c>
      <c r="F55" s="110" t="str">
        <f t="shared" si="5"/>
        <v/>
      </c>
      <c r="G55" s="197" t="str">
        <f t="shared" si="7"/>
        <v/>
      </c>
      <c r="H55" s="197"/>
      <c r="Q55" s="10" t="str">
        <f t="shared" si="1"/>
        <v/>
      </c>
    </row>
    <row r="56" spans="2:17" x14ac:dyDescent="0.25">
      <c r="B56" s="112" t="str">
        <f t="shared" si="6"/>
        <v/>
      </c>
      <c r="C56" s="9" t="str">
        <f t="shared" si="2"/>
        <v/>
      </c>
      <c r="D56" s="110" t="str">
        <f t="shared" si="3"/>
        <v/>
      </c>
      <c r="E56" s="110" t="str">
        <f t="shared" si="4"/>
        <v/>
      </c>
      <c r="F56" s="110" t="str">
        <f t="shared" si="5"/>
        <v/>
      </c>
      <c r="G56" s="197" t="str">
        <f t="shared" si="7"/>
        <v/>
      </c>
      <c r="H56" s="197"/>
      <c r="Q56" s="10" t="str">
        <f t="shared" si="1"/>
        <v/>
      </c>
    </row>
    <row r="57" spans="2:17" x14ac:dyDescent="0.25">
      <c r="B57" s="112" t="str">
        <f t="shared" si="6"/>
        <v/>
      </c>
      <c r="C57" s="9" t="str">
        <f t="shared" si="2"/>
        <v/>
      </c>
      <c r="D57" s="110" t="str">
        <f t="shared" si="3"/>
        <v/>
      </c>
      <c r="E57" s="110" t="str">
        <f t="shared" si="4"/>
        <v/>
      </c>
      <c r="F57" s="110" t="str">
        <f t="shared" si="5"/>
        <v/>
      </c>
      <c r="G57" s="197" t="str">
        <f t="shared" si="7"/>
        <v/>
      </c>
      <c r="H57" s="197"/>
      <c r="Q57" s="10" t="str">
        <f t="shared" si="1"/>
        <v/>
      </c>
    </row>
    <row r="58" spans="2:17" x14ac:dyDescent="0.25">
      <c r="B58" s="112" t="str">
        <f t="shared" si="6"/>
        <v/>
      </c>
      <c r="C58" s="9" t="str">
        <f t="shared" si="2"/>
        <v/>
      </c>
      <c r="D58" s="110" t="str">
        <f t="shared" si="3"/>
        <v/>
      </c>
      <c r="E58" s="110" t="str">
        <f t="shared" si="4"/>
        <v/>
      </c>
      <c r="F58" s="110" t="str">
        <f t="shared" si="5"/>
        <v/>
      </c>
      <c r="G58" s="197" t="str">
        <f t="shared" si="7"/>
        <v/>
      </c>
      <c r="H58" s="197"/>
      <c r="Q58" s="10" t="str">
        <f t="shared" si="1"/>
        <v/>
      </c>
    </row>
    <row r="59" spans="2:17" x14ac:dyDescent="0.25">
      <c r="B59" s="112" t="str">
        <f t="shared" si="6"/>
        <v/>
      </c>
      <c r="C59" s="9" t="str">
        <f t="shared" si="2"/>
        <v/>
      </c>
      <c r="D59" s="110" t="str">
        <f t="shared" si="3"/>
        <v/>
      </c>
      <c r="E59" s="110" t="str">
        <f t="shared" si="4"/>
        <v/>
      </c>
      <c r="F59" s="110" t="str">
        <f t="shared" si="5"/>
        <v/>
      </c>
      <c r="G59" s="197" t="str">
        <f t="shared" si="7"/>
        <v/>
      </c>
      <c r="H59" s="197"/>
      <c r="Q59" s="10" t="str">
        <f t="shared" si="1"/>
        <v/>
      </c>
    </row>
    <row r="60" spans="2:17" x14ac:dyDescent="0.25">
      <c r="B60" s="112" t="str">
        <f t="shared" si="6"/>
        <v/>
      </c>
      <c r="C60" s="9" t="str">
        <f t="shared" si="2"/>
        <v/>
      </c>
      <c r="D60" s="110" t="str">
        <f t="shared" si="3"/>
        <v/>
      </c>
      <c r="E60" s="110" t="str">
        <f t="shared" si="4"/>
        <v/>
      </c>
      <c r="F60" s="110" t="str">
        <f t="shared" si="5"/>
        <v/>
      </c>
      <c r="G60" s="197" t="str">
        <f t="shared" si="7"/>
        <v/>
      </c>
      <c r="H60" s="197"/>
      <c r="Q60" s="10" t="str">
        <f t="shared" si="1"/>
        <v/>
      </c>
    </row>
    <row r="61" spans="2:17" x14ac:dyDescent="0.25">
      <c r="B61" s="112" t="str">
        <f t="shared" si="6"/>
        <v/>
      </c>
      <c r="C61" s="9" t="str">
        <f t="shared" si="2"/>
        <v/>
      </c>
      <c r="D61" s="110" t="str">
        <f t="shared" si="3"/>
        <v/>
      </c>
      <c r="E61" s="110" t="str">
        <f t="shared" si="4"/>
        <v/>
      </c>
      <c r="F61" s="110" t="str">
        <f t="shared" si="5"/>
        <v/>
      </c>
      <c r="G61" s="197" t="str">
        <f t="shared" si="7"/>
        <v/>
      </c>
      <c r="H61" s="197"/>
      <c r="Q61" s="10" t="str">
        <f t="shared" si="1"/>
        <v/>
      </c>
    </row>
    <row r="62" spans="2:17" x14ac:dyDescent="0.25">
      <c r="B62" s="112" t="str">
        <f t="shared" si="6"/>
        <v/>
      </c>
      <c r="C62" s="9" t="str">
        <f t="shared" si="2"/>
        <v/>
      </c>
      <c r="D62" s="110" t="str">
        <f t="shared" si="3"/>
        <v/>
      </c>
      <c r="E62" s="110" t="str">
        <f t="shared" si="4"/>
        <v/>
      </c>
      <c r="F62" s="110" t="str">
        <f t="shared" si="5"/>
        <v/>
      </c>
      <c r="G62" s="197" t="str">
        <f t="shared" si="7"/>
        <v/>
      </c>
      <c r="H62" s="197"/>
      <c r="Q62" s="10" t="str">
        <f t="shared" si="1"/>
        <v/>
      </c>
    </row>
    <row r="63" spans="2:17" x14ac:dyDescent="0.25">
      <c r="B63" s="112" t="str">
        <f t="shared" si="6"/>
        <v/>
      </c>
      <c r="C63" s="9" t="str">
        <f t="shared" si="2"/>
        <v/>
      </c>
      <c r="D63" s="110" t="str">
        <f t="shared" si="3"/>
        <v/>
      </c>
      <c r="E63" s="110" t="str">
        <f t="shared" si="4"/>
        <v/>
      </c>
      <c r="F63" s="110" t="str">
        <f t="shared" si="5"/>
        <v/>
      </c>
      <c r="G63" s="197" t="str">
        <f t="shared" si="7"/>
        <v/>
      </c>
      <c r="H63" s="197"/>
      <c r="Q63" s="10" t="str">
        <f t="shared" si="1"/>
        <v/>
      </c>
    </row>
    <row r="64" spans="2:17" x14ac:dyDescent="0.25">
      <c r="B64" s="112" t="str">
        <f t="shared" si="6"/>
        <v/>
      </c>
      <c r="C64" s="9" t="str">
        <f t="shared" si="2"/>
        <v/>
      </c>
      <c r="D64" s="110" t="str">
        <f t="shared" si="3"/>
        <v/>
      </c>
      <c r="E64" s="110" t="str">
        <f t="shared" si="4"/>
        <v/>
      </c>
      <c r="F64" s="110" t="str">
        <f t="shared" si="5"/>
        <v/>
      </c>
      <c r="G64" s="197" t="str">
        <f t="shared" si="7"/>
        <v/>
      </c>
      <c r="H64" s="197"/>
      <c r="Q64" s="10" t="str">
        <f t="shared" si="1"/>
        <v/>
      </c>
    </row>
    <row r="65" spans="2:17" x14ac:dyDescent="0.25">
      <c r="B65" s="112" t="str">
        <f t="shared" si="6"/>
        <v/>
      </c>
      <c r="C65" s="9" t="str">
        <f t="shared" si="2"/>
        <v/>
      </c>
      <c r="D65" s="110" t="str">
        <f t="shared" si="3"/>
        <v/>
      </c>
      <c r="E65" s="110" t="str">
        <f t="shared" si="4"/>
        <v/>
      </c>
      <c r="F65" s="110" t="str">
        <f t="shared" si="5"/>
        <v/>
      </c>
      <c r="G65" s="197" t="str">
        <f t="shared" si="7"/>
        <v/>
      </c>
      <c r="H65" s="197"/>
      <c r="Q65" s="10" t="str">
        <f t="shared" si="1"/>
        <v/>
      </c>
    </row>
    <row r="66" spans="2:17" x14ac:dyDescent="0.25">
      <c r="B66" s="112" t="str">
        <f t="shared" si="6"/>
        <v/>
      </c>
      <c r="C66" s="9" t="str">
        <f t="shared" si="2"/>
        <v/>
      </c>
      <c r="D66" s="110" t="str">
        <f t="shared" si="3"/>
        <v/>
      </c>
      <c r="E66" s="110" t="str">
        <f t="shared" si="4"/>
        <v/>
      </c>
      <c r="F66" s="110" t="str">
        <f t="shared" si="5"/>
        <v/>
      </c>
      <c r="G66" s="197" t="str">
        <f t="shared" si="7"/>
        <v/>
      </c>
      <c r="H66" s="197"/>
      <c r="Q66" s="10" t="str">
        <f t="shared" si="1"/>
        <v/>
      </c>
    </row>
    <row r="67" spans="2:17" x14ac:dyDescent="0.25">
      <c r="B67" s="112" t="str">
        <f t="shared" si="6"/>
        <v/>
      </c>
      <c r="C67" s="9" t="str">
        <f t="shared" si="2"/>
        <v/>
      </c>
      <c r="D67" s="110" t="str">
        <f t="shared" si="3"/>
        <v/>
      </c>
      <c r="E67" s="110" t="str">
        <f t="shared" si="4"/>
        <v/>
      </c>
      <c r="F67" s="110" t="str">
        <f t="shared" si="5"/>
        <v/>
      </c>
      <c r="G67" s="197" t="str">
        <f t="shared" si="7"/>
        <v/>
      </c>
      <c r="H67" s="197"/>
      <c r="Q67" s="10" t="str">
        <f t="shared" si="1"/>
        <v/>
      </c>
    </row>
    <row r="68" spans="2:17" x14ac:dyDescent="0.25">
      <c r="B68" s="112" t="str">
        <f t="shared" si="6"/>
        <v/>
      </c>
      <c r="C68" s="9" t="str">
        <f t="shared" si="2"/>
        <v/>
      </c>
      <c r="D68" s="110" t="str">
        <f t="shared" si="3"/>
        <v/>
      </c>
      <c r="E68" s="110" t="str">
        <f t="shared" si="4"/>
        <v/>
      </c>
      <c r="F68" s="110" t="str">
        <f t="shared" si="5"/>
        <v/>
      </c>
      <c r="G68" s="197" t="str">
        <f t="shared" si="7"/>
        <v/>
      </c>
      <c r="H68" s="197"/>
      <c r="Q68" s="10" t="str">
        <f t="shared" si="1"/>
        <v/>
      </c>
    </row>
    <row r="69" spans="2:17" x14ac:dyDescent="0.25">
      <c r="B69" s="112" t="str">
        <f t="shared" si="6"/>
        <v/>
      </c>
      <c r="C69" s="9" t="str">
        <f t="shared" si="2"/>
        <v/>
      </c>
      <c r="D69" s="110" t="str">
        <f t="shared" si="3"/>
        <v/>
      </c>
      <c r="E69" s="110" t="str">
        <f t="shared" si="4"/>
        <v/>
      </c>
      <c r="F69" s="110" t="str">
        <f t="shared" si="5"/>
        <v/>
      </c>
      <c r="G69" s="197" t="str">
        <f t="shared" si="7"/>
        <v/>
      </c>
      <c r="H69" s="197"/>
      <c r="Q69" s="10" t="str">
        <f t="shared" si="1"/>
        <v/>
      </c>
    </row>
    <row r="70" spans="2:17" x14ac:dyDescent="0.25">
      <c r="B70" s="112" t="str">
        <f t="shared" si="6"/>
        <v/>
      </c>
      <c r="C70" s="9" t="str">
        <f t="shared" si="2"/>
        <v/>
      </c>
      <c r="D70" s="110" t="str">
        <f t="shared" si="3"/>
        <v/>
      </c>
      <c r="E70" s="110" t="str">
        <f t="shared" si="4"/>
        <v/>
      </c>
      <c r="F70" s="110" t="str">
        <f t="shared" si="5"/>
        <v/>
      </c>
      <c r="G70" s="197" t="str">
        <f t="shared" si="7"/>
        <v/>
      </c>
      <c r="H70" s="197"/>
      <c r="Q70" s="10" t="str">
        <f t="shared" si="1"/>
        <v/>
      </c>
    </row>
    <row r="71" spans="2:17" x14ac:dyDescent="0.25">
      <c r="B71" s="112" t="str">
        <f t="shared" si="6"/>
        <v/>
      </c>
      <c r="C71" s="9" t="str">
        <f t="shared" si="2"/>
        <v/>
      </c>
      <c r="D71" s="110" t="str">
        <f t="shared" si="3"/>
        <v/>
      </c>
      <c r="E71" s="110" t="str">
        <f t="shared" si="4"/>
        <v/>
      </c>
      <c r="F71" s="110" t="str">
        <f t="shared" si="5"/>
        <v/>
      </c>
      <c r="G71" s="197" t="str">
        <f t="shared" si="7"/>
        <v/>
      </c>
      <c r="H71" s="197"/>
      <c r="Q71" s="10" t="str">
        <f t="shared" si="1"/>
        <v/>
      </c>
    </row>
    <row r="72" spans="2:17" x14ac:dyDescent="0.25">
      <c r="B72" s="112" t="str">
        <f t="shared" si="6"/>
        <v/>
      </c>
      <c r="C72" s="9" t="str">
        <f t="shared" si="2"/>
        <v/>
      </c>
      <c r="D72" s="110" t="str">
        <f t="shared" si="3"/>
        <v/>
      </c>
      <c r="E72" s="110" t="str">
        <f t="shared" si="4"/>
        <v/>
      </c>
      <c r="F72" s="110" t="str">
        <f t="shared" si="5"/>
        <v/>
      </c>
      <c r="G72" s="197" t="str">
        <f t="shared" si="7"/>
        <v/>
      </c>
      <c r="H72" s="197"/>
      <c r="Q72" s="10" t="str">
        <f t="shared" si="1"/>
        <v/>
      </c>
    </row>
    <row r="73" spans="2:17" x14ac:dyDescent="0.25">
      <c r="B73" s="112" t="str">
        <f t="shared" si="6"/>
        <v/>
      </c>
      <c r="C73" s="9" t="str">
        <f t="shared" si="2"/>
        <v/>
      </c>
      <c r="D73" s="110" t="str">
        <f t="shared" si="3"/>
        <v/>
      </c>
      <c r="E73" s="110" t="str">
        <f t="shared" si="4"/>
        <v/>
      </c>
      <c r="F73" s="110" t="str">
        <f t="shared" si="5"/>
        <v/>
      </c>
      <c r="G73" s="197" t="str">
        <f t="shared" si="7"/>
        <v/>
      </c>
      <c r="H73" s="197"/>
      <c r="Q73" s="10" t="str">
        <f t="shared" si="1"/>
        <v/>
      </c>
    </row>
    <row r="74" spans="2:17" x14ac:dyDescent="0.25">
      <c r="B74" s="112" t="str">
        <f t="shared" si="6"/>
        <v/>
      </c>
      <c r="C74" s="9" t="str">
        <f t="shared" si="2"/>
        <v/>
      </c>
      <c r="D74" s="110" t="str">
        <f t="shared" si="3"/>
        <v/>
      </c>
      <c r="E74" s="110" t="str">
        <f t="shared" si="4"/>
        <v/>
      </c>
      <c r="F74" s="110" t="str">
        <f t="shared" si="5"/>
        <v/>
      </c>
      <c r="G74" s="197" t="str">
        <f t="shared" si="7"/>
        <v/>
      </c>
      <c r="H74" s="197"/>
      <c r="Q74" s="10" t="str">
        <f t="shared" si="1"/>
        <v/>
      </c>
    </row>
    <row r="75" spans="2:17" x14ac:dyDescent="0.25">
      <c r="B75" s="112" t="str">
        <f t="shared" si="6"/>
        <v/>
      </c>
      <c r="C75" s="9" t="str">
        <f t="shared" si="2"/>
        <v/>
      </c>
      <c r="D75" s="110" t="str">
        <f t="shared" si="3"/>
        <v/>
      </c>
      <c r="E75" s="110" t="str">
        <f t="shared" si="4"/>
        <v/>
      </c>
      <c r="F75" s="110" t="str">
        <f t="shared" si="5"/>
        <v/>
      </c>
      <c r="G75" s="197" t="str">
        <f t="shared" si="7"/>
        <v/>
      </c>
      <c r="H75" s="197"/>
      <c r="Q75" s="10" t="str">
        <f t="shared" ref="Q75:Q138" si="8">IF(AND(ISBLANK(O75),ISBLANK(P75)),"",IF(ISBLANK(P75), ROUND(Q74+O75,2), ROUND(Q74+P75,2)))</f>
        <v/>
      </c>
    </row>
    <row r="76" spans="2:17" x14ac:dyDescent="0.25">
      <c r="B76" s="112" t="str">
        <f t="shared" si="6"/>
        <v/>
      </c>
      <c r="C76" s="9" t="str">
        <f t="shared" si="2"/>
        <v/>
      </c>
      <c r="D76" s="110" t="str">
        <f t="shared" si="3"/>
        <v/>
      </c>
      <c r="E76" s="110" t="str">
        <f t="shared" si="4"/>
        <v/>
      </c>
      <c r="F76" s="110" t="str">
        <f t="shared" si="5"/>
        <v/>
      </c>
      <c r="G76" s="197" t="str">
        <f t="shared" si="7"/>
        <v/>
      </c>
      <c r="H76" s="197"/>
      <c r="Q76" s="10" t="str">
        <f t="shared" si="8"/>
        <v/>
      </c>
    </row>
    <row r="77" spans="2:17" x14ac:dyDescent="0.25">
      <c r="B77" s="112" t="str">
        <f t="shared" si="6"/>
        <v/>
      </c>
      <c r="C77" s="9" t="str">
        <f t="shared" si="2"/>
        <v/>
      </c>
      <c r="D77" s="110" t="str">
        <f t="shared" si="3"/>
        <v/>
      </c>
      <c r="E77" s="110" t="str">
        <f t="shared" si="4"/>
        <v/>
      </c>
      <c r="F77" s="110" t="str">
        <f t="shared" si="5"/>
        <v/>
      </c>
      <c r="G77" s="197" t="str">
        <f t="shared" si="7"/>
        <v/>
      </c>
      <c r="H77" s="197"/>
      <c r="Q77" s="10" t="str">
        <f t="shared" si="8"/>
        <v/>
      </c>
    </row>
    <row r="78" spans="2:17" x14ac:dyDescent="0.25">
      <c r="B78" s="112" t="str">
        <f t="shared" si="6"/>
        <v/>
      </c>
      <c r="C78" s="9" t="str">
        <f t="shared" si="2"/>
        <v/>
      </c>
      <c r="D78" s="110" t="str">
        <f t="shared" si="3"/>
        <v/>
      </c>
      <c r="E78" s="110" t="str">
        <f t="shared" si="4"/>
        <v/>
      </c>
      <c r="F78" s="110" t="str">
        <f t="shared" si="5"/>
        <v/>
      </c>
      <c r="G78" s="197" t="str">
        <f t="shared" si="7"/>
        <v/>
      </c>
      <c r="H78" s="197"/>
      <c r="Q78" s="10" t="str">
        <f t="shared" si="8"/>
        <v/>
      </c>
    </row>
    <row r="79" spans="2:17" x14ac:dyDescent="0.25">
      <c r="B79" s="112" t="str">
        <f t="shared" si="6"/>
        <v/>
      </c>
      <c r="C79" s="9" t="str">
        <f t="shared" si="2"/>
        <v/>
      </c>
      <c r="D79" s="110" t="str">
        <f t="shared" si="3"/>
        <v/>
      </c>
      <c r="E79" s="110" t="str">
        <f t="shared" si="4"/>
        <v/>
      </c>
      <c r="F79" s="110" t="str">
        <f t="shared" si="5"/>
        <v/>
      </c>
      <c r="G79" s="197" t="str">
        <f t="shared" si="7"/>
        <v/>
      </c>
      <c r="H79" s="197"/>
      <c r="Q79" s="10" t="str">
        <f t="shared" si="8"/>
        <v/>
      </c>
    </row>
    <row r="80" spans="2:17" x14ac:dyDescent="0.25">
      <c r="B80" s="112" t="str">
        <f t="shared" si="6"/>
        <v/>
      </c>
      <c r="C80" s="9" t="str">
        <f t="shared" si="2"/>
        <v/>
      </c>
      <c r="D80" s="110" t="str">
        <f t="shared" si="3"/>
        <v/>
      </c>
      <c r="E80" s="110" t="str">
        <f t="shared" si="4"/>
        <v/>
      </c>
      <c r="F80" s="110" t="str">
        <f t="shared" si="5"/>
        <v/>
      </c>
      <c r="G80" s="197" t="str">
        <f t="shared" si="7"/>
        <v/>
      </c>
      <c r="H80" s="197"/>
      <c r="Q80" s="10" t="str">
        <f t="shared" si="8"/>
        <v/>
      </c>
    </row>
    <row r="81" spans="2:17" x14ac:dyDescent="0.25">
      <c r="B81" s="112" t="str">
        <f t="shared" si="6"/>
        <v/>
      </c>
      <c r="C81" s="9" t="str">
        <f t="shared" si="2"/>
        <v/>
      </c>
      <c r="D81" s="110" t="str">
        <f t="shared" si="3"/>
        <v/>
      </c>
      <c r="E81" s="110" t="str">
        <f t="shared" si="4"/>
        <v/>
      </c>
      <c r="F81" s="110" t="str">
        <f t="shared" si="5"/>
        <v/>
      </c>
      <c r="G81" s="197" t="str">
        <f t="shared" si="7"/>
        <v/>
      </c>
      <c r="H81" s="197"/>
      <c r="Q81" s="10" t="str">
        <f t="shared" si="8"/>
        <v/>
      </c>
    </row>
    <row r="82" spans="2:17" x14ac:dyDescent="0.25">
      <c r="B82" s="112" t="str">
        <f t="shared" si="6"/>
        <v/>
      </c>
      <c r="C82" s="9" t="str">
        <f t="shared" si="2"/>
        <v/>
      </c>
      <c r="D82" s="110" t="str">
        <f t="shared" si="3"/>
        <v/>
      </c>
      <c r="E82" s="110" t="str">
        <f t="shared" si="4"/>
        <v/>
      </c>
      <c r="F82" s="110" t="str">
        <f t="shared" si="5"/>
        <v/>
      </c>
      <c r="G82" s="197" t="str">
        <f t="shared" si="7"/>
        <v/>
      </c>
      <c r="H82" s="197"/>
      <c r="Q82" s="10" t="str">
        <f t="shared" si="8"/>
        <v/>
      </c>
    </row>
    <row r="83" spans="2:17" x14ac:dyDescent="0.25">
      <c r="B83" s="112" t="str">
        <f t="shared" si="6"/>
        <v/>
      </c>
      <c r="C83" s="9" t="str">
        <f t="shared" si="2"/>
        <v/>
      </c>
      <c r="D83" s="110" t="str">
        <f t="shared" si="3"/>
        <v/>
      </c>
      <c r="E83" s="110" t="str">
        <f t="shared" si="4"/>
        <v/>
      </c>
      <c r="F83" s="110" t="str">
        <f t="shared" si="5"/>
        <v/>
      </c>
      <c r="G83" s="197" t="str">
        <f t="shared" si="7"/>
        <v/>
      </c>
      <c r="H83" s="197"/>
      <c r="Q83" s="10" t="str">
        <f t="shared" si="8"/>
        <v/>
      </c>
    </row>
    <row r="84" spans="2:17" x14ac:dyDescent="0.25">
      <c r="B84" s="112" t="str">
        <f t="shared" si="6"/>
        <v/>
      </c>
      <c r="C84" s="9" t="str">
        <f t="shared" si="2"/>
        <v/>
      </c>
      <c r="D84" s="110" t="str">
        <f t="shared" si="3"/>
        <v/>
      </c>
      <c r="E84" s="110" t="str">
        <f t="shared" si="4"/>
        <v/>
      </c>
      <c r="F84" s="110" t="str">
        <f t="shared" si="5"/>
        <v/>
      </c>
      <c r="G84" s="197" t="str">
        <f t="shared" si="7"/>
        <v/>
      </c>
      <c r="H84" s="197"/>
      <c r="Q84" s="10" t="str">
        <f t="shared" si="8"/>
        <v/>
      </c>
    </row>
    <row r="85" spans="2:17" x14ac:dyDescent="0.25">
      <c r="B85" s="112" t="str">
        <f t="shared" si="6"/>
        <v/>
      </c>
      <c r="C85" s="9" t="str">
        <f t="shared" si="2"/>
        <v/>
      </c>
      <c r="D85" s="110" t="str">
        <f t="shared" si="3"/>
        <v/>
      </c>
      <c r="E85" s="110" t="str">
        <f t="shared" si="4"/>
        <v/>
      </c>
      <c r="F85" s="110" t="str">
        <f t="shared" si="5"/>
        <v/>
      </c>
      <c r="G85" s="197" t="str">
        <f t="shared" si="7"/>
        <v/>
      </c>
      <c r="H85" s="197"/>
      <c r="Q85" s="10" t="str">
        <f t="shared" si="8"/>
        <v/>
      </c>
    </row>
    <row r="86" spans="2:17" x14ac:dyDescent="0.25">
      <c r="B86" s="112" t="str">
        <f t="shared" si="6"/>
        <v/>
      </c>
      <c r="C86" s="9" t="str">
        <f t="shared" si="2"/>
        <v/>
      </c>
      <c r="D86" s="110" t="str">
        <f t="shared" si="3"/>
        <v/>
      </c>
      <c r="E86" s="110" t="str">
        <f t="shared" si="4"/>
        <v/>
      </c>
      <c r="F86" s="110" t="str">
        <f t="shared" si="5"/>
        <v/>
      </c>
      <c r="G86" s="197" t="str">
        <f t="shared" si="7"/>
        <v/>
      </c>
      <c r="H86" s="197"/>
      <c r="Q86" s="10" t="str">
        <f t="shared" si="8"/>
        <v/>
      </c>
    </row>
    <row r="87" spans="2:17" x14ac:dyDescent="0.25">
      <c r="B87" s="112" t="str">
        <f t="shared" si="6"/>
        <v/>
      </c>
      <c r="C87" s="9" t="str">
        <f t="shared" ref="C87:C150" si="9">IFERROR(SUM($C$8-ABS(D87)),"")</f>
        <v/>
      </c>
      <c r="D87" s="110" t="str">
        <f t="shared" ref="D87:D150" si="10">IF(G87&lt;&gt;"",PMT($F$2/12,$C$14,ABS($I$2)),"")</f>
        <v/>
      </c>
      <c r="E87" s="110" t="str">
        <f t="shared" ref="E87:E150" si="11">IFERROR(IPMT($F$2/12, B87, $C$14, ABS($I$2)),"")</f>
        <v/>
      </c>
      <c r="F87" s="110" t="str">
        <f t="shared" ref="F87:F150" si="12">IFERROR(PPMT($F$2/12, B87, $C$14, ABS($I$2)),"")</f>
        <v/>
      </c>
      <c r="G87" s="197" t="str">
        <f t="shared" si="7"/>
        <v/>
      </c>
      <c r="H87" s="197"/>
      <c r="Q87" s="10" t="str">
        <f t="shared" si="8"/>
        <v/>
      </c>
    </row>
    <row r="88" spans="2:17" x14ac:dyDescent="0.25">
      <c r="B88" s="112" t="str">
        <f t="shared" ref="B88:B151" si="13">IF(B87&gt;=$C$14,"",SUM(B87+1))</f>
        <v/>
      </c>
      <c r="C88" s="9" t="str">
        <f t="shared" si="9"/>
        <v/>
      </c>
      <c r="D88" s="110" t="str">
        <f t="shared" si="10"/>
        <v/>
      </c>
      <c r="E88" s="110" t="str">
        <f t="shared" si="11"/>
        <v/>
      </c>
      <c r="F88" s="110" t="str">
        <f t="shared" si="12"/>
        <v/>
      </c>
      <c r="G88" s="197" t="str">
        <f t="shared" ref="G88:G151" si="14">IFERROR(G87+F88,"")</f>
        <v/>
      </c>
      <c r="H88" s="197"/>
      <c r="Q88" s="10" t="str">
        <f t="shared" si="8"/>
        <v/>
      </c>
    </row>
    <row r="89" spans="2:17" x14ac:dyDescent="0.25">
      <c r="B89" s="112" t="str">
        <f t="shared" si="13"/>
        <v/>
      </c>
      <c r="C89" s="9" t="str">
        <f t="shared" si="9"/>
        <v/>
      </c>
      <c r="D89" s="110" t="str">
        <f t="shared" si="10"/>
        <v/>
      </c>
      <c r="E89" s="110" t="str">
        <f t="shared" si="11"/>
        <v/>
      </c>
      <c r="F89" s="110" t="str">
        <f t="shared" si="12"/>
        <v/>
      </c>
      <c r="G89" s="197" t="str">
        <f t="shared" si="14"/>
        <v/>
      </c>
      <c r="H89" s="197"/>
      <c r="Q89" s="10" t="str">
        <f t="shared" si="8"/>
        <v/>
      </c>
    </row>
    <row r="90" spans="2:17" x14ac:dyDescent="0.25">
      <c r="B90" s="112" t="str">
        <f t="shared" si="13"/>
        <v/>
      </c>
      <c r="C90" s="9" t="str">
        <f t="shared" si="9"/>
        <v/>
      </c>
      <c r="D90" s="110" t="str">
        <f t="shared" si="10"/>
        <v/>
      </c>
      <c r="E90" s="110" t="str">
        <f t="shared" si="11"/>
        <v/>
      </c>
      <c r="F90" s="110" t="str">
        <f t="shared" si="12"/>
        <v/>
      </c>
      <c r="G90" s="197" t="str">
        <f t="shared" si="14"/>
        <v/>
      </c>
      <c r="H90" s="197"/>
      <c r="Q90" s="10" t="str">
        <f t="shared" si="8"/>
        <v/>
      </c>
    </row>
    <row r="91" spans="2:17" x14ac:dyDescent="0.25">
      <c r="B91" s="112" t="str">
        <f t="shared" si="13"/>
        <v/>
      </c>
      <c r="C91" s="9" t="str">
        <f t="shared" si="9"/>
        <v/>
      </c>
      <c r="D91" s="110" t="str">
        <f t="shared" si="10"/>
        <v/>
      </c>
      <c r="E91" s="110" t="str">
        <f t="shared" si="11"/>
        <v/>
      </c>
      <c r="F91" s="110" t="str">
        <f t="shared" si="12"/>
        <v/>
      </c>
      <c r="G91" s="197" t="str">
        <f t="shared" si="14"/>
        <v/>
      </c>
      <c r="H91" s="197"/>
      <c r="Q91" s="10" t="str">
        <f t="shared" si="8"/>
        <v/>
      </c>
    </row>
    <row r="92" spans="2:17" x14ac:dyDescent="0.25">
      <c r="B92" s="112" t="str">
        <f t="shared" si="13"/>
        <v/>
      </c>
      <c r="C92" s="9" t="str">
        <f t="shared" si="9"/>
        <v/>
      </c>
      <c r="D92" s="110" t="str">
        <f t="shared" si="10"/>
        <v/>
      </c>
      <c r="E92" s="110" t="str">
        <f t="shared" si="11"/>
        <v/>
      </c>
      <c r="F92" s="110" t="str">
        <f t="shared" si="12"/>
        <v/>
      </c>
      <c r="G92" s="197" t="str">
        <f t="shared" si="14"/>
        <v/>
      </c>
      <c r="H92" s="197"/>
      <c r="Q92" s="10" t="str">
        <f t="shared" si="8"/>
        <v/>
      </c>
    </row>
    <row r="93" spans="2:17" x14ac:dyDescent="0.25">
      <c r="B93" s="112" t="str">
        <f t="shared" si="13"/>
        <v/>
      </c>
      <c r="C93" s="9" t="str">
        <f t="shared" si="9"/>
        <v/>
      </c>
      <c r="D93" s="110" t="str">
        <f t="shared" si="10"/>
        <v/>
      </c>
      <c r="E93" s="110" t="str">
        <f t="shared" si="11"/>
        <v/>
      </c>
      <c r="F93" s="110" t="str">
        <f t="shared" si="12"/>
        <v/>
      </c>
      <c r="G93" s="197" t="str">
        <f t="shared" si="14"/>
        <v/>
      </c>
      <c r="H93" s="197"/>
      <c r="Q93" s="10" t="str">
        <f t="shared" si="8"/>
        <v/>
      </c>
    </row>
    <row r="94" spans="2:17" x14ac:dyDescent="0.25">
      <c r="B94" s="112" t="str">
        <f t="shared" si="13"/>
        <v/>
      </c>
      <c r="C94" s="9" t="str">
        <f t="shared" si="9"/>
        <v/>
      </c>
      <c r="D94" s="110" t="str">
        <f t="shared" si="10"/>
        <v/>
      </c>
      <c r="E94" s="110" t="str">
        <f t="shared" si="11"/>
        <v/>
      </c>
      <c r="F94" s="110" t="str">
        <f t="shared" si="12"/>
        <v/>
      </c>
      <c r="G94" s="197" t="str">
        <f t="shared" si="14"/>
        <v/>
      </c>
      <c r="H94" s="197"/>
      <c r="Q94" s="10" t="str">
        <f t="shared" si="8"/>
        <v/>
      </c>
    </row>
    <row r="95" spans="2:17" x14ac:dyDescent="0.25">
      <c r="B95" s="112" t="str">
        <f t="shared" si="13"/>
        <v/>
      </c>
      <c r="C95" s="9" t="str">
        <f t="shared" si="9"/>
        <v/>
      </c>
      <c r="D95" s="110" t="str">
        <f t="shared" si="10"/>
        <v/>
      </c>
      <c r="E95" s="110" t="str">
        <f t="shared" si="11"/>
        <v/>
      </c>
      <c r="F95" s="110" t="str">
        <f t="shared" si="12"/>
        <v/>
      </c>
      <c r="G95" s="197" t="str">
        <f t="shared" si="14"/>
        <v/>
      </c>
      <c r="H95" s="197"/>
      <c r="Q95" s="10" t="str">
        <f t="shared" si="8"/>
        <v/>
      </c>
    </row>
    <row r="96" spans="2:17" x14ac:dyDescent="0.25">
      <c r="B96" s="112" t="str">
        <f t="shared" si="13"/>
        <v/>
      </c>
      <c r="C96" s="9" t="str">
        <f t="shared" si="9"/>
        <v/>
      </c>
      <c r="D96" s="110" t="str">
        <f t="shared" si="10"/>
        <v/>
      </c>
      <c r="E96" s="110" t="str">
        <f t="shared" si="11"/>
        <v/>
      </c>
      <c r="F96" s="110" t="str">
        <f t="shared" si="12"/>
        <v/>
      </c>
      <c r="G96" s="197" t="str">
        <f t="shared" si="14"/>
        <v/>
      </c>
      <c r="H96" s="197"/>
      <c r="Q96" s="10" t="str">
        <f t="shared" si="8"/>
        <v/>
      </c>
    </row>
    <row r="97" spans="2:17" x14ac:dyDescent="0.25">
      <c r="B97" s="112" t="str">
        <f t="shared" si="13"/>
        <v/>
      </c>
      <c r="C97" s="9" t="str">
        <f t="shared" si="9"/>
        <v/>
      </c>
      <c r="D97" s="110" t="str">
        <f t="shared" si="10"/>
        <v/>
      </c>
      <c r="E97" s="110" t="str">
        <f t="shared" si="11"/>
        <v/>
      </c>
      <c r="F97" s="110" t="str">
        <f t="shared" si="12"/>
        <v/>
      </c>
      <c r="G97" s="197" t="str">
        <f t="shared" si="14"/>
        <v/>
      </c>
      <c r="H97" s="197"/>
      <c r="Q97" s="10" t="str">
        <f t="shared" si="8"/>
        <v/>
      </c>
    </row>
    <row r="98" spans="2:17" x14ac:dyDescent="0.25">
      <c r="B98" s="112" t="str">
        <f t="shared" si="13"/>
        <v/>
      </c>
      <c r="C98" s="9" t="str">
        <f t="shared" si="9"/>
        <v/>
      </c>
      <c r="D98" s="110" t="str">
        <f t="shared" si="10"/>
        <v/>
      </c>
      <c r="E98" s="110" t="str">
        <f t="shared" si="11"/>
        <v/>
      </c>
      <c r="F98" s="110" t="str">
        <f t="shared" si="12"/>
        <v/>
      </c>
      <c r="G98" s="197" t="str">
        <f t="shared" si="14"/>
        <v/>
      </c>
      <c r="H98" s="197"/>
      <c r="Q98" s="10" t="str">
        <f t="shared" si="8"/>
        <v/>
      </c>
    </row>
    <row r="99" spans="2:17" x14ac:dyDescent="0.25">
      <c r="B99" s="112" t="str">
        <f t="shared" si="13"/>
        <v/>
      </c>
      <c r="C99" s="9" t="str">
        <f t="shared" si="9"/>
        <v/>
      </c>
      <c r="D99" s="110" t="str">
        <f t="shared" si="10"/>
        <v/>
      </c>
      <c r="E99" s="110" t="str">
        <f t="shared" si="11"/>
        <v/>
      </c>
      <c r="F99" s="110" t="str">
        <f t="shared" si="12"/>
        <v/>
      </c>
      <c r="G99" s="197" t="str">
        <f t="shared" si="14"/>
        <v/>
      </c>
      <c r="H99" s="197"/>
      <c r="Q99" s="10" t="str">
        <f t="shared" si="8"/>
        <v/>
      </c>
    </row>
    <row r="100" spans="2:17" x14ac:dyDescent="0.25">
      <c r="B100" s="112" t="str">
        <f t="shared" si="13"/>
        <v/>
      </c>
      <c r="C100" s="9" t="str">
        <f t="shared" si="9"/>
        <v/>
      </c>
      <c r="D100" s="110" t="str">
        <f t="shared" si="10"/>
        <v/>
      </c>
      <c r="E100" s="110" t="str">
        <f t="shared" si="11"/>
        <v/>
      </c>
      <c r="F100" s="110" t="str">
        <f t="shared" si="12"/>
        <v/>
      </c>
      <c r="G100" s="197" t="str">
        <f t="shared" si="14"/>
        <v/>
      </c>
      <c r="H100" s="197"/>
      <c r="Q100" s="10" t="str">
        <f t="shared" si="8"/>
        <v/>
      </c>
    </row>
    <row r="101" spans="2:17" x14ac:dyDescent="0.25">
      <c r="B101" s="112" t="str">
        <f t="shared" si="13"/>
        <v/>
      </c>
      <c r="C101" s="9" t="str">
        <f t="shared" si="9"/>
        <v/>
      </c>
      <c r="D101" s="110" t="str">
        <f t="shared" si="10"/>
        <v/>
      </c>
      <c r="E101" s="110" t="str">
        <f t="shared" si="11"/>
        <v/>
      </c>
      <c r="F101" s="110" t="str">
        <f t="shared" si="12"/>
        <v/>
      </c>
      <c r="G101" s="197" t="str">
        <f t="shared" si="14"/>
        <v/>
      </c>
      <c r="H101" s="197"/>
      <c r="Q101" s="10" t="str">
        <f t="shared" si="8"/>
        <v/>
      </c>
    </row>
    <row r="102" spans="2:17" x14ac:dyDescent="0.25">
      <c r="B102" s="112" t="str">
        <f t="shared" si="13"/>
        <v/>
      </c>
      <c r="C102" s="9" t="str">
        <f t="shared" si="9"/>
        <v/>
      </c>
      <c r="D102" s="110" t="str">
        <f t="shared" si="10"/>
        <v/>
      </c>
      <c r="E102" s="110" t="str">
        <f t="shared" si="11"/>
        <v/>
      </c>
      <c r="F102" s="110" t="str">
        <f t="shared" si="12"/>
        <v/>
      </c>
      <c r="G102" s="197" t="str">
        <f t="shared" si="14"/>
        <v/>
      </c>
      <c r="H102" s="197"/>
      <c r="Q102" s="10" t="str">
        <f t="shared" si="8"/>
        <v/>
      </c>
    </row>
    <row r="103" spans="2:17" x14ac:dyDescent="0.25">
      <c r="B103" s="112" t="str">
        <f t="shared" si="13"/>
        <v/>
      </c>
      <c r="C103" s="9" t="str">
        <f t="shared" si="9"/>
        <v/>
      </c>
      <c r="D103" s="110" t="str">
        <f t="shared" si="10"/>
        <v/>
      </c>
      <c r="E103" s="110" t="str">
        <f t="shared" si="11"/>
        <v/>
      </c>
      <c r="F103" s="110" t="str">
        <f t="shared" si="12"/>
        <v/>
      </c>
      <c r="G103" s="197" t="str">
        <f t="shared" si="14"/>
        <v/>
      </c>
      <c r="H103" s="197"/>
      <c r="Q103" s="10" t="str">
        <f t="shared" si="8"/>
        <v/>
      </c>
    </row>
    <row r="104" spans="2:17" x14ac:dyDescent="0.25">
      <c r="B104" s="112" t="str">
        <f t="shared" si="13"/>
        <v/>
      </c>
      <c r="C104" s="9" t="str">
        <f t="shared" si="9"/>
        <v/>
      </c>
      <c r="D104" s="110" t="str">
        <f t="shared" si="10"/>
        <v/>
      </c>
      <c r="E104" s="110" t="str">
        <f t="shared" si="11"/>
        <v/>
      </c>
      <c r="F104" s="110" t="str">
        <f t="shared" si="12"/>
        <v/>
      </c>
      <c r="G104" s="197" t="str">
        <f t="shared" si="14"/>
        <v/>
      </c>
      <c r="H104" s="197"/>
      <c r="Q104" s="10" t="str">
        <f t="shared" si="8"/>
        <v/>
      </c>
    </row>
    <row r="105" spans="2:17" x14ac:dyDescent="0.25">
      <c r="B105" s="112" t="str">
        <f t="shared" si="13"/>
        <v/>
      </c>
      <c r="C105" s="9" t="str">
        <f t="shared" si="9"/>
        <v/>
      </c>
      <c r="D105" s="110" t="str">
        <f t="shared" si="10"/>
        <v/>
      </c>
      <c r="E105" s="110" t="str">
        <f t="shared" si="11"/>
        <v/>
      </c>
      <c r="F105" s="110" t="str">
        <f t="shared" si="12"/>
        <v/>
      </c>
      <c r="G105" s="197" t="str">
        <f t="shared" si="14"/>
        <v/>
      </c>
      <c r="H105" s="197"/>
      <c r="Q105" s="10" t="str">
        <f t="shared" si="8"/>
        <v/>
      </c>
    </row>
    <row r="106" spans="2:17" x14ac:dyDescent="0.25">
      <c r="B106" s="112" t="str">
        <f t="shared" si="13"/>
        <v/>
      </c>
      <c r="C106" s="9" t="str">
        <f t="shared" si="9"/>
        <v/>
      </c>
      <c r="D106" s="110" t="str">
        <f t="shared" si="10"/>
        <v/>
      </c>
      <c r="E106" s="110" t="str">
        <f t="shared" si="11"/>
        <v/>
      </c>
      <c r="F106" s="110" t="str">
        <f t="shared" si="12"/>
        <v/>
      </c>
      <c r="G106" s="197" t="str">
        <f t="shared" si="14"/>
        <v/>
      </c>
      <c r="H106" s="197"/>
      <c r="Q106" s="10" t="str">
        <f t="shared" si="8"/>
        <v/>
      </c>
    </row>
    <row r="107" spans="2:17" x14ac:dyDescent="0.25">
      <c r="B107" s="112" t="str">
        <f t="shared" si="13"/>
        <v/>
      </c>
      <c r="C107" s="9" t="str">
        <f t="shared" si="9"/>
        <v/>
      </c>
      <c r="D107" s="110" t="str">
        <f t="shared" si="10"/>
        <v/>
      </c>
      <c r="E107" s="110" t="str">
        <f t="shared" si="11"/>
        <v/>
      </c>
      <c r="F107" s="110" t="str">
        <f t="shared" si="12"/>
        <v/>
      </c>
      <c r="G107" s="197" t="str">
        <f t="shared" si="14"/>
        <v/>
      </c>
      <c r="H107" s="197"/>
      <c r="Q107" s="10" t="str">
        <f t="shared" si="8"/>
        <v/>
      </c>
    </row>
    <row r="108" spans="2:17" x14ac:dyDescent="0.25">
      <c r="B108" s="112" t="str">
        <f t="shared" si="13"/>
        <v/>
      </c>
      <c r="C108" s="9" t="str">
        <f t="shared" si="9"/>
        <v/>
      </c>
      <c r="D108" s="110" t="str">
        <f t="shared" si="10"/>
        <v/>
      </c>
      <c r="E108" s="110" t="str">
        <f t="shared" si="11"/>
        <v/>
      </c>
      <c r="F108" s="110" t="str">
        <f t="shared" si="12"/>
        <v/>
      </c>
      <c r="G108" s="197" t="str">
        <f t="shared" si="14"/>
        <v/>
      </c>
      <c r="H108" s="197"/>
      <c r="Q108" s="10" t="str">
        <f t="shared" si="8"/>
        <v/>
      </c>
    </row>
    <row r="109" spans="2:17" x14ac:dyDescent="0.25">
      <c r="B109" s="112" t="str">
        <f t="shared" si="13"/>
        <v/>
      </c>
      <c r="C109" s="9" t="str">
        <f t="shared" si="9"/>
        <v/>
      </c>
      <c r="D109" s="110" t="str">
        <f t="shared" si="10"/>
        <v/>
      </c>
      <c r="E109" s="110" t="str">
        <f t="shared" si="11"/>
        <v/>
      </c>
      <c r="F109" s="110" t="str">
        <f t="shared" si="12"/>
        <v/>
      </c>
      <c r="G109" s="197" t="str">
        <f t="shared" si="14"/>
        <v/>
      </c>
      <c r="H109" s="197"/>
      <c r="Q109" s="10" t="str">
        <f t="shared" si="8"/>
        <v/>
      </c>
    </row>
    <row r="110" spans="2:17" x14ac:dyDescent="0.25">
      <c r="B110" s="112" t="str">
        <f t="shared" si="13"/>
        <v/>
      </c>
      <c r="C110" s="9" t="str">
        <f t="shared" si="9"/>
        <v/>
      </c>
      <c r="D110" s="110" t="str">
        <f t="shared" si="10"/>
        <v/>
      </c>
      <c r="E110" s="110" t="str">
        <f t="shared" si="11"/>
        <v/>
      </c>
      <c r="F110" s="110" t="str">
        <f t="shared" si="12"/>
        <v/>
      </c>
      <c r="G110" s="197" t="str">
        <f t="shared" si="14"/>
        <v/>
      </c>
      <c r="H110" s="197"/>
      <c r="Q110" s="10" t="str">
        <f t="shared" si="8"/>
        <v/>
      </c>
    </row>
    <row r="111" spans="2:17" x14ac:dyDescent="0.25">
      <c r="B111" s="112" t="str">
        <f t="shared" si="13"/>
        <v/>
      </c>
      <c r="C111" s="9" t="str">
        <f t="shared" si="9"/>
        <v/>
      </c>
      <c r="D111" s="110" t="str">
        <f t="shared" si="10"/>
        <v/>
      </c>
      <c r="E111" s="110" t="str">
        <f t="shared" si="11"/>
        <v/>
      </c>
      <c r="F111" s="110" t="str">
        <f t="shared" si="12"/>
        <v/>
      </c>
      <c r="G111" s="197" t="str">
        <f t="shared" si="14"/>
        <v/>
      </c>
      <c r="H111" s="197"/>
      <c r="Q111" s="10" t="str">
        <f t="shared" si="8"/>
        <v/>
      </c>
    </row>
    <row r="112" spans="2:17" x14ac:dyDescent="0.25">
      <c r="B112" s="112" t="str">
        <f t="shared" si="13"/>
        <v/>
      </c>
      <c r="C112" s="9" t="str">
        <f t="shared" si="9"/>
        <v/>
      </c>
      <c r="D112" s="110" t="str">
        <f t="shared" si="10"/>
        <v/>
      </c>
      <c r="E112" s="110" t="str">
        <f t="shared" si="11"/>
        <v/>
      </c>
      <c r="F112" s="110" t="str">
        <f t="shared" si="12"/>
        <v/>
      </c>
      <c r="G112" s="197" t="str">
        <f t="shared" si="14"/>
        <v/>
      </c>
      <c r="H112" s="197"/>
      <c r="Q112" s="10" t="str">
        <f t="shared" si="8"/>
        <v/>
      </c>
    </row>
    <row r="113" spans="2:17" x14ac:dyDescent="0.25">
      <c r="B113" s="112" t="str">
        <f t="shared" si="13"/>
        <v/>
      </c>
      <c r="C113" s="9" t="str">
        <f t="shared" si="9"/>
        <v/>
      </c>
      <c r="D113" s="110" t="str">
        <f t="shared" si="10"/>
        <v/>
      </c>
      <c r="E113" s="110" t="str">
        <f t="shared" si="11"/>
        <v/>
      </c>
      <c r="F113" s="110" t="str">
        <f t="shared" si="12"/>
        <v/>
      </c>
      <c r="G113" s="197" t="str">
        <f t="shared" si="14"/>
        <v/>
      </c>
      <c r="H113" s="197"/>
      <c r="Q113" s="10" t="str">
        <f t="shared" si="8"/>
        <v/>
      </c>
    </row>
    <row r="114" spans="2:17" x14ac:dyDescent="0.25">
      <c r="B114" s="112" t="str">
        <f t="shared" si="13"/>
        <v/>
      </c>
      <c r="C114" s="9" t="str">
        <f t="shared" si="9"/>
        <v/>
      </c>
      <c r="D114" s="110" t="str">
        <f t="shared" si="10"/>
        <v/>
      </c>
      <c r="E114" s="110" t="str">
        <f t="shared" si="11"/>
        <v/>
      </c>
      <c r="F114" s="110" t="str">
        <f t="shared" si="12"/>
        <v/>
      </c>
      <c r="G114" s="197" t="str">
        <f t="shared" si="14"/>
        <v/>
      </c>
      <c r="H114" s="197"/>
      <c r="Q114" s="10" t="str">
        <f t="shared" si="8"/>
        <v/>
      </c>
    </row>
    <row r="115" spans="2:17" x14ac:dyDescent="0.25">
      <c r="B115" s="112" t="str">
        <f t="shared" si="13"/>
        <v/>
      </c>
      <c r="C115" s="9" t="str">
        <f t="shared" si="9"/>
        <v/>
      </c>
      <c r="D115" s="110" t="str">
        <f t="shared" si="10"/>
        <v/>
      </c>
      <c r="E115" s="110" t="str">
        <f t="shared" si="11"/>
        <v/>
      </c>
      <c r="F115" s="110" t="str">
        <f t="shared" si="12"/>
        <v/>
      </c>
      <c r="G115" s="197" t="str">
        <f t="shared" si="14"/>
        <v/>
      </c>
      <c r="H115" s="197"/>
      <c r="Q115" s="10" t="str">
        <f t="shared" si="8"/>
        <v/>
      </c>
    </row>
    <row r="116" spans="2:17" x14ac:dyDescent="0.25">
      <c r="B116" s="112" t="str">
        <f t="shared" si="13"/>
        <v/>
      </c>
      <c r="C116" s="9" t="str">
        <f t="shared" si="9"/>
        <v/>
      </c>
      <c r="D116" s="110" t="str">
        <f t="shared" si="10"/>
        <v/>
      </c>
      <c r="E116" s="110" t="str">
        <f t="shared" si="11"/>
        <v/>
      </c>
      <c r="F116" s="110" t="str">
        <f t="shared" si="12"/>
        <v/>
      </c>
      <c r="G116" s="197" t="str">
        <f t="shared" si="14"/>
        <v/>
      </c>
      <c r="H116" s="197"/>
      <c r="Q116" s="10" t="str">
        <f t="shared" si="8"/>
        <v/>
      </c>
    </row>
    <row r="117" spans="2:17" x14ac:dyDescent="0.25">
      <c r="B117" s="112" t="str">
        <f t="shared" si="13"/>
        <v/>
      </c>
      <c r="C117" s="9" t="str">
        <f t="shared" si="9"/>
        <v/>
      </c>
      <c r="D117" s="110" t="str">
        <f t="shared" si="10"/>
        <v/>
      </c>
      <c r="E117" s="110" t="str">
        <f t="shared" si="11"/>
        <v/>
      </c>
      <c r="F117" s="110" t="str">
        <f t="shared" si="12"/>
        <v/>
      </c>
      <c r="G117" s="197" t="str">
        <f t="shared" si="14"/>
        <v/>
      </c>
      <c r="H117" s="197"/>
      <c r="Q117" s="10" t="str">
        <f t="shared" si="8"/>
        <v/>
      </c>
    </row>
    <row r="118" spans="2:17" x14ac:dyDescent="0.25">
      <c r="B118" s="112" t="str">
        <f t="shared" si="13"/>
        <v/>
      </c>
      <c r="C118" s="9" t="str">
        <f t="shared" si="9"/>
        <v/>
      </c>
      <c r="D118" s="110" t="str">
        <f t="shared" si="10"/>
        <v/>
      </c>
      <c r="E118" s="110" t="str">
        <f t="shared" si="11"/>
        <v/>
      </c>
      <c r="F118" s="110" t="str">
        <f t="shared" si="12"/>
        <v/>
      </c>
      <c r="G118" s="197" t="str">
        <f t="shared" si="14"/>
        <v/>
      </c>
      <c r="H118" s="197"/>
      <c r="Q118" s="10" t="str">
        <f t="shared" si="8"/>
        <v/>
      </c>
    </row>
    <row r="119" spans="2:17" x14ac:dyDescent="0.25">
      <c r="B119" s="112" t="str">
        <f t="shared" si="13"/>
        <v/>
      </c>
      <c r="C119" s="9" t="str">
        <f t="shared" si="9"/>
        <v/>
      </c>
      <c r="D119" s="110" t="str">
        <f t="shared" si="10"/>
        <v/>
      </c>
      <c r="E119" s="110" t="str">
        <f t="shared" si="11"/>
        <v/>
      </c>
      <c r="F119" s="110" t="str">
        <f t="shared" si="12"/>
        <v/>
      </c>
      <c r="G119" s="197" t="str">
        <f t="shared" si="14"/>
        <v/>
      </c>
      <c r="H119" s="197"/>
      <c r="Q119" s="10" t="str">
        <f t="shared" si="8"/>
        <v/>
      </c>
    </row>
    <row r="120" spans="2:17" x14ac:dyDescent="0.25">
      <c r="B120" s="112" t="str">
        <f t="shared" si="13"/>
        <v/>
      </c>
      <c r="C120" s="9" t="str">
        <f t="shared" si="9"/>
        <v/>
      </c>
      <c r="D120" s="110" t="str">
        <f t="shared" si="10"/>
        <v/>
      </c>
      <c r="E120" s="110" t="str">
        <f t="shared" si="11"/>
        <v/>
      </c>
      <c r="F120" s="110" t="str">
        <f t="shared" si="12"/>
        <v/>
      </c>
      <c r="G120" s="197" t="str">
        <f t="shared" si="14"/>
        <v/>
      </c>
      <c r="H120" s="197"/>
      <c r="Q120" s="10" t="str">
        <f t="shared" si="8"/>
        <v/>
      </c>
    </row>
    <row r="121" spans="2:17" x14ac:dyDescent="0.25">
      <c r="B121" s="112" t="str">
        <f t="shared" si="13"/>
        <v/>
      </c>
      <c r="C121" s="9" t="str">
        <f t="shared" si="9"/>
        <v/>
      </c>
      <c r="D121" s="110" t="str">
        <f t="shared" si="10"/>
        <v/>
      </c>
      <c r="E121" s="110" t="str">
        <f t="shared" si="11"/>
        <v/>
      </c>
      <c r="F121" s="110" t="str">
        <f t="shared" si="12"/>
        <v/>
      </c>
      <c r="G121" s="197" t="str">
        <f t="shared" si="14"/>
        <v/>
      </c>
      <c r="H121" s="197"/>
      <c r="Q121" s="10" t="str">
        <f t="shared" si="8"/>
        <v/>
      </c>
    </row>
    <row r="122" spans="2:17" x14ac:dyDescent="0.25">
      <c r="B122" s="112" t="str">
        <f t="shared" si="13"/>
        <v/>
      </c>
      <c r="C122" s="9" t="str">
        <f t="shared" si="9"/>
        <v/>
      </c>
      <c r="D122" s="110" t="str">
        <f t="shared" si="10"/>
        <v/>
      </c>
      <c r="E122" s="110" t="str">
        <f t="shared" si="11"/>
        <v/>
      </c>
      <c r="F122" s="110" t="str">
        <f t="shared" si="12"/>
        <v/>
      </c>
      <c r="G122" s="197" t="str">
        <f t="shared" si="14"/>
        <v/>
      </c>
      <c r="H122" s="197"/>
      <c r="Q122" s="10" t="str">
        <f t="shared" si="8"/>
        <v/>
      </c>
    </row>
    <row r="123" spans="2:17" x14ac:dyDescent="0.25">
      <c r="B123" s="112" t="str">
        <f t="shared" si="13"/>
        <v/>
      </c>
      <c r="C123" s="9" t="str">
        <f t="shared" si="9"/>
        <v/>
      </c>
      <c r="D123" s="110" t="str">
        <f t="shared" si="10"/>
        <v/>
      </c>
      <c r="E123" s="110" t="str">
        <f t="shared" si="11"/>
        <v/>
      </c>
      <c r="F123" s="110" t="str">
        <f t="shared" si="12"/>
        <v/>
      </c>
      <c r="G123" s="197" t="str">
        <f t="shared" si="14"/>
        <v/>
      </c>
      <c r="H123" s="197"/>
      <c r="Q123" s="10" t="str">
        <f t="shared" si="8"/>
        <v/>
      </c>
    </row>
    <row r="124" spans="2:17" x14ac:dyDescent="0.25">
      <c r="B124" s="112" t="str">
        <f t="shared" si="13"/>
        <v/>
      </c>
      <c r="C124" s="9" t="str">
        <f t="shared" si="9"/>
        <v/>
      </c>
      <c r="D124" s="110" t="str">
        <f t="shared" si="10"/>
        <v/>
      </c>
      <c r="E124" s="110" t="str">
        <f t="shared" si="11"/>
        <v/>
      </c>
      <c r="F124" s="110" t="str">
        <f t="shared" si="12"/>
        <v/>
      </c>
      <c r="G124" s="197" t="str">
        <f t="shared" si="14"/>
        <v/>
      </c>
      <c r="H124" s="197"/>
      <c r="Q124" s="10" t="str">
        <f t="shared" si="8"/>
        <v/>
      </c>
    </row>
    <row r="125" spans="2:17" x14ac:dyDescent="0.25">
      <c r="B125" s="112" t="str">
        <f t="shared" si="13"/>
        <v/>
      </c>
      <c r="C125" s="9" t="str">
        <f t="shared" si="9"/>
        <v/>
      </c>
      <c r="D125" s="110" t="str">
        <f t="shared" si="10"/>
        <v/>
      </c>
      <c r="E125" s="110" t="str">
        <f t="shared" si="11"/>
        <v/>
      </c>
      <c r="F125" s="110" t="str">
        <f t="shared" si="12"/>
        <v/>
      </c>
      <c r="G125" s="197" t="str">
        <f t="shared" si="14"/>
        <v/>
      </c>
      <c r="H125" s="197"/>
      <c r="Q125" s="10" t="str">
        <f t="shared" si="8"/>
        <v/>
      </c>
    </row>
    <row r="126" spans="2:17" x14ac:dyDescent="0.25">
      <c r="B126" s="112" t="str">
        <f t="shared" si="13"/>
        <v/>
      </c>
      <c r="C126" s="9" t="str">
        <f t="shared" si="9"/>
        <v/>
      </c>
      <c r="D126" s="110" t="str">
        <f t="shared" si="10"/>
        <v/>
      </c>
      <c r="E126" s="110" t="str">
        <f t="shared" si="11"/>
        <v/>
      </c>
      <c r="F126" s="110" t="str">
        <f t="shared" si="12"/>
        <v/>
      </c>
      <c r="G126" s="197" t="str">
        <f t="shared" si="14"/>
        <v/>
      </c>
      <c r="H126" s="197"/>
      <c r="Q126" s="10" t="str">
        <f t="shared" si="8"/>
        <v/>
      </c>
    </row>
    <row r="127" spans="2:17" x14ac:dyDescent="0.25">
      <c r="B127" s="112" t="str">
        <f t="shared" si="13"/>
        <v/>
      </c>
      <c r="C127" s="9" t="str">
        <f t="shared" si="9"/>
        <v/>
      </c>
      <c r="D127" s="110" t="str">
        <f t="shared" si="10"/>
        <v/>
      </c>
      <c r="E127" s="110" t="str">
        <f t="shared" si="11"/>
        <v/>
      </c>
      <c r="F127" s="110" t="str">
        <f t="shared" si="12"/>
        <v/>
      </c>
      <c r="G127" s="197" t="str">
        <f t="shared" si="14"/>
        <v/>
      </c>
      <c r="H127" s="197"/>
      <c r="Q127" s="10" t="str">
        <f t="shared" si="8"/>
        <v/>
      </c>
    </row>
    <row r="128" spans="2:17" x14ac:dyDescent="0.25">
      <c r="B128" s="112" t="str">
        <f t="shared" si="13"/>
        <v/>
      </c>
      <c r="C128" s="9" t="str">
        <f t="shared" si="9"/>
        <v/>
      </c>
      <c r="D128" s="110" t="str">
        <f t="shared" si="10"/>
        <v/>
      </c>
      <c r="E128" s="110" t="str">
        <f t="shared" si="11"/>
        <v/>
      </c>
      <c r="F128" s="110" t="str">
        <f t="shared" si="12"/>
        <v/>
      </c>
      <c r="G128" s="197" t="str">
        <f t="shared" si="14"/>
        <v/>
      </c>
      <c r="H128" s="197"/>
      <c r="Q128" s="10" t="str">
        <f t="shared" si="8"/>
        <v/>
      </c>
    </row>
    <row r="129" spans="2:17" x14ac:dyDescent="0.25">
      <c r="B129" s="112" t="str">
        <f t="shared" si="13"/>
        <v/>
      </c>
      <c r="C129" s="9" t="str">
        <f t="shared" si="9"/>
        <v/>
      </c>
      <c r="D129" s="110" t="str">
        <f t="shared" si="10"/>
        <v/>
      </c>
      <c r="E129" s="110" t="str">
        <f t="shared" si="11"/>
        <v/>
      </c>
      <c r="F129" s="110" t="str">
        <f t="shared" si="12"/>
        <v/>
      </c>
      <c r="G129" s="197" t="str">
        <f t="shared" si="14"/>
        <v/>
      </c>
      <c r="H129" s="197"/>
      <c r="Q129" s="10" t="str">
        <f t="shared" si="8"/>
        <v/>
      </c>
    </row>
    <row r="130" spans="2:17" x14ac:dyDescent="0.25">
      <c r="B130" s="112" t="str">
        <f t="shared" si="13"/>
        <v/>
      </c>
      <c r="C130" s="9" t="str">
        <f t="shared" si="9"/>
        <v/>
      </c>
      <c r="D130" s="110" t="str">
        <f t="shared" si="10"/>
        <v/>
      </c>
      <c r="E130" s="110" t="str">
        <f t="shared" si="11"/>
        <v/>
      </c>
      <c r="F130" s="110" t="str">
        <f t="shared" si="12"/>
        <v/>
      </c>
      <c r="G130" s="197" t="str">
        <f t="shared" si="14"/>
        <v/>
      </c>
      <c r="H130" s="197"/>
      <c r="Q130" s="10" t="str">
        <f t="shared" si="8"/>
        <v/>
      </c>
    </row>
    <row r="131" spans="2:17" x14ac:dyDescent="0.25">
      <c r="B131" s="112" t="str">
        <f t="shared" si="13"/>
        <v/>
      </c>
      <c r="C131" s="9" t="str">
        <f t="shared" si="9"/>
        <v/>
      </c>
      <c r="D131" s="110" t="str">
        <f t="shared" si="10"/>
        <v/>
      </c>
      <c r="E131" s="110" t="str">
        <f t="shared" si="11"/>
        <v/>
      </c>
      <c r="F131" s="110" t="str">
        <f t="shared" si="12"/>
        <v/>
      </c>
      <c r="G131" s="197" t="str">
        <f t="shared" si="14"/>
        <v/>
      </c>
      <c r="H131" s="197"/>
      <c r="Q131" s="10" t="str">
        <f t="shared" si="8"/>
        <v/>
      </c>
    </row>
    <row r="132" spans="2:17" x14ac:dyDescent="0.25">
      <c r="B132" s="112" t="str">
        <f t="shared" si="13"/>
        <v/>
      </c>
      <c r="C132" s="9" t="str">
        <f t="shared" si="9"/>
        <v/>
      </c>
      <c r="D132" s="110" t="str">
        <f t="shared" si="10"/>
        <v/>
      </c>
      <c r="E132" s="110" t="str">
        <f t="shared" si="11"/>
        <v/>
      </c>
      <c r="F132" s="110" t="str">
        <f t="shared" si="12"/>
        <v/>
      </c>
      <c r="G132" s="197" t="str">
        <f t="shared" si="14"/>
        <v/>
      </c>
      <c r="H132" s="197"/>
      <c r="Q132" s="10" t="str">
        <f t="shared" si="8"/>
        <v/>
      </c>
    </row>
    <row r="133" spans="2:17" x14ac:dyDescent="0.25">
      <c r="B133" s="112" t="str">
        <f t="shared" si="13"/>
        <v/>
      </c>
      <c r="C133" s="9" t="str">
        <f t="shared" si="9"/>
        <v/>
      </c>
      <c r="D133" s="110" t="str">
        <f t="shared" si="10"/>
        <v/>
      </c>
      <c r="E133" s="110" t="str">
        <f t="shared" si="11"/>
        <v/>
      </c>
      <c r="F133" s="110" t="str">
        <f t="shared" si="12"/>
        <v/>
      </c>
      <c r="G133" s="197" t="str">
        <f t="shared" si="14"/>
        <v/>
      </c>
      <c r="H133" s="197"/>
      <c r="Q133" s="10" t="str">
        <f t="shared" si="8"/>
        <v/>
      </c>
    </row>
    <row r="134" spans="2:17" x14ac:dyDescent="0.25">
      <c r="B134" s="112" t="str">
        <f t="shared" si="13"/>
        <v/>
      </c>
      <c r="C134" s="9" t="str">
        <f t="shared" si="9"/>
        <v/>
      </c>
      <c r="D134" s="110" t="str">
        <f t="shared" si="10"/>
        <v/>
      </c>
      <c r="E134" s="110" t="str">
        <f t="shared" si="11"/>
        <v/>
      </c>
      <c r="F134" s="110" t="str">
        <f t="shared" si="12"/>
        <v/>
      </c>
      <c r="G134" s="197" t="str">
        <f t="shared" si="14"/>
        <v/>
      </c>
      <c r="H134" s="197"/>
      <c r="Q134" s="10" t="str">
        <f t="shared" si="8"/>
        <v/>
      </c>
    </row>
    <row r="135" spans="2:17" x14ac:dyDescent="0.25">
      <c r="B135" s="112" t="str">
        <f t="shared" si="13"/>
        <v/>
      </c>
      <c r="C135" s="9" t="str">
        <f t="shared" si="9"/>
        <v/>
      </c>
      <c r="D135" s="110" t="str">
        <f t="shared" si="10"/>
        <v/>
      </c>
      <c r="E135" s="110" t="str">
        <f t="shared" si="11"/>
        <v/>
      </c>
      <c r="F135" s="110" t="str">
        <f t="shared" si="12"/>
        <v/>
      </c>
      <c r="G135" s="197" t="str">
        <f t="shared" si="14"/>
        <v/>
      </c>
      <c r="H135" s="197"/>
      <c r="Q135" s="10" t="str">
        <f t="shared" si="8"/>
        <v/>
      </c>
    </row>
    <row r="136" spans="2:17" x14ac:dyDescent="0.25">
      <c r="B136" s="112" t="str">
        <f t="shared" si="13"/>
        <v/>
      </c>
      <c r="C136" s="9" t="str">
        <f t="shared" si="9"/>
        <v/>
      </c>
      <c r="D136" s="110" t="str">
        <f t="shared" si="10"/>
        <v/>
      </c>
      <c r="E136" s="110" t="str">
        <f t="shared" si="11"/>
        <v/>
      </c>
      <c r="F136" s="110" t="str">
        <f t="shared" si="12"/>
        <v/>
      </c>
      <c r="G136" s="197" t="str">
        <f t="shared" si="14"/>
        <v/>
      </c>
      <c r="H136" s="197"/>
      <c r="Q136" s="10" t="str">
        <f t="shared" si="8"/>
        <v/>
      </c>
    </row>
    <row r="137" spans="2:17" x14ac:dyDescent="0.25">
      <c r="B137" s="112" t="str">
        <f t="shared" si="13"/>
        <v/>
      </c>
      <c r="C137" s="9" t="str">
        <f t="shared" si="9"/>
        <v/>
      </c>
      <c r="D137" s="110" t="str">
        <f t="shared" si="10"/>
        <v/>
      </c>
      <c r="E137" s="110" t="str">
        <f t="shared" si="11"/>
        <v/>
      </c>
      <c r="F137" s="110" t="str">
        <f t="shared" si="12"/>
        <v/>
      </c>
      <c r="G137" s="197" t="str">
        <f t="shared" si="14"/>
        <v/>
      </c>
      <c r="H137" s="197"/>
      <c r="Q137" s="10" t="str">
        <f t="shared" si="8"/>
        <v/>
      </c>
    </row>
    <row r="138" spans="2:17" x14ac:dyDescent="0.25">
      <c r="B138" s="112" t="str">
        <f t="shared" si="13"/>
        <v/>
      </c>
      <c r="C138" s="9" t="str">
        <f t="shared" si="9"/>
        <v/>
      </c>
      <c r="D138" s="110" t="str">
        <f t="shared" si="10"/>
        <v/>
      </c>
      <c r="E138" s="110" t="str">
        <f t="shared" si="11"/>
        <v/>
      </c>
      <c r="F138" s="110" t="str">
        <f t="shared" si="12"/>
        <v/>
      </c>
      <c r="G138" s="197" t="str">
        <f t="shared" si="14"/>
        <v/>
      </c>
      <c r="H138" s="197"/>
      <c r="Q138" s="10" t="str">
        <f t="shared" si="8"/>
        <v/>
      </c>
    </row>
    <row r="139" spans="2:17" x14ac:dyDescent="0.25">
      <c r="B139" s="112" t="str">
        <f t="shared" si="13"/>
        <v/>
      </c>
      <c r="C139" s="9" t="str">
        <f t="shared" si="9"/>
        <v/>
      </c>
      <c r="D139" s="110" t="str">
        <f t="shared" si="10"/>
        <v/>
      </c>
      <c r="E139" s="110" t="str">
        <f t="shared" si="11"/>
        <v/>
      </c>
      <c r="F139" s="110" t="str">
        <f t="shared" si="12"/>
        <v/>
      </c>
      <c r="G139" s="197" t="str">
        <f t="shared" si="14"/>
        <v/>
      </c>
      <c r="H139" s="197"/>
      <c r="Q139" s="10" t="str">
        <f t="shared" ref="Q139:Q202" si="15">IF(AND(ISBLANK(O139),ISBLANK(P139)),"",IF(ISBLANK(P139), ROUND(Q138+O139,2), ROUND(Q138+P139,2)))</f>
        <v/>
      </c>
    </row>
    <row r="140" spans="2:17" x14ac:dyDescent="0.25">
      <c r="B140" s="112" t="str">
        <f t="shared" si="13"/>
        <v/>
      </c>
      <c r="C140" s="9" t="str">
        <f t="shared" si="9"/>
        <v/>
      </c>
      <c r="D140" s="110" t="str">
        <f t="shared" si="10"/>
        <v/>
      </c>
      <c r="E140" s="110" t="str">
        <f t="shared" si="11"/>
        <v/>
      </c>
      <c r="F140" s="110" t="str">
        <f t="shared" si="12"/>
        <v/>
      </c>
      <c r="G140" s="197" t="str">
        <f t="shared" si="14"/>
        <v/>
      </c>
      <c r="H140" s="197"/>
      <c r="Q140" s="10" t="str">
        <f t="shared" si="15"/>
        <v/>
      </c>
    </row>
    <row r="141" spans="2:17" x14ac:dyDescent="0.25">
      <c r="B141" s="112" t="str">
        <f t="shared" si="13"/>
        <v/>
      </c>
      <c r="C141" s="9" t="str">
        <f t="shared" si="9"/>
        <v/>
      </c>
      <c r="D141" s="110" t="str">
        <f t="shared" si="10"/>
        <v/>
      </c>
      <c r="E141" s="110" t="str">
        <f t="shared" si="11"/>
        <v/>
      </c>
      <c r="F141" s="110" t="str">
        <f t="shared" si="12"/>
        <v/>
      </c>
      <c r="G141" s="197" t="str">
        <f t="shared" si="14"/>
        <v/>
      </c>
      <c r="H141" s="197"/>
      <c r="Q141" s="10" t="str">
        <f t="shared" si="15"/>
        <v/>
      </c>
    </row>
    <row r="142" spans="2:17" x14ac:dyDescent="0.25">
      <c r="B142" s="112" t="str">
        <f t="shared" si="13"/>
        <v/>
      </c>
      <c r="C142" s="9" t="str">
        <f t="shared" si="9"/>
        <v/>
      </c>
      <c r="D142" s="110" t="str">
        <f t="shared" si="10"/>
        <v/>
      </c>
      <c r="E142" s="110" t="str">
        <f t="shared" si="11"/>
        <v/>
      </c>
      <c r="F142" s="110" t="str">
        <f t="shared" si="12"/>
        <v/>
      </c>
      <c r="G142" s="197" t="str">
        <f t="shared" si="14"/>
        <v/>
      </c>
      <c r="H142" s="197"/>
      <c r="Q142" s="10" t="str">
        <f t="shared" si="15"/>
        <v/>
      </c>
    </row>
    <row r="143" spans="2:17" x14ac:dyDescent="0.25">
      <c r="B143" s="112" t="str">
        <f t="shared" si="13"/>
        <v/>
      </c>
      <c r="C143" s="9" t="str">
        <f t="shared" si="9"/>
        <v/>
      </c>
      <c r="D143" s="110" t="str">
        <f t="shared" si="10"/>
        <v/>
      </c>
      <c r="E143" s="110" t="str">
        <f t="shared" si="11"/>
        <v/>
      </c>
      <c r="F143" s="110" t="str">
        <f t="shared" si="12"/>
        <v/>
      </c>
      <c r="G143" s="197" t="str">
        <f t="shared" si="14"/>
        <v/>
      </c>
      <c r="H143" s="197"/>
      <c r="Q143" s="10" t="str">
        <f t="shared" si="15"/>
        <v/>
      </c>
    </row>
    <row r="144" spans="2:17" x14ac:dyDescent="0.25">
      <c r="B144" s="112" t="str">
        <f t="shared" si="13"/>
        <v/>
      </c>
      <c r="C144" s="9" t="str">
        <f t="shared" si="9"/>
        <v/>
      </c>
      <c r="D144" s="110" t="str">
        <f t="shared" si="10"/>
        <v/>
      </c>
      <c r="E144" s="110" t="str">
        <f t="shared" si="11"/>
        <v/>
      </c>
      <c r="F144" s="110" t="str">
        <f t="shared" si="12"/>
        <v/>
      </c>
      <c r="G144" s="197" t="str">
        <f t="shared" si="14"/>
        <v/>
      </c>
      <c r="H144" s="197"/>
      <c r="Q144" s="10" t="str">
        <f t="shared" si="15"/>
        <v/>
      </c>
    </row>
    <row r="145" spans="2:17" x14ac:dyDescent="0.25">
      <c r="B145" s="112" t="str">
        <f t="shared" si="13"/>
        <v/>
      </c>
      <c r="C145" s="9" t="str">
        <f t="shared" si="9"/>
        <v/>
      </c>
      <c r="D145" s="110" t="str">
        <f t="shared" si="10"/>
        <v/>
      </c>
      <c r="E145" s="110" t="str">
        <f t="shared" si="11"/>
        <v/>
      </c>
      <c r="F145" s="110" t="str">
        <f t="shared" si="12"/>
        <v/>
      </c>
      <c r="G145" s="197" t="str">
        <f t="shared" si="14"/>
        <v/>
      </c>
      <c r="H145" s="197"/>
      <c r="Q145" s="10" t="str">
        <f t="shared" si="15"/>
        <v/>
      </c>
    </row>
    <row r="146" spans="2:17" x14ac:dyDescent="0.25">
      <c r="B146" s="112" t="str">
        <f t="shared" si="13"/>
        <v/>
      </c>
      <c r="C146" s="9" t="str">
        <f t="shared" si="9"/>
        <v/>
      </c>
      <c r="D146" s="110" t="str">
        <f t="shared" si="10"/>
        <v/>
      </c>
      <c r="E146" s="110" t="str">
        <f t="shared" si="11"/>
        <v/>
      </c>
      <c r="F146" s="110" t="str">
        <f t="shared" si="12"/>
        <v/>
      </c>
      <c r="G146" s="197" t="str">
        <f t="shared" si="14"/>
        <v/>
      </c>
      <c r="H146" s="197"/>
      <c r="Q146" s="10" t="str">
        <f t="shared" si="15"/>
        <v/>
      </c>
    </row>
    <row r="147" spans="2:17" x14ac:dyDescent="0.25">
      <c r="B147" s="112" t="str">
        <f t="shared" si="13"/>
        <v/>
      </c>
      <c r="C147" s="9" t="str">
        <f t="shared" si="9"/>
        <v/>
      </c>
      <c r="D147" s="110" t="str">
        <f t="shared" si="10"/>
        <v/>
      </c>
      <c r="E147" s="110" t="str">
        <f t="shared" si="11"/>
        <v/>
      </c>
      <c r="F147" s="110" t="str">
        <f t="shared" si="12"/>
        <v/>
      </c>
      <c r="G147" s="197" t="str">
        <f t="shared" si="14"/>
        <v/>
      </c>
      <c r="H147" s="197"/>
      <c r="Q147" s="10" t="str">
        <f t="shared" si="15"/>
        <v/>
      </c>
    </row>
    <row r="148" spans="2:17" x14ac:dyDescent="0.25">
      <c r="B148" s="112" t="str">
        <f t="shared" si="13"/>
        <v/>
      </c>
      <c r="C148" s="9" t="str">
        <f t="shared" si="9"/>
        <v/>
      </c>
      <c r="D148" s="110" t="str">
        <f t="shared" si="10"/>
        <v/>
      </c>
      <c r="E148" s="110" t="str">
        <f t="shared" si="11"/>
        <v/>
      </c>
      <c r="F148" s="110" t="str">
        <f t="shared" si="12"/>
        <v/>
      </c>
      <c r="G148" s="197" t="str">
        <f t="shared" si="14"/>
        <v/>
      </c>
      <c r="H148" s="197"/>
      <c r="Q148" s="10" t="str">
        <f t="shared" si="15"/>
        <v/>
      </c>
    </row>
    <row r="149" spans="2:17" x14ac:dyDescent="0.25">
      <c r="B149" s="112" t="str">
        <f t="shared" si="13"/>
        <v/>
      </c>
      <c r="C149" s="9" t="str">
        <f t="shared" si="9"/>
        <v/>
      </c>
      <c r="D149" s="110" t="str">
        <f t="shared" si="10"/>
        <v/>
      </c>
      <c r="E149" s="110" t="str">
        <f t="shared" si="11"/>
        <v/>
      </c>
      <c r="F149" s="110" t="str">
        <f t="shared" si="12"/>
        <v/>
      </c>
      <c r="G149" s="197" t="str">
        <f t="shared" si="14"/>
        <v/>
      </c>
      <c r="H149" s="197"/>
      <c r="Q149" s="10" t="str">
        <f t="shared" si="15"/>
        <v/>
      </c>
    </row>
    <row r="150" spans="2:17" x14ac:dyDescent="0.25">
      <c r="B150" s="112" t="str">
        <f t="shared" si="13"/>
        <v/>
      </c>
      <c r="C150" s="9" t="str">
        <f t="shared" si="9"/>
        <v/>
      </c>
      <c r="D150" s="110" t="str">
        <f t="shared" si="10"/>
        <v/>
      </c>
      <c r="E150" s="110" t="str">
        <f t="shared" si="11"/>
        <v/>
      </c>
      <c r="F150" s="110" t="str">
        <f t="shared" si="12"/>
        <v/>
      </c>
      <c r="G150" s="197" t="str">
        <f t="shared" si="14"/>
        <v/>
      </c>
      <c r="H150" s="197"/>
      <c r="Q150" s="10" t="str">
        <f t="shared" si="15"/>
        <v/>
      </c>
    </row>
    <row r="151" spans="2:17" x14ac:dyDescent="0.25">
      <c r="B151" s="112" t="str">
        <f t="shared" si="13"/>
        <v/>
      </c>
      <c r="C151" s="9" t="str">
        <f t="shared" ref="C151:C214" si="16">IFERROR(SUM($C$8-ABS(D151)),"")</f>
        <v/>
      </c>
      <c r="D151" s="110" t="str">
        <f t="shared" ref="D151:D214" si="17">IF(G151&lt;&gt;"",PMT($F$2/12,$C$14,ABS($I$2)),"")</f>
        <v/>
      </c>
      <c r="E151" s="110" t="str">
        <f t="shared" ref="E151:E214" si="18">IFERROR(IPMT($F$2/12, B151, $C$14, ABS($I$2)),"")</f>
        <v/>
      </c>
      <c r="F151" s="110" t="str">
        <f t="shared" ref="F151:F214" si="19">IFERROR(PPMT($F$2/12, B151, $C$14, ABS($I$2)),"")</f>
        <v/>
      </c>
      <c r="G151" s="197" t="str">
        <f t="shared" si="14"/>
        <v/>
      </c>
      <c r="H151" s="197"/>
      <c r="Q151" s="10" t="str">
        <f t="shared" si="15"/>
        <v/>
      </c>
    </row>
    <row r="152" spans="2:17" x14ac:dyDescent="0.25">
      <c r="B152" s="112" t="str">
        <f t="shared" ref="B152:B215" si="20">IF(B151&gt;=$C$14,"",SUM(B151+1))</f>
        <v/>
      </c>
      <c r="C152" s="9" t="str">
        <f t="shared" si="16"/>
        <v/>
      </c>
      <c r="D152" s="110" t="str">
        <f t="shared" si="17"/>
        <v/>
      </c>
      <c r="E152" s="110" t="str">
        <f t="shared" si="18"/>
        <v/>
      </c>
      <c r="F152" s="110" t="str">
        <f t="shared" si="19"/>
        <v/>
      </c>
      <c r="G152" s="197" t="str">
        <f t="shared" ref="G152:G215" si="21">IFERROR(G151+F152,"")</f>
        <v/>
      </c>
      <c r="H152" s="197"/>
      <c r="Q152" s="10" t="str">
        <f t="shared" si="15"/>
        <v/>
      </c>
    </row>
    <row r="153" spans="2:17" x14ac:dyDescent="0.25">
      <c r="B153" s="112" t="str">
        <f t="shared" si="20"/>
        <v/>
      </c>
      <c r="C153" s="9" t="str">
        <f t="shared" si="16"/>
        <v/>
      </c>
      <c r="D153" s="110" t="str">
        <f t="shared" si="17"/>
        <v/>
      </c>
      <c r="E153" s="110" t="str">
        <f t="shared" si="18"/>
        <v/>
      </c>
      <c r="F153" s="110" t="str">
        <f t="shared" si="19"/>
        <v/>
      </c>
      <c r="G153" s="197" t="str">
        <f t="shared" si="21"/>
        <v/>
      </c>
      <c r="H153" s="197"/>
      <c r="Q153" s="10" t="str">
        <f t="shared" si="15"/>
        <v/>
      </c>
    </row>
    <row r="154" spans="2:17" x14ac:dyDescent="0.25">
      <c r="B154" s="112" t="str">
        <f t="shared" si="20"/>
        <v/>
      </c>
      <c r="C154" s="9" t="str">
        <f t="shared" si="16"/>
        <v/>
      </c>
      <c r="D154" s="110" t="str">
        <f t="shared" si="17"/>
        <v/>
      </c>
      <c r="E154" s="110" t="str">
        <f t="shared" si="18"/>
        <v/>
      </c>
      <c r="F154" s="110" t="str">
        <f t="shared" si="19"/>
        <v/>
      </c>
      <c r="G154" s="197" t="str">
        <f t="shared" si="21"/>
        <v/>
      </c>
      <c r="H154" s="197"/>
      <c r="Q154" s="10" t="str">
        <f t="shared" si="15"/>
        <v/>
      </c>
    </row>
    <row r="155" spans="2:17" x14ac:dyDescent="0.25">
      <c r="B155" s="112" t="str">
        <f t="shared" si="20"/>
        <v/>
      </c>
      <c r="C155" s="9" t="str">
        <f t="shared" si="16"/>
        <v/>
      </c>
      <c r="D155" s="110" t="str">
        <f t="shared" si="17"/>
        <v/>
      </c>
      <c r="E155" s="110" t="str">
        <f t="shared" si="18"/>
        <v/>
      </c>
      <c r="F155" s="110" t="str">
        <f t="shared" si="19"/>
        <v/>
      </c>
      <c r="G155" s="197" t="str">
        <f t="shared" si="21"/>
        <v/>
      </c>
      <c r="H155" s="197"/>
      <c r="Q155" s="10" t="str">
        <f t="shared" si="15"/>
        <v/>
      </c>
    </row>
    <row r="156" spans="2:17" x14ac:dyDescent="0.25">
      <c r="B156" s="112" t="str">
        <f t="shared" si="20"/>
        <v/>
      </c>
      <c r="C156" s="9" t="str">
        <f t="shared" si="16"/>
        <v/>
      </c>
      <c r="D156" s="110" t="str">
        <f t="shared" si="17"/>
        <v/>
      </c>
      <c r="E156" s="110" t="str">
        <f t="shared" si="18"/>
        <v/>
      </c>
      <c r="F156" s="110" t="str">
        <f t="shared" si="19"/>
        <v/>
      </c>
      <c r="G156" s="197" t="str">
        <f t="shared" si="21"/>
        <v/>
      </c>
      <c r="H156" s="197"/>
      <c r="Q156" s="10" t="str">
        <f t="shared" si="15"/>
        <v/>
      </c>
    </row>
    <row r="157" spans="2:17" x14ac:dyDescent="0.25">
      <c r="B157" s="112" t="str">
        <f t="shared" si="20"/>
        <v/>
      </c>
      <c r="C157" s="9" t="str">
        <f t="shared" si="16"/>
        <v/>
      </c>
      <c r="D157" s="110" t="str">
        <f t="shared" si="17"/>
        <v/>
      </c>
      <c r="E157" s="110" t="str">
        <f t="shared" si="18"/>
        <v/>
      </c>
      <c r="F157" s="110" t="str">
        <f t="shared" si="19"/>
        <v/>
      </c>
      <c r="G157" s="197" t="str">
        <f t="shared" si="21"/>
        <v/>
      </c>
      <c r="H157" s="197"/>
      <c r="Q157" s="10" t="str">
        <f t="shared" si="15"/>
        <v/>
      </c>
    </row>
    <row r="158" spans="2:17" x14ac:dyDescent="0.25">
      <c r="B158" s="112" t="str">
        <f t="shared" si="20"/>
        <v/>
      </c>
      <c r="C158" s="9" t="str">
        <f t="shared" si="16"/>
        <v/>
      </c>
      <c r="D158" s="110" t="str">
        <f t="shared" si="17"/>
        <v/>
      </c>
      <c r="E158" s="110" t="str">
        <f t="shared" si="18"/>
        <v/>
      </c>
      <c r="F158" s="110" t="str">
        <f t="shared" si="19"/>
        <v/>
      </c>
      <c r="G158" s="197" t="str">
        <f t="shared" si="21"/>
        <v/>
      </c>
      <c r="H158" s="197"/>
      <c r="Q158" s="10" t="str">
        <f t="shared" si="15"/>
        <v/>
      </c>
    </row>
    <row r="159" spans="2:17" x14ac:dyDescent="0.25">
      <c r="B159" s="112" t="str">
        <f t="shared" si="20"/>
        <v/>
      </c>
      <c r="C159" s="9" t="str">
        <f t="shared" si="16"/>
        <v/>
      </c>
      <c r="D159" s="110" t="str">
        <f t="shared" si="17"/>
        <v/>
      </c>
      <c r="E159" s="110" t="str">
        <f t="shared" si="18"/>
        <v/>
      </c>
      <c r="F159" s="110" t="str">
        <f t="shared" si="19"/>
        <v/>
      </c>
      <c r="G159" s="197" t="str">
        <f t="shared" si="21"/>
        <v/>
      </c>
      <c r="H159" s="197"/>
      <c r="Q159" s="10" t="str">
        <f t="shared" si="15"/>
        <v/>
      </c>
    </row>
    <row r="160" spans="2:17" x14ac:dyDescent="0.25">
      <c r="B160" s="112" t="str">
        <f t="shared" si="20"/>
        <v/>
      </c>
      <c r="C160" s="9" t="str">
        <f t="shared" si="16"/>
        <v/>
      </c>
      <c r="D160" s="110" t="str">
        <f t="shared" si="17"/>
        <v/>
      </c>
      <c r="E160" s="110" t="str">
        <f t="shared" si="18"/>
        <v/>
      </c>
      <c r="F160" s="110" t="str">
        <f t="shared" si="19"/>
        <v/>
      </c>
      <c r="G160" s="197" t="str">
        <f t="shared" si="21"/>
        <v/>
      </c>
      <c r="H160" s="197"/>
      <c r="Q160" s="10" t="str">
        <f t="shared" si="15"/>
        <v/>
      </c>
    </row>
    <row r="161" spans="2:17" x14ac:dyDescent="0.25">
      <c r="B161" s="112" t="str">
        <f t="shared" si="20"/>
        <v/>
      </c>
      <c r="C161" s="9" t="str">
        <f t="shared" si="16"/>
        <v/>
      </c>
      <c r="D161" s="110" t="str">
        <f t="shared" si="17"/>
        <v/>
      </c>
      <c r="E161" s="110" t="str">
        <f t="shared" si="18"/>
        <v/>
      </c>
      <c r="F161" s="110" t="str">
        <f t="shared" si="19"/>
        <v/>
      </c>
      <c r="G161" s="197" t="str">
        <f t="shared" si="21"/>
        <v/>
      </c>
      <c r="H161" s="197"/>
      <c r="Q161" s="10" t="str">
        <f t="shared" si="15"/>
        <v/>
      </c>
    </row>
    <row r="162" spans="2:17" x14ac:dyDescent="0.25">
      <c r="B162" s="112" t="str">
        <f t="shared" si="20"/>
        <v/>
      </c>
      <c r="C162" s="9" t="str">
        <f t="shared" si="16"/>
        <v/>
      </c>
      <c r="D162" s="110" t="str">
        <f t="shared" si="17"/>
        <v/>
      </c>
      <c r="E162" s="110" t="str">
        <f t="shared" si="18"/>
        <v/>
      </c>
      <c r="F162" s="110" t="str">
        <f t="shared" si="19"/>
        <v/>
      </c>
      <c r="G162" s="197" t="str">
        <f t="shared" si="21"/>
        <v/>
      </c>
      <c r="H162" s="197"/>
      <c r="Q162" s="10" t="str">
        <f t="shared" si="15"/>
        <v/>
      </c>
    </row>
    <row r="163" spans="2:17" x14ac:dyDescent="0.25">
      <c r="B163" s="112" t="str">
        <f t="shared" si="20"/>
        <v/>
      </c>
      <c r="C163" s="9" t="str">
        <f t="shared" si="16"/>
        <v/>
      </c>
      <c r="D163" s="110" t="str">
        <f t="shared" si="17"/>
        <v/>
      </c>
      <c r="E163" s="110" t="str">
        <f t="shared" si="18"/>
        <v/>
      </c>
      <c r="F163" s="110" t="str">
        <f t="shared" si="19"/>
        <v/>
      </c>
      <c r="G163" s="197" t="str">
        <f t="shared" si="21"/>
        <v/>
      </c>
      <c r="H163" s="197"/>
      <c r="Q163" s="10" t="str">
        <f t="shared" si="15"/>
        <v/>
      </c>
    </row>
    <row r="164" spans="2:17" x14ac:dyDescent="0.25">
      <c r="B164" s="112" t="str">
        <f t="shared" si="20"/>
        <v/>
      </c>
      <c r="C164" s="9" t="str">
        <f t="shared" si="16"/>
        <v/>
      </c>
      <c r="D164" s="110" t="str">
        <f t="shared" si="17"/>
        <v/>
      </c>
      <c r="E164" s="110" t="str">
        <f t="shared" si="18"/>
        <v/>
      </c>
      <c r="F164" s="110" t="str">
        <f t="shared" si="19"/>
        <v/>
      </c>
      <c r="G164" s="197" t="str">
        <f t="shared" si="21"/>
        <v/>
      </c>
      <c r="H164" s="197"/>
      <c r="Q164" s="10" t="str">
        <f t="shared" si="15"/>
        <v/>
      </c>
    </row>
    <row r="165" spans="2:17" x14ac:dyDescent="0.25">
      <c r="B165" s="112" t="str">
        <f t="shared" si="20"/>
        <v/>
      </c>
      <c r="C165" s="9" t="str">
        <f t="shared" si="16"/>
        <v/>
      </c>
      <c r="D165" s="110" t="str">
        <f t="shared" si="17"/>
        <v/>
      </c>
      <c r="E165" s="110" t="str">
        <f t="shared" si="18"/>
        <v/>
      </c>
      <c r="F165" s="110" t="str">
        <f t="shared" si="19"/>
        <v/>
      </c>
      <c r="G165" s="197" t="str">
        <f t="shared" si="21"/>
        <v/>
      </c>
      <c r="H165" s="197"/>
      <c r="Q165" s="10" t="str">
        <f t="shared" si="15"/>
        <v/>
      </c>
    </row>
    <row r="166" spans="2:17" x14ac:dyDescent="0.25">
      <c r="B166" s="112" t="str">
        <f t="shared" si="20"/>
        <v/>
      </c>
      <c r="C166" s="9" t="str">
        <f t="shared" si="16"/>
        <v/>
      </c>
      <c r="D166" s="110" t="str">
        <f t="shared" si="17"/>
        <v/>
      </c>
      <c r="E166" s="110" t="str">
        <f t="shared" si="18"/>
        <v/>
      </c>
      <c r="F166" s="110" t="str">
        <f t="shared" si="19"/>
        <v/>
      </c>
      <c r="G166" s="197" t="str">
        <f t="shared" si="21"/>
        <v/>
      </c>
      <c r="H166" s="197"/>
      <c r="Q166" s="10" t="str">
        <f t="shared" si="15"/>
        <v/>
      </c>
    </row>
    <row r="167" spans="2:17" x14ac:dyDescent="0.25">
      <c r="B167" s="112" t="str">
        <f t="shared" si="20"/>
        <v/>
      </c>
      <c r="C167" s="9" t="str">
        <f t="shared" si="16"/>
        <v/>
      </c>
      <c r="D167" s="110" t="str">
        <f t="shared" si="17"/>
        <v/>
      </c>
      <c r="E167" s="110" t="str">
        <f t="shared" si="18"/>
        <v/>
      </c>
      <c r="F167" s="110" t="str">
        <f t="shared" si="19"/>
        <v/>
      </c>
      <c r="G167" s="197" t="str">
        <f t="shared" si="21"/>
        <v/>
      </c>
      <c r="H167" s="197"/>
      <c r="Q167" s="10" t="str">
        <f t="shared" si="15"/>
        <v/>
      </c>
    </row>
    <row r="168" spans="2:17" x14ac:dyDescent="0.25">
      <c r="B168" s="112" t="str">
        <f t="shared" si="20"/>
        <v/>
      </c>
      <c r="C168" s="9" t="str">
        <f t="shared" si="16"/>
        <v/>
      </c>
      <c r="D168" s="110" t="str">
        <f t="shared" si="17"/>
        <v/>
      </c>
      <c r="E168" s="110" t="str">
        <f t="shared" si="18"/>
        <v/>
      </c>
      <c r="F168" s="110" t="str">
        <f t="shared" si="19"/>
        <v/>
      </c>
      <c r="G168" s="197" t="str">
        <f t="shared" si="21"/>
        <v/>
      </c>
      <c r="H168" s="197"/>
      <c r="Q168" s="10" t="str">
        <f t="shared" si="15"/>
        <v/>
      </c>
    </row>
    <row r="169" spans="2:17" x14ac:dyDescent="0.25">
      <c r="B169" s="112" t="str">
        <f t="shared" si="20"/>
        <v/>
      </c>
      <c r="C169" s="9" t="str">
        <f t="shared" si="16"/>
        <v/>
      </c>
      <c r="D169" s="110" t="str">
        <f t="shared" si="17"/>
        <v/>
      </c>
      <c r="E169" s="110" t="str">
        <f t="shared" si="18"/>
        <v/>
      </c>
      <c r="F169" s="110" t="str">
        <f t="shared" si="19"/>
        <v/>
      </c>
      <c r="G169" s="197" t="str">
        <f t="shared" si="21"/>
        <v/>
      </c>
      <c r="H169" s="197"/>
      <c r="Q169" s="10" t="str">
        <f t="shared" si="15"/>
        <v/>
      </c>
    </row>
    <row r="170" spans="2:17" x14ac:dyDescent="0.25">
      <c r="B170" s="112" t="str">
        <f t="shared" si="20"/>
        <v/>
      </c>
      <c r="C170" s="9" t="str">
        <f t="shared" si="16"/>
        <v/>
      </c>
      <c r="D170" s="110" t="str">
        <f t="shared" si="17"/>
        <v/>
      </c>
      <c r="E170" s="110" t="str">
        <f t="shared" si="18"/>
        <v/>
      </c>
      <c r="F170" s="110" t="str">
        <f t="shared" si="19"/>
        <v/>
      </c>
      <c r="G170" s="197" t="str">
        <f t="shared" si="21"/>
        <v/>
      </c>
      <c r="H170" s="197"/>
      <c r="Q170" s="10" t="str">
        <f t="shared" si="15"/>
        <v/>
      </c>
    </row>
    <row r="171" spans="2:17" x14ac:dyDescent="0.25">
      <c r="B171" s="112" t="str">
        <f t="shared" si="20"/>
        <v/>
      </c>
      <c r="C171" s="9" t="str">
        <f t="shared" si="16"/>
        <v/>
      </c>
      <c r="D171" s="110" t="str">
        <f t="shared" si="17"/>
        <v/>
      </c>
      <c r="E171" s="110" t="str">
        <f t="shared" si="18"/>
        <v/>
      </c>
      <c r="F171" s="110" t="str">
        <f t="shared" si="19"/>
        <v/>
      </c>
      <c r="G171" s="197" t="str">
        <f t="shared" si="21"/>
        <v/>
      </c>
      <c r="H171" s="197"/>
      <c r="Q171" s="10" t="str">
        <f t="shared" si="15"/>
        <v/>
      </c>
    </row>
    <row r="172" spans="2:17" x14ac:dyDescent="0.25">
      <c r="B172" s="112" t="str">
        <f t="shared" si="20"/>
        <v/>
      </c>
      <c r="C172" s="9" t="str">
        <f t="shared" si="16"/>
        <v/>
      </c>
      <c r="D172" s="110" t="str">
        <f t="shared" si="17"/>
        <v/>
      </c>
      <c r="E172" s="110" t="str">
        <f t="shared" si="18"/>
        <v/>
      </c>
      <c r="F172" s="110" t="str">
        <f t="shared" si="19"/>
        <v/>
      </c>
      <c r="G172" s="197" t="str">
        <f t="shared" si="21"/>
        <v/>
      </c>
      <c r="H172" s="197"/>
      <c r="Q172" s="10" t="str">
        <f t="shared" si="15"/>
        <v/>
      </c>
    </row>
    <row r="173" spans="2:17" x14ac:dyDescent="0.25">
      <c r="B173" s="112" t="str">
        <f t="shared" si="20"/>
        <v/>
      </c>
      <c r="C173" s="9" t="str">
        <f t="shared" si="16"/>
        <v/>
      </c>
      <c r="D173" s="110" t="str">
        <f t="shared" si="17"/>
        <v/>
      </c>
      <c r="E173" s="110" t="str">
        <f t="shared" si="18"/>
        <v/>
      </c>
      <c r="F173" s="110" t="str">
        <f t="shared" si="19"/>
        <v/>
      </c>
      <c r="G173" s="197" t="str">
        <f t="shared" si="21"/>
        <v/>
      </c>
      <c r="H173" s="197"/>
      <c r="Q173" s="10" t="str">
        <f t="shared" si="15"/>
        <v/>
      </c>
    </row>
    <row r="174" spans="2:17" x14ac:dyDescent="0.25">
      <c r="B174" s="112" t="str">
        <f t="shared" si="20"/>
        <v/>
      </c>
      <c r="C174" s="9" t="str">
        <f t="shared" si="16"/>
        <v/>
      </c>
      <c r="D174" s="110" t="str">
        <f t="shared" si="17"/>
        <v/>
      </c>
      <c r="E174" s="110" t="str">
        <f t="shared" si="18"/>
        <v/>
      </c>
      <c r="F174" s="110" t="str">
        <f t="shared" si="19"/>
        <v/>
      </c>
      <c r="G174" s="197" t="str">
        <f t="shared" si="21"/>
        <v/>
      </c>
      <c r="H174" s="197"/>
      <c r="Q174" s="10" t="str">
        <f t="shared" si="15"/>
        <v/>
      </c>
    </row>
    <row r="175" spans="2:17" x14ac:dyDescent="0.25">
      <c r="B175" s="112" t="str">
        <f t="shared" si="20"/>
        <v/>
      </c>
      <c r="C175" s="9" t="str">
        <f t="shared" si="16"/>
        <v/>
      </c>
      <c r="D175" s="110" t="str">
        <f t="shared" si="17"/>
        <v/>
      </c>
      <c r="E175" s="110" t="str">
        <f t="shared" si="18"/>
        <v/>
      </c>
      <c r="F175" s="110" t="str">
        <f t="shared" si="19"/>
        <v/>
      </c>
      <c r="G175" s="197" t="str">
        <f t="shared" si="21"/>
        <v/>
      </c>
      <c r="H175" s="197"/>
      <c r="Q175" s="10" t="str">
        <f t="shared" si="15"/>
        <v/>
      </c>
    </row>
    <row r="176" spans="2:17" x14ac:dyDescent="0.25">
      <c r="B176" s="112" t="str">
        <f t="shared" si="20"/>
        <v/>
      </c>
      <c r="C176" s="9" t="str">
        <f t="shared" si="16"/>
        <v/>
      </c>
      <c r="D176" s="110" t="str">
        <f t="shared" si="17"/>
        <v/>
      </c>
      <c r="E176" s="110" t="str">
        <f t="shared" si="18"/>
        <v/>
      </c>
      <c r="F176" s="110" t="str">
        <f t="shared" si="19"/>
        <v/>
      </c>
      <c r="G176" s="197" t="str">
        <f t="shared" si="21"/>
        <v/>
      </c>
      <c r="H176" s="197"/>
      <c r="Q176" s="10" t="str">
        <f t="shared" si="15"/>
        <v/>
      </c>
    </row>
    <row r="177" spans="2:17" x14ac:dyDescent="0.25">
      <c r="B177" s="112" t="str">
        <f t="shared" si="20"/>
        <v/>
      </c>
      <c r="C177" s="9" t="str">
        <f t="shared" si="16"/>
        <v/>
      </c>
      <c r="D177" s="110" t="str">
        <f t="shared" si="17"/>
        <v/>
      </c>
      <c r="E177" s="110" t="str">
        <f t="shared" si="18"/>
        <v/>
      </c>
      <c r="F177" s="110" t="str">
        <f t="shared" si="19"/>
        <v/>
      </c>
      <c r="G177" s="197" t="str">
        <f t="shared" si="21"/>
        <v/>
      </c>
      <c r="H177" s="197"/>
      <c r="Q177" s="10" t="str">
        <f t="shared" si="15"/>
        <v/>
      </c>
    </row>
    <row r="178" spans="2:17" x14ac:dyDescent="0.25">
      <c r="B178" s="112" t="str">
        <f t="shared" si="20"/>
        <v/>
      </c>
      <c r="C178" s="9" t="str">
        <f t="shared" si="16"/>
        <v/>
      </c>
      <c r="D178" s="110" t="str">
        <f t="shared" si="17"/>
        <v/>
      </c>
      <c r="E178" s="110" t="str">
        <f t="shared" si="18"/>
        <v/>
      </c>
      <c r="F178" s="110" t="str">
        <f t="shared" si="19"/>
        <v/>
      </c>
      <c r="G178" s="197" t="str">
        <f t="shared" si="21"/>
        <v/>
      </c>
      <c r="H178" s="197"/>
      <c r="Q178" s="10" t="str">
        <f t="shared" si="15"/>
        <v/>
      </c>
    </row>
    <row r="179" spans="2:17" x14ac:dyDescent="0.25">
      <c r="B179" s="112" t="str">
        <f t="shared" si="20"/>
        <v/>
      </c>
      <c r="C179" s="9" t="str">
        <f t="shared" si="16"/>
        <v/>
      </c>
      <c r="D179" s="110" t="str">
        <f t="shared" si="17"/>
        <v/>
      </c>
      <c r="E179" s="110" t="str">
        <f t="shared" si="18"/>
        <v/>
      </c>
      <c r="F179" s="110" t="str">
        <f t="shared" si="19"/>
        <v/>
      </c>
      <c r="G179" s="197" t="str">
        <f t="shared" si="21"/>
        <v/>
      </c>
      <c r="H179" s="197"/>
      <c r="Q179" s="10" t="str">
        <f t="shared" si="15"/>
        <v/>
      </c>
    </row>
    <row r="180" spans="2:17" x14ac:dyDescent="0.25">
      <c r="B180" s="112" t="str">
        <f t="shared" si="20"/>
        <v/>
      </c>
      <c r="C180" s="9" t="str">
        <f t="shared" si="16"/>
        <v/>
      </c>
      <c r="D180" s="110" t="str">
        <f t="shared" si="17"/>
        <v/>
      </c>
      <c r="E180" s="110" t="str">
        <f t="shared" si="18"/>
        <v/>
      </c>
      <c r="F180" s="110" t="str">
        <f t="shared" si="19"/>
        <v/>
      </c>
      <c r="G180" s="197" t="str">
        <f t="shared" si="21"/>
        <v/>
      </c>
      <c r="H180" s="197"/>
      <c r="Q180" s="10" t="str">
        <f t="shared" si="15"/>
        <v/>
      </c>
    </row>
    <row r="181" spans="2:17" x14ac:dyDescent="0.25">
      <c r="B181" s="112" t="str">
        <f t="shared" si="20"/>
        <v/>
      </c>
      <c r="C181" s="9" t="str">
        <f t="shared" si="16"/>
        <v/>
      </c>
      <c r="D181" s="110" t="str">
        <f t="shared" si="17"/>
        <v/>
      </c>
      <c r="E181" s="110" t="str">
        <f t="shared" si="18"/>
        <v/>
      </c>
      <c r="F181" s="110" t="str">
        <f t="shared" si="19"/>
        <v/>
      </c>
      <c r="G181" s="197" t="str">
        <f t="shared" si="21"/>
        <v/>
      </c>
      <c r="H181" s="197"/>
      <c r="Q181" s="10" t="str">
        <f t="shared" si="15"/>
        <v/>
      </c>
    </row>
    <row r="182" spans="2:17" x14ac:dyDescent="0.25">
      <c r="B182" s="112" t="str">
        <f t="shared" si="20"/>
        <v/>
      </c>
      <c r="C182" s="9" t="str">
        <f t="shared" si="16"/>
        <v/>
      </c>
      <c r="D182" s="110" t="str">
        <f t="shared" si="17"/>
        <v/>
      </c>
      <c r="E182" s="110" t="str">
        <f t="shared" si="18"/>
        <v/>
      </c>
      <c r="F182" s="110" t="str">
        <f t="shared" si="19"/>
        <v/>
      </c>
      <c r="G182" s="197" t="str">
        <f t="shared" si="21"/>
        <v/>
      </c>
      <c r="H182" s="197"/>
      <c r="Q182" s="10" t="str">
        <f t="shared" si="15"/>
        <v/>
      </c>
    </row>
    <row r="183" spans="2:17" x14ac:dyDescent="0.25">
      <c r="B183" s="112" t="str">
        <f t="shared" si="20"/>
        <v/>
      </c>
      <c r="C183" s="9" t="str">
        <f t="shared" si="16"/>
        <v/>
      </c>
      <c r="D183" s="110" t="str">
        <f t="shared" si="17"/>
        <v/>
      </c>
      <c r="E183" s="110" t="str">
        <f t="shared" si="18"/>
        <v/>
      </c>
      <c r="F183" s="110" t="str">
        <f t="shared" si="19"/>
        <v/>
      </c>
      <c r="G183" s="197" t="str">
        <f t="shared" si="21"/>
        <v/>
      </c>
      <c r="H183" s="197"/>
      <c r="Q183" s="10" t="str">
        <f t="shared" si="15"/>
        <v/>
      </c>
    </row>
    <row r="184" spans="2:17" x14ac:dyDescent="0.25">
      <c r="B184" s="112" t="str">
        <f t="shared" si="20"/>
        <v/>
      </c>
      <c r="C184" s="9" t="str">
        <f t="shared" si="16"/>
        <v/>
      </c>
      <c r="D184" s="110" t="str">
        <f t="shared" si="17"/>
        <v/>
      </c>
      <c r="E184" s="110" t="str">
        <f t="shared" si="18"/>
        <v/>
      </c>
      <c r="F184" s="110" t="str">
        <f t="shared" si="19"/>
        <v/>
      </c>
      <c r="G184" s="197" t="str">
        <f t="shared" si="21"/>
        <v/>
      </c>
      <c r="H184" s="197"/>
      <c r="Q184" s="10" t="str">
        <f t="shared" si="15"/>
        <v/>
      </c>
    </row>
    <row r="185" spans="2:17" x14ac:dyDescent="0.25">
      <c r="B185" s="112" t="str">
        <f t="shared" si="20"/>
        <v/>
      </c>
      <c r="C185" s="9" t="str">
        <f t="shared" si="16"/>
        <v/>
      </c>
      <c r="D185" s="110" t="str">
        <f t="shared" si="17"/>
        <v/>
      </c>
      <c r="E185" s="110" t="str">
        <f t="shared" si="18"/>
        <v/>
      </c>
      <c r="F185" s="110" t="str">
        <f t="shared" si="19"/>
        <v/>
      </c>
      <c r="G185" s="197" t="str">
        <f t="shared" si="21"/>
        <v/>
      </c>
      <c r="H185" s="197"/>
      <c r="Q185" s="10" t="str">
        <f t="shared" si="15"/>
        <v/>
      </c>
    </row>
    <row r="186" spans="2:17" x14ac:dyDescent="0.25">
      <c r="B186" s="112" t="str">
        <f t="shared" si="20"/>
        <v/>
      </c>
      <c r="C186" s="9" t="str">
        <f t="shared" si="16"/>
        <v/>
      </c>
      <c r="D186" s="110" t="str">
        <f t="shared" si="17"/>
        <v/>
      </c>
      <c r="E186" s="110" t="str">
        <f t="shared" si="18"/>
        <v/>
      </c>
      <c r="F186" s="110" t="str">
        <f t="shared" si="19"/>
        <v/>
      </c>
      <c r="G186" s="197" t="str">
        <f t="shared" si="21"/>
        <v/>
      </c>
      <c r="H186" s="197"/>
      <c r="Q186" s="10" t="str">
        <f t="shared" si="15"/>
        <v/>
      </c>
    </row>
    <row r="187" spans="2:17" x14ac:dyDescent="0.25">
      <c r="B187" s="112" t="str">
        <f t="shared" si="20"/>
        <v/>
      </c>
      <c r="C187" s="9" t="str">
        <f t="shared" si="16"/>
        <v/>
      </c>
      <c r="D187" s="110" t="str">
        <f t="shared" si="17"/>
        <v/>
      </c>
      <c r="E187" s="110" t="str">
        <f t="shared" si="18"/>
        <v/>
      </c>
      <c r="F187" s="110" t="str">
        <f t="shared" si="19"/>
        <v/>
      </c>
      <c r="G187" s="197" t="str">
        <f t="shared" si="21"/>
        <v/>
      </c>
      <c r="H187" s="197"/>
      <c r="Q187" s="10" t="str">
        <f t="shared" si="15"/>
        <v/>
      </c>
    </row>
    <row r="188" spans="2:17" x14ac:dyDescent="0.25">
      <c r="B188" s="112" t="str">
        <f t="shared" si="20"/>
        <v/>
      </c>
      <c r="C188" s="9" t="str">
        <f t="shared" si="16"/>
        <v/>
      </c>
      <c r="D188" s="110" t="str">
        <f t="shared" si="17"/>
        <v/>
      </c>
      <c r="E188" s="110" t="str">
        <f t="shared" si="18"/>
        <v/>
      </c>
      <c r="F188" s="110" t="str">
        <f t="shared" si="19"/>
        <v/>
      </c>
      <c r="G188" s="197" t="str">
        <f t="shared" si="21"/>
        <v/>
      </c>
      <c r="H188" s="197"/>
      <c r="Q188" s="10" t="str">
        <f t="shared" si="15"/>
        <v/>
      </c>
    </row>
    <row r="189" spans="2:17" x14ac:dyDescent="0.25">
      <c r="B189" s="112" t="str">
        <f t="shared" si="20"/>
        <v/>
      </c>
      <c r="C189" s="9" t="str">
        <f t="shared" si="16"/>
        <v/>
      </c>
      <c r="D189" s="110" t="str">
        <f t="shared" si="17"/>
        <v/>
      </c>
      <c r="E189" s="110" t="str">
        <f t="shared" si="18"/>
        <v/>
      </c>
      <c r="F189" s="110" t="str">
        <f t="shared" si="19"/>
        <v/>
      </c>
      <c r="G189" s="197" t="str">
        <f t="shared" si="21"/>
        <v/>
      </c>
      <c r="H189" s="197"/>
      <c r="Q189" s="10" t="str">
        <f t="shared" si="15"/>
        <v/>
      </c>
    </row>
    <row r="190" spans="2:17" x14ac:dyDescent="0.25">
      <c r="B190" s="112" t="str">
        <f t="shared" si="20"/>
        <v/>
      </c>
      <c r="C190" s="9" t="str">
        <f t="shared" si="16"/>
        <v/>
      </c>
      <c r="D190" s="110" t="str">
        <f t="shared" si="17"/>
        <v/>
      </c>
      <c r="E190" s="110" t="str">
        <f t="shared" si="18"/>
        <v/>
      </c>
      <c r="F190" s="110" t="str">
        <f t="shared" si="19"/>
        <v/>
      </c>
      <c r="G190" s="197" t="str">
        <f t="shared" si="21"/>
        <v/>
      </c>
      <c r="H190" s="197"/>
      <c r="Q190" s="10" t="str">
        <f t="shared" si="15"/>
        <v/>
      </c>
    </row>
    <row r="191" spans="2:17" x14ac:dyDescent="0.25">
      <c r="B191" s="112" t="str">
        <f t="shared" si="20"/>
        <v/>
      </c>
      <c r="C191" s="9" t="str">
        <f t="shared" si="16"/>
        <v/>
      </c>
      <c r="D191" s="110" t="str">
        <f t="shared" si="17"/>
        <v/>
      </c>
      <c r="E191" s="110" t="str">
        <f t="shared" si="18"/>
        <v/>
      </c>
      <c r="F191" s="110" t="str">
        <f t="shared" si="19"/>
        <v/>
      </c>
      <c r="G191" s="197" t="str">
        <f t="shared" si="21"/>
        <v/>
      </c>
      <c r="H191" s="197"/>
      <c r="Q191" s="10" t="str">
        <f t="shared" si="15"/>
        <v/>
      </c>
    </row>
    <row r="192" spans="2:17" x14ac:dyDescent="0.25">
      <c r="B192" s="112" t="str">
        <f t="shared" si="20"/>
        <v/>
      </c>
      <c r="C192" s="9" t="str">
        <f t="shared" si="16"/>
        <v/>
      </c>
      <c r="D192" s="110" t="str">
        <f t="shared" si="17"/>
        <v/>
      </c>
      <c r="E192" s="110" t="str">
        <f t="shared" si="18"/>
        <v/>
      </c>
      <c r="F192" s="110" t="str">
        <f t="shared" si="19"/>
        <v/>
      </c>
      <c r="G192" s="197" t="str">
        <f t="shared" si="21"/>
        <v/>
      </c>
      <c r="H192" s="197"/>
      <c r="Q192" s="10" t="str">
        <f t="shared" si="15"/>
        <v/>
      </c>
    </row>
    <row r="193" spans="2:17" x14ac:dyDescent="0.25">
      <c r="B193" s="112" t="str">
        <f t="shared" si="20"/>
        <v/>
      </c>
      <c r="C193" s="9" t="str">
        <f t="shared" si="16"/>
        <v/>
      </c>
      <c r="D193" s="110" t="str">
        <f t="shared" si="17"/>
        <v/>
      </c>
      <c r="E193" s="110" t="str">
        <f t="shared" si="18"/>
        <v/>
      </c>
      <c r="F193" s="110" t="str">
        <f t="shared" si="19"/>
        <v/>
      </c>
      <c r="G193" s="197" t="str">
        <f t="shared" si="21"/>
        <v/>
      </c>
      <c r="H193" s="197"/>
      <c r="Q193" s="10" t="str">
        <f t="shared" si="15"/>
        <v/>
      </c>
    </row>
    <row r="194" spans="2:17" x14ac:dyDescent="0.25">
      <c r="B194" s="112" t="str">
        <f t="shared" si="20"/>
        <v/>
      </c>
      <c r="C194" s="9" t="str">
        <f t="shared" si="16"/>
        <v/>
      </c>
      <c r="D194" s="110" t="str">
        <f t="shared" si="17"/>
        <v/>
      </c>
      <c r="E194" s="110" t="str">
        <f t="shared" si="18"/>
        <v/>
      </c>
      <c r="F194" s="110" t="str">
        <f t="shared" si="19"/>
        <v/>
      </c>
      <c r="G194" s="197" t="str">
        <f t="shared" si="21"/>
        <v/>
      </c>
      <c r="H194" s="197"/>
      <c r="Q194" s="10" t="str">
        <f t="shared" si="15"/>
        <v/>
      </c>
    </row>
    <row r="195" spans="2:17" x14ac:dyDescent="0.25">
      <c r="B195" s="112" t="str">
        <f t="shared" si="20"/>
        <v/>
      </c>
      <c r="C195" s="9" t="str">
        <f t="shared" si="16"/>
        <v/>
      </c>
      <c r="D195" s="110" t="str">
        <f t="shared" si="17"/>
        <v/>
      </c>
      <c r="E195" s="110" t="str">
        <f t="shared" si="18"/>
        <v/>
      </c>
      <c r="F195" s="110" t="str">
        <f t="shared" si="19"/>
        <v/>
      </c>
      <c r="G195" s="197" t="str">
        <f t="shared" si="21"/>
        <v/>
      </c>
      <c r="H195" s="197"/>
      <c r="Q195" s="10" t="str">
        <f t="shared" si="15"/>
        <v/>
      </c>
    </row>
    <row r="196" spans="2:17" x14ac:dyDescent="0.25">
      <c r="B196" s="112" t="str">
        <f t="shared" si="20"/>
        <v/>
      </c>
      <c r="C196" s="9" t="str">
        <f t="shared" si="16"/>
        <v/>
      </c>
      <c r="D196" s="110" t="str">
        <f t="shared" si="17"/>
        <v/>
      </c>
      <c r="E196" s="110" t="str">
        <f t="shared" si="18"/>
        <v/>
      </c>
      <c r="F196" s="110" t="str">
        <f t="shared" si="19"/>
        <v/>
      </c>
      <c r="G196" s="197" t="str">
        <f t="shared" si="21"/>
        <v/>
      </c>
      <c r="H196" s="197"/>
      <c r="Q196" s="10" t="str">
        <f t="shared" si="15"/>
        <v/>
      </c>
    </row>
    <row r="197" spans="2:17" x14ac:dyDescent="0.25">
      <c r="B197" s="112" t="str">
        <f t="shared" si="20"/>
        <v/>
      </c>
      <c r="C197" s="9" t="str">
        <f t="shared" si="16"/>
        <v/>
      </c>
      <c r="D197" s="110" t="str">
        <f t="shared" si="17"/>
        <v/>
      </c>
      <c r="E197" s="110" t="str">
        <f t="shared" si="18"/>
        <v/>
      </c>
      <c r="F197" s="110" t="str">
        <f t="shared" si="19"/>
        <v/>
      </c>
      <c r="G197" s="197" t="str">
        <f t="shared" si="21"/>
        <v/>
      </c>
      <c r="H197" s="197"/>
      <c r="Q197" s="10" t="str">
        <f t="shared" si="15"/>
        <v/>
      </c>
    </row>
    <row r="198" spans="2:17" x14ac:dyDescent="0.25">
      <c r="B198" s="112" t="str">
        <f t="shared" si="20"/>
        <v/>
      </c>
      <c r="C198" s="9" t="str">
        <f t="shared" si="16"/>
        <v/>
      </c>
      <c r="D198" s="110" t="str">
        <f t="shared" si="17"/>
        <v/>
      </c>
      <c r="E198" s="110" t="str">
        <f t="shared" si="18"/>
        <v/>
      </c>
      <c r="F198" s="110" t="str">
        <f t="shared" si="19"/>
        <v/>
      </c>
      <c r="G198" s="197" t="str">
        <f t="shared" si="21"/>
        <v/>
      </c>
      <c r="H198" s="197"/>
      <c r="Q198" s="10" t="str">
        <f t="shared" si="15"/>
        <v/>
      </c>
    </row>
    <row r="199" spans="2:17" x14ac:dyDescent="0.25">
      <c r="B199" s="112" t="str">
        <f t="shared" si="20"/>
        <v/>
      </c>
      <c r="C199" s="9" t="str">
        <f t="shared" si="16"/>
        <v/>
      </c>
      <c r="D199" s="110" t="str">
        <f t="shared" si="17"/>
        <v/>
      </c>
      <c r="E199" s="110" t="str">
        <f t="shared" si="18"/>
        <v/>
      </c>
      <c r="F199" s="110" t="str">
        <f t="shared" si="19"/>
        <v/>
      </c>
      <c r="G199" s="197" t="str">
        <f t="shared" si="21"/>
        <v/>
      </c>
      <c r="H199" s="197"/>
      <c r="Q199" s="10" t="str">
        <f t="shared" si="15"/>
        <v/>
      </c>
    </row>
    <row r="200" spans="2:17" x14ac:dyDescent="0.25">
      <c r="B200" s="112" t="str">
        <f t="shared" si="20"/>
        <v/>
      </c>
      <c r="C200" s="9" t="str">
        <f t="shared" si="16"/>
        <v/>
      </c>
      <c r="D200" s="110" t="str">
        <f t="shared" si="17"/>
        <v/>
      </c>
      <c r="E200" s="110" t="str">
        <f t="shared" si="18"/>
        <v/>
      </c>
      <c r="F200" s="110" t="str">
        <f t="shared" si="19"/>
        <v/>
      </c>
      <c r="G200" s="197" t="str">
        <f t="shared" si="21"/>
        <v/>
      </c>
      <c r="H200" s="197"/>
      <c r="Q200" s="10" t="str">
        <f t="shared" si="15"/>
        <v/>
      </c>
    </row>
    <row r="201" spans="2:17" x14ac:dyDescent="0.25">
      <c r="B201" s="112" t="str">
        <f t="shared" si="20"/>
        <v/>
      </c>
      <c r="C201" s="9" t="str">
        <f t="shared" si="16"/>
        <v/>
      </c>
      <c r="D201" s="110" t="str">
        <f t="shared" si="17"/>
        <v/>
      </c>
      <c r="E201" s="110" t="str">
        <f t="shared" si="18"/>
        <v/>
      </c>
      <c r="F201" s="110" t="str">
        <f t="shared" si="19"/>
        <v/>
      </c>
      <c r="G201" s="197" t="str">
        <f t="shared" si="21"/>
        <v/>
      </c>
      <c r="H201" s="197"/>
      <c r="Q201" s="10" t="str">
        <f t="shared" si="15"/>
        <v/>
      </c>
    </row>
    <row r="202" spans="2:17" x14ac:dyDescent="0.25">
      <c r="B202" s="112" t="str">
        <f t="shared" si="20"/>
        <v/>
      </c>
      <c r="C202" s="9" t="str">
        <f t="shared" si="16"/>
        <v/>
      </c>
      <c r="D202" s="110" t="str">
        <f t="shared" si="17"/>
        <v/>
      </c>
      <c r="E202" s="110" t="str">
        <f t="shared" si="18"/>
        <v/>
      </c>
      <c r="F202" s="110" t="str">
        <f t="shared" si="19"/>
        <v/>
      </c>
      <c r="G202" s="197" t="str">
        <f t="shared" si="21"/>
        <v/>
      </c>
      <c r="H202" s="197"/>
      <c r="Q202" s="10" t="str">
        <f t="shared" si="15"/>
        <v/>
      </c>
    </row>
    <row r="203" spans="2:17" x14ac:dyDescent="0.25">
      <c r="B203" s="112" t="str">
        <f t="shared" si="20"/>
        <v/>
      </c>
      <c r="C203" s="9" t="str">
        <f t="shared" si="16"/>
        <v/>
      </c>
      <c r="D203" s="110" t="str">
        <f t="shared" si="17"/>
        <v/>
      </c>
      <c r="E203" s="110" t="str">
        <f t="shared" si="18"/>
        <v/>
      </c>
      <c r="F203" s="110" t="str">
        <f t="shared" si="19"/>
        <v/>
      </c>
      <c r="G203" s="197" t="str">
        <f t="shared" si="21"/>
        <v/>
      </c>
      <c r="H203" s="197"/>
      <c r="Q203" s="10" t="str">
        <f t="shared" ref="Q203:Q266" si="22">IF(AND(ISBLANK(O203),ISBLANK(P203)),"",IF(ISBLANK(P203), ROUND(Q202+O203,2), ROUND(Q202+P203,2)))</f>
        <v/>
      </c>
    </row>
    <row r="204" spans="2:17" x14ac:dyDescent="0.25">
      <c r="B204" s="112" t="str">
        <f t="shared" si="20"/>
        <v/>
      </c>
      <c r="C204" s="9" t="str">
        <f t="shared" si="16"/>
        <v/>
      </c>
      <c r="D204" s="110" t="str">
        <f t="shared" si="17"/>
        <v/>
      </c>
      <c r="E204" s="110" t="str">
        <f t="shared" si="18"/>
        <v/>
      </c>
      <c r="F204" s="110" t="str">
        <f t="shared" si="19"/>
        <v/>
      </c>
      <c r="G204" s="197" t="str">
        <f t="shared" si="21"/>
        <v/>
      </c>
      <c r="H204" s="197"/>
      <c r="Q204" s="10" t="str">
        <f t="shared" si="22"/>
        <v/>
      </c>
    </row>
    <row r="205" spans="2:17" x14ac:dyDescent="0.25">
      <c r="B205" s="112" t="str">
        <f t="shared" si="20"/>
        <v/>
      </c>
      <c r="C205" s="9" t="str">
        <f t="shared" si="16"/>
        <v/>
      </c>
      <c r="D205" s="110" t="str">
        <f t="shared" si="17"/>
        <v/>
      </c>
      <c r="E205" s="110" t="str">
        <f t="shared" si="18"/>
        <v/>
      </c>
      <c r="F205" s="110" t="str">
        <f t="shared" si="19"/>
        <v/>
      </c>
      <c r="G205" s="197" t="str">
        <f t="shared" si="21"/>
        <v/>
      </c>
      <c r="H205" s="197"/>
      <c r="Q205" s="10" t="str">
        <f t="shared" si="22"/>
        <v/>
      </c>
    </row>
    <row r="206" spans="2:17" x14ac:dyDescent="0.25">
      <c r="B206" s="112" t="str">
        <f t="shared" si="20"/>
        <v/>
      </c>
      <c r="C206" s="9" t="str">
        <f t="shared" si="16"/>
        <v/>
      </c>
      <c r="D206" s="110" t="str">
        <f t="shared" si="17"/>
        <v/>
      </c>
      <c r="E206" s="110" t="str">
        <f t="shared" si="18"/>
        <v/>
      </c>
      <c r="F206" s="110" t="str">
        <f t="shared" si="19"/>
        <v/>
      </c>
      <c r="G206" s="197" t="str">
        <f t="shared" si="21"/>
        <v/>
      </c>
      <c r="H206" s="197"/>
      <c r="Q206" s="10" t="str">
        <f t="shared" si="22"/>
        <v/>
      </c>
    </row>
    <row r="207" spans="2:17" x14ac:dyDescent="0.25">
      <c r="B207" s="112" t="str">
        <f t="shared" si="20"/>
        <v/>
      </c>
      <c r="C207" s="9" t="str">
        <f t="shared" si="16"/>
        <v/>
      </c>
      <c r="D207" s="110" t="str">
        <f t="shared" si="17"/>
        <v/>
      </c>
      <c r="E207" s="110" t="str">
        <f t="shared" si="18"/>
        <v/>
      </c>
      <c r="F207" s="110" t="str">
        <f t="shared" si="19"/>
        <v/>
      </c>
      <c r="G207" s="197" t="str">
        <f t="shared" si="21"/>
        <v/>
      </c>
      <c r="H207" s="197"/>
      <c r="Q207" s="10" t="str">
        <f t="shared" si="22"/>
        <v/>
      </c>
    </row>
    <row r="208" spans="2:17" x14ac:dyDescent="0.25">
      <c r="B208" s="112" t="str">
        <f t="shared" si="20"/>
        <v/>
      </c>
      <c r="C208" s="9" t="str">
        <f t="shared" si="16"/>
        <v/>
      </c>
      <c r="D208" s="110" t="str">
        <f t="shared" si="17"/>
        <v/>
      </c>
      <c r="E208" s="110" t="str">
        <f t="shared" si="18"/>
        <v/>
      </c>
      <c r="F208" s="110" t="str">
        <f t="shared" si="19"/>
        <v/>
      </c>
      <c r="G208" s="197" t="str">
        <f t="shared" si="21"/>
        <v/>
      </c>
      <c r="H208" s="197"/>
      <c r="Q208" s="10" t="str">
        <f t="shared" si="22"/>
        <v/>
      </c>
    </row>
    <row r="209" spans="2:17" x14ac:dyDescent="0.25">
      <c r="B209" s="112" t="str">
        <f t="shared" si="20"/>
        <v/>
      </c>
      <c r="C209" s="9" t="str">
        <f t="shared" si="16"/>
        <v/>
      </c>
      <c r="D209" s="110" t="str">
        <f t="shared" si="17"/>
        <v/>
      </c>
      <c r="E209" s="110" t="str">
        <f t="shared" si="18"/>
        <v/>
      </c>
      <c r="F209" s="110" t="str">
        <f t="shared" si="19"/>
        <v/>
      </c>
      <c r="G209" s="197" t="str">
        <f t="shared" si="21"/>
        <v/>
      </c>
      <c r="H209" s="197"/>
      <c r="Q209" s="10" t="str">
        <f t="shared" si="22"/>
        <v/>
      </c>
    </row>
    <row r="210" spans="2:17" x14ac:dyDescent="0.25">
      <c r="B210" s="112" t="str">
        <f t="shared" si="20"/>
        <v/>
      </c>
      <c r="C210" s="9" t="str">
        <f t="shared" si="16"/>
        <v/>
      </c>
      <c r="D210" s="110" t="str">
        <f t="shared" si="17"/>
        <v/>
      </c>
      <c r="E210" s="110" t="str">
        <f t="shared" si="18"/>
        <v/>
      </c>
      <c r="F210" s="110" t="str">
        <f t="shared" si="19"/>
        <v/>
      </c>
      <c r="G210" s="197" t="str">
        <f t="shared" si="21"/>
        <v/>
      </c>
      <c r="H210" s="197"/>
      <c r="Q210" s="10" t="str">
        <f t="shared" si="22"/>
        <v/>
      </c>
    </row>
    <row r="211" spans="2:17" x14ac:dyDescent="0.25">
      <c r="B211" s="112" t="str">
        <f t="shared" si="20"/>
        <v/>
      </c>
      <c r="C211" s="9" t="str">
        <f t="shared" si="16"/>
        <v/>
      </c>
      <c r="D211" s="110" t="str">
        <f t="shared" si="17"/>
        <v/>
      </c>
      <c r="E211" s="110" t="str">
        <f t="shared" si="18"/>
        <v/>
      </c>
      <c r="F211" s="110" t="str">
        <f t="shared" si="19"/>
        <v/>
      </c>
      <c r="G211" s="197" t="str">
        <f t="shared" si="21"/>
        <v/>
      </c>
      <c r="H211" s="197"/>
      <c r="Q211" s="10" t="str">
        <f t="shared" si="22"/>
        <v/>
      </c>
    </row>
    <row r="212" spans="2:17" x14ac:dyDescent="0.25">
      <c r="B212" s="112" t="str">
        <f t="shared" si="20"/>
        <v/>
      </c>
      <c r="C212" s="9" t="str">
        <f t="shared" si="16"/>
        <v/>
      </c>
      <c r="D212" s="110" t="str">
        <f t="shared" si="17"/>
        <v/>
      </c>
      <c r="E212" s="110" t="str">
        <f t="shared" si="18"/>
        <v/>
      </c>
      <c r="F212" s="110" t="str">
        <f t="shared" si="19"/>
        <v/>
      </c>
      <c r="G212" s="197" t="str">
        <f t="shared" si="21"/>
        <v/>
      </c>
      <c r="H212" s="197"/>
      <c r="Q212" s="10" t="str">
        <f t="shared" si="22"/>
        <v/>
      </c>
    </row>
    <row r="213" spans="2:17" x14ac:dyDescent="0.25">
      <c r="B213" s="112" t="str">
        <f t="shared" si="20"/>
        <v/>
      </c>
      <c r="C213" s="9" t="str">
        <f t="shared" si="16"/>
        <v/>
      </c>
      <c r="D213" s="110" t="str">
        <f t="shared" si="17"/>
        <v/>
      </c>
      <c r="E213" s="110" t="str">
        <f t="shared" si="18"/>
        <v/>
      </c>
      <c r="F213" s="110" t="str">
        <f t="shared" si="19"/>
        <v/>
      </c>
      <c r="G213" s="197" t="str">
        <f t="shared" si="21"/>
        <v/>
      </c>
      <c r="H213" s="197"/>
      <c r="Q213" s="10" t="str">
        <f t="shared" si="22"/>
        <v/>
      </c>
    </row>
    <row r="214" spans="2:17" x14ac:dyDescent="0.25">
      <c r="B214" s="112" t="str">
        <f t="shared" si="20"/>
        <v/>
      </c>
      <c r="C214" s="9" t="str">
        <f t="shared" si="16"/>
        <v/>
      </c>
      <c r="D214" s="110" t="str">
        <f t="shared" si="17"/>
        <v/>
      </c>
      <c r="E214" s="110" t="str">
        <f t="shared" si="18"/>
        <v/>
      </c>
      <c r="F214" s="110" t="str">
        <f t="shared" si="19"/>
        <v/>
      </c>
      <c r="G214" s="197" t="str">
        <f t="shared" si="21"/>
        <v/>
      </c>
      <c r="H214" s="197"/>
      <c r="Q214" s="10" t="str">
        <f t="shared" si="22"/>
        <v/>
      </c>
    </row>
    <row r="215" spans="2:17" x14ac:dyDescent="0.25">
      <c r="B215" s="112" t="str">
        <f t="shared" si="20"/>
        <v/>
      </c>
      <c r="C215" s="9" t="str">
        <f t="shared" ref="C215:C278" si="23">IFERROR(SUM($C$8-ABS(D215)),"")</f>
        <v/>
      </c>
      <c r="D215" s="110" t="str">
        <f t="shared" ref="D215:D278" si="24">IF(G215&lt;&gt;"",PMT($F$2/12,$C$14,ABS($I$2)),"")</f>
        <v/>
      </c>
      <c r="E215" s="110" t="str">
        <f t="shared" ref="E215:E278" si="25">IFERROR(IPMT($F$2/12, B215, $C$14, ABS($I$2)),"")</f>
        <v/>
      </c>
      <c r="F215" s="110" t="str">
        <f t="shared" ref="F215:F278" si="26">IFERROR(PPMT($F$2/12, B215, $C$14, ABS($I$2)),"")</f>
        <v/>
      </c>
      <c r="G215" s="197" t="str">
        <f t="shared" si="21"/>
        <v/>
      </c>
      <c r="H215" s="197"/>
      <c r="Q215" s="10" t="str">
        <f t="shared" si="22"/>
        <v/>
      </c>
    </row>
    <row r="216" spans="2:17" x14ac:dyDescent="0.25">
      <c r="B216" s="112" t="str">
        <f t="shared" ref="B216:B279" si="27">IF(B215&gt;=$C$14,"",SUM(B215+1))</f>
        <v/>
      </c>
      <c r="C216" s="9" t="str">
        <f t="shared" si="23"/>
        <v/>
      </c>
      <c r="D216" s="110" t="str">
        <f t="shared" si="24"/>
        <v/>
      </c>
      <c r="E216" s="110" t="str">
        <f t="shared" si="25"/>
        <v/>
      </c>
      <c r="F216" s="110" t="str">
        <f t="shared" si="26"/>
        <v/>
      </c>
      <c r="G216" s="197" t="str">
        <f t="shared" ref="G216:G279" si="28">IFERROR(G215+F216,"")</f>
        <v/>
      </c>
      <c r="H216" s="197"/>
      <c r="Q216" s="10" t="str">
        <f t="shared" si="22"/>
        <v/>
      </c>
    </row>
    <row r="217" spans="2:17" x14ac:dyDescent="0.25">
      <c r="B217" s="112" t="str">
        <f t="shared" si="27"/>
        <v/>
      </c>
      <c r="C217" s="9" t="str">
        <f t="shared" si="23"/>
        <v/>
      </c>
      <c r="D217" s="110" t="str">
        <f t="shared" si="24"/>
        <v/>
      </c>
      <c r="E217" s="110" t="str">
        <f t="shared" si="25"/>
        <v/>
      </c>
      <c r="F217" s="110" t="str">
        <f t="shared" si="26"/>
        <v/>
      </c>
      <c r="G217" s="197" t="str">
        <f t="shared" si="28"/>
        <v/>
      </c>
      <c r="H217" s="197"/>
      <c r="Q217" s="10" t="str">
        <f t="shared" si="22"/>
        <v/>
      </c>
    </row>
    <row r="218" spans="2:17" x14ac:dyDescent="0.25">
      <c r="B218" s="112" t="str">
        <f t="shared" si="27"/>
        <v/>
      </c>
      <c r="C218" s="9" t="str">
        <f t="shared" si="23"/>
        <v/>
      </c>
      <c r="D218" s="110" t="str">
        <f t="shared" si="24"/>
        <v/>
      </c>
      <c r="E218" s="110" t="str">
        <f t="shared" si="25"/>
        <v/>
      </c>
      <c r="F218" s="110" t="str">
        <f t="shared" si="26"/>
        <v/>
      </c>
      <c r="G218" s="197" t="str">
        <f t="shared" si="28"/>
        <v/>
      </c>
      <c r="H218" s="197"/>
      <c r="Q218" s="10" t="str">
        <f t="shared" si="22"/>
        <v/>
      </c>
    </row>
    <row r="219" spans="2:17" x14ac:dyDescent="0.25">
      <c r="B219" s="112" t="str">
        <f t="shared" si="27"/>
        <v/>
      </c>
      <c r="C219" s="9" t="str">
        <f t="shared" si="23"/>
        <v/>
      </c>
      <c r="D219" s="110" t="str">
        <f t="shared" si="24"/>
        <v/>
      </c>
      <c r="E219" s="110" t="str">
        <f t="shared" si="25"/>
        <v/>
      </c>
      <c r="F219" s="110" t="str">
        <f t="shared" si="26"/>
        <v/>
      </c>
      <c r="G219" s="197" t="str">
        <f t="shared" si="28"/>
        <v/>
      </c>
      <c r="H219" s="197"/>
      <c r="Q219" s="10" t="str">
        <f t="shared" si="22"/>
        <v/>
      </c>
    </row>
    <row r="220" spans="2:17" x14ac:dyDescent="0.25">
      <c r="B220" s="112" t="str">
        <f t="shared" si="27"/>
        <v/>
      </c>
      <c r="C220" s="9" t="str">
        <f t="shared" si="23"/>
        <v/>
      </c>
      <c r="D220" s="110" t="str">
        <f t="shared" si="24"/>
        <v/>
      </c>
      <c r="E220" s="110" t="str">
        <f t="shared" si="25"/>
        <v/>
      </c>
      <c r="F220" s="110" t="str">
        <f t="shared" si="26"/>
        <v/>
      </c>
      <c r="G220" s="197" t="str">
        <f t="shared" si="28"/>
        <v/>
      </c>
      <c r="H220" s="197"/>
      <c r="Q220" s="10" t="str">
        <f t="shared" si="22"/>
        <v/>
      </c>
    </row>
    <row r="221" spans="2:17" x14ac:dyDescent="0.25">
      <c r="B221" s="112" t="str">
        <f t="shared" si="27"/>
        <v/>
      </c>
      <c r="C221" s="9" t="str">
        <f t="shared" si="23"/>
        <v/>
      </c>
      <c r="D221" s="110" t="str">
        <f t="shared" si="24"/>
        <v/>
      </c>
      <c r="E221" s="110" t="str">
        <f t="shared" si="25"/>
        <v/>
      </c>
      <c r="F221" s="110" t="str">
        <f t="shared" si="26"/>
        <v/>
      </c>
      <c r="G221" s="197" t="str">
        <f t="shared" si="28"/>
        <v/>
      </c>
      <c r="H221" s="197"/>
      <c r="Q221" s="10" t="str">
        <f t="shared" si="22"/>
        <v/>
      </c>
    </row>
    <row r="222" spans="2:17" x14ac:dyDescent="0.25">
      <c r="B222" s="112" t="str">
        <f t="shared" si="27"/>
        <v/>
      </c>
      <c r="C222" s="9" t="str">
        <f t="shared" si="23"/>
        <v/>
      </c>
      <c r="D222" s="110" t="str">
        <f t="shared" si="24"/>
        <v/>
      </c>
      <c r="E222" s="110" t="str">
        <f t="shared" si="25"/>
        <v/>
      </c>
      <c r="F222" s="110" t="str">
        <f t="shared" si="26"/>
        <v/>
      </c>
      <c r="G222" s="197" t="str">
        <f t="shared" si="28"/>
        <v/>
      </c>
      <c r="H222" s="197"/>
      <c r="Q222" s="10" t="str">
        <f t="shared" si="22"/>
        <v/>
      </c>
    </row>
    <row r="223" spans="2:17" x14ac:dyDescent="0.25">
      <c r="B223" s="112" t="str">
        <f t="shared" si="27"/>
        <v/>
      </c>
      <c r="C223" s="9" t="str">
        <f t="shared" si="23"/>
        <v/>
      </c>
      <c r="D223" s="110" t="str">
        <f t="shared" si="24"/>
        <v/>
      </c>
      <c r="E223" s="110" t="str">
        <f t="shared" si="25"/>
        <v/>
      </c>
      <c r="F223" s="110" t="str">
        <f t="shared" si="26"/>
        <v/>
      </c>
      <c r="G223" s="197" t="str">
        <f t="shared" si="28"/>
        <v/>
      </c>
      <c r="H223" s="197"/>
      <c r="Q223" s="10" t="str">
        <f t="shared" si="22"/>
        <v/>
      </c>
    </row>
    <row r="224" spans="2:17" x14ac:dyDescent="0.25">
      <c r="B224" s="112" t="str">
        <f t="shared" si="27"/>
        <v/>
      </c>
      <c r="C224" s="9" t="str">
        <f t="shared" si="23"/>
        <v/>
      </c>
      <c r="D224" s="110" t="str">
        <f t="shared" si="24"/>
        <v/>
      </c>
      <c r="E224" s="110" t="str">
        <f t="shared" si="25"/>
        <v/>
      </c>
      <c r="F224" s="110" t="str">
        <f t="shared" si="26"/>
        <v/>
      </c>
      <c r="G224" s="197" t="str">
        <f t="shared" si="28"/>
        <v/>
      </c>
      <c r="H224" s="197"/>
      <c r="Q224" s="10" t="str">
        <f t="shared" si="22"/>
        <v/>
      </c>
    </row>
    <row r="225" spans="2:17" x14ac:dyDescent="0.25">
      <c r="B225" s="112" t="str">
        <f t="shared" si="27"/>
        <v/>
      </c>
      <c r="C225" s="9" t="str">
        <f t="shared" si="23"/>
        <v/>
      </c>
      <c r="D225" s="110" t="str">
        <f t="shared" si="24"/>
        <v/>
      </c>
      <c r="E225" s="110" t="str">
        <f t="shared" si="25"/>
        <v/>
      </c>
      <c r="F225" s="110" t="str">
        <f t="shared" si="26"/>
        <v/>
      </c>
      <c r="G225" s="197" t="str">
        <f t="shared" si="28"/>
        <v/>
      </c>
      <c r="H225" s="197"/>
      <c r="Q225" s="10" t="str">
        <f t="shared" si="22"/>
        <v/>
      </c>
    </row>
    <row r="226" spans="2:17" x14ac:dyDescent="0.25">
      <c r="B226" s="112" t="str">
        <f t="shared" si="27"/>
        <v/>
      </c>
      <c r="C226" s="9" t="str">
        <f t="shared" si="23"/>
        <v/>
      </c>
      <c r="D226" s="110" t="str">
        <f t="shared" si="24"/>
        <v/>
      </c>
      <c r="E226" s="110" t="str">
        <f t="shared" si="25"/>
        <v/>
      </c>
      <c r="F226" s="110" t="str">
        <f t="shared" si="26"/>
        <v/>
      </c>
      <c r="G226" s="197" t="str">
        <f t="shared" si="28"/>
        <v/>
      </c>
      <c r="H226" s="197"/>
      <c r="Q226" s="10" t="str">
        <f t="shared" si="22"/>
        <v/>
      </c>
    </row>
    <row r="227" spans="2:17" x14ac:dyDescent="0.25">
      <c r="B227" s="112" t="str">
        <f t="shared" si="27"/>
        <v/>
      </c>
      <c r="C227" s="9" t="str">
        <f t="shared" si="23"/>
        <v/>
      </c>
      <c r="D227" s="110" t="str">
        <f t="shared" si="24"/>
        <v/>
      </c>
      <c r="E227" s="110" t="str">
        <f t="shared" si="25"/>
        <v/>
      </c>
      <c r="F227" s="110" t="str">
        <f t="shared" si="26"/>
        <v/>
      </c>
      <c r="G227" s="197" t="str">
        <f t="shared" si="28"/>
        <v/>
      </c>
      <c r="H227" s="197"/>
      <c r="Q227" s="10" t="str">
        <f t="shared" si="22"/>
        <v/>
      </c>
    </row>
    <row r="228" spans="2:17" x14ac:dyDescent="0.25">
      <c r="B228" s="112" t="str">
        <f t="shared" si="27"/>
        <v/>
      </c>
      <c r="C228" s="9" t="str">
        <f t="shared" si="23"/>
        <v/>
      </c>
      <c r="D228" s="110" t="str">
        <f t="shared" si="24"/>
        <v/>
      </c>
      <c r="E228" s="110" t="str">
        <f t="shared" si="25"/>
        <v/>
      </c>
      <c r="F228" s="110" t="str">
        <f t="shared" si="26"/>
        <v/>
      </c>
      <c r="G228" s="197" t="str">
        <f t="shared" si="28"/>
        <v/>
      </c>
      <c r="H228" s="197"/>
      <c r="Q228" s="10" t="str">
        <f t="shared" si="22"/>
        <v/>
      </c>
    </row>
    <row r="229" spans="2:17" x14ac:dyDescent="0.25">
      <c r="B229" s="112" t="str">
        <f t="shared" si="27"/>
        <v/>
      </c>
      <c r="C229" s="9" t="str">
        <f t="shared" si="23"/>
        <v/>
      </c>
      <c r="D229" s="110" t="str">
        <f t="shared" si="24"/>
        <v/>
      </c>
      <c r="E229" s="110" t="str">
        <f t="shared" si="25"/>
        <v/>
      </c>
      <c r="F229" s="110" t="str">
        <f t="shared" si="26"/>
        <v/>
      </c>
      <c r="G229" s="197" t="str">
        <f t="shared" si="28"/>
        <v/>
      </c>
      <c r="H229" s="197"/>
      <c r="Q229" s="10" t="str">
        <f t="shared" si="22"/>
        <v/>
      </c>
    </row>
    <row r="230" spans="2:17" x14ac:dyDescent="0.25">
      <c r="B230" s="112" t="str">
        <f t="shared" si="27"/>
        <v/>
      </c>
      <c r="C230" s="9" t="str">
        <f t="shared" si="23"/>
        <v/>
      </c>
      <c r="D230" s="110" t="str">
        <f t="shared" si="24"/>
        <v/>
      </c>
      <c r="E230" s="110" t="str">
        <f t="shared" si="25"/>
        <v/>
      </c>
      <c r="F230" s="110" t="str">
        <f t="shared" si="26"/>
        <v/>
      </c>
      <c r="G230" s="197" t="str">
        <f t="shared" si="28"/>
        <v/>
      </c>
      <c r="H230" s="197"/>
      <c r="Q230" s="10" t="str">
        <f t="shared" si="22"/>
        <v/>
      </c>
    </row>
    <row r="231" spans="2:17" x14ac:dyDescent="0.25">
      <c r="B231" s="112" t="str">
        <f t="shared" si="27"/>
        <v/>
      </c>
      <c r="C231" s="9" t="str">
        <f t="shared" si="23"/>
        <v/>
      </c>
      <c r="D231" s="110" t="str">
        <f t="shared" si="24"/>
        <v/>
      </c>
      <c r="E231" s="110" t="str">
        <f t="shared" si="25"/>
        <v/>
      </c>
      <c r="F231" s="110" t="str">
        <f t="shared" si="26"/>
        <v/>
      </c>
      <c r="G231" s="197" t="str">
        <f t="shared" si="28"/>
        <v/>
      </c>
      <c r="H231" s="197"/>
      <c r="Q231" s="10" t="str">
        <f t="shared" si="22"/>
        <v/>
      </c>
    </row>
    <row r="232" spans="2:17" x14ac:dyDescent="0.25">
      <c r="B232" s="112" t="str">
        <f t="shared" si="27"/>
        <v/>
      </c>
      <c r="C232" s="9" t="str">
        <f t="shared" si="23"/>
        <v/>
      </c>
      <c r="D232" s="110" t="str">
        <f t="shared" si="24"/>
        <v/>
      </c>
      <c r="E232" s="110" t="str">
        <f t="shared" si="25"/>
        <v/>
      </c>
      <c r="F232" s="110" t="str">
        <f t="shared" si="26"/>
        <v/>
      </c>
      <c r="G232" s="197" t="str">
        <f t="shared" si="28"/>
        <v/>
      </c>
      <c r="H232" s="197"/>
      <c r="Q232" s="10" t="str">
        <f t="shared" si="22"/>
        <v/>
      </c>
    </row>
    <row r="233" spans="2:17" x14ac:dyDescent="0.25">
      <c r="B233" s="112" t="str">
        <f t="shared" si="27"/>
        <v/>
      </c>
      <c r="C233" s="9" t="str">
        <f t="shared" si="23"/>
        <v/>
      </c>
      <c r="D233" s="110" t="str">
        <f t="shared" si="24"/>
        <v/>
      </c>
      <c r="E233" s="110" t="str">
        <f t="shared" si="25"/>
        <v/>
      </c>
      <c r="F233" s="110" t="str">
        <f t="shared" si="26"/>
        <v/>
      </c>
      <c r="G233" s="197" t="str">
        <f t="shared" si="28"/>
        <v/>
      </c>
      <c r="H233" s="197"/>
      <c r="Q233" s="10" t="str">
        <f t="shared" si="22"/>
        <v/>
      </c>
    </row>
    <row r="234" spans="2:17" x14ac:dyDescent="0.25">
      <c r="B234" s="112" t="str">
        <f t="shared" si="27"/>
        <v/>
      </c>
      <c r="C234" s="9" t="str">
        <f t="shared" si="23"/>
        <v/>
      </c>
      <c r="D234" s="110" t="str">
        <f t="shared" si="24"/>
        <v/>
      </c>
      <c r="E234" s="110" t="str">
        <f t="shared" si="25"/>
        <v/>
      </c>
      <c r="F234" s="110" t="str">
        <f t="shared" si="26"/>
        <v/>
      </c>
      <c r="G234" s="197" t="str">
        <f t="shared" si="28"/>
        <v/>
      </c>
      <c r="H234" s="197"/>
      <c r="Q234" s="10" t="str">
        <f t="shared" si="22"/>
        <v/>
      </c>
    </row>
    <row r="235" spans="2:17" x14ac:dyDescent="0.25">
      <c r="B235" s="112" t="str">
        <f t="shared" si="27"/>
        <v/>
      </c>
      <c r="C235" s="9" t="str">
        <f t="shared" si="23"/>
        <v/>
      </c>
      <c r="D235" s="110" t="str">
        <f t="shared" si="24"/>
        <v/>
      </c>
      <c r="E235" s="110" t="str">
        <f t="shared" si="25"/>
        <v/>
      </c>
      <c r="F235" s="110" t="str">
        <f t="shared" si="26"/>
        <v/>
      </c>
      <c r="G235" s="197" t="str">
        <f t="shared" si="28"/>
        <v/>
      </c>
      <c r="H235" s="197"/>
      <c r="Q235" s="10" t="str">
        <f t="shared" si="22"/>
        <v/>
      </c>
    </row>
    <row r="236" spans="2:17" x14ac:dyDescent="0.25">
      <c r="B236" s="112" t="str">
        <f t="shared" si="27"/>
        <v/>
      </c>
      <c r="C236" s="9" t="str">
        <f t="shared" si="23"/>
        <v/>
      </c>
      <c r="D236" s="110" t="str">
        <f t="shared" si="24"/>
        <v/>
      </c>
      <c r="E236" s="110" t="str">
        <f t="shared" si="25"/>
        <v/>
      </c>
      <c r="F236" s="110" t="str">
        <f t="shared" si="26"/>
        <v/>
      </c>
      <c r="G236" s="197" t="str">
        <f t="shared" si="28"/>
        <v/>
      </c>
      <c r="H236" s="197"/>
      <c r="Q236" s="10" t="str">
        <f t="shared" si="22"/>
        <v/>
      </c>
    </row>
    <row r="237" spans="2:17" x14ac:dyDescent="0.25">
      <c r="B237" s="112" t="str">
        <f t="shared" si="27"/>
        <v/>
      </c>
      <c r="C237" s="9" t="str">
        <f t="shared" si="23"/>
        <v/>
      </c>
      <c r="D237" s="110" t="str">
        <f t="shared" si="24"/>
        <v/>
      </c>
      <c r="E237" s="110" t="str">
        <f t="shared" si="25"/>
        <v/>
      </c>
      <c r="F237" s="110" t="str">
        <f t="shared" si="26"/>
        <v/>
      </c>
      <c r="G237" s="197" t="str">
        <f t="shared" si="28"/>
        <v/>
      </c>
      <c r="H237" s="197"/>
      <c r="Q237" s="10" t="str">
        <f t="shared" si="22"/>
        <v/>
      </c>
    </row>
    <row r="238" spans="2:17" x14ac:dyDescent="0.25">
      <c r="B238" s="112" t="str">
        <f t="shared" si="27"/>
        <v/>
      </c>
      <c r="C238" s="9" t="str">
        <f t="shared" si="23"/>
        <v/>
      </c>
      <c r="D238" s="110" t="str">
        <f t="shared" si="24"/>
        <v/>
      </c>
      <c r="E238" s="110" t="str">
        <f t="shared" si="25"/>
        <v/>
      </c>
      <c r="F238" s="110" t="str">
        <f t="shared" si="26"/>
        <v/>
      </c>
      <c r="G238" s="197" t="str">
        <f t="shared" si="28"/>
        <v/>
      </c>
      <c r="H238" s="197"/>
      <c r="Q238" s="10" t="str">
        <f t="shared" si="22"/>
        <v/>
      </c>
    </row>
    <row r="239" spans="2:17" x14ac:dyDescent="0.25">
      <c r="B239" s="112" t="str">
        <f t="shared" si="27"/>
        <v/>
      </c>
      <c r="C239" s="9" t="str">
        <f t="shared" si="23"/>
        <v/>
      </c>
      <c r="D239" s="110" t="str">
        <f t="shared" si="24"/>
        <v/>
      </c>
      <c r="E239" s="110" t="str">
        <f t="shared" si="25"/>
        <v/>
      </c>
      <c r="F239" s="110" t="str">
        <f t="shared" si="26"/>
        <v/>
      </c>
      <c r="G239" s="197" t="str">
        <f t="shared" si="28"/>
        <v/>
      </c>
      <c r="H239" s="197"/>
      <c r="Q239" s="10" t="str">
        <f t="shared" si="22"/>
        <v/>
      </c>
    </row>
    <row r="240" spans="2:17" x14ac:dyDescent="0.25">
      <c r="B240" s="112" t="str">
        <f t="shared" si="27"/>
        <v/>
      </c>
      <c r="C240" s="9" t="str">
        <f t="shared" si="23"/>
        <v/>
      </c>
      <c r="D240" s="110" t="str">
        <f t="shared" si="24"/>
        <v/>
      </c>
      <c r="E240" s="110" t="str">
        <f t="shared" si="25"/>
        <v/>
      </c>
      <c r="F240" s="110" t="str">
        <f t="shared" si="26"/>
        <v/>
      </c>
      <c r="G240" s="197" t="str">
        <f t="shared" si="28"/>
        <v/>
      </c>
      <c r="H240" s="197"/>
      <c r="Q240" s="10" t="str">
        <f t="shared" si="22"/>
        <v/>
      </c>
    </row>
    <row r="241" spans="2:17" x14ac:dyDescent="0.25">
      <c r="B241" s="112" t="str">
        <f t="shared" si="27"/>
        <v/>
      </c>
      <c r="C241" s="9" t="str">
        <f t="shared" si="23"/>
        <v/>
      </c>
      <c r="D241" s="110" t="str">
        <f t="shared" si="24"/>
        <v/>
      </c>
      <c r="E241" s="110" t="str">
        <f t="shared" si="25"/>
        <v/>
      </c>
      <c r="F241" s="110" t="str">
        <f t="shared" si="26"/>
        <v/>
      </c>
      <c r="G241" s="197" t="str">
        <f t="shared" si="28"/>
        <v/>
      </c>
      <c r="H241" s="197"/>
      <c r="Q241" s="10" t="str">
        <f t="shared" si="22"/>
        <v/>
      </c>
    </row>
    <row r="242" spans="2:17" x14ac:dyDescent="0.25">
      <c r="B242" s="112" t="str">
        <f t="shared" si="27"/>
        <v/>
      </c>
      <c r="C242" s="9" t="str">
        <f t="shared" si="23"/>
        <v/>
      </c>
      <c r="D242" s="110" t="str">
        <f t="shared" si="24"/>
        <v/>
      </c>
      <c r="E242" s="110" t="str">
        <f t="shared" si="25"/>
        <v/>
      </c>
      <c r="F242" s="110" t="str">
        <f t="shared" si="26"/>
        <v/>
      </c>
      <c r="G242" s="197" t="str">
        <f t="shared" si="28"/>
        <v/>
      </c>
      <c r="H242" s="197"/>
      <c r="Q242" s="10" t="str">
        <f t="shared" si="22"/>
        <v/>
      </c>
    </row>
    <row r="243" spans="2:17" x14ac:dyDescent="0.25">
      <c r="B243" s="112" t="str">
        <f t="shared" si="27"/>
        <v/>
      </c>
      <c r="C243" s="9" t="str">
        <f t="shared" si="23"/>
        <v/>
      </c>
      <c r="D243" s="110" t="str">
        <f t="shared" si="24"/>
        <v/>
      </c>
      <c r="E243" s="110" t="str">
        <f t="shared" si="25"/>
        <v/>
      </c>
      <c r="F243" s="110" t="str">
        <f t="shared" si="26"/>
        <v/>
      </c>
      <c r="G243" s="197" t="str">
        <f t="shared" si="28"/>
        <v/>
      </c>
      <c r="H243" s="197"/>
      <c r="Q243" s="10" t="str">
        <f t="shared" si="22"/>
        <v/>
      </c>
    </row>
    <row r="244" spans="2:17" x14ac:dyDescent="0.25">
      <c r="B244" s="112" t="str">
        <f t="shared" si="27"/>
        <v/>
      </c>
      <c r="C244" s="9" t="str">
        <f t="shared" si="23"/>
        <v/>
      </c>
      <c r="D244" s="110" t="str">
        <f t="shared" si="24"/>
        <v/>
      </c>
      <c r="E244" s="110" t="str">
        <f t="shared" si="25"/>
        <v/>
      </c>
      <c r="F244" s="110" t="str">
        <f t="shared" si="26"/>
        <v/>
      </c>
      <c r="G244" s="197" t="str">
        <f t="shared" si="28"/>
        <v/>
      </c>
      <c r="H244" s="197"/>
      <c r="Q244" s="10" t="str">
        <f t="shared" si="22"/>
        <v/>
      </c>
    </row>
    <row r="245" spans="2:17" x14ac:dyDescent="0.25">
      <c r="B245" s="112" t="str">
        <f t="shared" si="27"/>
        <v/>
      </c>
      <c r="C245" s="9" t="str">
        <f t="shared" si="23"/>
        <v/>
      </c>
      <c r="D245" s="110" t="str">
        <f t="shared" si="24"/>
        <v/>
      </c>
      <c r="E245" s="110" t="str">
        <f t="shared" si="25"/>
        <v/>
      </c>
      <c r="F245" s="110" t="str">
        <f t="shared" si="26"/>
        <v/>
      </c>
      <c r="G245" s="197" t="str">
        <f t="shared" si="28"/>
        <v/>
      </c>
      <c r="H245" s="197"/>
      <c r="Q245" s="10" t="str">
        <f t="shared" si="22"/>
        <v/>
      </c>
    </row>
    <row r="246" spans="2:17" x14ac:dyDescent="0.25">
      <c r="B246" s="112" t="str">
        <f t="shared" si="27"/>
        <v/>
      </c>
      <c r="C246" s="9" t="str">
        <f t="shared" si="23"/>
        <v/>
      </c>
      <c r="D246" s="110" t="str">
        <f t="shared" si="24"/>
        <v/>
      </c>
      <c r="E246" s="110" t="str">
        <f t="shared" si="25"/>
        <v/>
      </c>
      <c r="F246" s="110" t="str">
        <f t="shared" si="26"/>
        <v/>
      </c>
      <c r="G246" s="197" t="str">
        <f t="shared" si="28"/>
        <v/>
      </c>
      <c r="H246" s="197"/>
      <c r="Q246" s="10" t="str">
        <f t="shared" si="22"/>
        <v/>
      </c>
    </row>
    <row r="247" spans="2:17" x14ac:dyDescent="0.25">
      <c r="B247" s="112" t="str">
        <f t="shared" si="27"/>
        <v/>
      </c>
      <c r="C247" s="9" t="str">
        <f t="shared" si="23"/>
        <v/>
      </c>
      <c r="D247" s="110" t="str">
        <f t="shared" si="24"/>
        <v/>
      </c>
      <c r="E247" s="110" t="str">
        <f t="shared" si="25"/>
        <v/>
      </c>
      <c r="F247" s="110" t="str">
        <f t="shared" si="26"/>
        <v/>
      </c>
      <c r="G247" s="197" t="str">
        <f t="shared" si="28"/>
        <v/>
      </c>
      <c r="H247" s="197"/>
      <c r="Q247" s="10" t="str">
        <f t="shared" si="22"/>
        <v/>
      </c>
    </row>
    <row r="248" spans="2:17" x14ac:dyDescent="0.25">
      <c r="B248" s="112" t="str">
        <f t="shared" si="27"/>
        <v/>
      </c>
      <c r="C248" s="9" t="str">
        <f t="shared" si="23"/>
        <v/>
      </c>
      <c r="D248" s="110" t="str">
        <f t="shared" si="24"/>
        <v/>
      </c>
      <c r="E248" s="110" t="str">
        <f t="shared" si="25"/>
        <v/>
      </c>
      <c r="F248" s="110" t="str">
        <f t="shared" si="26"/>
        <v/>
      </c>
      <c r="G248" s="197" t="str">
        <f t="shared" si="28"/>
        <v/>
      </c>
      <c r="H248" s="197"/>
      <c r="Q248" s="10" t="str">
        <f t="shared" si="22"/>
        <v/>
      </c>
    </row>
    <row r="249" spans="2:17" x14ac:dyDescent="0.25">
      <c r="B249" s="112" t="str">
        <f t="shared" si="27"/>
        <v/>
      </c>
      <c r="C249" s="9" t="str">
        <f t="shared" si="23"/>
        <v/>
      </c>
      <c r="D249" s="110" t="str">
        <f t="shared" si="24"/>
        <v/>
      </c>
      <c r="E249" s="110" t="str">
        <f t="shared" si="25"/>
        <v/>
      </c>
      <c r="F249" s="110" t="str">
        <f t="shared" si="26"/>
        <v/>
      </c>
      <c r="G249" s="197" t="str">
        <f t="shared" si="28"/>
        <v/>
      </c>
      <c r="H249" s="197"/>
      <c r="Q249" s="10" t="str">
        <f t="shared" si="22"/>
        <v/>
      </c>
    </row>
    <row r="250" spans="2:17" x14ac:dyDescent="0.25">
      <c r="B250" s="112" t="str">
        <f t="shared" si="27"/>
        <v/>
      </c>
      <c r="C250" s="9" t="str">
        <f t="shared" si="23"/>
        <v/>
      </c>
      <c r="D250" s="110" t="str">
        <f t="shared" si="24"/>
        <v/>
      </c>
      <c r="E250" s="110" t="str">
        <f t="shared" si="25"/>
        <v/>
      </c>
      <c r="F250" s="110" t="str">
        <f t="shared" si="26"/>
        <v/>
      </c>
      <c r="G250" s="197" t="str">
        <f t="shared" si="28"/>
        <v/>
      </c>
      <c r="H250" s="197"/>
      <c r="Q250" s="10" t="str">
        <f t="shared" si="22"/>
        <v/>
      </c>
    </row>
    <row r="251" spans="2:17" x14ac:dyDescent="0.25">
      <c r="B251" s="112" t="str">
        <f t="shared" si="27"/>
        <v/>
      </c>
      <c r="C251" s="9" t="str">
        <f t="shared" si="23"/>
        <v/>
      </c>
      <c r="D251" s="110" t="str">
        <f t="shared" si="24"/>
        <v/>
      </c>
      <c r="E251" s="110" t="str">
        <f t="shared" si="25"/>
        <v/>
      </c>
      <c r="F251" s="110" t="str">
        <f t="shared" si="26"/>
        <v/>
      </c>
      <c r="G251" s="197" t="str">
        <f t="shared" si="28"/>
        <v/>
      </c>
      <c r="H251" s="197"/>
      <c r="Q251" s="10" t="str">
        <f t="shared" si="22"/>
        <v/>
      </c>
    </row>
    <row r="252" spans="2:17" x14ac:dyDescent="0.25">
      <c r="B252" s="112" t="str">
        <f t="shared" si="27"/>
        <v/>
      </c>
      <c r="C252" s="9" t="str">
        <f t="shared" si="23"/>
        <v/>
      </c>
      <c r="D252" s="110" t="str">
        <f t="shared" si="24"/>
        <v/>
      </c>
      <c r="E252" s="110" t="str">
        <f t="shared" si="25"/>
        <v/>
      </c>
      <c r="F252" s="110" t="str">
        <f t="shared" si="26"/>
        <v/>
      </c>
      <c r="G252" s="197" t="str">
        <f t="shared" si="28"/>
        <v/>
      </c>
      <c r="H252" s="197"/>
      <c r="Q252" s="10" t="str">
        <f t="shared" si="22"/>
        <v/>
      </c>
    </row>
    <row r="253" spans="2:17" x14ac:dyDescent="0.25">
      <c r="B253" s="112" t="str">
        <f t="shared" si="27"/>
        <v/>
      </c>
      <c r="C253" s="9" t="str">
        <f t="shared" si="23"/>
        <v/>
      </c>
      <c r="D253" s="110" t="str">
        <f t="shared" si="24"/>
        <v/>
      </c>
      <c r="E253" s="110" t="str">
        <f t="shared" si="25"/>
        <v/>
      </c>
      <c r="F253" s="110" t="str">
        <f t="shared" si="26"/>
        <v/>
      </c>
      <c r="G253" s="197" t="str">
        <f t="shared" si="28"/>
        <v/>
      </c>
      <c r="H253" s="197"/>
      <c r="Q253" s="10" t="str">
        <f t="shared" si="22"/>
        <v/>
      </c>
    </row>
    <row r="254" spans="2:17" x14ac:dyDescent="0.25">
      <c r="B254" s="112" t="str">
        <f t="shared" si="27"/>
        <v/>
      </c>
      <c r="C254" s="9" t="str">
        <f t="shared" si="23"/>
        <v/>
      </c>
      <c r="D254" s="110" t="str">
        <f t="shared" si="24"/>
        <v/>
      </c>
      <c r="E254" s="110" t="str">
        <f t="shared" si="25"/>
        <v/>
      </c>
      <c r="F254" s="110" t="str">
        <f t="shared" si="26"/>
        <v/>
      </c>
      <c r="G254" s="197" t="str">
        <f t="shared" si="28"/>
        <v/>
      </c>
      <c r="H254" s="197"/>
      <c r="Q254" s="10" t="str">
        <f t="shared" si="22"/>
        <v/>
      </c>
    </row>
    <row r="255" spans="2:17" x14ac:dyDescent="0.25">
      <c r="B255" s="112" t="str">
        <f t="shared" si="27"/>
        <v/>
      </c>
      <c r="C255" s="9" t="str">
        <f t="shared" si="23"/>
        <v/>
      </c>
      <c r="D255" s="110" t="str">
        <f t="shared" si="24"/>
        <v/>
      </c>
      <c r="E255" s="110" t="str">
        <f t="shared" si="25"/>
        <v/>
      </c>
      <c r="F255" s="110" t="str">
        <f t="shared" si="26"/>
        <v/>
      </c>
      <c r="G255" s="197" t="str">
        <f t="shared" si="28"/>
        <v/>
      </c>
      <c r="H255" s="197"/>
      <c r="Q255" s="10" t="str">
        <f t="shared" si="22"/>
        <v/>
      </c>
    </row>
    <row r="256" spans="2:17" x14ac:dyDescent="0.25">
      <c r="B256" s="112" t="str">
        <f t="shared" si="27"/>
        <v/>
      </c>
      <c r="C256" s="9" t="str">
        <f t="shared" si="23"/>
        <v/>
      </c>
      <c r="D256" s="110" t="str">
        <f t="shared" si="24"/>
        <v/>
      </c>
      <c r="E256" s="110" t="str">
        <f t="shared" si="25"/>
        <v/>
      </c>
      <c r="F256" s="110" t="str">
        <f t="shared" si="26"/>
        <v/>
      </c>
      <c r="G256" s="197" t="str">
        <f t="shared" si="28"/>
        <v/>
      </c>
      <c r="H256" s="197"/>
      <c r="Q256" s="10" t="str">
        <f t="shared" si="22"/>
        <v/>
      </c>
    </row>
    <row r="257" spans="2:17" x14ac:dyDescent="0.25">
      <c r="B257" s="112" t="str">
        <f t="shared" si="27"/>
        <v/>
      </c>
      <c r="C257" s="9" t="str">
        <f t="shared" si="23"/>
        <v/>
      </c>
      <c r="D257" s="110" t="str">
        <f t="shared" si="24"/>
        <v/>
      </c>
      <c r="E257" s="110" t="str">
        <f t="shared" si="25"/>
        <v/>
      </c>
      <c r="F257" s="110" t="str">
        <f t="shared" si="26"/>
        <v/>
      </c>
      <c r="G257" s="197" t="str">
        <f t="shared" si="28"/>
        <v/>
      </c>
      <c r="H257" s="197"/>
      <c r="Q257" s="10" t="str">
        <f t="shared" si="22"/>
        <v/>
      </c>
    </row>
    <row r="258" spans="2:17" x14ac:dyDescent="0.25">
      <c r="B258" s="112" t="str">
        <f t="shared" si="27"/>
        <v/>
      </c>
      <c r="C258" s="9" t="str">
        <f t="shared" si="23"/>
        <v/>
      </c>
      <c r="D258" s="110" t="str">
        <f t="shared" si="24"/>
        <v/>
      </c>
      <c r="E258" s="110" t="str">
        <f t="shared" si="25"/>
        <v/>
      </c>
      <c r="F258" s="110" t="str">
        <f t="shared" si="26"/>
        <v/>
      </c>
      <c r="G258" s="197" t="str">
        <f t="shared" si="28"/>
        <v/>
      </c>
      <c r="H258" s="197"/>
      <c r="Q258" s="10" t="str">
        <f t="shared" si="22"/>
        <v/>
      </c>
    </row>
    <row r="259" spans="2:17" x14ac:dyDescent="0.25">
      <c r="B259" s="112" t="str">
        <f t="shared" si="27"/>
        <v/>
      </c>
      <c r="C259" s="9" t="str">
        <f t="shared" si="23"/>
        <v/>
      </c>
      <c r="D259" s="110" t="str">
        <f t="shared" si="24"/>
        <v/>
      </c>
      <c r="E259" s="110" t="str">
        <f t="shared" si="25"/>
        <v/>
      </c>
      <c r="F259" s="110" t="str">
        <f t="shared" si="26"/>
        <v/>
      </c>
      <c r="G259" s="197" t="str">
        <f t="shared" si="28"/>
        <v/>
      </c>
      <c r="H259" s="197"/>
      <c r="Q259" s="10" t="str">
        <f t="shared" si="22"/>
        <v/>
      </c>
    </row>
    <row r="260" spans="2:17" x14ac:dyDescent="0.25">
      <c r="B260" s="112" t="str">
        <f t="shared" si="27"/>
        <v/>
      </c>
      <c r="C260" s="9" t="str">
        <f t="shared" si="23"/>
        <v/>
      </c>
      <c r="D260" s="110" t="str">
        <f t="shared" si="24"/>
        <v/>
      </c>
      <c r="E260" s="110" t="str">
        <f t="shared" si="25"/>
        <v/>
      </c>
      <c r="F260" s="110" t="str">
        <f t="shared" si="26"/>
        <v/>
      </c>
      <c r="G260" s="197" t="str">
        <f t="shared" si="28"/>
        <v/>
      </c>
      <c r="H260" s="197"/>
      <c r="Q260" s="10" t="str">
        <f t="shared" si="22"/>
        <v/>
      </c>
    </row>
    <row r="261" spans="2:17" x14ac:dyDescent="0.25">
      <c r="B261" s="112" t="str">
        <f t="shared" si="27"/>
        <v/>
      </c>
      <c r="C261" s="9" t="str">
        <f t="shared" si="23"/>
        <v/>
      </c>
      <c r="D261" s="110" t="str">
        <f t="shared" si="24"/>
        <v/>
      </c>
      <c r="E261" s="110" t="str">
        <f t="shared" si="25"/>
        <v/>
      </c>
      <c r="F261" s="110" t="str">
        <f t="shared" si="26"/>
        <v/>
      </c>
      <c r="G261" s="197" t="str">
        <f t="shared" si="28"/>
        <v/>
      </c>
      <c r="H261" s="197"/>
      <c r="Q261" s="10" t="str">
        <f t="shared" si="22"/>
        <v/>
      </c>
    </row>
    <row r="262" spans="2:17" x14ac:dyDescent="0.25">
      <c r="B262" s="112" t="str">
        <f t="shared" si="27"/>
        <v/>
      </c>
      <c r="C262" s="9" t="str">
        <f t="shared" si="23"/>
        <v/>
      </c>
      <c r="D262" s="110" t="str">
        <f t="shared" si="24"/>
        <v/>
      </c>
      <c r="E262" s="110" t="str">
        <f t="shared" si="25"/>
        <v/>
      </c>
      <c r="F262" s="110" t="str">
        <f t="shared" si="26"/>
        <v/>
      </c>
      <c r="G262" s="197" t="str">
        <f t="shared" si="28"/>
        <v/>
      </c>
      <c r="H262" s="197"/>
      <c r="Q262" s="10" t="str">
        <f t="shared" si="22"/>
        <v/>
      </c>
    </row>
    <row r="263" spans="2:17" x14ac:dyDescent="0.25">
      <c r="B263" s="112" t="str">
        <f t="shared" si="27"/>
        <v/>
      </c>
      <c r="C263" s="9" t="str">
        <f t="shared" si="23"/>
        <v/>
      </c>
      <c r="D263" s="110" t="str">
        <f t="shared" si="24"/>
        <v/>
      </c>
      <c r="E263" s="110" t="str">
        <f t="shared" si="25"/>
        <v/>
      </c>
      <c r="F263" s="110" t="str">
        <f t="shared" si="26"/>
        <v/>
      </c>
      <c r="G263" s="197" t="str">
        <f t="shared" si="28"/>
        <v/>
      </c>
      <c r="H263" s="197"/>
      <c r="Q263" s="10" t="str">
        <f t="shared" si="22"/>
        <v/>
      </c>
    </row>
    <row r="264" spans="2:17" x14ac:dyDescent="0.25">
      <c r="B264" s="112" t="str">
        <f t="shared" si="27"/>
        <v/>
      </c>
      <c r="C264" s="9" t="str">
        <f t="shared" si="23"/>
        <v/>
      </c>
      <c r="D264" s="110" t="str">
        <f t="shared" si="24"/>
        <v/>
      </c>
      <c r="E264" s="110" t="str">
        <f t="shared" si="25"/>
        <v/>
      </c>
      <c r="F264" s="110" t="str">
        <f t="shared" si="26"/>
        <v/>
      </c>
      <c r="G264" s="197" t="str">
        <f t="shared" si="28"/>
        <v/>
      </c>
      <c r="H264" s="197"/>
      <c r="Q264" s="10" t="str">
        <f t="shared" si="22"/>
        <v/>
      </c>
    </row>
    <row r="265" spans="2:17" x14ac:dyDescent="0.25">
      <c r="B265" s="112" t="str">
        <f t="shared" si="27"/>
        <v/>
      </c>
      <c r="C265" s="9" t="str">
        <f t="shared" si="23"/>
        <v/>
      </c>
      <c r="D265" s="110" t="str">
        <f t="shared" si="24"/>
        <v/>
      </c>
      <c r="E265" s="110" t="str">
        <f t="shared" si="25"/>
        <v/>
      </c>
      <c r="F265" s="110" t="str">
        <f t="shared" si="26"/>
        <v/>
      </c>
      <c r="G265" s="197" t="str">
        <f t="shared" si="28"/>
        <v/>
      </c>
      <c r="H265" s="197"/>
      <c r="Q265" s="10" t="str">
        <f t="shared" si="22"/>
        <v/>
      </c>
    </row>
    <row r="266" spans="2:17" x14ac:dyDescent="0.25">
      <c r="B266" s="112" t="str">
        <f t="shared" si="27"/>
        <v/>
      </c>
      <c r="C266" s="9" t="str">
        <f t="shared" si="23"/>
        <v/>
      </c>
      <c r="D266" s="110" t="str">
        <f t="shared" si="24"/>
        <v/>
      </c>
      <c r="E266" s="110" t="str">
        <f t="shared" si="25"/>
        <v/>
      </c>
      <c r="F266" s="110" t="str">
        <f t="shared" si="26"/>
        <v/>
      </c>
      <c r="G266" s="197" t="str">
        <f t="shared" si="28"/>
        <v/>
      </c>
      <c r="H266" s="197"/>
      <c r="Q266" s="10" t="str">
        <f t="shared" si="22"/>
        <v/>
      </c>
    </row>
    <row r="267" spans="2:17" x14ac:dyDescent="0.25">
      <c r="B267" s="112" t="str">
        <f t="shared" si="27"/>
        <v/>
      </c>
      <c r="C267" s="9" t="str">
        <f t="shared" si="23"/>
        <v/>
      </c>
      <c r="D267" s="110" t="str">
        <f t="shared" si="24"/>
        <v/>
      </c>
      <c r="E267" s="110" t="str">
        <f t="shared" si="25"/>
        <v/>
      </c>
      <c r="F267" s="110" t="str">
        <f t="shared" si="26"/>
        <v/>
      </c>
      <c r="G267" s="197" t="str">
        <f t="shared" si="28"/>
        <v/>
      </c>
      <c r="H267" s="197"/>
      <c r="Q267" s="10" t="str">
        <f t="shared" ref="Q267:Q330" si="29">IF(AND(ISBLANK(O267),ISBLANK(P267)),"",IF(ISBLANK(P267), ROUND(Q266+O267,2), ROUND(Q266+P267,2)))</f>
        <v/>
      </c>
    </row>
    <row r="268" spans="2:17" x14ac:dyDescent="0.25">
      <c r="B268" s="112" t="str">
        <f t="shared" si="27"/>
        <v/>
      </c>
      <c r="C268" s="9" t="str">
        <f t="shared" si="23"/>
        <v/>
      </c>
      <c r="D268" s="110" t="str">
        <f t="shared" si="24"/>
        <v/>
      </c>
      <c r="E268" s="110" t="str">
        <f t="shared" si="25"/>
        <v/>
      </c>
      <c r="F268" s="110" t="str">
        <f t="shared" si="26"/>
        <v/>
      </c>
      <c r="G268" s="197" t="str">
        <f t="shared" si="28"/>
        <v/>
      </c>
      <c r="H268" s="197"/>
      <c r="Q268" s="10" t="str">
        <f t="shared" si="29"/>
        <v/>
      </c>
    </row>
    <row r="269" spans="2:17" x14ac:dyDescent="0.25">
      <c r="B269" s="112" t="str">
        <f t="shared" si="27"/>
        <v/>
      </c>
      <c r="C269" s="9" t="str">
        <f t="shared" si="23"/>
        <v/>
      </c>
      <c r="D269" s="110" t="str">
        <f t="shared" si="24"/>
        <v/>
      </c>
      <c r="E269" s="110" t="str">
        <f t="shared" si="25"/>
        <v/>
      </c>
      <c r="F269" s="110" t="str">
        <f t="shared" si="26"/>
        <v/>
      </c>
      <c r="G269" s="197" t="str">
        <f t="shared" si="28"/>
        <v/>
      </c>
      <c r="H269" s="197"/>
      <c r="Q269" s="10" t="str">
        <f t="shared" si="29"/>
        <v/>
      </c>
    </row>
    <row r="270" spans="2:17" x14ac:dyDescent="0.25">
      <c r="B270" s="112" t="str">
        <f t="shared" si="27"/>
        <v/>
      </c>
      <c r="C270" s="9" t="str">
        <f t="shared" si="23"/>
        <v/>
      </c>
      <c r="D270" s="110" t="str">
        <f t="shared" si="24"/>
        <v/>
      </c>
      <c r="E270" s="110" t="str">
        <f t="shared" si="25"/>
        <v/>
      </c>
      <c r="F270" s="110" t="str">
        <f t="shared" si="26"/>
        <v/>
      </c>
      <c r="G270" s="197" t="str">
        <f t="shared" si="28"/>
        <v/>
      </c>
      <c r="H270" s="197"/>
      <c r="Q270" s="10" t="str">
        <f t="shared" si="29"/>
        <v/>
      </c>
    </row>
    <row r="271" spans="2:17" x14ac:dyDescent="0.25">
      <c r="B271" s="112" t="str">
        <f t="shared" si="27"/>
        <v/>
      </c>
      <c r="C271" s="9" t="str">
        <f t="shared" si="23"/>
        <v/>
      </c>
      <c r="D271" s="110" t="str">
        <f t="shared" si="24"/>
        <v/>
      </c>
      <c r="E271" s="110" t="str">
        <f t="shared" si="25"/>
        <v/>
      </c>
      <c r="F271" s="110" t="str">
        <f t="shared" si="26"/>
        <v/>
      </c>
      <c r="G271" s="197" t="str">
        <f t="shared" si="28"/>
        <v/>
      </c>
      <c r="H271" s="197"/>
      <c r="Q271" s="10" t="str">
        <f t="shared" si="29"/>
        <v/>
      </c>
    </row>
    <row r="272" spans="2:17" x14ac:dyDescent="0.25">
      <c r="B272" s="112" t="str">
        <f t="shared" si="27"/>
        <v/>
      </c>
      <c r="C272" s="9" t="str">
        <f t="shared" si="23"/>
        <v/>
      </c>
      <c r="D272" s="110" t="str">
        <f t="shared" si="24"/>
        <v/>
      </c>
      <c r="E272" s="110" t="str">
        <f t="shared" si="25"/>
        <v/>
      </c>
      <c r="F272" s="110" t="str">
        <f t="shared" si="26"/>
        <v/>
      </c>
      <c r="G272" s="197" t="str">
        <f t="shared" si="28"/>
        <v/>
      </c>
      <c r="H272" s="197"/>
      <c r="Q272" s="10" t="str">
        <f t="shared" si="29"/>
        <v/>
      </c>
    </row>
    <row r="273" spans="2:17" x14ac:dyDescent="0.25">
      <c r="B273" s="112" t="str">
        <f t="shared" si="27"/>
        <v/>
      </c>
      <c r="C273" s="9" t="str">
        <f t="shared" si="23"/>
        <v/>
      </c>
      <c r="D273" s="110" t="str">
        <f t="shared" si="24"/>
        <v/>
      </c>
      <c r="E273" s="110" t="str">
        <f t="shared" si="25"/>
        <v/>
      </c>
      <c r="F273" s="110" t="str">
        <f t="shared" si="26"/>
        <v/>
      </c>
      <c r="G273" s="197" t="str">
        <f t="shared" si="28"/>
        <v/>
      </c>
      <c r="H273" s="197"/>
      <c r="Q273" s="10" t="str">
        <f t="shared" si="29"/>
        <v/>
      </c>
    </row>
    <row r="274" spans="2:17" x14ac:dyDescent="0.25">
      <c r="B274" s="112" t="str">
        <f t="shared" si="27"/>
        <v/>
      </c>
      <c r="C274" s="9" t="str">
        <f t="shared" si="23"/>
        <v/>
      </c>
      <c r="D274" s="110" t="str">
        <f t="shared" si="24"/>
        <v/>
      </c>
      <c r="E274" s="110" t="str">
        <f t="shared" si="25"/>
        <v/>
      </c>
      <c r="F274" s="110" t="str">
        <f t="shared" si="26"/>
        <v/>
      </c>
      <c r="G274" s="197" t="str">
        <f t="shared" si="28"/>
        <v/>
      </c>
      <c r="H274" s="197"/>
      <c r="Q274" s="10" t="str">
        <f t="shared" si="29"/>
        <v/>
      </c>
    </row>
    <row r="275" spans="2:17" x14ac:dyDescent="0.25">
      <c r="B275" s="112" t="str">
        <f t="shared" si="27"/>
        <v/>
      </c>
      <c r="C275" s="9" t="str">
        <f t="shared" si="23"/>
        <v/>
      </c>
      <c r="D275" s="110" t="str">
        <f t="shared" si="24"/>
        <v/>
      </c>
      <c r="E275" s="110" t="str">
        <f t="shared" si="25"/>
        <v/>
      </c>
      <c r="F275" s="110" t="str">
        <f t="shared" si="26"/>
        <v/>
      </c>
      <c r="G275" s="197" t="str">
        <f t="shared" si="28"/>
        <v/>
      </c>
      <c r="H275" s="197"/>
      <c r="Q275" s="10" t="str">
        <f t="shared" si="29"/>
        <v/>
      </c>
    </row>
    <row r="276" spans="2:17" x14ac:dyDescent="0.25">
      <c r="B276" s="112" t="str">
        <f t="shared" si="27"/>
        <v/>
      </c>
      <c r="C276" s="9" t="str">
        <f t="shared" si="23"/>
        <v/>
      </c>
      <c r="D276" s="110" t="str">
        <f t="shared" si="24"/>
        <v/>
      </c>
      <c r="E276" s="110" t="str">
        <f t="shared" si="25"/>
        <v/>
      </c>
      <c r="F276" s="110" t="str">
        <f t="shared" si="26"/>
        <v/>
      </c>
      <c r="G276" s="197" t="str">
        <f t="shared" si="28"/>
        <v/>
      </c>
      <c r="H276" s="197"/>
      <c r="Q276" s="10" t="str">
        <f t="shared" si="29"/>
        <v/>
      </c>
    </row>
    <row r="277" spans="2:17" x14ac:dyDescent="0.25">
      <c r="B277" s="112" t="str">
        <f t="shared" si="27"/>
        <v/>
      </c>
      <c r="C277" s="9" t="str">
        <f t="shared" si="23"/>
        <v/>
      </c>
      <c r="D277" s="110" t="str">
        <f t="shared" si="24"/>
        <v/>
      </c>
      <c r="E277" s="110" t="str">
        <f t="shared" si="25"/>
        <v/>
      </c>
      <c r="F277" s="110" t="str">
        <f t="shared" si="26"/>
        <v/>
      </c>
      <c r="G277" s="197" t="str">
        <f t="shared" si="28"/>
        <v/>
      </c>
      <c r="H277" s="197"/>
      <c r="Q277" s="10" t="str">
        <f t="shared" si="29"/>
        <v/>
      </c>
    </row>
    <row r="278" spans="2:17" x14ac:dyDescent="0.25">
      <c r="B278" s="112" t="str">
        <f t="shared" si="27"/>
        <v/>
      </c>
      <c r="C278" s="9" t="str">
        <f t="shared" si="23"/>
        <v/>
      </c>
      <c r="D278" s="110" t="str">
        <f t="shared" si="24"/>
        <v/>
      </c>
      <c r="E278" s="110" t="str">
        <f t="shared" si="25"/>
        <v/>
      </c>
      <c r="F278" s="110" t="str">
        <f t="shared" si="26"/>
        <v/>
      </c>
      <c r="G278" s="197" t="str">
        <f t="shared" si="28"/>
        <v/>
      </c>
      <c r="H278" s="197"/>
      <c r="Q278" s="10" t="str">
        <f t="shared" si="29"/>
        <v/>
      </c>
    </row>
    <row r="279" spans="2:17" x14ac:dyDescent="0.25">
      <c r="B279" s="112" t="str">
        <f t="shared" si="27"/>
        <v/>
      </c>
      <c r="C279" s="9" t="str">
        <f t="shared" ref="C279:C342" si="30">IFERROR(SUM($C$8-ABS(D279)),"")</f>
        <v/>
      </c>
      <c r="D279" s="110" t="str">
        <f t="shared" ref="D279:D342" si="31">IF(G279&lt;&gt;"",PMT($F$2/12,$C$14,ABS($I$2)),"")</f>
        <v/>
      </c>
      <c r="E279" s="110" t="str">
        <f t="shared" ref="E279:E342" si="32">IFERROR(IPMT($F$2/12, B279, $C$14, ABS($I$2)),"")</f>
        <v/>
      </c>
      <c r="F279" s="110" t="str">
        <f t="shared" ref="F279:F342" si="33">IFERROR(PPMT($F$2/12, B279, $C$14, ABS($I$2)),"")</f>
        <v/>
      </c>
      <c r="G279" s="197" t="str">
        <f t="shared" si="28"/>
        <v/>
      </c>
      <c r="H279" s="197"/>
      <c r="Q279" s="10" t="str">
        <f t="shared" si="29"/>
        <v/>
      </c>
    </row>
    <row r="280" spans="2:17" x14ac:dyDescent="0.25">
      <c r="B280" s="112" t="str">
        <f t="shared" ref="B280:B343" si="34">IF(B279&gt;=$C$14,"",SUM(B279+1))</f>
        <v/>
      </c>
      <c r="C280" s="9" t="str">
        <f t="shared" si="30"/>
        <v/>
      </c>
      <c r="D280" s="110" t="str">
        <f t="shared" si="31"/>
        <v/>
      </c>
      <c r="E280" s="110" t="str">
        <f t="shared" si="32"/>
        <v/>
      </c>
      <c r="F280" s="110" t="str">
        <f t="shared" si="33"/>
        <v/>
      </c>
      <c r="G280" s="197" t="str">
        <f t="shared" ref="G280:G343" si="35">IFERROR(G279+F280,"")</f>
        <v/>
      </c>
      <c r="H280" s="197"/>
      <c r="Q280" s="10" t="str">
        <f t="shared" si="29"/>
        <v/>
      </c>
    </row>
    <row r="281" spans="2:17" x14ac:dyDescent="0.25">
      <c r="B281" s="112" t="str">
        <f t="shared" si="34"/>
        <v/>
      </c>
      <c r="C281" s="9" t="str">
        <f t="shared" si="30"/>
        <v/>
      </c>
      <c r="D281" s="110" t="str">
        <f t="shared" si="31"/>
        <v/>
      </c>
      <c r="E281" s="110" t="str">
        <f t="shared" si="32"/>
        <v/>
      </c>
      <c r="F281" s="110" t="str">
        <f t="shared" si="33"/>
        <v/>
      </c>
      <c r="G281" s="197" t="str">
        <f t="shared" si="35"/>
        <v/>
      </c>
      <c r="H281" s="197"/>
      <c r="Q281" s="10" t="str">
        <f t="shared" si="29"/>
        <v/>
      </c>
    </row>
    <row r="282" spans="2:17" x14ac:dyDescent="0.25">
      <c r="B282" s="112" t="str">
        <f t="shared" si="34"/>
        <v/>
      </c>
      <c r="C282" s="9" t="str">
        <f t="shared" si="30"/>
        <v/>
      </c>
      <c r="D282" s="110" t="str">
        <f t="shared" si="31"/>
        <v/>
      </c>
      <c r="E282" s="110" t="str">
        <f t="shared" si="32"/>
        <v/>
      </c>
      <c r="F282" s="110" t="str">
        <f t="shared" si="33"/>
        <v/>
      </c>
      <c r="G282" s="197" t="str">
        <f t="shared" si="35"/>
        <v/>
      </c>
      <c r="H282" s="197"/>
      <c r="Q282" s="10" t="str">
        <f t="shared" si="29"/>
        <v/>
      </c>
    </row>
    <row r="283" spans="2:17" x14ac:dyDescent="0.25">
      <c r="B283" s="112" t="str">
        <f t="shared" si="34"/>
        <v/>
      </c>
      <c r="C283" s="9" t="str">
        <f t="shared" si="30"/>
        <v/>
      </c>
      <c r="D283" s="110" t="str">
        <f t="shared" si="31"/>
        <v/>
      </c>
      <c r="E283" s="110" t="str">
        <f t="shared" si="32"/>
        <v/>
      </c>
      <c r="F283" s="110" t="str">
        <f t="shared" si="33"/>
        <v/>
      </c>
      <c r="G283" s="197" t="str">
        <f t="shared" si="35"/>
        <v/>
      </c>
      <c r="H283" s="197"/>
      <c r="Q283" s="10" t="str">
        <f t="shared" si="29"/>
        <v/>
      </c>
    </row>
    <row r="284" spans="2:17" x14ac:dyDescent="0.25">
      <c r="B284" s="112" t="str">
        <f t="shared" si="34"/>
        <v/>
      </c>
      <c r="C284" s="9" t="str">
        <f t="shared" si="30"/>
        <v/>
      </c>
      <c r="D284" s="110" t="str">
        <f t="shared" si="31"/>
        <v/>
      </c>
      <c r="E284" s="110" t="str">
        <f t="shared" si="32"/>
        <v/>
      </c>
      <c r="F284" s="110" t="str">
        <f t="shared" si="33"/>
        <v/>
      </c>
      <c r="G284" s="197" t="str">
        <f t="shared" si="35"/>
        <v/>
      </c>
      <c r="H284" s="197"/>
      <c r="Q284" s="10" t="str">
        <f t="shared" si="29"/>
        <v/>
      </c>
    </row>
    <row r="285" spans="2:17" x14ac:dyDescent="0.25">
      <c r="B285" s="112" t="str">
        <f t="shared" si="34"/>
        <v/>
      </c>
      <c r="C285" s="9" t="str">
        <f t="shared" si="30"/>
        <v/>
      </c>
      <c r="D285" s="110" t="str">
        <f t="shared" si="31"/>
        <v/>
      </c>
      <c r="E285" s="110" t="str">
        <f t="shared" si="32"/>
        <v/>
      </c>
      <c r="F285" s="110" t="str">
        <f t="shared" si="33"/>
        <v/>
      </c>
      <c r="G285" s="197" t="str">
        <f t="shared" si="35"/>
        <v/>
      </c>
      <c r="H285" s="197"/>
      <c r="Q285" s="10" t="str">
        <f t="shared" si="29"/>
        <v/>
      </c>
    </row>
    <row r="286" spans="2:17" x14ac:dyDescent="0.25">
      <c r="B286" s="112" t="str">
        <f t="shared" si="34"/>
        <v/>
      </c>
      <c r="C286" s="9" t="str">
        <f t="shared" si="30"/>
        <v/>
      </c>
      <c r="D286" s="110" t="str">
        <f t="shared" si="31"/>
        <v/>
      </c>
      <c r="E286" s="110" t="str">
        <f t="shared" si="32"/>
        <v/>
      </c>
      <c r="F286" s="110" t="str">
        <f t="shared" si="33"/>
        <v/>
      </c>
      <c r="G286" s="197" t="str">
        <f t="shared" si="35"/>
        <v/>
      </c>
      <c r="H286" s="197"/>
      <c r="Q286" s="10" t="str">
        <f t="shared" si="29"/>
        <v/>
      </c>
    </row>
    <row r="287" spans="2:17" x14ac:dyDescent="0.25">
      <c r="B287" s="112" t="str">
        <f t="shared" si="34"/>
        <v/>
      </c>
      <c r="C287" s="9" t="str">
        <f t="shared" si="30"/>
        <v/>
      </c>
      <c r="D287" s="110" t="str">
        <f t="shared" si="31"/>
        <v/>
      </c>
      <c r="E287" s="110" t="str">
        <f t="shared" si="32"/>
        <v/>
      </c>
      <c r="F287" s="110" t="str">
        <f t="shared" si="33"/>
        <v/>
      </c>
      <c r="G287" s="197" t="str">
        <f t="shared" si="35"/>
        <v/>
      </c>
      <c r="H287" s="197"/>
      <c r="Q287" s="10" t="str">
        <f t="shared" si="29"/>
        <v/>
      </c>
    </row>
    <row r="288" spans="2:17" x14ac:dyDescent="0.25">
      <c r="B288" s="112" t="str">
        <f t="shared" si="34"/>
        <v/>
      </c>
      <c r="C288" s="9" t="str">
        <f t="shared" si="30"/>
        <v/>
      </c>
      <c r="D288" s="110" t="str">
        <f t="shared" si="31"/>
        <v/>
      </c>
      <c r="E288" s="110" t="str">
        <f t="shared" si="32"/>
        <v/>
      </c>
      <c r="F288" s="110" t="str">
        <f t="shared" si="33"/>
        <v/>
      </c>
      <c r="G288" s="197" t="str">
        <f t="shared" si="35"/>
        <v/>
      </c>
      <c r="H288" s="197"/>
      <c r="Q288" s="10" t="str">
        <f t="shared" si="29"/>
        <v/>
      </c>
    </row>
    <row r="289" spans="2:17" x14ac:dyDescent="0.25">
      <c r="B289" s="112" t="str">
        <f t="shared" si="34"/>
        <v/>
      </c>
      <c r="C289" s="9" t="str">
        <f t="shared" si="30"/>
        <v/>
      </c>
      <c r="D289" s="110" t="str">
        <f t="shared" si="31"/>
        <v/>
      </c>
      <c r="E289" s="110" t="str">
        <f t="shared" si="32"/>
        <v/>
      </c>
      <c r="F289" s="110" t="str">
        <f t="shared" si="33"/>
        <v/>
      </c>
      <c r="G289" s="197" t="str">
        <f t="shared" si="35"/>
        <v/>
      </c>
      <c r="H289" s="197"/>
      <c r="Q289" s="10" t="str">
        <f t="shared" si="29"/>
        <v/>
      </c>
    </row>
    <row r="290" spans="2:17" x14ac:dyDescent="0.25">
      <c r="B290" s="112" t="str">
        <f t="shared" si="34"/>
        <v/>
      </c>
      <c r="C290" s="9" t="str">
        <f t="shared" si="30"/>
        <v/>
      </c>
      <c r="D290" s="110" t="str">
        <f t="shared" si="31"/>
        <v/>
      </c>
      <c r="E290" s="110" t="str">
        <f t="shared" si="32"/>
        <v/>
      </c>
      <c r="F290" s="110" t="str">
        <f t="shared" si="33"/>
        <v/>
      </c>
      <c r="G290" s="197" t="str">
        <f t="shared" si="35"/>
        <v/>
      </c>
      <c r="H290" s="197"/>
      <c r="Q290" s="10" t="str">
        <f t="shared" si="29"/>
        <v/>
      </c>
    </row>
    <row r="291" spans="2:17" x14ac:dyDescent="0.25">
      <c r="B291" s="112" t="str">
        <f t="shared" si="34"/>
        <v/>
      </c>
      <c r="C291" s="9" t="str">
        <f t="shared" si="30"/>
        <v/>
      </c>
      <c r="D291" s="110" t="str">
        <f t="shared" si="31"/>
        <v/>
      </c>
      <c r="E291" s="110" t="str">
        <f t="shared" si="32"/>
        <v/>
      </c>
      <c r="F291" s="110" t="str">
        <f t="shared" si="33"/>
        <v/>
      </c>
      <c r="G291" s="197" t="str">
        <f t="shared" si="35"/>
        <v/>
      </c>
      <c r="H291" s="197"/>
      <c r="Q291" s="10" t="str">
        <f t="shared" si="29"/>
        <v/>
      </c>
    </row>
    <row r="292" spans="2:17" x14ac:dyDescent="0.25">
      <c r="B292" s="112" t="str">
        <f t="shared" si="34"/>
        <v/>
      </c>
      <c r="C292" s="9" t="str">
        <f t="shared" si="30"/>
        <v/>
      </c>
      <c r="D292" s="110" t="str">
        <f t="shared" si="31"/>
        <v/>
      </c>
      <c r="E292" s="110" t="str">
        <f t="shared" si="32"/>
        <v/>
      </c>
      <c r="F292" s="110" t="str">
        <f t="shared" si="33"/>
        <v/>
      </c>
      <c r="G292" s="197" t="str">
        <f t="shared" si="35"/>
        <v/>
      </c>
      <c r="H292" s="197"/>
      <c r="Q292" s="10" t="str">
        <f t="shared" si="29"/>
        <v/>
      </c>
    </row>
    <row r="293" spans="2:17" x14ac:dyDescent="0.25">
      <c r="B293" s="112" t="str">
        <f t="shared" si="34"/>
        <v/>
      </c>
      <c r="C293" s="9" t="str">
        <f t="shared" si="30"/>
        <v/>
      </c>
      <c r="D293" s="110" t="str">
        <f t="shared" si="31"/>
        <v/>
      </c>
      <c r="E293" s="110" t="str">
        <f t="shared" si="32"/>
        <v/>
      </c>
      <c r="F293" s="110" t="str">
        <f t="shared" si="33"/>
        <v/>
      </c>
      <c r="G293" s="197" t="str">
        <f t="shared" si="35"/>
        <v/>
      </c>
      <c r="H293" s="197"/>
      <c r="Q293" s="10" t="str">
        <f t="shared" si="29"/>
        <v/>
      </c>
    </row>
    <row r="294" spans="2:17" x14ac:dyDescent="0.25">
      <c r="B294" s="112" t="str">
        <f t="shared" si="34"/>
        <v/>
      </c>
      <c r="C294" s="9" t="str">
        <f t="shared" si="30"/>
        <v/>
      </c>
      <c r="D294" s="110" t="str">
        <f t="shared" si="31"/>
        <v/>
      </c>
      <c r="E294" s="110" t="str">
        <f t="shared" si="32"/>
        <v/>
      </c>
      <c r="F294" s="110" t="str">
        <f t="shared" si="33"/>
        <v/>
      </c>
      <c r="G294" s="197" t="str">
        <f t="shared" si="35"/>
        <v/>
      </c>
      <c r="H294" s="197"/>
      <c r="Q294" s="10" t="str">
        <f t="shared" si="29"/>
        <v/>
      </c>
    </row>
    <row r="295" spans="2:17" x14ac:dyDescent="0.25">
      <c r="B295" s="112" t="str">
        <f t="shared" si="34"/>
        <v/>
      </c>
      <c r="C295" s="9" t="str">
        <f t="shared" si="30"/>
        <v/>
      </c>
      <c r="D295" s="110" t="str">
        <f t="shared" si="31"/>
        <v/>
      </c>
      <c r="E295" s="110" t="str">
        <f t="shared" si="32"/>
        <v/>
      </c>
      <c r="F295" s="110" t="str">
        <f t="shared" si="33"/>
        <v/>
      </c>
      <c r="G295" s="197" t="str">
        <f t="shared" si="35"/>
        <v/>
      </c>
      <c r="H295" s="197"/>
      <c r="Q295" s="10" t="str">
        <f t="shared" si="29"/>
        <v/>
      </c>
    </row>
    <row r="296" spans="2:17" x14ac:dyDescent="0.25">
      <c r="B296" s="112" t="str">
        <f t="shared" si="34"/>
        <v/>
      </c>
      <c r="C296" s="9" t="str">
        <f t="shared" si="30"/>
        <v/>
      </c>
      <c r="D296" s="110" t="str">
        <f t="shared" si="31"/>
        <v/>
      </c>
      <c r="E296" s="110" t="str">
        <f t="shared" si="32"/>
        <v/>
      </c>
      <c r="F296" s="110" t="str">
        <f t="shared" si="33"/>
        <v/>
      </c>
      <c r="G296" s="197" t="str">
        <f t="shared" si="35"/>
        <v/>
      </c>
      <c r="H296" s="197"/>
      <c r="Q296" s="10" t="str">
        <f t="shared" si="29"/>
        <v/>
      </c>
    </row>
    <row r="297" spans="2:17" x14ac:dyDescent="0.25">
      <c r="B297" s="112" t="str">
        <f t="shared" si="34"/>
        <v/>
      </c>
      <c r="C297" s="9" t="str">
        <f t="shared" si="30"/>
        <v/>
      </c>
      <c r="D297" s="110" t="str">
        <f t="shared" si="31"/>
        <v/>
      </c>
      <c r="E297" s="110" t="str">
        <f t="shared" si="32"/>
        <v/>
      </c>
      <c r="F297" s="110" t="str">
        <f t="shared" si="33"/>
        <v/>
      </c>
      <c r="G297" s="197" t="str">
        <f t="shared" si="35"/>
        <v/>
      </c>
      <c r="H297" s="197"/>
      <c r="Q297" s="10" t="str">
        <f t="shared" si="29"/>
        <v/>
      </c>
    </row>
    <row r="298" spans="2:17" x14ac:dyDescent="0.25">
      <c r="B298" s="112" t="str">
        <f t="shared" si="34"/>
        <v/>
      </c>
      <c r="C298" s="9" t="str">
        <f t="shared" si="30"/>
        <v/>
      </c>
      <c r="D298" s="110" t="str">
        <f t="shared" si="31"/>
        <v/>
      </c>
      <c r="E298" s="110" t="str">
        <f t="shared" si="32"/>
        <v/>
      </c>
      <c r="F298" s="110" t="str">
        <f t="shared" si="33"/>
        <v/>
      </c>
      <c r="G298" s="197" t="str">
        <f t="shared" si="35"/>
        <v/>
      </c>
      <c r="H298" s="197"/>
      <c r="Q298" s="10" t="str">
        <f t="shared" si="29"/>
        <v/>
      </c>
    </row>
    <row r="299" spans="2:17" x14ac:dyDescent="0.25">
      <c r="B299" s="112" t="str">
        <f t="shared" si="34"/>
        <v/>
      </c>
      <c r="C299" s="9" t="str">
        <f t="shared" si="30"/>
        <v/>
      </c>
      <c r="D299" s="110" t="str">
        <f t="shared" si="31"/>
        <v/>
      </c>
      <c r="E299" s="110" t="str">
        <f t="shared" si="32"/>
        <v/>
      </c>
      <c r="F299" s="110" t="str">
        <f t="shared" si="33"/>
        <v/>
      </c>
      <c r="G299" s="197" t="str">
        <f t="shared" si="35"/>
        <v/>
      </c>
      <c r="H299" s="197"/>
      <c r="Q299" s="10" t="str">
        <f t="shared" si="29"/>
        <v/>
      </c>
    </row>
    <row r="300" spans="2:17" x14ac:dyDescent="0.25">
      <c r="B300" s="112" t="str">
        <f t="shared" si="34"/>
        <v/>
      </c>
      <c r="C300" s="9" t="str">
        <f t="shared" si="30"/>
        <v/>
      </c>
      <c r="D300" s="110" t="str">
        <f t="shared" si="31"/>
        <v/>
      </c>
      <c r="E300" s="110" t="str">
        <f t="shared" si="32"/>
        <v/>
      </c>
      <c r="F300" s="110" t="str">
        <f t="shared" si="33"/>
        <v/>
      </c>
      <c r="G300" s="197" t="str">
        <f t="shared" si="35"/>
        <v/>
      </c>
      <c r="H300" s="197"/>
      <c r="Q300" s="10" t="str">
        <f t="shared" si="29"/>
        <v/>
      </c>
    </row>
    <row r="301" spans="2:17" x14ac:dyDescent="0.25">
      <c r="B301" s="112" t="str">
        <f t="shared" si="34"/>
        <v/>
      </c>
      <c r="C301" s="9" t="str">
        <f t="shared" si="30"/>
        <v/>
      </c>
      <c r="D301" s="110" t="str">
        <f t="shared" si="31"/>
        <v/>
      </c>
      <c r="E301" s="110" t="str">
        <f t="shared" si="32"/>
        <v/>
      </c>
      <c r="F301" s="110" t="str">
        <f t="shared" si="33"/>
        <v/>
      </c>
      <c r="G301" s="197" t="str">
        <f t="shared" si="35"/>
        <v/>
      </c>
      <c r="H301" s="197"/>
      <c r="Q301" s="10" t="str">
        <f t="shared" si="29"/>
        <v/>
      </c>
    </row>
    <row r="302" spans="2:17" x14ac:dyDescent="0.25">
      <c r="B302" s="112" t="str">
        <f t="shared" si="34"/>
        <v/>
      </c>
      <c r="C302" s="9" t="str">
        <f t="shared" si="30"/>
        <v/>
      </c>
      <c r="D302" s="110" t="str">
        <f t="shared" si="31"/>
        <v/>
      </c>
      <c r="E302" s="110" t="str">
        <f t="shared" si="32"/>
        <v/>
      </c>
      <c r="F302" s="110" t="str">
        <f t="shared" si="33"/>
        <v/>
      </c>
      <c r="G302" s="197" t="str">
        <f t="shared" si="35"/>
        <v/>
      </c>
      <c r="H302" s="197"/>
      <c r="Q302" s="10" t="str">
        <f t="shared" si="29"/>
        <v/>
      </c>
    </row>
    <row r="303" spans="2:17" x14ac:dyDescent="0.25">
      <c r="B303" s="112" t="str">
        <f t="shared" si="34"/>
        <v/>
      </c>
      <c r="C303" s="9" t="str">
        <f t="shared" si="30"/>
        <v/>
      </c>
      <c r="D303" s="110" t="str">
        <f t="shared" si="31"/>
        <v/>
      </c>
      <c r="E303" s="110" t="str">
        <f t="shared" si="32"/>
        <v/>
      </c>
      <c r="F303" s="110" t="str">
        <f t="shared" si="33"/>
        <v/>
      </c>
      <c r="G303" s="197" t="str">
        <f t="shared" si="35"/>
        <v/>
      </c>
      <c r="H303" s="197"/>
      <c r="Q303" s="10" t="str">
        <f t="shared" si="29"/>
        <v/>
      </c>
    </row>
    <row r="304" spans="2:17" x14ac:dyDescent="0.25">
      <c r="B304" s="112" t="str">
        <f t="shared" si="34"/>
        <v/>
      </c>
      <c r="C304" s="9" t="str">
        <f t="shared" si="30"/>
        <v/>
      </c>
      <c r="D304" s="110" t="str">
        <f t="shared" si="31"/>
        <v/>
      </c>
      <c r="E304" s="110" t="str">
        <f t="shared" si="32"/>
        <v/>
      </c>
      <c r="F304" s="110" t="str">
        <f t="shared" si="33"/>
        <v/>
      </c>
      <c r="G304" s="197" t="str">
        <f t="shared" si="35"/>
        <v/>
      </c>
      <c r="H304" s="197"/>
      <c r="Q304" s="10" t="str">
        <f t="shared" si="29"/>
        <v/>
      </c>
    </row>
    <row r="305" spans="2:17" x14ac:dyDescent="0.25">
      <c r="B305" s="112" t="str">
        <f t="shared" si="34"/>
        <v/>
      </c>
      <c r="C305" s="9" t="str">
        <f t="shared" si="30"/>
        <v/>
      </c>
      <c r="D305" s="110" t="str">
        <f t="shared" si="31"/>
        <v/>
      </c>
      <c r="E305" s="110" t="str">
        <f t="shared" si="32"/>
        <v/>
      </c>
      <c r="F305" s="110" t="str">
        <f t="shared" si="33"/>
        <v/>
      </c>
      <c r="G305" s="197" t="str">
        <f t="shared" si="35"/>
        <v/>
      </c>
      <c r="H305" s="197"/>
      <c r="Q305" s="10" t="str">
        <f t="shared" si="29"/>
        <v/>
      </c>
    </row>
    <row r="306" spans="2:17" x14ac:dyDescent="0.25">
      <c r="B306" s="112" t="str">
        <f t="shared" si="34"/>
        <v/>
      </c>
      <c r="C306" s="9" t="str">
        <f t="shared" si="30"/>
        <v/>
      </c>
      <c r="D306" s="110" t="str">
        <f t="shared" si="31"/>
        <v/>
      </c>
      <c r="E306" s="110" t="str">
        <f t="shared" si="32"/>
        <v/>
      </c>
      <c r="F306" s="110" t="str">
        <f t="shared" si="33"/>
        <v/>
      </c>
      <c r="G306" s="197" t="str">
        <f t="shared" si="35"/>
        <v/>
      </c>
      <c r="H306" s="197"/>
      <c r="Q306" s="10" t="str">
        <f t="shared" si="29"/>
        <v/>
      </c>
    </row>
    <row r="307" spans="2:17" x14ac:dyDescent="0.25">
      <c r="B307" s="112" t="str">
        <f t="shared" si="34"/>
        <v/>
      </c>
      <c r="C307" s="9" t="str">
        <f t="shared" si="30"/>
        <v/>
      </c>
      <c r="D307" s="110" t="str">
        <f t="shared" si="31"/>
        <v/>
      </c>
      <c r="E307" s="110" t="str">
        <f t="shared" si="32"/>
        <v/>
      </c>
      <c r="F307" s="110" t="str">
        <f t="shared" si="33"/>
        <v/>
      </c>
      <c r="G307" s="197" t="str">
        <f t="shared" si="35"/>
        <v/>
      </c>
      <c r="H307" s="197"/>
      <c r="Q307" s="10" t="str">
        <f t="shared" si="29"/>
        <v/>
      </c>
    </row>
    <row r="308" spans="2:17" x14ac:dyDescent="0.25">
      <c r="B308" s="112" t="str">
        <f t="shared" si="34"/>
        <v/>
      </c>
      <c r="C308" s="9" t="str">
        <f t="shared" si="30"/>
        <v/>
      </c>
      <c r="D308" s="110" t="str">
        <f t="shared" si="31"/>
        <v/>
      </c>
      <c r="E308" s="110" t="str">
        <f t="shared" si="32"/>
        <v/>
      </c>
      <c r="F308" s="110" t="str">
        <f t="shared" si="33"/>
        <v/>
      </c>
      <c r="G308" s="197" t="str">
        <f t="shared" si="35"/>
        <v/>
      </c>
      <c r="H308" s="197"/>
      <c r="Q308" s="10" t="str">
        <f t="shared" si="29"/>
        <v/>
      </c>
    </row>
    <row r="309" spans="2:17" x14ac:dyDescent="0.25">
      <c r="B309" s="112" t="str">
        <f t="shared" si="34"/>
        <v/>
      </c>
      <c r="C309" s="9" t="str">
        <f t="shared" si="30"/>
        <v/>
      </c>
      <c r="D309" s="110" t="str">
        <f t="shared" si="31"/>
        <v/>
      </c>
      <c r="E309" s="110" t="str">
        <f t="shared" si="32"/>
        <v/>
      </c>
      <c r="F309" s="110" t="str">
        <f t="shared" si="33"/>
        <v/>
      </c>
      <c r="G309" s="197" t="str">
        <f t="shared" si="35"/>
        <v/>
      </c>
      <c r="H309" s="197"/>
      <c r="Q309" s="10" t="str">
        <f t="shared" si="29"/>
        <v/>
      </c>
    </row>
    <row r="310" spans="2:17" x14ac:dyDescent="0.25">
      <c r="B310" s="112" t="str">
        <f t="shared" si="34"/>
        <v/>
      </c>
      <c r="C310" s="9" t="str">
        <f t="shared" si="30"/>
        <v/>
      </c>
      <c r="D310" s="110" t="str">
        <f t="shared" si="31"/>
        <v/>
      </c>
      <c r="E310" s="110" t="str">
        <f t="shared" si="32"/>
        <v/>
      </c>
      <c r="F310" s="110" t="str">
        <f t="shared" si="33"/>
        <v/>
      </c>
      <c r="G310" s="197" t="str">
        <f t="shared" si="35"/>
        <v/>
      </c>
      <c r="H310" s="197"/>
      <c r="Q310" s="10" t="str">
        <f t="shared" si="29"/>
        <v/>
      </c>
    </row>
    <row r="311" spans="2:17" x14ac:dyDescent="0.25">
      <c r="B311" s="112" t="str">
        <f t="shared" si="34"/>
        <v/>
      </c>
      <c r="C311" s="9" t="str">
        <f t="shared" si="30"/>
        <v/>
      </c>
      <c r="D311" s="110" t="str">
        <f t="shared" si="31"/>
        <v/>
      </c>
      <c r="E311" s="110" t="str">
        <f t="shared" si="32"/>
        <v/>
      </c>
      <c r="F311" s="110" t="str">
        <f t="shared" si="33"/>
        <v/>
      </c>
      <c r="G311" s="197" t="str">
        <f t="shared" si="35"/>
        <v/>
      </c>
      <c r="H311" s="197"/>
      <c r="Q311" s="10" t="str">
        <f t="shared" si="29"/>
        <v/>
      </c>
    </row>
    <row r="312" spans="2:17" x14ac:dyDescent="0.25">
      <c r="B312" s="112" t="str">
        <f t="shared" si="34"/>
        <v/>
      </c>
      <c r="C312" s="9" t="str">
        <f t="shared" si="30"/>
        <v/>
      </c>
      <c r="D312" s="110" t="str">
        <f t="shared" si="31"/>
        <v/>
      </c>
      <c r="E312" s="110" t="str">
        <f t="shared" si="32"/>
        <v/>
      </c>
      <c r="F312" s="110" t="str">
        <f t="shared" si="33"/>
        <v/>
      </c>
      <c r="G312" s="197" t="str">
        <f t="shared" si="35"/>
        <v/>
      </c>
      <c r="H312" s="197"/>
      <c r="Q312" s="10" t="str">
        <f t="shared" si="29"/>
        <v/>
      </c>
    </row>
    <row r="313" spans="2:17" x14ac:dyDescent="0.25">
      <c r="B313" s="112" t="str">
        <f t="shared" si="34"/>
        <v/>
      </c>
      <c r="C313" s="9" t="str">
        <f t="shared" si="30"/>
        <v/>
      </c>
      <c r="D313" s="110" t="str">
        <f t="shared" si="31"/>
        <v/>
      </c>
      <c r="E313" s="110" t="str">
        <f t="shared" si="32"/>
        <v/>
      </c>
      <c r="F313" s="110" t="str">
        <f t="shared" si="33"/>
        <v/>
      </c>
      <c r="G313" s="197" t="str">
        <f t="shared" si="35"/>
        <v/>
      </c>
      <c r="H313" s="197"/>
      <c r="Q313" s="10" t="str">
        <f t="shared" si="29"/>
        <v/>
      </c>
    </row>
    <row r="314" spans="2:17" x14ac:dyDescent="0.25">
      <c r="B314" s="112" t="str">
        <f t="shared" si="34"/>
        <v/>
      </c>
      <c r="C314" s="9" t="str">
        <f t="shared" si="30"/>
        <v/>
      </c>
      <c r="D314" s="110" t="str">
        <f t="shared" si="31"/>
        <v/>
      </c>
      <c r="E314" s="110" t="str">
        <f t="shared" si="32"/>
        <v/>
      </c>
      <c r="F314" s="110" t="str">
        <f t="shared" si="33"/>
        <v/>
      </c>
      <c r="G314" s="197" t="str">
        <f t="shared" si="35"/>
        <v/>
      </c>
      <c r="H314" s="197"/>
      <c r="Q314" s="10" t="str">
        <f t="shared" si="29"/>
        <v/>
      </c>
    </row>
    <row r="315" spans="2:17" x14ac:dyDescent="0.25">
      <c r="B315" s="112" t="str">
        <f t="shared" si="34"/>
        <v/>
      </c>
      <c r="C315" s="9" t="str">
        <f t="shared" si="30"/>
        <v/>
      </c>
      <c r="D315" s="110" t="str">
        <f t="shared" si="31"/>
        <v/>
      </c>
      <c r="E315" s="110" t="str">
        <f t="shared" si="32"/>
        <v/>
      </c>
      <c r="F315" s="110" t="str">
        <f t="shared" si="33"/>
        <v/>
      </c>
      <c r="G315" s="197" t="str">
        <f t="shared" si="35"/>
        <v/>
      </c>
      <c r="H315" s="197"/>
      <c r="Q315" s="10" t="str">
        <f t="shared" si="29"/>
        <v/>
      </c>
    </row>
    <row r="316" spans="2:17" x14ac:dyDescent="0.25">
      <c r="B316" s="112" t="str">
        <f t="shared" si="34"/>
        <v/>
      </c>
      <c r="C316" s="9" t="str">
        <f t="shared" si="30"/>
        <v/>
      </c>
      <c r="D316" s="110" t="str">
        <f t="shared" si="31"/>
        <v/>
      </c>
      <c r="E316" s="110" t="str">
        <f t="shared" si="32"/>
        <v/>
      </c>
      <c r="F316" s="110" t="str">
        <f t="shared" si="33"/>
        <v/>
      </c>
      <c r="G316" s="197" t="str">
        <f t="shared" si="35"/>
        <v/>
      </c>
      <c r="H316" s="197"/>
      <c r="Q316" s="10" t="str">
        <f t="shared" si="29"/>
        <v/>
      </c>
    </row>
    <row r="317" spans="2:17" x14ac:dyDescent="0.25">
      <c r="B317" s="112" t="str">
        <f t="shared" si="34"/>
        <v/>
      </c>
      <c r="C317" s="9" t="str">
        <f t="shared" si="30"/>
        <v/>
      </c>
      <c r="D317" s="110" t="str">
        <f t="shared" si="31"/>
        <v/>
      </c>
      <c r="E317" s="110" t="str">
        <f t="shared" si="32"/>
        <v/>
      </c>
      <c r="F317" s="110" t="str">
        <f t="shared" si="33"/>
        <v/>
      </c>
      <c r="G317" s="197" t="str">
        <f t="shared" si="35"/>
        <v/>
      </c>
      <c r="H317" s="197"/>
      <c r="Q317" s="10" t="str">
        <f t="shared" si="29"/>
        <v/>
      </c>
    </row>
    <row r="318" spans="2:17" x14ac:dyDescent="0.25">
      <c r="B318" s="112" t="str">
        <f t="shared" si="34"/>
        <v/>
      </c>
      <c r="C318" s="9" t="str">
        <f t="shared" si="30"/>
        <v/>
      </c>
      <c r="D318" s="110" t="str">
        <f t="shared" si="31"/>
        <v/>
      </c>
      <c r="E318" s="110" t="str">
        <f t="shared" si="32"/>
        <v/>
      </c>
      <c r="F318" s="110" t="str">
        <f t="shared" si="33"/>
        <v/>
      </c>
      <c r="G318" s="197" t="str">
        <f t="shared" si="35"/>
        <v/>
      </c>
      <c r="H318" s="197"/>
      <c r="Q318" s="10" t="str">
        <f t="shared" si="29"/>
        <v/>
      </c>
    </row>
    <row r="319" spans="2:17" x14ac:dyDescent="0.25">
      <c r="B319" s="112" t="str">
        <f t="shared" si="34"/>
        <v/>
      </c>
      <c r="C319" s="9" t="str">
        <f t="shared" si="30"/>
        <v/>
      </c>
      <c r="D319" s="110" t="str">
        <f t="shared" si="31"/>
        <v/>
      </c>
      <c r="E319" s="110" t="str">
        <f t="shared" si="32"/>
        <v/>
      </c>
      <c r="F319" s="110" t="str">
        <f t="shared" si="33"/>
        <v/>
      </c>
      <c r="G319" s="197" t="str">
        <f t="shared" si="35"/>
        <v/>
      </c>
      <c r="H319" s="197"/>
      <c r="Q319" s="10" t="str">
        <f t="shared" si="29"/>
        <v/>
      </c>
    </row>
    <row r="320" spans="2:17" x14ac:dyDescent="0.25">
      <c r="B320" s="112" t="str">
        <f t="shared" si="34"/>
        <v/>
      </c>
      <c r="C320" s="9" t="str">
        <f t="shared" si="30"/>
        <v/>
      </c>
      <c r="D320" s="110" t="str">
        <f t="shared" si="31"/>
        <v/>
      </c>
      <c r="E320" s="110" t="str">
        <f t="shared" si="32"/>
        <v/>
      </c>
      <c r="F320" s="110" t="str">
        <f t="shared" si="33"/>
        <v/>
      </c>
      <c r="G320" s="197" t="str">
        <f t="shared" si="35"/>
        <v/>
      </c>
      <c r="H320" s="197"/>
      <c r="Q320" s="10" t="str">
        <f t="shared" si="29"/>
        <v/>
      </c>
    </row>
    <row r="321" spans="2:17" x14ac:dyDescent="0.25">
      <c r="B321" s="112" t="str">
        <f t="shared" si="34"/>
        <v/>
      </c>
      <c r="C321" s="9" t="str">
        <f t="shared" si="30"/>
        <v/>
      </c>
      <c r="D321" s="110" t="str">
        <f t="shared" si="31"/>
        <v/>
      </c>
      <c r="E321" s="110" t="str">
        <f t="shared" si="32"/>
        <v/>
      </c>
      <c r="F321" s="110" t="str">
        <f t="shared" si="33"/>
        <v/>
      </c>
      <c r="G321" s="197" t="str">
        <f t="shared" si="35"/>
        <v/>
      </c>
      <c r="H321" s="197"/>
      <c r="Q321" s="10" t="str">
        <f t="shared" si="29"/>
        <v/>
      </c>
    </row>
    <row r="322" spans="2:17" x14ac:dyDescent="0.25">
      <c r="B322" s="112" t="str">
        <f t="shared" si="34"/>
        <v/>
      </c>
      <c r="C322" s="9" t="str">
        <f t="shared" si="30"/>
        <v/>
      </c>
      <c r="D322" s="110" t="str">
        <f t="shared" si="31"/>
        <v/>
      </c>
      <c r="E322" s="110" t="str">
        <f t="shared" si="32"/>
        <v/>
      </c>
      <c r="F322" s="110" t="str">
        <f t="shared" si="33"/>
        <v/>
      </c>
      <c r="G322" s="197" t="str">
        <f t="shared" si="35"/>
        <v/>
      </c>
      <c r="H322" s="197"/>
      <c r="Q322" s="10" t="str">
        <f t="shared" si="29"/>
        <v/>
      </c>
    </row>
    <row r="323" spans="2:17" x14ac:dyDescent="0.25">
      <c r="B323" s="112" t="str">
        <f t="shared" si="34"/>
        <v/>
      </c>
      <c r="C323" s="9" t="str">
        <f t="shared" si="30"/>
        <v/>
      </c>
      <c r="D323" s="110" t="str">
        <f t="shared" si="31"/>
        <v/>
      </c>
      <c r="E323" s="110" t="str">
        <f t="shared" si="32"/>
        <v/>
      </c>
      <c r="F323" s="110" t="str">
        <f t="shared" si="33"/>
        <v/>
      </c>
      <c r="G323" s="197" t="str">
        <f t="shared" si="35"/>
        <v/>
      </c>
      <c r="H323" s="197"/>
      <c r="Q323" s="10" t="str">
        <f t="shared" si="29"/>
        <v/>
      </c>
    </row>
    <row r="324" spans="2:17" x14ac:dyDescent="0.25">
      <c r="B324" s="112" t="str">
        <f t="shared" si="34"/>
        <v/>
      </c>
      <c r="C324" s="9" t="str">
        <f t="shared" si="30"/>
        <v/>
      </c>
      <c r="D324" s="110" t="str">
        <f t="shared" si="31"/>
        <v/>
      </c>
      <c r="E324" s="110" t="str">
        <f t="shared" si="32"/>
        <v/>
      </c>
      <c r="F324" s="110" t="str">
        <f t="shared" si="33"/>
        <v/>
      </c>
      <c r="G324" s="197" t="str">
        <f t="shared" si="35"/>
        <v/>
      </c>
      <c r="H324" s="197"/>
      <c r="Q324" s="10" t="str">
        <f t="shared" si="29"/>
        <v/>
      </c>
    </row>
    <row r="325" spans="2:17" x14ac:dyDescent="0.25">
      <c r="B325" s="112" t="str">
        <f t="shared" si="34"/>
        <v/>
      </c>
      <c r="C325" s="9" t="str">
        <f t="shared" si="30"/>
        <v/>
      </c>
      <c r="D325" s="110" t="str">
        <f t="shared" si="31"/>
        <v/>
      </c>
      <c r="E325" s="110" t="str">
        <f t="shared" si="32"/>
        <v/>
      </c>
      <c r="F325" s="110" t="str">
        <f t="shared" si="33"/>
        <v/>
      </c>
      <c r="G325" s="197" t="str">
        <f t="shared" si="35"/>
        <v/>
      </c>
      <c r="H325" s="197"/>
      <c r="Q325" s="10" t="str">
        <f t="shared" si="29"/>
        <v/>
      </c>
    </row>
    <row r="326" spans="2:17" x14ac:dyDescent="0.25">
      <c r="B326" s="112" t="str">
        <f t="shared" si="34"/>
        <v/>
      </c>
      <c r="C326" s="9" t="str">
        <f t="shared" si="30"/>
        <v/>
      </c>
      <c r="D326" s="110" t="str">
        <f t="shared" si="31"/>
        <v/>
      </c>
      <c r="E326" s="110" t="str">
        <f t="shared" si="32"/>
        <v/>
      </c>
      <c r="F326" s="110" t="str">
        <f t="shared" si="33"/>
        <v/>
      </c>
      <c r="G326" s="197" t="str">
        <f t="shared" si="35"/>
        <v/>
      </c>
      <c r="H326" s="197"/>
      <c r="Q326" s="10" t="str">
        <f t="shared" si="29"/>
        <v/>
      </c>
    </row>
    <row r="327" spans="2:17" x14ac:dyDescent="0.25">
      <c r="B327" s="112" t="str">
        <f t="shared" si="34"/>
        <v/>
      </c>
      <c r="C327" s="9" t="str">
        <f t="shared" si="30"/>
        <v/>
      </c>
      <c r="D327" s="110" t="str">
        <f t="shared" si="31"/>
        <v/>
      </c>
      <c r="E327" s="110" t="str">
        <f t="shared" si="32"/>
        <v/>
      </c>
      <c r="F327" s="110" t="str">
        <f t="shared" si="33"/>
        <v/>
      </c>
      <c r="G327" s="197" t="str">
        <f t="shared" si="35"/>
        <v/>
      </c>
      <c r="H327" s="197"/>
      <c r="Q327" s="10" t="str">
        <f t="shared" si="29"/>
        <v/>
      </c>
    </row>
    <row r="328" spans="2:17" x14ac:dyDescent="0.25">
      <c r="B328" s="112" t="str">
        <f t="shared" si="34"/>
        <v/>
      </c>
      <c r="C328" s="9" t="str">
        <f t="shared" si="30"/>
        <v/>
      </c>
      <c r="D328" s="110" t="str">
        <f t="shared" si="31"/>
        <v/>
      </c>
      <c r="E328" s="110" t="str">
        <f t="shared" si="32"/>
        <v/>
      </c>
      <c r="F328" s="110" t="str">
        <f t="shared" si="33"/>
        <v/>
      </c>
      <c r="G328" s="197" t="str">
        <f t="shared" si="35"/>
        <v/>
      </c>
      <c r="H328" s="197"/>
      <c r="Q328" s="10" t="str">
        <f t="shared" si="29"/>
        <v/>
      </c>
    </row>
    <row r="329" spans="2:17" x14ac:dyDescent="0.25">
      <c r="B329" s="112" t="str">
        <f t="shared" si="34"/>
        <v/>
      </c>
      <c r="C329" s="9" t="str">
        <f t="shared" si="30"/>
        <v/>
      </c>
      <c r="D329" s="110" t="str">
        <f t="shared" si="31"/>
        <v/>
      </c>
      <c r="E329" s="110" t="str">
        <f t="shared" si="32"/>
        <v/>
      </c>
      <c r="F329" s="110" t="str">
        <f t="shared" si="33"/>
        <v/>
      </c>
      <c r="G329" s="197" t="str">
        <f t="shared" si="35"/>
        <v/>
      </c>
      <c r="H329" s="197"/>
      <c r="Q329" s="10" t="str">
        <f t="shared" si="29"/>
        <v/>
      </c>
    </row>
    <row r="330" spans="2:17" x14ac:dyDescent="0.25">
      <c r="B330" s="112" t="str">
        <f t="shared" si="34"/>
        <v/>
      </c>
      <c r="C330" s="9" t="str">
        <f t="shared" si="30"/>
        <v/>
      </c>
      <c r="D330" s="110" t="str">
        <f t="shared" si="31"/>
        <v/>
      </c>
      <c r="E330" s="110" t="str">
        <f t="shared" si="32"/>
        <v/>
      </c>
      <c r="F330" s="110" t="str">
        <f t="shared" si="33"/>
        <v/>
      </c>
      <c r="G330" s="197" t="str">
        <f t="shared" si="35"/>
        <v/>
      </c>
      <c r="H330" s="197"/>
      <c r="Q330" s="10" t="str">
        <f t="shared" si="29"/>
        <v/>
      </c>
    </row>
    <row r="331" spans="2:17" x14ac:dyDescent="0.25">
      <c r="B331" s="112" t="str">
        <f t="shared" si="34"/>
        <v/>
      </c>
      <c r="C331" s="9" t="str">
        <f t="shared" si="30"/>
        <v/>
      </c>
      <c r="D331" s="110" t="str">
        <f t="shared" si="31"/>
        <v/>
      </c>
      <c r="E331" s="110" t="str">
        <f t="shared" si="32"/>
        <v/>
      </c>
      <c r="F331" s="110" t="str">
        <f t="shared" si="33"/>
        <v/>
      </c>
      <c r="G331" s="197" t="str">
        <f t="shared" si="35"/>
        <v/>
      </c>
      <c r="H331" s="197"/>
      <c r="Q331" s="10" t="str">
        <f t="shared" ref="Q331:Q394" si="36">IF(AND(ISBLANK(O331),ISBLANK(P331)),"",IF(ISBLANK(P331), ROUND(Q330+O331,2), ROUND(Q330+P331,2)))</f>
        <v/>
      </c>
    </row>
    <row r="332" spans="2:17" x14ac:dyDescent="0.25">
      <c r="B332" s="112" t="str">
        <f t="shared" si="34"/>
        <v/>
      </c>
      <c r="C332" s="9" t="str">
        <f t="shared" si="30"/>
        <v/>
      </c>
      <c r="D332" s="110" t="str">
        <f t="shared" si="31"/>
        <v/>
      </c>
      <c r="E332" s="110" t="str">
        <f t="shared" si="32"/>
        <v/>
      </c>
      <c r="F332" s="110" t="str">
        <f t="shared" si="33"/>
        <v/>
      </c>
      <c r="G332" s="197" t="str">
        <f t="shared" si="35"/>
        <v/>
      </c>
      <c r="H332" s="197"/>
      <c r="Q332" s="10" t="str">
        <f t="shared" si="36"/>
        <v/>
      </c>
    </row>
    <row r="333" spans="2:17" x14ac:dyDescent="0.25">
      <c r="B333" s="112" t="str">
        <f t="shared" si="34"/>
        <v/>
      </c>
      <c r="C333" s="9" t="str">
        <f t="shared" si="30"/>
        <v/>
      </c>
      <c r="D333" s="110" t="str">
        <f t="shared" si="31"/>
        <v/>
      </c>
      <c r="E333" s="110" t="str">
        <f t="shared" si="32"/>
        <v/>
      </c>
      <c r="F333" s="110" t="str">
        <f t="shared" si="33"/>
        <v/>
      </c>
      <c r="G333" s="197" t="str">
        <f t="shared" si="35"/>
        <v/>
      </c>
      <c r="H333" s="197"/>
      <c r="Q333" s="10" t="str">
        <f t="shared" si="36"/>
        <v/>
      </c>
    </row>
    <row r="334" spans="2:17" x14ac:dyDescent="0.25">
      <c r="B334" s="112" t="str">
        <f t="shared" si="34"/>
        <v/>
      </c>
      <c r="C334" s="9" t="str">
        <f t="shared" si="30"/>
        <v/>
      </c>
      <c r="D334" s="110" t="str">
        <f t="shared" si="31"/>
        <v/>
      </c>
      <c r="E334" s="110" t="str">
        <f t="shared" si="32"/>
        <v/>
      </c>
      <c r="F334" s="110" t="str">
        <f t="shared" si="33"/>
        <v/>
      </c>
      <c r="G334" s="197" t="str">
        <f t="shared" si="35"/>
        <v/>
      </c>
      <c r="H334" s="197"/>
      <c r="Q334" s="10" t="str">
        <f t="shared" si="36"/>
        <v/>
      </c>
    </row>
    <row r="335" spans="2:17" x14ac:dyDescent="0.25">
      <c r="B335" s="112" t="str">
        <f t="shared" si="34"/>
        <v/>
      </c>
      <c r="C335" s="9" t="str">
        <f t="shared" si="30"/>
        <v/>
      </c>
      <c r="D335" s="110" t="str">
        <f t="shared" si="31"/>
        <v/>
      </c>
      <c r="E335" s="110" t="str">
        <f t="shared" si="32"/>
        <v/>
      </c>
      <c r="F335" s="110" t="str">
        <f t="shared" si="33"/>
        <v/>
      </c>
      <c r="G335" s="197" t="str">
        <f t="shared" si="35"/>
        <v/>
      </c>
      <c r="H335" s="197"/>
      <c r="Q335" s="10" t="str">
        <f t="shared" si="36"/>
        <v/>
      </c>
    </row>
    <row r="336" spans="2:17" x14ac:dyDescent="0.25">
      <c r="B336" s="112" t="str">
        <f t="shared" si="34"/>
        <v/>
      </c>
      <c r="C336" s="9" t="str">
        <f t="shared" si="30"/>
        <v/>
      </c>
      <c r="D336" s="110" t="str">
        <f t="shared" si="31"/>
        <v/>
      </c>
      <c r="E336" s="110" t="str">
        <f t="shared" si="32"/>
        <v/>
      </c>
      <c r="F336" s="110" t="str">
        <f t="shared" si="33"/>
        <v/>
      </c>
      <c r="G336" s="197" t="str">
        <f t="shared" si="35"/>
        <v/>
      </c>
      <c r="H336" s="197"/>
      <c r="Q336" s="10" t="str">
        <f t="shared" si="36"/>
        <v/>
      </c>
    </row>
    <row r="337" spans="2:17" x14ac:dyDescent="0.25">
      <c r="B337" s="112" t="str">
        <f t="shared" si="34"/>
        <v/>
      </c>
      <c r="C337" s="9" t="str">
        <f t="shared" si="30"/>
        <v/>
      </c>
      <c r="D337" s="110" t="str">
        <f t="shared" si="31"/>
        <v/>
      </c>
      <c r="E337" s="110" t="str">
        <f t="shared" si="32"/>
        <v/>
      </c>
      <c r="F337" s="110" t="str">
        <f t="shared" si="33"/>
        <v/>
      </c>
      <c r="G337" s="197" t="str">
        <f t="shared" si="35"/>
        <v/>
      </c>
      <c r="H337" s="197"/>
      <c r="Q337" s="10" t="str">
        <f t="shared" si="36"/>
        <v/>
      </c>
    </row>
    <row r="338" spans="2:17" x14ac:dyDescent="0.25">
      <c r="B338" s="112" t="str">
        <f t="shared" si="34"/>
        <v/>
      </c>
      <c r="C338" s="9" t="str">
        <f t="shared" si="30"/>
        <v/>
      </c>
      <c r="D338" s="110" t="str">
        <f t="shared" si="31"/>
        <v/>
      </c>
      <c r="E338" s="110" t="str">
        <f t="shared" si="32"/>
        <v/>
      </c>
      <c r="F338" s="110" t="str">
        <f t="shared" si="33"/>
        <v/>
      </c>
      <c r="G338" s="197" t="str">
        <f t="shared" si="35"/>
        <v/>
      </c>
      <c r="H338" s="197"/>
      <c r="Q338" s="10" t="str">
        <f t="shared" si="36"/>
        <v/>
      </c>
    </row>
    <row r="339" spans="2:17" x14ac:dyDescent="0.25">
      <c r="B339" s="112" t="str">
        <f t="shared" si="34"/>
        <v/>
      </c>
      <c r="C339" s="9" t="str">
        <f t="shared" si="30"/>
        <v/>
      </c>
      <c r="D339" s="110" t="str">
        <f t="shared" si="31"/>
        <v/>
      </c>
      <c r="E339" s="110" t="str">
        <f t="shared" si="32"/>
        <v/>
      </c>
      <c r="F339" s="110" t="str">
        <f t="shared" si="33"/>
        <v/>
      </c>
      <c r="G339" s="197" t="str">
        <f t="shared" si="35"/>
        <v/>
      </c>
      <c r="H339" s="197"/>
      <c r="Q339" s="10" t="str">
        <f t="shared" si="36"/>
        <v/>
      </c>
    </row>
    <row r="340" spans="2:17" x14ac:dyDescent="0.25">
      <c r="B340" s="112" t="str">
        <f t="shared" si="34"/>
        <v/>
      </c>
      <c r="C340" s="9" t="str">
        <f t="shared" si="30"/>
        <v/>
      </c>
      <c r="D340" s="110" t="str">
        <f t="shared" si="31"/>
        <v/>
      </c>
      <c r="E340" s="110" t="str">
        <f t="shared" si="32"/>
        <v/>
      </c>
      <c r="F340" s="110" t="str">
        <f t="shared" si="33"/>
        <v/>
      </c>
      <c r="G340" s="197" t="str">
        <f t="shared" si="35"/>
        <v/>
      </c>
      <c r="H340" s="197"/>
      <c r="Q340" s="10" t="str">
        <f t="shared" si="36"/>
        <v/>
      </c>
    </row>
    <row r="341" spans="2:17" x14ac:dyDescent="0.25">
      <c r="B341" s="112" t="str">
        <f t="shared" si="34"/>
        <v/>
      </c>
      <c r="C341" s="9" t="str">
        <f t="shared" si="30"/>
        <v/>
      </c>
      <c r="D341" s="110" t="str">
        <f t="shared" si="31"/>
        <v/>
      </c>
      <c r="E341" s="110" t="str">
        <f t="shared" si="32"/>
        <v/>
      </c>
      <c r="F341" s="110" t="str">
        <f t="shared" si="33"/>
        <v/>
      </c>
      <c r="G341" s="197" t="str">
        <f t="shared" si="35"/>
        <v/>
      </c>
      <c r="H341" s="197"/>
      <c r="Q341" s="10" t="str">
        <f t="shared" si="36"/>
        <v/>
      </c>
    </row>
    <row r="342" spans="2:17" x14ac:dyDescent="0.25">
      <c r="B342" s="112" t="str">
        <f t="shared" si="34"/>
        <v/>
      </c>
      <c r="C342" s="9" t="str">
        <f t="shared" si="30"/>
        <v/>
      </c>
      <c r="D342" s="110" t="str">
        <f t="shared" si="31"/>
        <v/>
      </c>
      <c r="E342" s="110" t="str">
        <f t="shared" si="32"/>
        <v/>
      </c>
      <c r="F342" s="110" t="str">
        <f t="shared" si="33"/>
        <v/>
      </c>
      <c r="G342" s="197" t="str">
        <f t="shared" si="35"/>
        <v/>
      </c>
      <c r="H342" s="197"/>
      <c r="Q342" s="10" t="str">
        <f t="shared" si="36"/>
        <v/>
      </c>
    </row>
    <row r="343" spans="2:17" x14ac:dyDescent="0.25">
      <c r="B343" s="112" t="str">
        <f t="shared" si="34"/>
        <v/>
      </c>
      <c r="C343" s="9" t="str">
        <f t="shared" ref="C343:C406" si="37">IFERROR(SUM($C$8-ABS(D343)),"")</f>
        <v/>
      </c>
      <c r="D343" s="110" t="str">
        <f t="shared" ref="D343:D406" si="38">IF(G343&lt;&gt;"",PMT($F$2/12,$C$14,ABS($I$2)),"")</f>
        <v/>
      </c>
      <c r="E343" s="110" t="str">
        <f t="shared" ref="E343:E406" si="39">IFERROR(IPMT($F$2/12, B343, $C$14, ABS($I$2)),"")</f>
        <v/>
      </c>
      <c r="F343" s="110" t="str">
        <f t="shared" ref="F343:F406" si="40">IFERROR(PPMT($F$2/12, B343, $C$14, ABS($I$2)),"")</f>
        <v/>
      </c>
      <c r="G343" s="197" t="str">
        <f t="shared" si="35"/>
        <v/>
      </c>
      <c r="H343" s="197"/>
      <c r="Q343" s="10" t="str">
        <f t="shared" si="36"/>
        <v/>
      </c>
    </row>
    <row r="344" spans="2:17" x14ac:dyDescent="0.25">
      <c r="B344" s="112" t="str">
        <f t="shared" ref="B344:B407" si="41">IF(B343&gt;=$C$14,"",SUM(B343+1))</f>
        <v/>
      </c>
      <c r="C344" s="9" t="str">
        <f t="shared" si="37"/>
        <v/>
      </c>
      <c r="D344" s="110" t="str">
        <f t="shared" si="38"/>
        <v/>
      </c>
      <c r="E344" s="110" t="str">
        <f t="shared" si="39"/>
        <v/>
      </c>
      <c r="F344" s="110" t="str">
        <f t="shared" si="40"/>
        <v/>
      </c>
      <c r="G344" s="197" t="str">
        <f t="shared" ref="G344:G407" si="42">IFERROR(G343+F344,"")</f>
        <v/>
      </c>
      <c r="H344" s="197"/>
      <c r="Q344" s="10" t="str">
        <f t="shared" si="36"/>
        <v/>
      </c>
    </row>
    <row r="345" spans="2:17" x14ac:dyDescent="0.25">
      <c r="B345" s="112" t="str">
        <f t="shared" si="41"/>
        <v/>
      </c>
      <c r="C345" s="9" t="str">
        <f t="shared" si="37"/>
        <v/>
      </c>
      <c r="D345" s="110" t="str">
        <f t="shared" si="38"/>
        <v/>
      </c>
      <c r="E345" s="110" t="str">
        <f t="shared" si="39"/>
        <v/>
      </c>
      <c r="F345" s="110" t="str">
        <f t="shared" si="40"/>
        <v/>
      </c>
      <c r="G345" s="197" t="str">
        <f t="shared" si="42"/>
        <v/>
      </c>
      <c r="H345" s="197"/>
      <c r="Q345" s="10" t="str">
        <f t="shared" si="36"/>
        <v/>
      </c>
    </row>
    <row r="346" spans="2:17" x14ac:dyDescent="0.25">
      <c r="B346" s="112" t="str">
        <f t="shared" si="41"/>
        <v/>
      </c>
      <c r="C346" s="9" t="str">
        <f t="shared" si="37"/>
        <v/>
      </c>
      <c r="D346" s="110" t="str">
        <f t="shared" si="38"/>
        <v/>
      </c>
      <c r="E346" s="110" t="str">
        <f t="shared" si="39"/>
        <v/>
      </c>
      <c r="F346" s="110" t="str">
        <f t="shared" si="40"/>
        <v/>
      </c>
      <c r="G346" s="197" t="str">
        <f t="shared" si="42"/>
        <v/>
      </c>
      <c r="H346" s="197"/>
      <c r="Q346" s="10" t="str">
        <f t="shared" si="36"/>
        <v/>
      </c>
    </row>
    <row r="347" spans="2:17" x14ac:dyDescent="0.25">
      <c r="B347" s="112" t="str">
        <f t="shared" si="41"/>
        <v/>
      </c>
      <c r="C347" s="9" t="str">
        <f t="shared" si="37"/>
        <v/>
      </c>
      <c r="D347" s="110" t="str">
        <f t="shared" si="38"/>
        <v/>
      </c>
      <c r="E347" s="110" t="str">
        <f t="shared" si="39"/>
        <v/>
      </c>
      <c r="F347" s="110" t="str">
        <f t="shared" si="40"/>
        <v/>
      </c>
      <c r="G347" s="197" t="str">
        <f t="shared" si="42"/>
        <v/>
      </c>
      <c r="H347" s="197"/>
      <c r="Q347" s="10" t="str">
        <f t="shared" si="36"/>
        <v/>
      </c>
    </row>
    <row r="348" spans="2:17" x14ac:dyDescent="0.25">
      <c r="B348" s="112" t="str">
        <f t="shared" si="41"/>
        <v/>
      </c>
      <c r="C348" s="9" t="str">
        <f t="shared" si="37"/>
        <v/>
      </c>
      <c r="D348" s="110" t="str">
        <f t="shared" si="38"/>
        <v/>
      </c>
      <c r="E348" s="110" t="str">
        <f t="shared" si="39"/>
        <v/>
      </c>
      <c r="F348" s="110" t="str">
        <f t="shared" si="40"/>
        <v/>
      </c>
      <c r="G348" s="197" t="str">
        <f t="shared" si="42"/>
        <v/>
      </c>
      <c r="H348" s="197"/>
      <c r="Q348" s="10" t="str">
        <f t="shared" si="36"/>
        <v/>
      </c>
    </row>
    <row r="349" spans="2:17" x14ac:dyDescent="0.25">
      <c r="B349" s="112" t="str">
        <f t="shared" si="41"/>
        <v/>
      </c>
      <c r="C349" s="9" t="str">
        <f t="shared" si="37"/>
        <v/>
      </c>
      <c r="D349" s="110" t="str">
        <f t="shared" si="38"/>
        <v/>
      </c>
      <c r="E349" s="110" t="str">
        <f t="shared" si="39"/>
        <v/>
      </c>
      <c r="F349" s="110" t="str">
        <f t="shared" si="40"/>
        <v/>
      </c>
      <c r="G349" s="197" t="str">
        <f t="shared" si="42"/>
        <v/>
      </c>
      <c r="H349" s="197"/>
      <c r="Q349" s="10" t="str">
        <f t="shared" si="36"/>
        <v/>
      </c>
    </row>
    <row r="350" spans="2:17" x14ac:dyDescent="0.25">
      <c r="B350" s="112" t="str">
        <f t="shared" si="41"/>
        <v/>
      </c>
      <c r="C350" s="9" t="str">
        <f t="shared" si="37"/>
        <v/>
      </c>
      <c r="D350" s="110" t="str">
        <f t="shared" si="38"/>
        <v/>
      </c>
      <c r="E350" s="110" t="str">
        <f t="shared" si="39"/>
        <v/>
      </c>
      <c r="F350" s="110" t="str">
        <f t="shared" si="40"/>
        <v/>
      </c>
      <c r="G350" s="197" t="str">
        <f t="shared" si="42"/>
        <v/>
      </c>
      <c r="H350" s="197"/>
      <c r="Q350" s="10" t="str">
        <f t="shared" si="36"/>
        <v/>
      </c>
    </row>
    <row r="351" spans="2:17" x14ac:dyDescent="0.25">
      <c r="B351" s="112" t="str">
        <f t="shared" si="41"/>
        <v/>
      </c>
      <c r="C351" s="9" t="str">
        <f t="shared" si="37"/>
        <v/>
      </c>
      <c r="D351" s="110" t="str">
        <f t="shared" si="38"/>
        <v/>
      </c>
      <c r="E351" s="110" t="str">
        <f t="shared" si="39"/>
        <v/>
      </c>
      <c r="F351" s="110" t="str">
        <f t="shared" si="40"/>
        <v/>
      </c>
      <c r="G351" s="197" t="str">
        <f t="shared" si="42"/>
        <v/>
      </c>
      <c r="H351" s="197"/>
      <c r="Q351" s="10" t="str">
        <f t="shared" si="36"/>
        <v/>
      </c>
    </row>
    <row r="352" spans="2:17" x14ac:dyDescent="0.25">
      <c r="B352" s="112" t="str">
        <f t="shared" si="41"/>
        <v/>
      </c>
      <c r="C352" s="9" t="str">
        <f t="shared" si="37"/>
        <v/>
      </c>
      <c r="D352" s="110" t="str">
        <f t="shared" si="38"/>
        <v/>
      </c>
      <c r="E352" s="110" t="str">
        <f t="shared" si="39"/>
        <v/>
      </c>
      <c r="F352" s="110" t="str">
        <f t="shared" si="40"/>
        <v/>
      </c>
      <c r="G352" s="197" t="str">
        <f t="shared" si="42"/>
        <v/>
      </c>
      <c r="H352" s="197"/>
      <c r="Q352" s="10" t="str">
        <f t="shared" si="36"/>
        <v/>
      </c>
    </row>
    <row r="353" spans="2:17" x14ac:dyDescent="0.25">
      <c r="B353" s="112" t="str">
        <f t="shared" si="41"/>
        <v/>
      </c>
      <c r="C353" s="9" t="str">
        <f t="shared" si="37"/>
        <v/>
      </c>
      <c r="D353" s="110" t="str">
        <f t="shared" si="38"/>
        <v/>
      </c>
      <c r="E353" s="110" t="str">
        <f t="shared" si="39"/>
        <v/>
      </c>
      <c r="F353" s="110" t="str">
        <f t="shared" si="40"/>
        <v/>
      </c>
      <c r="G353" s="197" t="str">
        <f t="shared" si="42"/>
        <v/>
      </c>
      <c r="H353" s="197"/>
      <c r="Q353" s="10" t="str">
        <f t="shared" si="36"/>
        <v/>
      </c>
    </row>
    <row r="354" spans="2:17" x14ac:dyDescent="0.25">
      <c r="B354" s="112" t="str">
        <f t="shared" si="41"/>
        <v/>
      </c>
      <c r="C354" s="9" t="str">
        <f t="shared" si="37"/>
        <v/>
      </c>
      <c r="D354" s="110" t="str">
        <f t="shared" si="38"/>
        <v/>
      </c>
      <c r="E354" s="110" t="str">
        <f t="shared" si="39"/>
        <v/>
      </c>
      <c r="F354" s="110" t="str">
        <f t="shared" si="40"/>
        <v/>
      </c>
      <c r="G354" s="197" t="str">
        <f t="shared" si="42"/>
        <v/>
      </c>
      <c r="H354" s="197"/>
      <c r="Q354" s="10" t="str">
        <f t="shared" si="36"/>
        <v/>
      </c>
    </row>
    <row r="355" spans="2:17" x14ac:dyDescent="0.25">
      <c r="B355" s="112" t="str">
        <f t="shared" si="41"/>
        <v/>
      </c>
      <c r="C355" s="9" t="str">
        <f t="shared" si="37"/>
        <v/>
      </c>
      <c r="D355" s="110" t="str">
        <f t="shared" si="38"/>
        <v/>
      </c>
      <c r="E355" s="110" t="str">
        <f t="shared" si="39"/>
        <v/>
      </c>
      <c r="F355" s="110" t="str">
        <f t="shared" si="40"/>
        <v/>
      </c>
      <c r="G355" s="197" t="str">
        <f t="shared" si="42"/>
        <v/>
      </c>
      <c r="H355" s="197"/>
      <c r="Q355" s="10" t="str">
        <f t="shared" si="36"/>
        <v/>
      </c>
    </row>
    <row r="356" spans="2:17" x14ac:dyDescent="0.25">
      <c r="B356" s="112" t="str">
        <f t="shared" si="41"/>
        <v/>
      </c>
      <c r="C356" s="9" t="str">
        <f t="shared" si="37"/>
        <v/>
      </c>
      <c r="D356" s="110" t="str">
        <f t="shared" si="38"/>
        <v/>
      </c>
      <c r="E356" s="110" t="str">
        <f t="shared" si="39"/>
        <v/>
      </c>
      <c r="F356" s="110" t="str">
        <f t="shared" si="40"/>
        <v/>
      </c>
      <c r="G356" s="197" t="str">
        <f t="shared" si="42"/>
        <v/>
      </c>
      <c r="H356" s="197"/>
      <c r="Q356" s="10" t="str">
        <f t="shared" si="36"/>
        <v/>
      </c>
    </row>
    <row r="357" spans="2:17" x14ac:dyDescent="0.25">
      <c r="B357" s="112" t="str">
        <f t="shared" si="41"/>
        <v/>
      </c>
      <c r="C357" s="9" t="str">
        <f t="shared" si="37"/>
        <v/>
      </c>
      <c r="D357" s="110" t="str">
        <f t="shared" si="38"/>
        <v/>
      </c>
      <c r="E357" s="110" t="str">
        <f t="shared" si="39"/>
        <v/>
      </c>
      <c r="F357" s="110" t="str">
        <f t="shared" si="40"/>
        <v/>
      </c>
      <c r="G357" s="197" t="str">
        <f t="shared" si="42"/>
        <v/>
      </c>
      <c r="H357" s="197"/>
      <c r="Q357" s="10" t="str">
        <f t="shared" si="36"/>
        <v/>
      </c>
    </row>
    <row r="358" spans="2:17" x14ac:dyDescent="0.25">
      <c r="B358" s="112" t="str">
        <f t="shared" si="41"/>
        <v/>
      </c>
      <c r="C358" s="9" t="str">
        <f t="shared" si="37"/>
        <v/>
      </c>
      <c r="D358" s="110" t="str">
        <f t="shared" si="38"/>
        <v/>
      </c>
      <c r="E358" s="110" t="str">
        <f t="shared" si="39"/>
        <v/>
      </c>
      <c r="F358" s="110" t="str">
        <f t="shared" si="40"/>
        <v/>
      </c>
      <c r="G358" s="197" t="str">
        <f t="shared" si="42"/>
        <v/>
      </c>
      <c r="H358" s="197"/>
      <c r="Q358" s="10" t="str">
        <f t="shared" si="36"/>
        <v/>
      </c>
    </row>
    <row r="359" spans="2:17" x14ac:dyDescent="0.25">
      <c r="B359" s="112" t="str">
        <f t="shared" si="41"/>
        <v/>
      </c>
      <c r="C359" s="9" t="str">
        <f t="shared" si="37"/>
        <v/>
      </c>
      <c r="D359" s="110" t="str">
        <f t="shared" si="38"/>
        <v/>
      </c>
      <c r="E359" s="110" t="str">
        <f t="shared" si="39"/>
        <v/>
      </c>
      <c r="F359" s="110" t="str">
        <f t="shared" si="40"/>
        <v/>
      </c>
      <c r="G359" s="197" t="str">
        <f t="shared" si="42"/>
        <v/>
      </c>
      <c r="H359" s="197"/>
      <c r="Q359" s="10" t="str">
        <f t="shared" si="36"/>
        <v/>
      </c>
    </row>
    <row r="360" spans="2:17" x14ac:dyDescent="0.25">
      <c r="B360" s="112" t="str">
        <f t="shared" si="41"/>
        <v/>
      </c>
      <c r="C360" s="9" t="str">
        <f t="shared" si="37"/>
        <v/>
      </c>
      <c r="D360" s="110" t="str">
        <f t="shared" si="38"/>
        <v/>
      </c>
      <c r="E360" s="110" t="str">
        <f t="shared" si="39"/>
        <v/>
      </c>
      <c r="F360" s="110" t="str">
        <f t="shared" si="40"/>
        <v/>
      </c>
      <c r="G360" s="197" t="str">
        <f t="shared" si="42"/>
        <v/>
      </c>
      <c r="H360" s="197"/>
      <c r="Q360" s="10" t="str">
        <f t="shared" si="36"/>
        <v/>
      </c>
    </row>
    <row r="361" spans="2:17" x14ac:dyDescent="0.25">
      <c r="B361" s="112" t="str">
        <f t="shared" si="41"/>
        <v/>
      </c>
      <c r="C361" s="9" t="str">
        <f t="shared" si="37"/>
        <v/>
      </c>
      <c r="D361" s="110" t="str">
        <f t="shared" si="38"/>
        <v/>
      </c>
      <c r="E361" s="110" t="str">
        <f t="shared" si="39"/>
        <v/>
      </c>
      <c r="F361" s="110" t="str">
        <f t="shared" si="40"/>
        <v/>
      </c>
      <c r="G361" s="197" t="str">
        <f t="shared" si="42"/>
        <v/>
      </c>
      <c r="H361" s="197"/>
      <c r="Q361" s="10" t="str">
        <f t="shared" si="36"/>
        <v/>
      </c>
    </row>
    <row r="362" spans="2:17" x14ac:dyDescent="0.25">
      <c r="B362" s="112" t="str">
        <f t="shared" si="41"/>
        <v/>
      </c>
      <c r="C362" s="9" t="str">
        <f t="shared" si="37"/>
        <v/>
      </c>
      <c r="D362" s="110" t="str">
        <f t="shared" si="38"/>
        <v/>
      </c>
      <c r="E362" s="110" t="str">
        <f t="shared" si="39"/>
        <v/>
      </c>
      <c r="F362" s="110" t="str">
        <f t="shared" si="40"/>
        <v/>
      </c>
      <c r="G362" s="197" t="str">
        <f t="shared" si="42"/>
        <v/>
      </c>
      <c r="H362" s="197"/>
      <c r="Q362" s="10" t="str">
        <f t="shared" si="36"/>
        <v/>
      </c>
    </row>
    <row r="363" spans="2:17" x14ac:dyDescent="0.25">
      <c r="B363" s="112" t="str">
        <f t="shared" si="41"/>
        <v/>
      </c>
      <c r="C363" s="9" t="str">
        <f t="shared" si="37"/>
        <v/>
      </c>
      <c r="D363" s="110" t="str">
        <f t="shared" si="38"/>
        <v/>
      </c>
      <c r="E363" s="110" t="str">
        <f t="shared" si="39"/>
        <v/>
      </c>
      <c r="F363" s="110" t="str">
        <f t="shared" si="40"/>
        <v/>
      </c>
      <c r="G363" s="197" t="str">
        <f t="shared" si="42"/>
        <v/>
      </c>
      <c r="H363" s="197"/>
      <c r="Q363" s="10" t="str">
        <f t="shared" si="36"/>
        <v/>
      </c>
    </row>
    <row r="364" spans="2:17" x14ac:dyDescent="0.25">
      <c r="B364" s="112" t="str">
        <f t="shared" si="41"/>
        <v/>
      </c>
      <c r="C364" s="9" t="str">
        <f t="shared" si="37"/>
        <v/>
      </c>
      <c r="D364" s="110" t="str">
        <f t="shared" si="38"/>
        <v/>
      </c>
      <c r="E364" s="110" t="str">
        <f t="shared" si="39"/>
        <v/>
      </c>
      <c r="F364" s="110" t="str">
        <f t="shared" si="40"/>
        <v/>
      </c>
      <c r="G364" s="197" t="str">
        <f t="shared" si="42"/>
        <v/>
      </c>
      <c r="H364" s="197"/>
      <c r="Q364" s="10" t="str">
        <f t="shared" si="36"/>
        <v/>
      </c>
    </row>
    <row r="365" spans="2:17" x14ac:dyDescent="0.25">
      <c r="B365" s="112" t="str">
        <f t="shared" si="41"/>
        <v/>
      </c>
      <c r="C365" s="9" t="str">
        <f t="shared" si="37"/>
        <v/>
      </c>
      <c r="D365" s="110" t="str">
        <f t="shared" si="38"/>
        <v/>
      </c>
      <c r="E365" s="110" t="str">
        <f t="shared" si="39"/>
        <v/>
      </c>
      <c r="F365" s="110" t="str">
        <f t="shared" si="40"/>
        <v/>
      </c>
      <c r="G365" s="197" t="str">
        <f t="shared" si="42"/>
        <v/>
      </c>
      <c r="H365" s="197"/>
      <c r="Q365" s="10" t="str">
        <f t="shared" si="36"/>
        <v/>
      </c>
    </row>
    <row r="366" spans="2:17" x14ac:dyDescent="0.25">
      <c r="B366" s="112" t="str">
        <f t="shared" si="41"/>
        <v/>
      </c>
      <c r="C366" s="9" t="str">
        <f t="shared" si="37"/>
        <v/>
      </c>
      <c r="D366" s="110" t="str">
        <f t="shared" si="38"/>
        <v/>
      </c>
      <c r="E366" s="110" t="str">
        <f t="shared" si="39"/>
        <v/>
      </c>
      <c r="F366" s="110" t="str">
        <f t="shared" si="40"/>
        <v/>
      </c>
      <c r="G366" s="197" t="str">
        <f t="shared" si="42"/>
        <v/>
      </c>
      <c r="H366" s="197"/>
      <c r="Q366" s="10" t="str">
        <f t="shared" si="36"/>
        <v/>
      </c>
    </row>
    <row r="367" spans="2:17" x14ac:dyDescent="0.25">
      <c r="B367" s="112" t="str">
        <f t="shared" si="41"/>
        <v/>
      </c>
      <c r="C367" s="9" t="str">
        <f t="shared" si="37"/>
        <v/>
      </c>
      <c r="D367" s="110" t="str">
        <f t="shared" si="38"/>
        <v/>
      </c>
      <c r="E367" s="110" t="str">
        <f t="shared" si="39"/>
        <v/>
      </c>
      <c r="F367" s="110" t="str">
        <f t="shared" si="40"/>
        <v/>
      </c>
      <c r="G367" s="197" t="str">
        <f t="shared" si="42"/>
        <v/>
      </c>
      <c r="H367" s="197"/>
      <c r="Q367" s="10" t="str">
        <f t="shared" si="36"/>
        <v/>
      </c>
    </row>
    <row r="368" spans="2:17" x14ac:dyDescent="0.25">
      <c r="B368" s="112" t="str">
        <f t="shared" si="41"/>
        <v/>
      </c>
      <c r="C368" s="9" t="str">
        <f t="shared" si="37"/>
        <v/>
      </c>
      <c r="D368" s="110" t="str">
        <f t="shared" si="38"/>
        <v/>
      </c>
      <c r="E368" s="110" t="str">
        <f t="shared" si="39"/>
        <v/>
      </c>
      <c r="F368" s="110" t="str">
        <f t="shared" si="40"/>
        <v/>
      </c>
      <c r="G368" s="197" t="str">
        <f t="shared" si="42"/>
        <v/>
      </c>
      <c r="H368" s="197"/>
      <c r="Q368" s="10" t="str">
        <f t="shared" si="36"/>
        <v/>
      </c>
    </row>
    <row r="369" spans="2:17" x14ac:dyDescent="0.25">
      <c r="B369" s="112" t="str">
        <f t="shared" si="41"/>
        <v/>
      </c>
      <c r="C369" s="9" t="str">
        <f t="shared" si="37"/>
        <v/>
      </c>
      <c r="D369" s="110" t="str">
        <f t="shared" si="38"/>
        <v/>
      </c>
      <c r="E369" s="110" t="str">
        <f t="shared" si="39"/>
        <v/>
      </c>
      <c r="F369" s="110" t="str">
        <f t="shared" si="40"/>
        <v/>
      </c>
      <c r="G369" s="197" t="str">
        <f t="shared" si="42"/>
        <v/>
      </c>
      <c r="H369" s="197"/>
      <c r="Q369" s="10" t="str">
        <f t="shared" si="36"/>
        <v/>
      </c>
    </row>
    <row r="370" spans="2:17" x14ac:dyDescent="0.25">
      <c r="B370" s="112" t="str">
        <f t="shared" si="41"/>
        <v/>
      </c>
      <c r="C370" s="9" t="str">
        <f t="shared" si="37"/>
        <v/>
      </c>
      <c r="D370" s="110" t="str">
        <f t="shared" si="38"/>
        <v/>
      </c>
      <c r="E370" s="110" t="str">
        <f t="shared" si="39"/>
        <v/>
      </c>
      <c r="F370" s="110" t="str">
        <f t="shared" si="40"/>
        <v/>
      </c>
      <c r="G370" s="197" t="str">
        <f t="shared" si="42"/>
        <v/>
      </c>
      <c r="H370" s="197"/>
      <c r="Q370" s="10" t="str">
        <f t="shared" si="36"/>
        <v/>
      </c>
    </row>
    <row r="371" spans="2:17" x14ac:dyDescent="0.25">
      <c r="B371" s="112" t="str">
        <f t="shared" si="41"/>
        <v/>
      </c>
      <c r="C371" s="9" t="str">
        <f t="shared" si="37"/>
        <v/>
      </c>
      <c r="D371" s="110" t="str">
        <f t="shared" si="38"/>
        <v/>
      </c>
      <c r="E371" s="110" t="str">
        <f t="shared" si="39"/>
        <v/>
      </c>
      <c r="F371" s="110" t="str">
        <f t="shared" si="40"/>
        <v/>
      </c>
      <c r="G371" s="197" t="str">
        <f t="shared" si="42"/>
        <v/>
      </c>
      <c r="H371" s="197"/>
      <c r="Q371" s="10" t="str">
        <f t="shared" si="36"/>
        <v/>
      </c>
    </row>
    <row r="372" spans="2:17" x14ac:dyDescent="0.25">
      <c r="B372" s="112" t="str">
        <f t="shared" si="41"/>
        <v/>
      </c>
      <c r="C372" s="9" t="str">
        <f t="shared" si="37"/>
        <v/>
      </c>
      <c r="D372" s="110" t="str">
        <f t="shared" si="38"/>
        <v/>
      </c>
      <c r="E372" s="110" t="str">
        <f t="shared" si="39"/>
        <v/>
      </c>
      <c r="F372" s="110" t="str">
        <f t="shared" si="40"/>
        <v/>
      </c>
      <c r="G372" s="197" t="str">
        <f t="shared" si="42"/>
        <v/>
      </c>
      <c r="H372" s="197"/>
      <c r="Q372" s="10" t="str">
        <f t="shared" si="36"/>
        <v/>
      </c>
    </row>
    <row r="373" spans="2:17" x14ac:dyDescent="0.25">
      <c r="B373" s="112" t="str">
        <f t="shared" si="41"/>
        <v/>
      </c>
      <c r="C373" s="9" t="str">
        <f t="shared" si="37"/>
        <v/>
      </c>
      <c r="D373" s="110" t="str">
        <f t="shared" si="38"/>
        <v/>
      </c>
      <c r="E373" s="110" t="str">
        <f t="shared" si="39"/>
        <v/>
      </c>
      <c r="F373" s="110" t="str">
        <f t="shared" si="40"/>
        <v/>
      </c>
      <c r="G373" s="197" t="str">
        <f t="shared" si="42"/>
        <v/>
      </c>
      <c r="H373" s="197"/>
      <c r="Q373" s="10" t="str">
        <f t="shared" si="36"/>
        <v/>
      </c>
    </row>
    <row r="374" spans="2:17" x14ac:dyDescent="0.25">
      <c r="B374" s="112" t="str">
        <f t="shared" si="41"/>
        <v/>
      </c>
      <c r="C374" s="9" t="str">
        <f t="shared" si="37"/>
        <v/>
      </c>
      <c r="D374" s="110" t="str">
        <f t="shared" si="38"/>
        <v/>
      </c>
      <c r="E374" s="110" t="str">
        <f t="shared" si="39"/>
        <v/>
      </c>
      <c r="F374" s="110" t="str">
        <f t="shared" si="40"/>
        <v/>
      </c>
      <c r="G374" s="197" t="str">
        <f t="shared" si="42"/>
        <v/>
      </c>
      <c r="H374" s="197"/>
      <c r="Q374" s="10" t="str">
        <f t="shared" si="36"/>
        <v/>
      </c>
    </row>
    <row r="375" spans="2:17" x14ac:dyDescent="0.25">
      <c r="B375" s="112" t="str">
        <f t="shared" si="41"/>
        <v/>
      </c>
      <c r="C375" s="9" t="str">
        <f t="shared" si="37"/>
        <v/>
      </c>
      <c r="D375" s="110" t="str">
        <f t="shared" si="38"/>
        <v/>
      </c>
      <c r="E375" s="110" t="str">
        <f t="shared" si="39"/>
        <v/>
      </c>
      <c r="F375" s="110" t="str">
        <f t="shared" si="40"/>
        <v/>
      </c>
      <c r="G375" s="197" t="str">
        <f t="shared" si="42"/>
        <v/>
      </c>
      <c r="H375" s="197"/>
      <c r="Q375" s="10" t="str">
        <f t="shared" si="36"/>
        <v/>
      </c>
    </row>
    <row r="376" spans="2:17" x14ac:dyDescent="0.25">
      <c r="B376" s="112" t="str">
        <f t="shared" si="41"/>
        <v/>
      </c>
      <c r="C376" s="9" t="str">
        <f t="shared" si="37"/>
        <v/>
      </c>
      <c r="D376" s="110" t="str">
        <f t="shared" si="38"/>
        <v/>
      </c>
      <c r="E376" s="110" t="str">
        <f t="shared" si="39"/>
        <v/>
      </c>
      <c r="F376" s="110" t="str">
        <f t="shared" si="40"/>
        <v/>
      </c>
      <c r="G376" s="197" t="str">
        <f t="shared" si="42"/>
        <v/>
      </c>
      <c r="H376" s="197"/>
      <c r="Q376" s="10" t="str">
        <f t="shared" si="36"/>
        <v/>
      </c>
    </row>
    <row r="377" spans="2:17" x14ac:dyDescent="0.25">
      <c r="B377" s="112" t="str">
        <f t="shared" si="41"/>
        <v/>
      </c>
      <c r="C377" s="9" t="str">
        <f t="shared" si="37"/>
        <v/>
      </c>
      <c r="D377" s="110" t="str">
        <f t="shared" si="38"/>
        <v/>
      </c>
      <c r="E377" s="110" t="str">
        <f t="shared" si="39"/>
        <v/>
      </c>
      <c r="F377" s="110" t="str">
        <f t="shared" si="40"/>
        <v/>
      </c>
      <c r="G377" s="197" t="str">
        <f t="shared" si="42"/>
        <v/>
      </c>
      <c r="H377" s="197"/>
      <c r="Q377" s="10" t="str">
        <f t="shared" si="36"/>
        <v/>
      </c>
    </row>
    <row r="378" spans="2:17" x14ac:dyDescent="0.25">
      <c r="B378" s="112" t="str">
        <f t="shared" si="41"/>
        <v/>
      </c>
      <c r="C378" s="9" t="str">
        <f t="shared" si="37"/>
        <v/>
      </c>
      <c r="D378" s="110" t="str">
        <f t="shared" si="38"/>
        <v/>
      </c>
      <c r="E378" s="110" t="str">
        <f t="shared" si="39"/>
        <v/>
      </c>
      <c r="F378" s="110" t="str">
        <f t="shared" si="40"/>
        <v/>
      </c>
      <c r="G378" s="197" t="str">
        <f t="shared" si="42"/>
        <v/>
      </c>
      <c r="H378" s="197"/>
      <c r="Q378" s="10" t="str">
        <f t="shared" si="36"/>
        <v/>
      </c>
    </row>
    <row r="379" spans="2:17" x14ac:dyDescent="0.25">
      <c r="B379" s="112" t="str">
        <f t="shared" si="41"/>
        <v/>
      </c>
      <c r="C379" s="9" t="str">
        <f t="shared" si="37"/>
        <v/>
      </c>
      <c r="D379" s="110" t="str">
        <f t="shared" si="38"/>
        <v/>
      </c>
      <c r="E379" s="110" t="str">
        <f t="shared" si="39"/>
        <v/>
      </c>
      <c r="F379" s="110" t="str">
        <f t="shared" si="40"/>
        <v/>
      </c>
      <c r="G379" s="197" t="str">
        <f t="shared" si="42"/>
        <v/>
      </c>
      <c r="H379" s="197"/>
      <c r="Q379" s="10" t="str">
        <f t="shared" si="36"/>
        <v/>
      </c>
    </row>
    <row r="380" spans="2:17" x14ac:dyDescent="0.25">
      <c r="B380" s="112" t="str">
        <f t="shared" si="41"/>
        <v/>
      </c>
      <c r="C380" s="9" t="str">
        <f t="shared" si="37"/>
        <v/>
      </c>
      <c r="D380" s="110" t="str">
        <f t="shared" si="38"/>
        <v/>
      </c>
      <c r="E380" s="110" t="str">
        <f t="shared" si="39"/>
        <v/>
      </c>
      <c r="F380" s="110" t="str">
        <f t="shared" si="40"/>
        <v/>
      </c>
      <c r="G380" s="197" t="str">
        <f t="shared" si="42"/>
        <v/>
      </c>
      <c r="H380" s="197"/>
      <c r="Q380" s="10" t="str">
        <f t="shared" si="36"/>
        <v/>
      </c>
    </row>
    <row r="381" spans="2:17" x14ac:dyDescent="0.25">
      <c r="B381" s="112" t="str">
        <f t="shared" si="41"/>
        <v/>
      </c>
      <c r="C381" s="9" t="str">
        <f t="shared" si="37"/>
        <v/>
      </c>
      <c r="D381" s="110" t="str">
        <f t="shared" si="38"/>
        <v/>
      </c>
      <c r="E381" s="110" t="str">
        <f t="shared" si="39"/>
        <v/>
      </c>
      <c r="F381" s="110" t="str">
        <f t="shared" si="40"/>
        <v/>
      </c>
      <c r="G381" s="197" t="str">
        <f t="shared" si="42"/>
        <v/>
      </c>
      <c r="H381" s="197"/>
      <c r="Q381" s="10" t="str">
        <f t="shared" si="36"/>
        <v/>
      </c>
    </row>
    <row r="382" spans="2:17" x14ac:dyDescent="0.25">
      <c r="B382" s="112" t="str">
        <f t="shared" si="41"/>
        <v/>
      </c>
      <c r="C382" s="9" t="str">
        <f t="shared" si="37"/>
        <v/>
      </c>
      <c r="D382" s="110" t="str">
        <f t="shared" si="38"/>
        <v/>
      </c>
      <c r="E382" s="110" t="str">
        <f t="shared" si="39"/>
        <v/>
      </c>
      <c r="F382" s="110" t="str">
        <f t="shared" si="40"/>
        <v/>
      </c>
      <c r="G382" s="197" t="str">
        <f t="shared" si="42"/>
        <v/>
      </c>
      <c r="H382" s="197"/>
      <c r="Q382" s="10" t="str">
        <f t="shared" si="36"/>
        <v/>
      </c>
    </row>
    <row r="383" spans="2:17" x14ac:dyDescent="0.25">
      <c r="B383" s="112" t="str">
        <f t="shared" si="41"/>
        <v/>
      </c>
      <c r="C383" s="9" t="str">
        <f t="shared" si="37"/>
        <v/>
      </c>
      <c r="D383" s="110" t="str">
        <f t="shared" si="38"/>
        <v/>
      </c>
      <c r="E383" s="110" t="str">
        <f t="shared" si="39"/>
        <v/>
      </c>
      <c r="F383" s="110" t="str">
        <f t="shared" si="40"/>
        <v/>
      </c>
      <c r="G383" s="197" t="str">
        <f t="shared" si="42"/>
        <v/>
      </c>
      <c r="H383" s="197"/>
      <c r="Q383" s="10" t="str">
        <f t="shared" si="36"/>
        <v/>
      </c>
    </row>
    <row r="384" spans="2:17" x14ac:dyDescent="0.25">
      <c r="B384" s="112" t="str">
        <f t="shared" si="41"/>
        <v/>
      </c>
      <c r="C384" s="9" t="str">
        <f t="shared" si="37"/>
        <v/>
      </c>
      <c r="D384" s="110" t="str">
        <f t="shared" si="38"/>
        <v/>
      </c>
      <c r="E384" s="110" t="str">
        <f t="shared" si="39"/>
        <v/>
      </c>
      <c r="F384" s="110" t="str">
        <f t="shared" si="40"/>
        <v/>
      </c>
      <c r="G384" s="197" t="str">
        <f t="shared" si="42"/>
        <v/>
      </c>
      <c r="H384" s="197"/>
      <c r="Q384" s="10" t="str">
        <f t="shared" si="36"/>
        <v/>
      </c>
    </row>
    <row r="385" spans="2:17" x14ac:dyDescent="0.25">
      <c r="B385" s="112" t="str">
        <f t="shared" si="41"/>
        <v/>
      </c>
      <c r="C385" s="9" t="str">
        <f t="shared" si="37"/>
        <v/>
      </c>
      <c r="D385" s="110" t="str">
        <f t="shared" si="38"/>
        <v/>
      </c>
      <c r="E385" s="110" t="str">
        <f t="shared" si="39"/>
        <v/>
      </c>
      <c r="F385" s="110" t="str">
        <f t="shared" si="40"/>
        <v/>
      </c>
      <c r="G385" s="197" t="str">
        <f t="shared" si="42"/>
        <v/>
      </c>
      <c r="H385" s="197"/>
      <c r="Q385" s="10" t="str">
        <f t="shared" si="36"/>
        <v/>
      </c>
    </row>
    <row r="386" spans="2:17" x14ac:dyDescent="0.25">
      <c r="B386" s="112" t="str">
        <f t="shared" si="41"/>
        <v/>
      </c>
      <c r="C386" s="9" t="str">
        <f t="shared" si="37"/>
        <v/>
      </c>
      <c r="D386" s="110" t="str">
        <f t="shared" si="38"/>
        <v/>
      </c>
      <c r="E386" s="110" t="str">
        <f t="shared" si="39"/>
        <v/>
      </c>
      <c r="F386" s="110" t="str">
        <f t="shared" si="40"/>
        <v/>
      </c>
      <c r="G386" s="197" t="str">
        <f t="shared" si="42"/>
        <v/>
      </c>
      <c r="H386" s="197"/>
      <c r="Q386" s="10" t="str">
        <f t="shared" si="36"/>
        <v/>
      </c>
    </row>
    <row r="387" spans="2:17" x14ac:dyDescent="0.25">
      <c r="B387" s="112" t="str">
        <f t="shared" si="41"/>
        <v/>
      </c>
      <c r="C387" s="9" t="str">
        <f t="shared" si="37"/>
        <v/>
      </c>
      <c r="D387" s="110" t="str">
        <f t="shared" si="38"/>
        <v/>
      </c>
      <c r="E387" s="110" t="str">
        <f t="shared" si="39"/>
        <v/>
      </c>
      <c r="F387" s="110" t="str">
        <f t="shared" si="40"/>
        <v/>
      </c>
      <c r="G387" s="197" t="str">
        <f t="shared" si="42"/>
        <v/>
      </c>
      <c r="H387" s="197"/>
      <c r="Q387" s="10" t="str">
        <f t="shared" si="36"/>
        <v/>
      </c>
    </row>
    <row r="388" spans="2:17" x14ac:dyDescent="0.25">
      <c r="B388" s="112" t="str">
        <f t="shared" si="41"/>
        <v/>
      </c>
      <c r="C388" s="9" t="str">
        <f t="shared" si="37"/>
        <v/>
      </c>
      <c r="D388" s="110" t="str">
        <f t="shared" si="38"/>
        <v/>
      </c>
      <c r="E388" s="110" t="str">
        <f t="shared" si="39"/>
        <v/>
      </c>
      <c r="F388" s="110" t="str">
        <f t="shared" si="40"/>
        <v/>
      </c>
      <c r="G388" s="197" t="str">
        <f t="shared" si="42"/>
        <v/>
      </c>
      <c r="H388" s="197"/>
      <c r="Q388" s="10" t="str">
        <f t="shared" si="36"/>
        <v/>
      </c>
    </row>
    <row r="389" spans="2:17" x14ac:dyDescent="0.25">
      <c r="B389" s="112" t="str">
        <f t="shared" si="41"/>
        <v/>
      </c>
      <c r="C389" s="9" t="str">
        <f t="shared" si="37"/>
        <v/>
      </c>
      <c r="D389" s="110" t="str">
        <f t="shared" si="38"/>
        <v/>
      </c>
      <c r="E389" s="110" t="str">
        <f t="shared" si="39"/>
        <v/>
      </c>
      <c r="F389" s="110" t="str">
        <f t="shared" si="40"/>
        <v/>
      </c>
      <c r="G389" s="197" t="str">
        <f t="shared" si="42"/>
        <v/>
      </c>
      <c r="H389" s="197"/>
      <c r="Q389" s="10" t="str">
        <f t="shared" si="36"/>
        <v/>
      </c>
    </row>
    <row r="390" spans="2:17" x14ac:dyDescent="0.25">
      <c r="B390" s="112" t="str">
        <f t="shared" si="41"/>
        <v/>
      </c>
      <c r="C390" s="9" t="str">
        <f t="shared" si="37"/>
        <v/>
      </c>
      <c r="D390" s="110" t="str">
        <f t="shared" si="38"/>
        <v/>
      </c>
      <c r="E390" s="110" t="str">
        <f t="shared" si="39"/>
        <v/>
      </c>
      <c r="F390" s="110" t="str">
        <f t="shared" si="40"/>
        <v/>
      </c>
      <c r="G390" s="197" t="str">
        <f t="shared" si="42"/>
        <v/>
      </c>
      <c r="H390" s="197"/>
      <c r="Q390" s="10" t="str">
        <f t="shared" si="36"/>
        <v/>
      </c>
    </row>
    <row r="391" spans="2:17" x14ac:dyDescent="0.25">
      <c r="B391" s="112" t="str">
        <f t="shared" si="41"/>
        <v/>
      </c>
      <c r="C391" s="9" t="str">
        <f t="shared" si="37"/>
        <v/>
      </c>
      <c r="D391" s="110" t="str">
        <f t="shared" si="38"/>
        <v/>
      </c>
      <c r="E391" s="110" t="str">
        <f t="shared" si="39"/>
        <v/>
      </c>
      <c r="F391" s="110" t="str">
        <f t="shared" si="40"/>
        <v/>
      </c>
      <c r="G391" s="197" t="str">
        <f t="shared" si="42"/>
        <v/>
      </c>
      <c r="H391" s="197"/>
      <c r="Q391" s="10" t="str">
        <f t="shared" si="36"/>
        <v/>
      </c>
    </row>
    <row r="392" spans="2:17" x14ac:dyDescent="0.25">
      <c r="B392" s="112" t="str">
        <f t="shared" si="41"/>
        <v/>
      </c>
      <c r="C392" s="9" t="str">
        <f t="shared" si="37"/>
        <v/>
      </c>
      <c r="D392" s="110" t="str">
        <f t="shared" si="38"/>
        <v/>
      </c>
      <c r="E392" s="110" t="str">
        <f t="shared" si="39"/>
        <v/>
      </c>
      <c r="F392" s="110" t="str">
        <f t="shared" si="40"/>
        <v/>
      </c>
      <c r="G392" s="197" t="str">
        <f t="shared" si="42"/>
        <v/>
      </c>
      <c r="H392" s="197"/>
      <c r="Q392" s="10" t="str">
        <f t="shared" si="36"/>
        <v/>
      </c>
    </row>
    <row r="393" spans="2:17" x14ac:dyDescent="0.25">
      <c r="B393" s="112" t="str">
        <f t="shared" si="41"/>
        <v/>
      </c>
      <c r="C393" s="9" t="str">
        <f t="shared" si="37"/>
        <v/>
      </c>
      <c r="D393" s="110" t="str">
        <f t="shared" si="38"/>
        <v/>
      </c>
      <c r="E393" s="110" t="str">
        <f t="shared" si="39"/>
        <v/>
      </c>
      <c r="F393" s="110" t="str">
        <f t="shared" si="40"/>
        <v/>
      </c>
      <c r="G393" s="197" t="str">
        <f t="shared" si="42"/>
        <v/>
      </c>
      <c r="H393" s="197"/>
      <c r="Q393" s="10" t="str">
        <f t="shared" si="36"/>
        <v/>
      </c>
    </row>
    <row r="394" spans="2:17" x14ac:dyDescent="0.25">
      <c r="B394" s="112" t="str">
        <f t="shared" si="41"/>
        <v/>
      </c>
      <c r="C394" s="9" t="str">
        <f t="shared" si="37"/>
        <v/>
      </c>
      <c r="D394" s="110" t="str">
        <f t="shared" si="38"/>
        <v/>
      </c>
      <c r="E394" s="110" t="str">
        <f t="shared" si="39"/>
        <v/>
      </c>
      <c r="F394" s="110" t="str">
        <f t="shared" si="40"/>
        <v/>
      </c>
      <c r="G394" s="197" t="str">
        <f t="shared" si="42"/>
        <v/>
      </c>
      <c r="H394" s="197"/>
      <c r="Q394" s="10" t="str">
        <f t="shared" si="36"/>
        <v/>
      </c>
    </row>
    <row r="395" spans="2:17" x14ac:dyDescent="0.25">
      <c r="B395" s="112" t="str">
        <f t="shared" si="41"/>
        <v/>
      </c>
      <c r="C395" s="9" t="str">
        <f t="shared" si="37"/>
        <v/>
      </c>
      <c r="D395" s="110" t="str">
        <f t="shared" si="38"/>
        <v/>
      </c>
      <c r="E395" s="110" t="str">
        <f t="shared" si="39"/>
        <v/>
      </c>
      <c r="F395" s="110" t="str">
        <f t="shared" si="40"/>
        <v/>
      </c>
      <c r="G395" s="197" t="str">
        <f t="shared" si="42"/>
        <v/>
      </c>
      <c r="H395" s="197"/>
      <c r="Q395" s="10" t="str">
        <f t="shared" ref="Q395:Q458" si="43">IF(AND(ISBLANK(O395),ISBLANK(P395)),"",IF(ISBLANK(P395), ROUND(Q394+O395,2), ROUND(Q394+P395,2)))</f>
        <v/>
      </c>
    </row>
    <row r="396" spans="2:17" x14ac:dyDescent="0.25">
      <c r="B396" s="112" t="str">
        <f t="shared" si="41"/>
        <v/>
      </c>
      <c r="C396" s="9" t="str">
        <f t="shared" si="37"/>
        <v/>
      </c>
      <c r="D396" s="110" t="str">
        <f t="shared" si="38"/>
        <v/>
      </c>
      <c r="E396" s="110" t="str">
        <f t="shared" si="39"/>
        <v/>
      </c>
      <c r="F396" s="110" t="str">
        <f t="shared" si="40"/>
        <v/>
      </c>
      <c r="G396" s="197" t="str">
        <f t="shared" si="42"/>
        <v/>
      </c>
      <c r="H396" s="197"/>
      <c r="Q396" s="10" t="str">
        <f t="shared" si="43"/>
        <v/>
      </c>
    </row>
    <row r="397" spans="2:17" x14ac:dyDescent="0.25">
      <c r="B397" s="112" t="str">
        <f t="shared" si="41"/>
        <v/>
      </c>
      <c r="C397" s="9" t="str">
        <f t="shared" si="37"/>
        <v/>
      </c>
      <c r="D397" s="110" t="str">
        <f t="shared" si="38"/>
        <v/>
      </c>
      <c r="E397" s="110" t="str">
        <f t="shared" si="39"/>
        <v/>
      </c>
      <c r="F397" s="110" t="str">
        <f t="shared" si="40"/>
        <v/>
      </c>
      <c r="G397" s="197" t="str">
        <f t="shared" si="42"/>
        <v/>
      </c>
      <c r="H397" s="197"/>
      <c r="Q397" s="10" t="str">
        <f t="shared" si="43"/>
        <v/>
      </c>
    </row>
    <row r="398" spans="2:17" x14ac:dyDescent="0.25">
      <c r="B398" s="112" t="str">
        <f t="shared" si="41"/>
        <v/>
      </c>
      <c r="C398" s="9" t="str">
        <f t="shared" si="37"/>
        <v/>
      </c>
      <c r="D398" s="110" t="str">
        <f t="shared" si="38"/>
        <v/>
      </c>
      <c r="E398" s="110" t="str">
        <f t="shared" si="39"/>
        <v/>
      </c>
      <c r="F398" s="110" t="str">
        <f t="shared" si="40"/>
        <v/>
      </c>
      <c r="G398" s="197" t="str">
        <f t="shared" si="42"/>
        <v/>
      </c>
      <c r="H398" s="197"/>
      <c r="Q398" s="10" t="str">
        <f t="shared" si="43"/>
        <v/>
      </c>
    </row>
    <row r="399" spans="2:17" x14ac:dyDescent="0.25">
      <c r="B399" s="112" t="str">
        <f t="shared" si="41"/>
        <v/>
      </c>
      <c r="C399" s="9" t="str">
        <f t="shared" si="37"/>
        <v/>
      </c>
      <c r="D399" s="110" t="str">
        <f t="shared" si="38"/>
        <v/>
      </c>
      <c r="E399" s="110" t="str">
        <f t="shared" si="39"/>
        <v/>
      </c>
      <c r="F399" s="110" t="str">
        <f t="shared" si="40"/>
        <v/>
      </c>
      <c r="G399" s="197" t="str">
        <f t="shared" si="42"/>
        <v/>
      </c>
      <c r="H399" s="197"/>
      <c r="Q399" s="10" t="str">
        <f t="shared" si="43"/>
        <v/>
      </c>
    </row>
    <row r="400" spans="2:17" x14ac:dyDescent="0.25">
      <c r="B400" s="112" t="str">
        <f t="shared" si="41"/>
        <v/>
      </c>
      <c r="C400" s="9" t="str">
        <f t="shared" si="37"/>
        <v/>
      </c>
      <c r="D400" s="110" t="str">
        <f t="shared" si="38"/>
        <v/>
      </c>
      <c r="E400" s="110" t="str">
        <f t="shared" si="39"/>
        <v/>
      </c>
      <c r="F400" s="110" t="str">
        <f t="shared" si="40"/>
        <v/>
      </c>
      <c r="G400" s="197" t="str">
        <f t="shared" si="42"/>
        <v/>
      </c>
      <c r="H400" s="197"/>
      <c r="Q400" s="10" t="str">
        <f t="shared" si="43"/>
        <v/>
      </c>
    </row>
    <row r="401" spans="2:17" x14ac:dyDescent="0.25">
      <c r="B401" s="112" t="str">
        <f t="shared" si="41"/>
        <v/>
      </c>
      <c r="C401" s="9" t="str">
        <f t="shared" si="37"/>
        <v/>
      </c>
      <c r="D401" s="110" t="str">
        <f t="shared" si="38"/>
        <v/>
      </c>
      <c r="E401" s="110" t="str">
        <f t="shared" si="39"/>
        <v/>
      </c>
      <c r="F401" s="110" t="str">
        <f t="shared" si="40"/>
        <v/>
      </c>
      <c r="G401" s="197" t="str">
        <f t="shared" si="42"/>
        <v/>
      </c>
      <c r="H401" s="197"/>
      <c r="Q401" s="10" t="str">
        <f t="shared" si="43"/>
        <v/>
      </c>
    </row>
    <row r="402" spans="2:17" x14ac:dyDescent="0.25">
      <c r="B402" s="112" t="str">
        <f t="shared" si="41"/>
        <v/>
      </c>
      <c r="C402" s="9" t="str">
        <f t="shared" si="37"/>
        <v/>
      </c>
      <c r="D402" s="110" t="str">
        <f t="shared" si="38"/>
        <v/>
      </c>
      <c r="E402" s="110" t="str">
        <f t="shared" si="39"/>
        <v/>
      </c>
      <c r="F402" s="110" t="str">
        <f t="shared" si="40"/>
        <v/>
      </c>
      <c r="G402" s="197" t="str">
        <f t="shared" si="42"/>
        <v/>
      </c>
      <c r="H402" s="197"/>
      <c r="Q402" s="10" t="str">
        <f t="shared" si="43"/>
        <v/>
      </c>
    </row>
    <row r="403" spans="2:17" x14ac:dyDescent="0.25">
      <c r="B403" s="112" t="str">
        <f t="shared" si="41"/>
        <v/>
      </c>
      <c r="C403" s="9" t="str">
        <f t="shared" si="37"/>
        <v/>
      </c>
      <c r="D403" s="110" t="str">
        <f t="shared" si="38"/>
        <v/>
      </c>
      <c r="E403" s="110" t="str">
        <f t="shared" si="39"/>
        <v/>
      </c>
      <c r="F403" s="110" t="str">
        <f t="shared" si="40"/>
        <v/>
      </c>
      <c r="G403" s="197" t="str">
        <f t="shared" si="42"/>
        <v/>
      </c>
      <c r="H403" s="197"/>
      <c r="Q403" s="10" t="str">
        <f t="shared" si="43"/>
        <v/>
      </c>
    </row>
    <row r="404" spans="2:17" x14ac:dyDescent="0.25">
      <c r="B404" s="112" t="str">
        <f t="shared" si="41"/>
        <v/>
      </c>
      <c r="C404" s="9" t="str">
        <f t="shared" si="37"/>
        <v/>
      </c>
      <c r="D404" s="110" t="str">
        <f t="shared" si="38"/>
        <v/>
      </c>
      <c r="E404" s="110" t="str">
        <f t="shared" si="39"/>
        <v/>
      </c>
      <c r="F404" s="110" t="str">
        <f t="shared" si="40"/>
        <v/>
      </c>
      <c r="G404" s="197" t="str">
        <f t="shared" si="42"/>
        <v/>
      </c>
      <c r="H404" s="197"/>
      <c r="Q404" s="10" t="str">
        <f t="shared" si="43"/>
        <v/>
      </c>
    </row>
    <row r="405" spans="2:17" x14ac:dyDescent="0.25">
      <c r="B405" s="112" t="str">
        <f t="shared" si="41"/>
        <v/>
      </c>
      <c r="C405" s="9" t="str">
        <f t="shared" si="37"/>
        <v/>
      </c>
      <c r="D405" s="110" t="str">
        <f t="shared" si="38"/>
        <v/>
      </c>
      <c r="E405" s="110" t="str">
        <f t="shared" si="39"/>
        <v/>
      </c>
      <c r="F405" s="110" t="str">
        <f t="shared" si="40"/>
        <v/>
      </c>
      <c r="G405" s="197" t="str">
        <f t="shared" si="42"/>
        <v/>
      </c>
      <c r="H405" s="197"/>
      <c r="Q405" s="10" t="str">
        <f t="shared" si="43"/>
        <v/>
      </c>
    </row>
    <row r="406" spans="2:17" x14ac:dyDescent="0.25">
      <c r="B406" s="112" t="str">
        <f t="shared" si="41"/>
        <v/>
      </c>
      <c r="C406" s="9" t="str">
        <f t="shared" si="37"/>
        <v/>
      </c>
      <c r="D406" s="110" t="str">
        <f t="shared" si="38"/>
        <v/>
      </c>
      <c r="E406" s="110" t="str">
        <f t="shared" si="39"/>
        <v/>
      </c>
      <c r="F406" s="110" t="str">
        <f t="shared" si="40"/>
        <v/>
      </c>
      <c r="G406" s="197" t="str">
        <f t="shared" si="42"/>
        <v/>
      </c>
      <c r="H406" s="197"/>
      <c r="Q406" s="10" t="str">
        <f t="shared" si="43"/>
        <v/>
      </c>
    </row>
    <row r="407" spans="2:17" x14ac:dyDescent="0.25">
      <c r="B407" s="112" t="str">
        <f t="shared" si="41"/>
        <v/>
      </c>
      <c r="C407" s="9" t="str">
        <f t="shared" ref="C407:C470" si="44">IFERROR(SUM($C$8-ABS(D407)),"")</f>
        <v/>
      </c>
      <c r="D407" s="110" t="str">
        <f t="shared" ref="D407:D470" si="45">IF(G407&lt;&gt;"",PMT($F$2/12,$C$14,ABS($I$2)),"")</f>
        <v/>
      </c>
      <c r="E407" s="110" t="str">
        <f t="shared" ref="E407:E470" si="46">IFERROR(IPMT($F$2/12, B407, $C$14, ABS($I$2)),"")</f>
        <v/>
      </c>
      <c r="F407" s="110" t="str">
        <f t="shared" ref="F407:F470" si="47">IFERROR(PPMT($F$2/12, B407, $C$14, ABS($I$2)),"")</f>
        <v/>
      </c>
      <c r="G407" s="197" t="str">
        <f t="shared" si="42"/>
        <v/>
      </c>
      <c r="H407" s="197"/>
      <c r="Q407" s="10" t="str">
        <f t="shared" si="43"/>
        <v/>
      </c>
    </row>
    <row r="408" spans="2:17" x14ac:dyDescent="0.25">
      <c r="B408" s="112" t="str">
        <f t="shared" ref="B408:B471" si="48">IF(B407&gt;=$C$14,"",SUM(B407+1))</f>
        <v/>
      </c>
      <c r="C408" s="9" t="str">
        <f t="shared" si="44"/>
        <v/>
      </c>
      <c r="D408" s="110" t="str">
        <f t="shared" si="45"/>
        <v/>
      </c>
      <c r="E408" s="110" t="str">
        <f t="shared" si="46"/>
        <v/>
      </c>
      <c r="F408" s="110" t="str">
        <f t="shared" si="47"/>
        <v/>
      </c>
      <c r="G408" s="197" t="str">
        <f t="shared" ref="G408:G471" si="49">IFERROR(G407+F408,"")</f>
        <v/>
      </c>
      <c r="H408" s="197"/>
      <c r="Q408" s="10" t="str">
        <f t="shared" si="43"/>
        <v/>
      </c>
    </row>
    <row r="409" spans="2:17" x14ac:dyDescent="0.25">
      <c r="B409" s="112" t="str">
        <f t="shared" si="48"/>
        <v/>
      </c>
      <c r="C409" s="9" t="str">
        <f t="shared" si="44"/>
        <v/>
      </c>
      <c r="D409" s="110" t="str">
        <f t="shared" si="45"/>
        <v/>
      </c>
      <c r="E409" s="110" t="str">
        <f t="shared" si="46"/>
        <v/>
      </c>
      <c r="F409" s="110" t="str">
        <f t="shared" si="47"/>
        <v/>
      </c>
      <c r="G409" s="197" t="str">
        <f t="shared" si="49"/>
        <v/>
      </c>
      <c r="H409" s="197"/>
      <c r="Q409" s="10" t="str">
        <f t="shared" si="43"/>
        <v/>
      </c>
    </row>
    <row r="410" spans="2:17" x14ac:dyDescent="0.25">
      <c r="B410" s="112" t="str">
        <f t="shared" si="48"/>
        <v/>
      </c>
      <c r="C410" s="9" t="str">
        <f t="shared" si="44"/>
        <v/>
      </c>
      <c r="D410" s="110" t="str">
        <f t="shared" si="45"/>
        <v/>
      </c>
      <c r="E410" s="110" t="str">
        <f t="shared" si="46"/>
        <v/>
      </c>
      <c r="F410" s="110" t="str">
        <f t="shared" si="47"/>
        <v/>
      </c>
      <c r="G410" s="197" t="str">
        <f t="shared" si="49"/>
        <v/>
      </c>
      <c r="H410" s="197"/>
      <c r="Q410" s="10" t="str">
        <f t="shared" si="43"/>
        <v/>
      </c>
    </row>
    <row r="411" spans="2:17" x14ac:dyDescent="0.25">
      <c r="B411" s="112" t="str">
        <f t="shared" si="48"/>
        <v/>
      </c>
      <c r="C411" s="9" t="str">
        <f t="shared" si="44"/>
        <v/>
      </c>
      <c r="D411" s="110" t="str">
        <f t="shared" si="45"/>
        <v/>
      </c>
      <c r="E411" s="110" t="str">
        <f t="shared" si="46"/>
        <v/>
      </c>
      <c r="F411" s="110" t="str">
        <f t="shared" si="47"/>
        <v/>
      </c>
      <c r="G411" s="197" t="str">
        <f t="shared" si="49"/>
        <v/>
      </c>
      <c r="H411" s="197"/>
      <c r="Q411" s="10" t="str">
        <f t="shared" si="43"/>
        <v/>
      </c>
    </row>
    <row r="412" spans="2:17" x14ac:dyDescent="0.25">
      <c r="B412" s="112" t="str">
        <f t="shared" si="48"/>
        <v/>
      </c>
      <c r="C412" s="9" t="str">
        <f t="shared" si="44"/>
        <v/>
      </c>
      <c r="D412" s="110" t="str">
        <f t="shared" si="45"/>
        <v/>
      </c>
      <c r="E412" s="110" t="str">
        <f t="shared" si="46"/>
        <v/>
      </c>
      <c r="F412" s="110" t="str">
        <f t="shared" si="47"/>
        <v/>
      </c>
      <c r="G412" s="197" t="str">
        <f t="shared" si="49"/>
        <v/>
      </c>
      <c r="H412" s="197"/>
      <c r="Q412" s="10" t="str">
        <f t="shared" si="43"/>
        <v/>
      </c>
    </row>
    <row r="413" spans="2:17" x14ac:dyDescent="0.25">
      <c r="B413" s="112" t="str">
        <f t="shared" si="48"/>
        <v/>
      </c>
      <c r="C413" s="9" t="str">
        <f t="shared" si="44"/>
        <v/>
      </c>
      <c r="D413" s="110" t="str">
        <f t="shared" si="45"/>
        <v/>
      </c>
      <c r="E413" s="110" t="str">
        <f t="shared" si="46"/>
        <v/>
      </c>
      <c r="F413" s="110" t="str">
        <f t="shared" si="47"/>
        <v/>
      </c>
      <c r="G413" s="197" t="str">
        <f t="shared" si="49"/>
        <v/>
      </c>
      <c r="H413" s="197"/>
      <c r="Q413" s="10" t="str">
        <f t="shared" si="43"/>
        <v/>
      </c>
    </row>
    <row r="414" spans="2:17" x14ac:dyDescent="0.25">
      <c r="B414" s="112" t="str">
        <f t="shared" si="48"/>
        <v/>
      </c>
      <c r="C414" s="9" t="str">
        <f t="shared" si="44"/>
        <v/>
      </c>
      <c r="D414" s="110" t="str">
        <f t="shared" si="45"/>
        <v/>
      </c>
      <c r="E414" s="110" t="str">
        <f t="shared" si="46"/>
        <v/>
      </c>
      <c r="F414" s="110" t="str">
        <f t="shared" si="47"/>
        <v/>
      </c>
      <c r="G414" s="197" t="str">
        <f t="shared" si="49"/>
        <v/>
      </c>
      <c r="H414" s="197"/>
      <c r="Q414" s="10" t="str">
        <f t="shared" si="43"/>
        <v/>
      </c>
    </row>
    <row r="415" spans="2:17" x14ac:dyDescent="0.25">
      <c r="B415" s="112" t="str">
        <f t="shared" si="48"/>
        <v/>
      </c>
      <c r="C415" s="9" t="str">
        <f t="shared" si="44"/>
        <v/>
      </c>
      <c r="D415" s="110" t="str">
        <f t="shared" si="45"/>
        <v/>
      </c>
      <c r="E415" s="110" t="str">
        <f t="shared" si="46"/>
        <v/>
      </c>
      <c r="F415" s="110" t="str">
        <f t="shared" si="47"/>
        <v/>
      </c>
      <c r="G415" s="197" t="str">
        <f t="shared" si="49"/>
        <v/>
      </c>
      <c r="H415" s="197"/>
      <c r="Q415" s="10" t="str">
        <f t="shared" si="43"/>
        <v/>
      </c>
    </row>
    <row r="416" spans="2:17" x14ac:dyDescent="0.25">
      <c r="B416" s="112" t="str">
        <f t="shared" si="48"/>
        <v/>
      </c>
      <c r="C416" s="9" t="str">
        <f t="shared" si="44"/>
        <v/>
      </c>
      <c r="D416" s="110" t="str">
        <f t="shared" si="45"/>
        <v/>
      </c>
      <c r="E416" s="110" t="str">
        <f t="shared" si="46"/>
        <v/>
      </c>
      <c r="F416" s="110" t="str">
        <f t="shared" si="47"/>
        <v/>
      </c>
      <c r="G416" s="197" t="str">
        <f t="shared" si="49"/>
        <v/>
      </c>
      <c r="H416" s="197"/>
      <c r="Q416" s="10" t="str">
        <f t="shared" si="43"/>
        <v/>
      </c>
    </row>
    <row r="417" spans="2:17" x14ac:dyDescent="0.25">
      <c r="B417" s="112" t="str">
        <f t="shared" si="48"/>
        <v/>
      </c>
      <c r="C417" s="9" t="str">
        <f t="shared" si="44"/>
        <v/>
      </c>
      <c r="D417" s="110" t="str">
        <f t="shared" si="45"/>
        <v/>
      </c>
      <c r="E417" s="110" t="str">
        <f t="shared" si="46"/>
        <v/>
      </c>
      <c r="F417" s="110" t="str">
        <f t="shared" si="47"/>
        <v/>
      </c>
      <c r="G417" s="197" t="str">
        <f t="shared" si="49"/>
        <v/>
      </c>
      <c r="H417" s="197"/>
      <c r="Q417" s="10" t="str">
        <f t="shared" si="43"/>
        <v/>
      </c>
    </row>
    <row r="418" spans="2:17" x14ac:dyDescent="0.25">
      <c r="B418" s="112" t="str">
        <f t="shared" si="48"/>
        <v/>
      </c>
      <c r="C418" s="9" t="str">
        <f t="shared" si="44"/>
        <v/>
      </c>
      <c r="D418" s="110" t="str">
        <f t="shared" si="45"/>
        <v/>
      </c>
      <c r="E418" s="110" t="str">
        <f t="shared" si="46"/>
        <v/>
      </c>
      <c r="F418" s="110" t="str">
        <f t="shared" si="47"/>
        <v/>
      </c>
      <c r="G418" s="197" t="str">
        <f t="shared" si="49"/>
        <v/>
      </c>
      <c r="H418" s="197"/>
      <c r="Q418" s="10" t="str">
        <f t="shared" si="43"/>
        <v/>
      </c>
    </row>
    <row r="419" spans="2:17" x14ac:dyDescent="0.25">
      <c r="B419" s="112" t="str">
        <f t="shared" si="48"/>
        <v/>
      </c>
      <c r="C419" s="9" t="str">
        <f t="shared" si="44"/>
        <v/>
      </c>
      <c r="D419" s="110" t="str">
        <f t="shared" si="45"/>
        <v/>
      </c>
      <c r="E419" s="110" t="str">
        <f t="shared" si="46"/>
        <v/>
      </c>
      <c r="F419" s="110" t="str">
        <f t="shared" si="47"/>
        <v/>
      </c>
      <c r="G419" s="197" t="str">
        <f t="shared" si="49"/>
        <v/>
      </c>
      <c r="H419" s="197"/>
      <c r="Q419" s="10" t="str">
        <f t="shared" si="43"/>
        <v/>
      </c>
    </row>
    <row r="420" spans="2:17" x14ac:dyDescent="0.25">
      <c r="B420" s="112" t="str">
        <f t="shared" si="48"/>
        <v/>
      </c>
      <c r="C420" s="9" t="str">
        <f t="shared" si="44"/>
        <v/>
      </c>
      <c r="D420" s="110" t="str">
        <f t="shared" si="45"/>
        <v/>
      </c>
      <c r="E420" s="110" t="str">
        <f t="shared" si="46"/>
        <v/>
      </c>
      <c r="F420" s="110" t="str">
        <f t="shared" si="47"/>
        <v/>
      </c>
      <c r="G420" s="197" t="str">
        <f t="shared" si="49"/>
        <v/>
      </c>
      <c r="H420" s="197"/>
      <c r="Q420" s="10" t="str">
        <f t="shared" si="43"/>
        <v/>
      </c>
    </row>
    <row r="421" spans="2:17" x14ac:dyDescent="0.25">
      <c r="B421" s="112" t="str">
        <f t="shared" si="48"/>
        <v/>
      </c>
      <c r="C421" s="9" t="str">
        <f t="shared" si="44"/>
        <v/>
      </c>
      <c r="D421" s="110" t="str">
        <f t="shared" si="45"/>
        <v/>
      </c>
      <c r="E421" s="110" t="str">
        <f t="shared" si="46"/>
        <v/>
      </c>
      <c r="F421" s="110" t="str">
        <f t="shared" si="47"/>
        <v/>
      </c>
      <c r="G421" s="197" t="str">
        <f t="shared" si="49"/>
        <v/>
      </c>
      <c r="H421" s="197"/>
      <c r="Q421" s="10" t="str">
        <f t="shared" si="43"/>
        <v/>
      </c>
    </row>
    <row r="422" spans="2:17" x14ac:dyDescent="0.25">
      <c r="B422" s="112" t="str">
        <f t="shared" si="48"/>
        <v/>
      </c>
      <c r="C422" s="9" t="str">
        <f t="shared" si="44"/>
        <v/>
      </c>
      <c r="D422" s="110" t="str">
        <f t="shared" si="45"/>
        <v/>
      </c>
      <c r="E422" s="110" t="str">
        <f t="shared" si="46"/>
        <v/>
      </c>
      <c r="F422" s="110" t="str">
        <f t="shared" si="47"/>
        <v/>
      </c>
      <c r="G422" s="197" t="str">
        <f t="shared" si="49"/>
        <v/>
      </c>
      <c r="H422" s="197"/>
      <c r="Q422" s="10" t="str">
        <f t="shared" si="43"/>
        <v/>
      </c>
    </row>
    <row r="423" spans="2:17" x14ac:dyDescent="0.25">
      <c r="B423" s="112" t="str">
        <f t="shared" si="48"/>
        <v/>
      </c>
      <c r="C423" s="9" t="str">
        <f t="shared" si="44"/>
        <v/>
      </c>
      <c r="D423" s="110" t="str">
        <f t="shared" si="45"/>
        <v/>
      </c>
      <c r="E423" s="110" t="str">
        <f t="shared" si="46"/>
        <v/>
      </c>
      <c r="F423" s="110" t="str">
        <f t="shared" si="47"/>
        <v/>
      </c>
      <c r="G423" s="197" t="str">
        <f t="shared" si="49"/>
        <v/>
      </c>
      <c r="H423" s="197"/>
      <c r="Q423" s="10" t="str">
        <f t="shared" si="43"/>
        <v/>
      </c>
    </row>
    <row r="424" spans="2:17" x14ac:dyDescent="0.25">
      <c r="B424" s="112" t="str">
        <f t="shared" si="48"/>
        <v/>
      </c>
      <c r="C424" s="9" t="str">
        <f t="shared" si="44"/>
        <v/>
      </c>
      <c r="D424" s="110" t="str">
        <f t="shared" si="45"/>
        <v/>
      </c>
      <c r="E424" s="110" t="str">
        <f t="shared" si="46"/>
        <v/>
      </c>
      <c r="F424" s="110" t="str">
        <f t="shared" si="47"/>
        <v/>
      </c>
      <c r="G424" s="197" t="str">
        <f t="shared" si="49"/>
        <v/>
      </c>
      <c r="H424" s="197"/>
      <c r="Q424" s="10" t="str">
        <f t="shared" si="43"/>
        <v/>
      </c>
    </row>
    <row r="425" spans="2:17" x14ac:dyDescent="0.25">
      <c r="B425" s="112" t="str">
        <f t="shared" si="48"/>
        <v/>
      </c>
      <c r="C425" s="9" t="str">
        <f t="shared" si="44"/>
        <v/>
      </c>
      <c r="D425" s="110" t="str">
        <f t="shared" si="45"/>
        <v/>
      </c>
      <c r="E425" s="110" t="str">
        <f t="shared" si="46"/>
        <v/>
      </c>
      <c r="F425" s="110" t="str">
        <f t="shared" si="47"/>
        <v/>
      </c>
      <c r="G425" s="197" t="str">
        <f t="shared" si="49"/>
        <v/>
      </c>
      <c r="H425" s="197"/>
      <c r="Q425" s="10" t="str">
        <f t="shared" si="43"/>
        <v/>
      </c>
    </row>
    <row r="426" spans="2:17" x14ac:dyDescent="0.25">
      <c r="B426" s="112" t="str">
        <f t="shared" si="48"/>
        <v/>
      </c>
      <c r="C426" s="9" t="str">
        <f t="shared" si="44"/>
        <v/>
      </c>
      <c r="D426" s="110" t="str">
        <f t="shared" si="45"/>
        <v/>
      </c>
      <c r="E426" s="110" t="str">
        <f t="shared" si="46"/>
        <v/>
      </c>
      <c r="F426" s="110" t="str">
        <f t="shared" si="47"/>
        <v/>
      </c>
      <c r="G426" s="197" t="str">
        <f t="shared" si="49"/>
        <v/>
      </c>
      <c r="H426" s="197"/>
      <c r="Q426" s="10" t="str">
        <f t="shared" si="43"/>
        <v/>
      </c>
    </row>
    <row r="427" spans="2:17" x14ac:dyDescent="0.25">
      <c r="B427" s="112" t="str">
        <f t="shared" si="48"/>
        <v/>
      </c>
      <c r="C427" s="9" t="str">
        <f t="shared" si="44"/>
        <v/>
      </c>
      <c r="D427" s="110" t="str">
        <f t="shared" si="45"/>
        <v/>
      </c>
      <c r="E427" s="110" t="str">
        <f t="shared" si="46"/>
        <v/>
      </c>
      <c r="F427" s="110" t="str">
        <f t="shared" si="47"/>
        <v/>
      </c>
      <c r="G427" s="197" t="str">
        <f t="shared" si="49"/>
        <v/>
      </c>
      <c r="H427" s="197"/>
      <c r="Q427" s="10" t="str">
        <f t="shared" si="43"/>
        <v/>
      </c>
    </row>
    <row r="428" spans="2:17" x14ac:dyDescent="0.25">
      <c r="B428" s="112" t="str">
        <f t="shared" si="48"/>
        <v/>
      </c>
      <c r="C428" s="9" t="str">
        <f t="shared" si="44"/>
        <v/>
      </c>
      <c r="D428" s="110" t="str">
        <f t="shared" si="45"/>
        <v/>
      </c>
      <c r="E428" s="110" t="str">
        <f t="shared" si="46"/>
        <v/>
      </c>
      <c r="F428" s="110" t="str">
        <f t="shared" si="47"/>
        <v/>
      </c>
      <c r="G428" s="197" t="str">
        <f t="shared" si="49"/>
        <v/>
      </c>
      <c r="H428" s="197"/>
      <c r="Q428" s="10" t="str">
        <f t="shared" si="43"/>
        <v/>
      </c>
    </row>
    <row r="429" spans="2:17" x14ac:dyDescent="0.25">
      <c r="B429" s="112" t="str">
        <f t="shared" si="48"/>
        <v/>
      </c>
      <c r="C429" s="9" t="str">
        <f t="shared" si="44"/>
        <v/>
      </c>
      <c r="D429" s="110" t="str">
        <f t="shared" si="45"/>
        <v/>
      </c>
      <c r="E429" s="110" t="str">
        <f t="shared" si="46"/>
        <v/>
      </c>
      <c r="F429" s="110" t="str">
        <f t="shared" si="47"/>
        <v/>
      </c>
      <c r="G429" s="197" t="str">
        <f t="shared" si="49"/>
        <v/>
      </c>
      <c r="H429" s="197"/>
      <c r="Q429" s="10" t="str">
        <f t="shared" si="43"/>
        <v/>
      </c>
    </row>
    <row r="430" spans="2:17" x14ac:dyDescent="0.25">
      <c r="B430" s="112" t="str">
        <f t="shared" si="48"/>
        <v/>
      </c>
      <c r="C430" s="9" t="str">
        <f t="shared" si="44"/>
        <v/>
      </c>
      <c r="D430" s="110" t="str">
        <f t="shared" si="45"/>
        <v/>
      </c>
      <c r="E430" s="110" t="str">
        <f t="shared" si="46"/>
        <v/>
      </c>
      <c r="F430" s="110" t="str">
        <f t="shared" si="47"/>
        <v/>
      </c>
      <c r="G430" s="197" t="str">
        <f t="shared" si="49"/>
        <v/>
      </c>
      <c r="H430" s="197"/>
      <c r="Q430" s="10" t="str">
        <f t="shared" si="43"/>
        <v/>
      </c>
    </row>
    <row r="431" spans="2:17" x14ac:dyDescent="0.25">
      <c r="B431" s="112" t="str">
        <f t="shared" si="48"/>
        <v/>
      </c>
      <c r="C431" s="9" t="str">
        <f t="shared" si="44"/>
        <v/>
      </c>
      <c r="D431" s="110" t="str">
        <f t="shared" si="45"/>
        <v/>
      </c>
      <c r="E431" s="110" t="str">
        <f t="shared" si="46"/>
        <v/>
      </c>
      <c r="F431" s="110" t="str">
        <f t="shared" si="47"/>
        <v/>
      </c>
      <c r="G431" s="197" t="str">
        <f t="shared" si="49"/>
        <v/>
      </c>
      <c r="H431" s="197"/>
      <c r="Q431" s="10" t="str">
        <f t="shared" si="43"/>
        <v/>
      </c>
    </row>
    <row r="432" spans="2:17" x14ac:dyDescent="0.25">
      <c r="B432" s="112" t="str">
        <f t="shared" si="48"/>
        <v/>
      </c>
      <c r="C432" s="9" t="str">
        <f t="shared" si="44"/>
        <v/>
      </c>
      <c r="D432" s="110" t="str">
        <f t="shared" si="45"/>
        <v/>
      </c>
      <c r="E432" s="110" t="str">
        <f t="shared" si="46"/>
        <v/>
      </c>
      <c r="F432" s="110" t="str">
        <f t="shared" si="47"/>
        <v/>
      </c>
      <c r="G432" s="197" t="str">
        <f t="shared" si="49"/>
        <v/>
      </c>
      <c r="H432" s="197"/>
      <c r="Q432" s="10" t="str">
        <f t="shared" si="43"/>
        <v/>
      </c>
    </row>
    <row r="433" spans="2:17" x14ac:dyDescent="0.25">
      <c r="B433" s="112" t="str">
        <f t="shared" si="48"/>
        <v/>
      </c>
      <c r="C433" s="9" t="str">
        <f t="shared" si="44"/>
        <v/>
      </c>
      <c r="D433" s="110" t="str">
        <f t="shared" si="45"/>
        <v/>
      </c>
      <c r="E433" s="110" t="str">
        <f t="shared" si="46"/>
        <v/>
      </c>
      <c r="F433" s="110" t="str">
        <f t="shared" si="47"/>
        <v/>
      </c>
      <c r="G433" s="197" t="str">
        <f t="shared" si="49"/>
        <v/>
      </c>
      <c r="H433" s="197"/>
      <c r="Q433" s="10" t="str">
        <f t="shared" si="43"/>
        <v/>
      </c>
    </row>
    <row r="434" spans="2:17" x14ac:dyDescent="0.25">
      <c r="B434" s="112" t="str">
        <f t="shared" si="48"/>
        <v/>
      </c>
      <c r="C434" s="9" t="str">
        <f t="shared" si="44"/>
        <v/>
      </c>
      <c r="D434" s="110" t="str">
        <f t="shared" si="45"/>
        <v/>
      </c>
      <c r="E434" s="110" t="str">
        <f t="shared" si="46"/>
        <v/>
      </c>
      <c r="F434" s="110" t="str">
        <f t="shared" si="47"/>
        <v/>
      </c>
      <c r="G434" s="197" t="str">
        <f t="shared" si="49"/>
        <v/>
      </c>
      <c r="H434" s="197"/>
      <c r="Q434" s="10" t="str">
        <f t="shared" si="43"/>
        <v/>
      </c>
    </row>
    <row r="435" spans="2:17" x14ac:dyDescent="0.25">
      <c r="B435" s="112" t="str">
        <f t="shared" si="48"/>
        <v/>
      </c>
      <c r="C435" s="9" t="str">
        <f t="shared" si="44"/>
        <v/>
      </c>
      <c r="D435" s="110" t="str">
        <f t="shared" si="45"/>
        <v/>
      </c>
      <c r="E435" s="110" t="str">
        <f t="shared" si="46"/>
        <v/>
      </c>
      <c r="F435" s="110" t="str">
        <f t="shared" si="47"/>
        <v/>
      </c>
      <c r="G435" s="197" t="str">
        <f t="shared" si="49"/>
        <v/>
      </c>
      <c r="H435" s="197"/>
      <c r="Q435" s="10" t="str">
        <f t="shared" si="43"/>
        <v/>
      </c>
    </row>
    <row r="436" spans="2:17" x14ac:dyDescent="0.25">
      <c r="B436" s="112" t="str">
        <f t="shared" si="48"/>
        <v/>
      </c>
      <c r="C436" s="9" t="str">
        <f t="shared" si="44"/>
        <v/>
      </c>
      <c r="D436" s="110" t="str">
        <f t="shared" si="45"/>
        <v/>
      </c>
      <c r="E436" s="110" t="str">
        <f t="shared" si="46"/>
        <v/>
      </c>
      <c r="F436" s="110" t="str">
        <f t="shared" si="47"/>
        <v/>
      </c>
      <c r="G436" s="197" t="str">
        <f t="shared" si="49"/>
        <v/>
      </c>
      <c r="H436" s="197"/>
      <c r="Q436" s="10" t="str">
        <f t="shared" si="43"/>
        <v/>
      </c>
    </row>
    <row r="437" spans="2:17" x14ac:dyDescent="0.25">
      <c r="B437" s="112" t="str">
        <f t="shared" si="48"/>
        <v/>
      </c>
      <c r="C437" s="9" t="str">
        <f t="shared" si="44"/>
        <v/>
      </c>
      <c r="D437" s="110" t="str">
        <f t="shared" si="45"/>
        <v/>
      </c>
      <c r="E437" s="110" t="str">
        <f t="shared" si="46"/>
        <v/>
      </c>
      <c r="F437" s="110" t="str">
        <f t="shared" si="47"/>
        <v/>
      </c>
      <c r="G437" s="197" t="str">
        <f t="shared" si="49"/>
        <v/>
      </c>
      <c r="H437" s="197"/>
      <c r="Q437" s="10" t="str">
        <f t="shared" si="43"/>
        <v/>
      </c>
    </row>
    <row r="438" spans="2:17" x14ac:dyDescent="0.25">
      <c r="B438" s="112" t="str">
        <f t="shared" si="48"/>
        <v/>
      </c>
      <c r="C438" s="9" t="str">
        <f t="shared" si="44"/>
        <v/>
      </c>
      <c r="D438" s="110" t="str">
        <f t="shared" si="45"/>
        <v/>
      </c>
      <c r="E438" s="110" t="str">
        <f t="shared" si="46"/>
        <v/>
      </c>
      <c r="F438" s="110" t="str">
        <f t="shared" si="47"/>
        <v/>
      </c>
      <c r="G438" s="197" t="str">
        <f t="shared" si="49"/>
        <v/>
      </c>
      <c r="H438" s="197"/>
      <c r="Q438" s="10" t="str">
        <f t="shared" si="43"/>
        <v/>
      </c>
    </row>
    <row r="439" spans="2:17" x14ac:dyDescent="0.25">
      <c r="B439" s="112" t="str">
        <f t="shared" si="48"/>
        <v/>
      </c>
      <c r="C439" s="9" t="str">
        <f t="shared" si="44"/>
        <v/>
      </c>
      <c r="D439" s="110" t="str">
        <f t="shared" si="45"/>
        <v/>
      </c>
      <c r="E439" s="110" t="str">
        <f t="shared" si="46"/>
        <v/>
      </c>
      <c r="F439" s="110" t="str">
        <f t="shared" si="47"/>
        <v/>
      </c>
      <c r="G439" s="197" t="str">
        <f t="shared" si="49"/>
        <v/>
      </c>
      <c r="H439" s="197"/>
      <c r="Q439" s="10" t="str">
        <f t="shared" si="43"/>
        <v/>
      </c>
    </row>
    <row r="440" spans="2:17" x14ac:dyDescent="0.25">
      <c r="B440" s="112" t="str">
        <f t="shared" si="48"/>
        <v/>
      </c>
      <c r="C440" s="9" t="str">
        <f t="shared" si="44"/>
        <v/>
      </c>
      <c r="D440" s="110" t="str">
        <f t="shared" si="45"/>
        <v/>
      </c>
      <c r="E440" s="110" t="str">
        <f t="shared" si="46"/>
        <v/>
      </c>
      <c r="F440" s="110" t="str">
        <f t="shared" si="47"/>
        <v/>
      </c>
      <c r="G440" s="197" t="str">
        <f t="shared" si="49"/>
        <v/>
      </c>
      <c r="H440" s="197"/>
      <c r="Q440" s="10" t="str">
        <f t="shared" si="43"/>
        <v/>
      </c>
    </row>
    <row r="441" spans="2:17" x14ac:dyDescent="0.25">
      <c r="B441" s="112" t="str">
        <f t="shared" si="48"/>
        <v/>
      </c>
      <c r="C441" s="9" t="str">
        <f t="shared" si="44"/>
        <v/>
      </c>
      <c r="D441" s="110" t="str">
        <f t="shared" si="45"/>
        <v/>
      </c>
      <c r="E441" s="110" t="str">
        <f t="shared" si="46"/>
        <v/>
      </c>
      <c r="F441" s="110" t="str">
        <f t="shared" si="47"/>
        <v/>
      </c>
      <c r="G441" s="197" t="str">
        <f t="shared" si="49"/>
        <v/>
      </c>
      <c r="H441" s="197"/>
      <c r="Q441" s="10" t="str">
        <f t="shared" si="43"/>
        <v/>
      </c>
    </row>
    <row r="442" spans="2:17" x14ac:dyDescent="0.25">
      <c r="B442" s="112" t="str">
        <f t="shared" si="48"/>
        <v/>
      </c>
      <c r="C442" s="9" t="str">
        <f t="shared" si="44"/>
        <v/>
      </c>
      <c r="D442" s="110" t="str">
        <f t="shared" si="45"/>
        <v/>
      </c>
      <c r="E442" s="110" t="str">
        <f t="shared" si="46"/>
        <v/>
      </c>
      <c r="F442" s="110" t="str">
        <f t="shared" si="47"/>
        <v/>
      </c>
      <c r="G442" s="197" t="str">
        <f t="shared" si="49"/>
        <v/>
      </c>
      <c r="H442" s="197"/>
      <c r="Q442" s="10" t="str">
        <f t="shared" si="43"/>
        <v/>
      </c>
    </row>
    <row r="443" spans="2:17" x14ac:dyDescent="0.25">
      <c r="B443" s="112" t="str">
        <f t="shared" si="48"/>
        <v/>
      </c>
      <c r="C443" s="9" t="str">
        <f t="shared" si="44"/>
        <v/>
      </c>
      <c r="D443" s="110" t="str">
        <f t="shared" si="45"/>
        <v/>
      </c>
      <c r="E443" s="110" t="str">
        <f t="shared" si="46"/>
        <v/>
      </c>
      <c r="F443" s="110" t="str">
        <f t="shared" si="47"/>
        <v/>
      </c>
      <c r="G443" s="197" t="str">
        <f t="shared" si="49"/>
        <v/>
      </c>
      <c r="H443" s="197"/>
      <c r="Q443" s="10" t="str">
        <f t="shared" si="43"/>
        <v/>
      </c>
    </row>
    <row r="444" spans="2:17" x14ac:dyDescent="0.25">
      <c r="B444" s="112" t="str">
        <f t="shared" si="48"/>
        <v/>
      </c>
      <c r="C444" s="9" t="str">
        <f t="shared" si="44"/>
        <v/>
      </c>
      <c r="D444" s="110" t="str">
        <f t="shared" si="45"/>
        <v/>
      </c>
      <c r="E444" s="110" t="str">
        <f t="shared" si="46"/>
        <v/>
      </c>
      <c r="F444" s="110" t="str">
        <f t="shared" si="47"/>
        <v/>
      </c>
      <c r="G444" s="197" t="str">
        <f t="shared" si="49"/>
        <v/>
      </c>
      <c r="H444" s="197"/>
      <c r="Q444" s="10" t="str">
        <f t="shared" si="43"/>
        <v/>
      </c>
    </row>
    <row r="445" spans="2:17" x14ac:dyDescent="0.25">
      <c r="B445" s="112" t="str">
        <f t="shared" si="48"/>
        <v/>
      </c>
      <c r="C445" s="9" t="str">
        <f t="shared" si="44"/>
        <v/>
      </c>
      <c r="D445" s="110" t="str">
        <f t="shared" si="45"/>
        <v/>
      </c>
      <c r="E445" s="110" t="str">
        <f t="shared" si="46"/>
        <v/>
      </c>
      <c r="F445" s="110" t="str">
        <f t="shared" si="47"/>
        <v/>
      </c>
      <c r="G445" s="197" t="str">
        <f t="shared" si="49"/>
        <v/>
      </c>
      <c r="H445" s="197"/>
      <c r="Q445" s="10" t="str">
        <f t="shared" si="43"/>
        <v/>
      </c>
    </row>
    <row r="446" spans="2:17" x14ac:dyDescent="0.25">
      <c r="B446" s="112" t="str">
        <f t="shared" si="48"/>
        <v/>
      </c>
      <c r="C446" s="9" t="str">
        <f t="shared" si="44"/>
        <v/>
      </c>
      <c r="D446" s="110" t="str">
        <f t="shared" si="45"/>
        <v/>
      </c>
      <c r="E446" s="110" t="str">
        <f t="shared" si="46"/>
        <v/>
      </c>
      <c r="F446" s="110" t="str">
        <f t="shared" si="47"/>
        <v/>
      </c>
      <c r="G446" s="197" t="str">
        <f t="shared" si="49"/>
        <v/>
      </c>
      <c r="H446" s="197"/>
      <c r="Q446" s="10" t="str">
        <f t="shared" si="43"/>
        <v/>
      </c>
    </row>
    <row r="447" spans="2:17" x14ac:dyDescent="0.25">
      <c r="B447" s="112" t="str">
        <f t="shared" si="48"/>
        <v/>
      </c>
      <c r="C447" s="9" t="str">
        <f t="shared" si="44"/>
        <v/>
      </c>
      <c r="D447" s="110" t="str">
        <f t="shared" si="45"/>
        <v/>
      </c>
      <c r="E447" s="110" t="str">
        <f t="shared" si="46"/>
        <v/>
      </c>
      <c r="F447" s="110" t="str">
        <f t="shared" si="47"/>
        <v/>
      </c>
      <c r="G447" s="197" t="str">
        <f t="shared" si="49"/>
        <v/>
      </c>
      <c r="H447" s="197"/>
      <c r="Q447" s="10" t="str">
        <f t="shared" si="43"/>
        <v/>
      </c>
    </row>
    <row r="448" spans="2:17" x14ac:dyDescent="0.25">
      <c r="B448" s="112" t="str">
        <f t="shared" si="48"/>
        <v/>
      </c>
      <c r="C448" s="9" t="str">
        <f t="shared" si="44"/>
        <v/>
      </c>
      <c r="D448" s="110" t="str">
        <f t="shared" si="45"/>
        <v/>
      </c>
      <c r="E448" s="110" t="str">
        <f t="shared" si="46"/>
        <v/>
      </c>
      <c r="F448" s="110" t="str">
        <f t="shared" si="47"/>
        <v/>
      </c>
      <c r="G448" s="197" t="str">
        <f t="shared" si="49"/>
        <v/>
      </c>
      <c r="H448" s="197"/>
      <c r="Q448" s="10" t="str">
        <f t="shared" si="43"/>
        <v/>
      </c>
    </row>
    <row r="449" spans="2:17" x14ac:dyDescent="0.25">
      <c r="B449" s="112" t="str">
        <f t="shared" si="48"/>
        <v/>
      </c>
      <c r="C449" s="9" t="str">
        <f t="shared" si="44"/>
        <v/>
      </c>
      <c r="D449" s="110" t="str">
        <f t="shared" si="45"/>
        <v/>
      </c>
      <c r="E449" s="110" t="str">
        <f t="shared" si="46"/>
        <v/>
      </c>
      <c r="F449" s="110" t="str">
        <f t="shared" si="47"/>
        <v/>
      </c>
      <c r="G449" s="197" t="str">
        <f t="shared" si="49"/>
        <v/>
      </c>
      <c r="H449" s="197"/>
      <c r="Q449" s="10" t="str">
        <f t="shared" si="43"/>
        <v/>
      </c>
    </row>
    <row r="450" spans="2:17" x14ac:dyDescent="0.25">
      <c r="B450" s="112" t="str">
        <f t="shared" si="48"/>
        <v/>
      </c>
      <c r="C450" s="9" t="str">
        <f t="shared" si="44"/>
        <v/>
      </c>
      <c r="D450" s="110" t="str">
        <f t="shared" si="45"/>
        <v/>
      </c>
      <c r="E450" s="110" t="str">
        <f t="shared" si="46"/>
        <v/>
      </c>
      <c r="F450" s="110" t="str">
        <f t="shared" si="47"/>
        <v/>
      </c>
      <c r="G450" s="197" t="str">
        <f t="shared" si="49"/>
        <v/>
      </c>
      <c r="H450" s="197"/>
      <c r="Q450" s="10" t="str">
        <f t="shared" si="43"/>
        <v/>
      </c>
    </row>
    <row r="451" spans="2:17" x14ac:dyDescent="0.25">
      <c r="B451" s="112" t="str">
        <f t="shared" si="48"/>
        <v/>
      </c>
      <c r="C451" s="9" t="str">
        <f t="shared" si="44"/>
        <v/>
      </c>
      <c r="D451" s="110" t="str">
        <f t="shared" si="45"/>
        <v/>
      </c>
      <c r="E451" s="110" t="str">
        <f t="shared" si="46"/>
        <v/>
      </c>
      <c r="F451" s="110" t="str">
        <f t="shared" si="47"/>
        <v/>
      </c>
      <c r="G451" s="197" t="str">
        <f t="shared" si="49"/>
        <v/>
      </c>
      <c r="H451" s="197"/>
      <c r="Q451" s="10" t="str">
        <f t="shared" si="43"/>
        <v/>
      </c>
    </row>
    <row r="452" spans="2:17" x14ac:dyDescent="0.25">
      <c r="B452" s="112" t="str">
        <f t="shared" si="48"/>
        <v/>
      </c>
      <c r="C452" s="9" t="str">
        <f t="shared" si="44"/>
        <v/>
      </c>
      <c r="D452" s="110" t="str">
        <f t="shared" si="45"/>
        <v/>
      </c>
      <c r="E452" s="110" t="str">
        <f t="shared" si="46"/>
        <v/>
      </c>
      <c r="F452" s="110" t="str">
        <f t="shared" si="47"/>
        <v/>
      </c>
      <c r="G452" s="197" t="str">
        <f t="shared" si="49"/>
        <v/>
      </c>
      <c r="H452" s="197"/>
      <c r="Q452" s="10" t="str">
        <f t="shared" si="43"/>
        <v/>
      </c>
    </row>
    <row r="453" spans="2:17" x14ac:dyDescent="0.25">
      <c r="B453" s="112" t="str">
        <f t="shared" si="48"/>
        <v/>
      </c>
      <c r="C453" s="9" t="str">
        <f t="shared" si="44"/>
        <v/>
      </c>
      <c r="D453" s="110" t="str">
        <f t="shared" si="45"/>
        <v/>
      </c>
      <c r="E453" s="110" t="str">
        <f t="shared" si="46"/>
        <v/>
      </c>
      <c r="F453" s="110" t="str">
        <f t="shared" si="47"/>
        <v/>
      </c>
      <c r="G453" s="197" t="str">
        <f t="shared" si="49"/>
        <v/>
      </c>
      <c r="H453" s="197"/>
      <c r="Q453" s="10" t="str">
        <f t="shared" si="43"/>
        <v/>
      </c>
    </row>
    <row r="454" spans="2:17" x14ac:dyDescent="0.25">
      <c r="B454" s="112" t="str">
        <f t="shared" si="48"/>
        <v/>
      </c>
      <c r="C454" s="9" t="str">
        <f t="shared" si="44"/>
        <v/>
      </c>
      <c r="D454" s="110" t="str">
        <f t="shared" si="45"/>
        <v/>
      </c>
      <c r="E454" s="110" t="str">
        <f t="shared" si="46"/>
        <v/>
      </c>
      <c r="F454" s="110" t="str">
        <f t="shared" si="47"/>
        <v/>
      </c>
      <c r="G454" s="197" t="str">
        <f t="shared" si="49"/>
        <v/>
      </c>
      <c r="H454" s="197"/>
      <c r="Q454" s="10" t="str">
        <f t="shared" si="43"/>
        <v/>
      </c>
    </row>
    <row r="455" spans="2:17" x14ac:dyDescent="0.25">
      <c r="B455" s="112" t="str">
        <f t="shared" si="48"/>
        <v/>
      </c>
      <c r="C455" s="9" t="str">
        <f t="shared" si="44"/>
        <v/>
      </c>
      <c r="D455" s="110" t="str">
        <f t="shared" si="45"/>
        <v/>
      </c>
      <c r="E455" s="110" t="str">
        <f t="shared" si="46"/>
        <v/>
      </c>
      <c r="F455" s="110" t="str">
        <f t="shared" si="47"/>
        <v/>
      </c>
      <c r="G455" s="197" t="str">
        <f t="shared" si="49"/>
        <v/>
      </c>
      <c r="H455" s="197"/>
      <c r="Q455" s="10" t="str">
        <f t="shared" si="43"/>
        <v/>
      </c>
    </row>
    <row r="456" spans="2:17" x14ac:dyDescent="0.25">
      <c r="B456" s="112" t="str">
        <f t="shared" si="48"/>
        <v/>
      </c>
      <c r="C456" s="9" t="str">
        <f t="shared" si="44"/>
        <v/>
      </c>
      <c r="D456" s="110" t="str">
        <f t="shared" si="45"/>
        <v/>
      </c>
      <c r="E456" s="110" t="str">
        <f t="shared" si="46"/>
        <v/>
      </c>
      <c r="F456" s="110" t="str">
        <f t="shared" si="47"/>
        <v/>
      </c>
      <c r="G456" s="197" t="str">
        <f t="shared" si="49"/>
        <v/>
      </c>
      <c r="H456" s="197"/>
      <c r="Q456" s="10" t="str">
        <f t="shared" si="43"/>
        <v/>
      </c>
    </row>
    <row r="457" spans="2:17" x14ac:dyDescent="0.25">
      <c r="B457" s="112" t="str">
        <f t="shared" si="48"/>
        <v/>
      </c>
      <c r="C457" s="9" t="str">
        <f t="shared" si="44"/>
        <v/>
      </c>
      <c r="D457" s="110" t="str">
        <f t="shared" si="45"/>
        <v/>
      </c>
      <c r="E457" s="110" t="str">
        <f t="shared" si="46"/>
        <v/>
      </c>
      <c r="F457" s="110" t="str">
        <f t="shared" si="47"/>
        <v/>
      </c>
      <c r="G457" s="197" t="str">
        <f t="shared" si="49"/>
        <v/>
      </c>
      <c r="H457" s="197"/>
      <c r="Q457" s="10" t="str">
        <f t="shared" si="43"/>
        <v/>
      </c>
    </row>
    <row r="458" spans="2:17" x14ac:dyDescent="0.25">
      <c r="B458" s="112" t="str">
        <f t="shared" si="48"/>
        <v/>
      </c>
      <c r="C458" s="9" t="str">
        <f t="shared" si="44"/>
        <v/>
      </c>
      <c r="D458" s="110" t="str">
        <f t="shared" si="45"/>
        <v/>
      </c>
      <c r="E458" s="110" t="str">
        <f t="shared" si="46"/>
        <v/>
      </c>
      <c r="F458" s="110" t="str">
        <f t="shared" si="47"/>
        <v/>
      </c>
      <c r="G458" s="197" t="str">
        <f t="shared" si="49"/>
        <v/>
      </c>
      <c r="H458" s="197"/>
      <c r="Q458" s="10" t="str">
        <f t="shared" si="43"/>
        <v/>
      </c>
    </row>
    <row r="459" spans="2:17" x14ac:dyDescent="0.25">
      <c r="B459" s="112" t="str">
        <f t="shared" si="48"/>
        <v/>
      </c>
      <c r="C459" s="9" t="str">
        <f t="shared" si="44"/>
        <v/>
      </c>
      <c r="D459" s="110" t="str">
        <f t="shared" si="45"/>
        <v/>
      </c>
      <c r="E459" s="110" t="str">
        <f t="shared" si="46"/>
        <v/>
      </c>
      <c r="F459" s="110" t="str">
        <f t="shared" si="47"/>
        <v/>
      </c>
      <c r="G459" s="197" t="str">
        <f t="shared" si="49"/>
        <v/>
      </c>
      <c r="H459" s="197"/>
      <c r="Q459" s="10" t="str">
        <f t="shared" ref="Q459:Q522" si="50">IF(AND(ISBLANK(O459),ISBLANK(P459)),"",IF(ISBLANK(P459), ROUND(Q458+O459,2), ROUND(Q458+P459,2)))</f>
        <v/>
      </c>
    </row>
    <row r="460" spans="2:17" x14ac:dyDescent="0.25">
      <c r="B460" s="112" t="str">
        <f t="shared" si="48"/>
        <v/>
      </c>
      <c r="C460" s="9" t="str">
        <f t="shared" si="44"/>
        <v/>
      </c>
      <c r="D460" s="110" t="str">
        <f t="shared" si="45"/>
        <v/>
      </c>
      <c r="E460" s="110" t="str">
        <f t="shared" si="46"/>
        <v/>
      </c>
      <c r="F460" s="110" t="str">
        <f t="shared" si="47"/>
        <v/>
      </c>
      <c r="G460" s="197" t="str">
        <f t="shared" si="49"/>
        <v/>
      </c>
      <c r="H460" s="197"/>
      <c r="Q460" s="10" t="str">
        <f t="shared" si="50"/>
        <v/>
      </c>
    </row>
    <row r="461" spans="2:17" x14ac:dyDescent="0.25">
      <c r="B461" s="112" t="str">
        <f t="shared" si="48"/>
        <v/>
      </c>
      <c r="C461" s="9" t="str">
        <f t="shared" si="44"/>
        <v/>
      </c>
      <c r="D461" s="110" t="str">
        <f t="shared" si="45"/>
        <v/>
      </c>
      <c r="E461" s="110" t="str">
        <f t="shared" si="46"/>
        <v/>
      </c>
      <c r="F461" s="110" t="str">
        <f t="shared" si="47"/>
        <v/>
      </c>
      <c r="G461" s="197" t="str">
        <f t="shared" si="49"/>
        <v/>
      </c>
      <c r="H461" s="197"/>
      <c r="Q461" s="10" t="str">
        <f t="shared" si="50"/>
        <v/>
      </c>
    </row>
    <row r="462" spans="2:17" x14ac:dyDescent="0.25">
      <c r="B462" s="112" t="str">
        <f t="shared" si="48"/>
        <v/>
      </c>
      <c r="C462" s="9" t="str">
        <f t="shared" si="44"/>
        <v/>
      </c>
      <c r="D462" s="110" t="str">
        <f t="shared" si="45"/>
        <v/>
      </c>
      <c r="E462" s="110" t="str">
        <f t="shared" si="46"/>
        <v/>
      </c>
      <c r="F462" s="110" t="str">
        <f t="shared" si="47"/>
        <v/>
      </c>
      <c r="G462" s="197" t="str">
        <f t="shared" si="49"/>
        <v/>
      </c>
      <c r="H462" s="197"/>
      <c r="Q462" s="10" t="str">
        <f t="shared" si="50"/>
        <v/>
      </c>
    </row>
    <row r="463" spans="2:17" x14ac:dyDescent="0.25">
      <c r="B463" s="112" t="str">
        <f t="shared" si="48"/>
        <v/>
      </c>
      <c r="C463" s="9" t="str">
        <f t="shared" si="44"/>
        <v/>
      </c>
      <c r="D463" s="110" t="str">
        <f t="shared" si="45"/>
        <v/>
      </c>
      <c r="E463" s="110" t="str">
        <f t="shared" si="46"/>
        <v/>
      </c>
      <c r="F463" s="110" t="str">
        <f t="shared" si="47"/>
        <v/>
      </c>
      <c r="G463" s="197" t="str">
        <f t="shared" si="49"/>
        <v/>
      </c>
      <c r="H463" s="197"/>
      <c r="Q463" s="10" t="str">
        <f t="shared" si="50"/>
        <v/>
      </c>
    </row>
    <row r="464" spans="2:17" x14ac:dyDescent="0.25">
      <c r="B464" s="112" t="str">
        <f t="shared" si="48"/>
        <v/>
      </c>
      <c r="C464" s="9" t="str">
        <f t="shared" si="44"/>
        <v/>
      </c>
      <c r="D464" s="110" t="str">
        <f t="shared" si="45"/>
        <v/>
      </c>
      <c r="E464" s="110" t="str">
        <f t="shared" si="46"/>
        <v/>
      </c>
      <c r="F464" s="110" t="str">
        <f t="shared" si="47"/>
        <v/>
      </c>
      <c r="G464" s="197" t="str">
        <f t="shared" si="49"/>
        <v/>
      </c>
      <c r="H464" s="197"/>
      <c r="Q464" s="10" t="str">
        <f t="shared" si="50"/>
        <v/>
      </c>
    </row>
    <row r="465" spans="2:17" x14ac:dyDescent="0.25">
      <c r="B465" s="112" t="str">
        <f t="shared" si="48"/>
        <v/>
      </c>
      <c r="C465" s="9" t="str">
        <f t="shared" si="44"/>
        <v/>
      </c>
      <c r="D465" s="110" t="str">
        <f t="shared" si="45"/>
        <v/>
      </c>
      <c r="E465" s="110" t="str">
        <f t="shared" si="46"/>
        <v/>
      </c>
      <c r="F465" s="110" t="str">
        <f t="shared" si="47"/>
        <v/>
      </c>
      <c r="G465" s="197" t="str">
        <f t="shared" si="49"/>
        <v/>
      </c>
      <c r="H465" s="197"/>
      <c r="Q465" s="10" t="str">
        <f t="shared" si="50"/>
        <v/>
      </c>
    </row>
    <row r="466" spans="2:17" x14ac:dyDescent="0.25">
      <c r="B466" s="112" t="str">
        <f t="shared" si="48"/>
        <v/>
      </c>
      <c r="C466" s="9" t="str">
        <f t="shared" si="44"/>
        <v/>
      </c>
      <c r="D466" s="110" t="str">
        <f t="shared" si="45"/>
        <v/>
      </c>
      <c r="E466" s="110" t="str">
        <f t="shared" si="46"/>
        <v/>
      </c>
      <c r="F466" s="110" t="str">
        <f t="shared" si="47"/>
        <v/>
      </c>
      <c r="G466" s="197" t="str">
        <f t="shared" si="49"/>
        <v/>
      </c>
      <c r="H466" s="197"/>
      <c r="Q466" s="10" t="str">
        <f t="shared" si="50"/>
        <v/>
      </c>
    </row>
    <row r="467" spans="2:17" x14ac:dyDescent="0.25">
      <c r="B467" s="112" t="str">
        <f t="shared" si="48"/>
        <v/>
      </c>
      <c r="C467" s="9" t="str">
        <f t="shared" si="44"/>
        <v/>
      </c>
      <c r="D467" s="110" t="str">
        <f t="shared" si="45"/>
        <v/>
      </c>
      <c r="E467" s="110" t="str">
        <f t="shared" si="46"/>
        <v/>
      </c>
      <c r="F467" s="110" t="str">
        <f t="shared" si="47"/>
        <v/>
      </c>
      <c r="G467" s="197" t="str">
        <f t="shared" si="49"/>
        <v/>
      </c>
      <c r="H467" s="197"/>
      <c r="Q467" s="10" t="str">
        <f t="shared" si="50"/>
        <v/>
      </c>
    </row>
    <row r="468" spans="2:17" x14ac:dyDescent="0.25">
      <c r="B468" s="112" t="str">
        <f t="shared" si="48"/>
        <v/>
      </c>
      <c r="C468" s="9" t="str">
        <f t="shared" si="44"/>
        <v/>
      </c>
      <c r="D468" s="110" t="str">
        <f t="shared" si="45"/>
        <v/>
      </c>
      <c r="E468" s="110" t="str">
        <f t="shared" si="46"/>
        <v/>
      </c>
      <c r="F468" s="110" t="str">
        <f t="shared" si="47"/>
        <v/>
      </c>
      <c r="G468" s="197" t="str">
        <f t="shared" si="49"/>
        <v/>
      </c>
      <c r="H468" s="197"/>
      <c r="Q468" s="10" t="str">
        <f t="shared" si="50"/>
        <v/>
      </c>
    </row>
    <row r="469" spans="2:17" x14ac:dyDescent="0.25">
      <c r="B469" s="112" t="str">
        <f t="shared" si="48"/>
        <v/>
      </c>
      <c r="C469" s="9" t="str">
        <f t="shared" si="44"/>
        <v/>
      </c>
      <c r="D469" s="110" t="str">
        <f t="shared" si="45"/>
        <v/>
      </c>
      <c r="E469" s="110" t="str">
        <f t="shared" si="46"/>
        <v/>
      </c>
      <c r="F469" s="110" t="str">
        <f t="shared" si="47"/>
        <v/>
      </c>
      <c r="G469" s="197" t="str">
        <f t="shared" si="49"/>
        <v/>
      </c>
      <c r="H469" s="197"/>
      <c r="Q469" s="10" t="str">
        <f t="shared" si="50"/>
        <v/>
      </c>
    </row>
    <row r="470" spans="2:17" x14ac:dyDescent="0.25">
      <c r="B470" s="112" t="str">
        <f t="shared" si="48"/>
        <v/>
      </c>
      <c r="C470" s="9" t="str">
        <f t="shared" si="44"/>
        <v/>
      </c>
      <c r="D470" s="110" t="str">
        <f t="shared" si="45"/>
        <v/>
      </c>
      <c r="E470" s="110" t="str">
        <f t="shared" si="46"/>
        <v/>
      </c>
      <c r="F470" s="110" t="str">
        <f t="shared" si="47"/>
        <v/>
      </c>
      <c r="G470" s="197" t="str">
        <f t="shared" si="49"/>
        <v/>
      </c>
      <c r="H470" s="197"/>
      <c r="Q470" s="10" t="str">
        <f t="shared" si="50"/>
        <v/>
      </c>
    </row>
    <row r="471" spans="2:17" x14ac:dyDescent="0.25">
      <c r="B471" s="112" t="str">
        <f t="shared" si="48"/>
        <v/>
      </c>
      <c r="C471" s="9" t="str">
        <f t="shared" ref="C471:C501" si="51">IFERROR(SUM($C$8-ABS(D471)),"")</f>
        <v/>
      </c>
      <c r="D471" s="110" t="str">
        <f t="shared" ref="D471:D501" si="52">IF(G471&lt;&gt;"",PMT($F$2/12,$C$14,ABS($I$2)),"")</f>
        <v/>
      </c>
      <c r="E471" s="110" t="str">
        <f t="shared" ref="E471:E501" si="53">IFERROR(IPMT($F$2/12, B471, $C$14, ABS($I$2)),"")</f>
        <v/>
      </c>
      <c r="F471" s="110" t="str">
        <f t="shared" ref="F471:F501" si="54">IFERROR(PPMT($F$2/12, B471, $C$14, ABS($I$2)),"")</f>
        <v/>
      </c>
      <c r="G471" s="197" t="str">
        <f t="shared" si="49"/>
        <v/>
      </c>
      <c r="H471" s="197"/>
      <c r="Q471" s="10" t="str">
        <f t="shared" si="50"/>
        <v/>
      </c>
    </row>
    <row r="472" spans="2:17" x14ac:dyDescent="0.25">
      <c r="B472" s="112" t="str">
        <f t="shared" ref="B472:B501" si="55">IF(B471&gt;=$C$14,"",SUM(B471+1))</f>
        <v/>
      </c>
      <c r="C472" s="9" t="str">
        <f t="shared" si="51"/>
        <v/>
      </c>
      <c r="D472" s="110" t="str">
        <f t="shared" si="52"/>
        <v/>
      </c>
      <c r="E472" s="110" t="str">
        <f t="shared" si="53"/>
        <v/>
      </c>
      <c r="F472" s="110" t="str">
        <f t="shared" si="54"/>
        <v/>
      </c>
      <c r="G472" s="197" t="str">
        <f t="shared" ref="G472:G501" si="56">IFERROR(G471+F472,"")</f>
        <v/>
      </c>
      <c r="H472" s="197"/>
      <c r="Q472" s="10" t="str">
        <f t="shared" si="50"/>
        <v/>
      </c>
    </row>
    <row r="473" spans="2:17" x14ac:dyDescent="0.25">
      <c r="B473" s="112" t="str">
        <f t="shared" si="55"/>
        <v/>
      </c>
      <c r="C473" s="9" t="str">
        <f t="shared" si="51"/>
        <v/>
      </c>
      <c r="D473" s="110" t="str">
        <f t="shared" si="52"/>
        <v/>
      </c>
      <c r="E473" s="110" t="str">
        <f t="shared" si="53"/>
        <v/>
      </c>
      <c r="F473" s="110" t="str">
        <f t="shared" si="54"/>
        <v/>
      </c>
      <c r="G473" s="197" t="str">
        <f t="shared" si="56"/>
        <v/>
      </c>
      <c r="H473" s="197"/>
      <c r="Q473" s="10" t="str">
        <f t="shared" si="50"/>
        <v/>
      </c>
    </row>
    <row r="474" spans="2:17" x14ac:dyDescent="0.25">
      <c r="B474" s="112" t="str">
        <f t="shared" si="55"/>
        <v/>
      </c>
      <c r="C474" s="9" t="str">
        <f t="shared" si="51"/>
        <v/>
      </c>
      <c r="D474" s="110" t="str">
        <f t="shared" si="52"/>
        <v/>
      </c>
      <c r="E474" s="110" t="str">
        <f t="shared" si="53"/>
        <v/>
      </c>
      <c r="F474" s="110" t="str">
        <f t="shared" si="54"/>
        <v/>
      </c>
      <c r="G474" s="197" t="str">
        <f t="shared" si="56"/>
        <v/>
      </c>
      <c r="H474" s="197"/>
      <c r="Q474" s="10" t="str">
        <f t="shared" si="50"/>
        <v/>
      </c>
    </row>
    <row r="475" spans="2:17" x14ac:dyDescent="0.25">
      <c r="B475" s="112" t="str">
        <f t="shared" si="55"/>
        <v/>
      </c>
      <c r="C475" s="9" t="str">
        <f t="shared" si="51"/>
        <v/>
      </c>
      <c r="D475" s="110" t="str">
        <f t="shared" si="52"/>
        <v/>
      </c>
      <c r="E475" s="110" t="str">
        <f t="shared" si="53"/>
        <v/>
      </c>
      <c r="F475" s="110" t="str">
        <f t="shared" si="54"/>
        <v/>
      </c>
      <c r="G475" s="197" t="str">
        <f t="shared" si="56"/>
        <v/>
      </c>
      <c r="H475" s="197"/>
      <c r="Q475" s="10" t="str">
        <f t="shared" si="50"/>
        <v/>
      </c>
    </row>
    <row r="476" spans="2:17" x14ac:dyDescent="0.25">
      <c r="B476" s="112" t="str">
        <f t="shared" si="55"/>
        <v/>
      </c>
      <c r="C476" s="9" t="str">
        <f t="shared" si="51"/>
        <v/>
      </c>
      <c r="D476" s="110" t="str">
        <f t="shared" si="52"/>
        <v/>
      </c>
      <c r="E476" s="110" t="str">
        <f t="shared" si="53"/>
        <v/>
      </c>
      <c r="F476" s="110" t="str">
        <f t="shared" si="54"/>
        <v/>
      </c>
      <c r="G476" s="197" t="str">
        <f t="shared" si="56"/>
        <v/>
      </c>
      <c r="H476" s="197"/>
      <c r="Q476" s="10" t="str">
        <f t="shared" si="50"/>
        <v/>
      </c>
    </row>
    <row r="477" spans="2:17" x14ac:dyDescent="0.25">
      <c r="B477" s="112" t="str">
        <f t="shared" si="55"/>
        <v/>
      </c>
      <c r="C477" s="9" t="str">
        <f t="shared" si="51"/>
        <v/>
      </c>
      <c r="D477" s="110" t="str">
        <f t="shared" si="52"/>
        <v/>
      </c>
      <c r="E477" s="110" t="str">
        <f t="shared" si="53"/>
        <v/>
      </c>
      <c r="F477" s="110" t="str">
        <f t="shared" si="54"/>
        <v/>
      </c>
      <c r="G477" s="197" t="str">
        <f t="shared" si="56"/>
        <v/>
      </c>
      <c r="H477" s="197"/>
      <c r="Q477" s="10" t="str">
        <f t="shared" si="50"/>
        <v/>
      </c>
    </row>
    <row r="478" spans="2:17" x14ac:dyDescent="0.25">
      <c r="B478" s="112" t="str">
        <f t="shared" si="55"/>
        <v/>
      </c>
      <c r="C478" s="9" t="str">
        <f t="shared" si="51"/>
        <v/>
      </c>
      <c r="D478" s="110" t="str">
        <f t="shared" si="52"/>
        <v/>
      </c>
      <c r="E478" s="110" t="str">
        <f t="shared" si="53"/>
        <v/>
      </c>
      <c r="F478" s="110" t="str">
        <f t="shared" si="54"/>
        <v/>
      </c>
      <c r="G478" s="197" t="str">
        <f t="shared" si="56"/>
        <v/>
      </c>
      <c r="H478" s="197"/>
      <c r="Q478" s="10" t="str">
        <f t="shared" si="50"/>
        <v/>
      </c>
    </row>
    <row r="479" spans="2:17" x14ac:dyDescent="0.25">
      <c r="B479" s="112" t="str">
        <f t="shared" si="55"/>
        <v/>
      </c>
      <c r="C479" s="9" t="str">
        <f t="shared" si="51"/>
        <v/>
      </c>
      <c r="D479" s="110" t="str">
        <f t="shared" si="52"/>
        <v/>
      </c>
      <c r="E479" s="110" t="str">
        <f t="shared" si="53"/>
        <v/>
      </c>
      <c r="F479" s="110" t="str">
        <f t="shared" si="54"/>
        <v/>
      </c>
      <c r="G479" s="197" t="str">
        <f t="shared" si="56"/>
        <v/>
      </c>
      <c r="H479" s="197"/>
      <c r="Q479" s="10" t="str">
        <f t="shared" si="50"/>
        <v/>
      </c>
    </row>
    <row r="480" spans="2:17" x14ac:dyDescent="0.25">
      <c r="B480" s="112" t="str">
        <f t="shared" si="55"/>
        <v/>
      </c>
      <c r="C480" s="9" t="str">
        <f t="shared" si="51"/>
        <v/>
      </c>
      <c r="D480" s="110" t="str">
        <f t="shared" si="52"/>
        <v/>
      </c>
      <c r="E480" s="110" t="str">
        <f t="shared" si="53"/>
        <v/>
      </c>
      <c r="F480" s="110" t="str">
        <f t="shared" si="54"/>
        <v/>
      </c>
      <c r="G480" s="197" t="str">
        <f t="shared" si="56"/>
        <v/>
      </c>
      <c r="H480" s="197"/>
      <c r="Q480" s="10" t="str">
        <f t="shared" si="50"/>
        <v/>
      </c>
    </row>
    <row r="481" spans="2:17" x14ac:dyDescent="0.25">
      <c r="B481" s="112" t="str">
        <f t="shared" si="55"/>
        <v/>
      </c>
      <c r="C481" s="9" t="str">
        <f t="shared" si="51"/>
        <v/>
      </c>
      <c r="D481" s="110" t="str">
        <f t="shared" si="52"/>
        <v/>
      </c>
      <c r="E481" s="110" t="str">
        <f t="shared" si="53"/>
        <v/>
      </c>
      <c r="F481" s="110" t="str">
        <f t="shared" si="54"/>
        <v/>
      </c>
      <c r="G481" s="197" t="str">
        <f t="shared" si="56"/>
        <v/>
      </c>
      <c r="H481" s="197"/>
      <c r="Q481" s="10" t="str">
        <f t="shared" si="50"/>
        <v/>
      </c>
    </row>
    <row r="482" spans="2:17" x14ac:dyDescent="0.25">
      <c r="B482" s="112" t="str">
        <f t="shared" si="55"/>
        <v/>
      </c>
      <c r="C482" s="9" t="str">
        <f t="shared" si="51"/>
        <v/>
      </c>
      <c r="D482" s="110" t="str">
        <f t="shared" si="52"/>
        <v/>
      </c>
      <c r="E482" s="110" t="str">
        <f t="shared" si="53"/>
        <v/>
      </c>
      <c r="F482" s="110" t="str">
        <f t="shared" si="54"/>
        <v/>
      </c>
      <c r="G482" s="197" t="str">
        <f t="shared" si="56"/>
        <v/>
      </c>
      <c r="H482" s="197"/>
      <c r="Q482" s="10" t="str">
        <f t="shared" si="50"/>
        <v/>
      </c>
    </row>
    <row r="483" spans="2:17" x14ac:dyDescent="0.25">
      <c r="B483" s="112" t="str">
        <f t="shared" si="55"/>
        <v/>
      </c>
      <c r="C483" s="9" t="str">
        <f t="shared" si="51"/>
        <v/>
      </c>
      <c r="D483" s="110" t="str">
        <f t="shared" si="52"/>
        <v/>
      </c>
      <c r="E483" s="110" t="str">
        <f t="shared" si="53"/>
        <v/>
      </c>
      <c r="F483" s="110" t="str">
        <f t="shared" si="54"/>
        <v/>
      </c>
      <c r="G483" s="197" t="str">
        <f t="shared" si="56"/>
        <v/>
      </c>
      <c r="H483" s="197"/>
      <c r="Q483" s="10" t="str">
        <f t="shared" si="50"/>
        <v/>
      </c>
    </row>
    <row r="484" spans="2:17" x14ac:dyDescent="0.25">
      <c r="B484" s="112" t="str">
        <f t="shared" si="55"/>
        <v/>
      </c>
      <c r="C484" s="9" t="str">
        <f t="shared" si="51"/>
        <v/>
      </c>
      <c r="D484" s="110" t="str">
        <f t="shared" si="52"/>
        <v/>
      </c>
      <c r="E484" s="110" t="str">
        <f t="shared" si="53"/>
        <v/>
      </c>
      <c r="F484" s="110" t="str">
        <f t="shared" si="54"/>
        <v/>
      </c>
      <c r="G484" s="197" t="str">
        <f t="shared" si="56"/>
        <v/>
      </c>
      <c r="H484" s="197"/>
      <c r="Q484" s="10" t="str">
        <f t="shared" si="50"/>
        <v/>
      </c>
    </row>
    <row r="485" spans="2:17" x14ac:dyDescent="0.25">
      <c r="B485" s="112" t="str">
        <f t="shared" si="55"/>
        <v/>
      </c>
      <c r="C485" s="9" t="str">
        <f t="shared" si="51"/>
        <v/>
      </c>
      <c r="D485" s="110" t="str">
        <f t="shared" si="52"/>
        <v/>
      </c>
      <c r="E485" s="110" t="str">
        <f t="shared" si="53"/>
        <v/>
      </c>
      <c r="F485" s="110" t="str">
        <f t="shared" si="54"/>
        <v/>
      </c>
      <c r="G485" s="197" t="str">
        <f t="shared" si="56"/>
        <v/>
      </c>
      <c r="H485" s="197"/>
      <c r="Q485" s="10" t="str">
        <f t="shared" si="50"/>
        <v/>
      </c>
    </row>
    <row r="486" spans="2:17" x14ac:dyDescent="0.25">
      <c r="B486" s="112" t="str">
        <f t="shared" si="55"/>
        <v/>
      </c>
      <c r="C486" s="9" t="str">
        <f t="shared" si="51"/>
        <v/>
      </c>
      <c r="D486" s="110" t="str">
        <f t="shared" si="52"/>
        <v/>
      </c>
      <c r="E486" s="110" t="str">
        <f t="shared" si="53"/>
        <v/>
      </c>
      <c r="F486" s="110" t="str">
        <f t="shared" si="54"/>
        <v/>
      </c>
      <c r="G486" s="197" t="str">
        <f t="shared" si="56"/>
        <v/>
      </c>
      <c r="H486" s="197"/>
      <c r="Q486" s="10" t="str">
        <f t="shared" si="50"/>
        <v/>
      </c>
    </row>
    <row r="487" spans="2:17" x14ac:dyDescent="0.25">
      <c r="B487" s="112" t="str">
        <f t="shared" si="55"/>
        <v/>
      </c>
      <c r="C487" s="9" t="str">
        <f t="shared" si="51"/>
        <v/>
      </c>
      <c r="D487" s="110" t="str">
        <f t="shared" si="52"/>
        <v/>
      </c>
      <c r="E487" s="110" t="str">
        <f t="shared" si="53"/>
        <v/>
      </c>
      <c r="F487" s="110" t="str">
        <f t="shared" si="54"/>
        <v/>
      </c>
      <c r="G487" s="197" t="str">
        <f t="shared" si="56"/>
        <v/>
      </c>
      <c r="H487" s="197"/>
      <c r="Q487" s="10" t="str">
        <f t="shared" si="50"/>
        <v/>
      </c>
    </row>
    <row r="488" spans="2:17" x14ac:dyDescent="0.25">
      <c r="B488" s="112" t="str">
        <f t="shared" si="55"/>
        <v/>
      </c>
      <c r="C488" s="9" t="str">
        <f t="shared" si="51"/>
        <v/>
      </c>
      <c r="D488" s="110" t="str">
        <f t="shared" si="52"/>
        <v/>
      </c>
      <c r="E488" s="110" t="str">
        <f t="shared" si="53"/>
        <v/>
      </c>
      <c r="F488" s="110" t="str">
        <f t="shared" si="54"/>
        <v/>
      </c>
      <c r="G488" s="197" t="str">
        <f t="shared" si="56"/>
        <v/>
      </c>
      <c r="H488" s="197"/>
      <c r="Q488" s="10" t="str">
        <f t="shared" si="50"/>
        <v/>
      </c>
    </row>
    <row r="489" spans="2:17" x14ac:dyDescent="0.25">
      <c r="B489" s="112" t="str">
        <f t="shared" si="55"/>
        <v/>
      </c>
      <c r="C489" s="9" t="str">
        <f t="shared" si="51"/>
        <v/>
      </c>
      <c r="D489" s="110" t="str">
        <f t="shared" si="52"/>
        <v/>
      </c>
      <c r="E489" s="110" t="str">
        <f t="shared" si="53"/>
        <v/>
      </c>
      <c r="F489" s="110" t="str">
        <f t="shared" si="54"/>
        <v/>
      </c>
      <c r="G489" s="197" t="str">
        <f t="shared" si="56"/>
        <v/>
      </c>
      <c r="H489" s="197"/>
      <c r="Q489" s="10" t="str">
        <f t="shared" si="50"/>
        <v/>
      </c>
    </row>
    <row r="490" spans="2:17" x14ac:dyDescent="0.25">
      <c r="B490" s="112" t="str">
        <f t="shared" si="55"/>
        <v/>
      </c>
      <c r="C490" s="9" t="str">
        <f t="shared" si="51"/>
        <v/>
      </c>
      <c r="D490" s="110" t="str">
        <f t="shared" si="52"/>
        <v/>
      </c>
      <c r="E490" s="110" t="str">
        <f t="shared" si="53"/>
        <v/>
      </c>
      <c r="F490" s="110" t="str">
        <f t="shared" si="54"/>
        <v/>
      </c>
      <c r="G490" s="197" t="str">
        <f t="shared" si="56"/>
        <v/>
      </c>
      <c r="H490" s="197"/>
      <c r="Q490" s="10" t="str">
        <f t="shared" si="50"/>
        <v/>
      </c>
    </row>
    <row r="491" spans="2:17" x14ac:dyDescent="0.25">
      <c r="B491" s="112" t="str">
        <f t="shared" si="55"/>
        <v/>
      </c>
      <c r="C491" s="9" t="str">
        <f t="shared" si="51"/>
        <v/>
      </c>
      <c r="D491" s="110" t="str">
        <f t="shared" si="52"/>
        <v/>
      </c>
      <c r="E491" s="110" t="str">
        <f t="shared" si="53"/>
        <v/>
      </c>
      <c r="F491" s="110" t="str">
        <f t="shared" si="54"/>
        <v/>
      </c>
      <c r="G491" s="197" t="str">
        <f t="shared" si="56"/>
        <v/>
      </c>
      <c r="H491" s="197"/>
      <c r="Q491" s="10" t="str">
        <f t="shared" si="50"/>
        <v/>
      </c>
    </row>
    <row r="492" spans="2:17" x14ac:dyDescent="0.25">
      <c r="B492" s="112" t="str">
        <f t="shared" si="55"/>
        <v/>
      </c>
      <c r="C492" s="9" t="str">
        <f t="shared" si="51"/>
        <v/>
      </c>
      <c r="D492" s="110" t="str">
        <f t="shared" si="52"/>
        <v/>
      </c>
      <c r="E492" s="110" t="str">
        <f t="shared" si="53"/>
        <v/>
      </c>
      <c r="F492" s="110" t="str">
        <f t="shared" si="54"/>
        <v/>
      </c>
      <c r="G492" s="197" t="str">
        <f t="shared" si="56"/>
        <v/>
      </c>
      <c r="H492" s="197"/>
      <c r="Q492" s="10" t="str">
        <f t="shared" si="50"/>
        <v/>
      </c>
    </row>
    <row r="493" spans="2:17" x14ac:dyDescent="0.25">
      <c r="B493" s="112" t="str">
        <f t="shared" si="55"/>
        <v/>
      </c>
      <c r="C493" s="9" t="str">
        <f t="shared" si="51"/>
        <v/>
      </c>
      <c r="D493" s="110" t="str">
        <f t="shared" si="52"/>
        <v/>
      </c>
      <c r="E493" s="110" t="str">
        <f t="shared" si="53"/>
        <v/>
      </c>
      <c r="F493" s="110" t="str">
        <f t="shared" si="54"/>
        <v/>
      </c>
      <c r="G493" s="197" t="str">
        <f t="shared" si="56"/>
        <v/>
      </c>
      <c r="H493" s="197"/>
      <c r="Q493" s="10" t="str">
        <f t="shared" si="50"/>
        <v/>
      </c>
    </row>
    <row r="494" spans="2:17" x14ac:dyDescent="0.25">
      <c r="B494" s="112" t="str">
        <f t="shared" si="55"/>
        <v/>
      </c>
      <c r="C494" s="9" t="str">
        <f t="shared" si="51"/>
        <v/>
      </c>
      <c r="D494" s="110" t="str">
        <f t="shared" si="52"/>
        <v/>
      </c>
      <c r="E494" s="110" t="str">
        <f t="shared" si="53"/>
        <v/>
      </c>
      <c r="F494" s="110" t="str">
        <f t="shared" si="54"/>
        <v/>
      </c>
      <c r="G494" s="197" t="str">
        <f t="shared" si="56"/>
        <v/>
      </c>
      <c r="H494" s="197"/>
      <c r="Q494" s="10" t="str">
        <f t="shared" si="50"/>
        <v/>
      </c>
    </row>
    <row r="495" spans="2:17" x14ac:dyDescent="0.25">
      <c r="B495" s="112" t="str">
        <f t="shared" si="55"/>
        <v/>
      </c>
      <c r="C495" s="9" t="str">
        <f t="shared" si="51"/>
        <v/>
      </c>
      <c r="D495" s="110" t="str">
        <f t="shared" si="52"/>
        <v/>
      </c>
      <c r="E495" s="110" t="str">
        <f t="shared" si="53"/>
        <v/>
      </c>
      <c r="F495" s="110" t="str">
        <f t="shared" si="54"/>
        <v/>
      </c>
      <c r="G495" s="197" t="str">
        <f t="shared" si="56"/>
        <v/>
      </c>
      <c r="H495" s="197"/>
      <c r="Q495" s="10" t="str">
        <f t="shared" si="50"/>
        <v/>
      </c>
    </row>
    <row r="496" spans="2:17" x14ac:dyDescent="0.25">
      <c r="B496" s="112" t="str">
        <f t="shared" si="55"/>
        <v/>
      </c>
      <c r="C496" s="9" t="str">
        <f t="shared" si="51"/>
        <v/>
      </c>
      <c r="D496" s="110" t="str">
        <f t="shared" si="52"/>
        <v/>
      </c>
      <c r="E496" s="110" t="str">
        <f t="shared" si="53"/>
        <v/>
      </c>
      <c r="F496" s="110" t="str">
        <f t="shared" si="54"/>
        <v/>
      </c>
      <c r="G496" s="197" t="str">
        <f t="shared" si="56"/>
        <v/>
      </c>
      <c r="H496" s="197"/>
      <c r="Q496" s="10" t="str">
        <f t="shared" si="50"/>
        <v/>
      </c>
    </row>
    <row r="497" spans="2:17" x14ac:dyDescent="0.25">
      <c r="B497" s="112" t="str">
        <f t="shared" si="55"/>
        <v/>
      </c>
      <c r="C497" s="9" t="str">
        <f t="shared" si="51"/>
        <v/>
      </c>
      <c r="D497" s="110" t="str">
        <f t="shared" si="52"/>
        <v/>
      </c>
      <c r="E497" s="110" t="str">
        <f t="shared" si="53"/>
        <v/>
      </c>
      <c r="F497" s="110" t="str">
        <f t="shared" si="54"/>
        <v/>
      </c>
      <c r="G497" s="197" t="str">
        <f t="shared" si="56"/>
        <v/>
      </c>
      <c r="H497" s="197"/>
      <c r="Q497" s="10" t="str">
        <f t="shared" si="50"/>
        <v/>
      </c>
    </row>
    <row r="498" spans="2:17" x14ac:dyDescent="0.25">
      <c r="B498" s="112" t="str">
        <f t="shared" si="55"/>
        <v/>
      </c>
      <c r="C498" s="9" t="str">
        <f t="shared" si="51"/>
        <v/>
      </c>
      <c r="D498" s="110" t="str">
        <f t="shared" si="52"/>
        <v/>
      </c>
      <c r="E498" s="110" t="str">
        <f t="shared" si="53"/>
        <v/>
      </c>
      <c r="F498" s="110" t="str">
        <f t="shared" si="54"/>
        <v/>
      </c>
      <c r="G498" s="197" t="str">
        <f t="shared" si="56"/>
        <v/>
      </c>
      <c r="H498" s="197"/>
      <c r="Q498" s="10" t="str">
        <f t="shared" si="50"/>
        <v/>
      </c>
    </row>
    <row r="499" spans="2:17" x14ac:dyDescent="0.25">
      <c r="B499" s="112" t="str">
        <f t="shared" si="55"/>
        <v/>
      </c>
      <c r="C499" s="9" t="str">
        <f t="shared" si="51"/>
        <v/>
      </c>
      <c r="D499" s="110" t="str">
        <f t="shared" si="52"/>
        <v/>
      </c>
      <c r="E499" s="110" t="str">
        <f t="shared" si="53"/>
        <v/>
      </c>
      <c r="F499" s="110" t="str">
        <f t="shared" si="54"/>
        <v/>
      </c>
      <c r="G499" s="197" t="str">
        <f t="shared" si="56"/>
        <v/>
      </c>
      <c r="H499" s="197"/>
      <c r="Q499" s="10" t="str">
        <f t="shared" si="50"/>
        <v/>
      </c>
    </row>
    <row r="500" spans="2:17" x14ac:dyDescent="0.25">
      <c r="B500" s="112" t="str">
        <f t="shared" si="55"/>
        <v/>
      </c>
      <c r="C500" s="9" t="str">
        <f t="shared" si="51"/>
        <v/>
      </c>
      <c r="D500" s="110" t="str">
        <f t="shared" si="52"/>
        <v/>
      </c>
      <c r="E500" s="110" t="str">
        <f t="shared" si="53"/>
        <v/>
      </c>
      <c r="F500" s="110" t="str">
        <f t="shared" si="54"/>
        <v/>
      </c>
      <c r="G500" s="197" t="str">
        <f t="shared" si="56"/>
        <v/>
      </c>
      <c r="H500" s="197"/>
      <c r="Q500" s="10" t="str">
        <f t="shared" si="50"/>
        <v/>
      </c>
    </row>
    <row r="501" spans="2:17" x14ac:dyDescent="0.25">
      <c r="B501" s="112" t="str">
        <f t="shared" si="55"/>
        <v/>
      </c>
      <c r="C501" s="9" t="str">
        <f t="shared" si="51"/>
        <v/>
      </c>
      <c r="D501" s="110" t="str">
        <f t="shared" si="52"/>
        <v/>
      </c>
      <c r="E501" s="110" t="str">
        <f t="shared" si="53"/>
        <v/>
      </c>
      <c r="F501" s="110" t="str">
        <f t="shared" si="54"/>
        <v/>
      </c>
      <c r="G501" s="197" t="str">
        <f t="shared" si="56"/>
        <v/>
      </c>
      <c r="H501" s="197"/>
      <c r="Q501" s="10" t="str">
        <f t="shared" si="50"/>
        <v/>
      </c>
    </row>
    <row r="502" spans="2:17" x14ac:dyDescent="0.25">
      <c r="Q502" s="10" t="str">
        <f t="shared" si="50"/>
        <v/>
      </c>
    </row>
    <row r="503" spans="2:17" x14ac:dyDescent="0.25">
      <c r="Q503" s="10" t="str">
        <f t="shared" si="50"/>
        <v/>
      </c>
    </row>
    <row r="504" spans="2:17" x14ac:dyDescent="0.25">
      <c r="Q504" s="10" t="str">
        <f t="shared" si="50"/>
        <v/>
      </c>
    </row>
    <row r="505" spans="2:17" x14ac:dyDescent="0.25">
      <c r="Q505" s="10" t="str">
        <f t="shared" si="50"/>
        <v/>
      </c>
    </row>
    <row r="506" spans="2:17" x14ac:dyDescent="0.25">
      <c r="Q506" s="10" t="str">
        <f t="shared" si="50"/>
        <v/>
      </c>
    </row>
    <row r="507" spans="2:17" x14ac:dyDescent="0.25">
      <c r="Q507" s="10" t="str">
        <f t="shared" si="50"/>
        <v/>
      </c>
    </row>
    <row r="508" spans="2:17" x14ac:dyDescent="0.25">
      <c r="Q508" s="10" t="str">
        <f t="shared" si="50"/>
        <v/>
      </c>
    </row>
    <row r="509" spans="2:17" x14ac:dyDescent="0.25">
      <c r="Q509" s="10" t="str">
        <f t="shared" si="50"/>
        <v/>
      </c>
    </row>
    <row r="510" spans="2:17" x14ac:dyDescent="0.25">
      <c r="Q510" s="10" t="str">
        <f t="shared" si="50"/>
        <v/>
      </c>
    </row>
    <row r="511" spans="2:17" x14ac:dyDescent="0.25">
      <c r="Q511" s="10" t="str">
        <f t="shared" si="50"/>
        <v/>
      </c>
    </row>
    <row r="512" spans="2:17" x14ac:dyDescent="0.25">
      <c r="Q512" s="10" t="str">
        <f t="shared" si="50"/>
        <v/>
      </c>
    </row>
    <row r="513" spans="17:17" x14ac:dyDescent="0.25">
      <c r="Q513" s="10" t="str">
        <f t="shared" si="50"/>
        <v/>
      </c>
    </row>
    <row r="514" spans="17:17" x14ac:dyDescent="0.25">
      <c r="Q514" s="10" t="str">
        <f t="shared" si="50"/>
        <v/>
      </c>
    </row>
    <row r="515" spans="17:17" x14ac:dyDescent="0.25">
      <c r="Q515" s="10" t="str">
        <f t="shared" si="50"/>
        <v/>
      </c>
    </row>
    <row r="516" spans="17:17" x14ac:dyDescent="0.25">
      <c r="Q516" s="10" t="str">
        <f t="shared" si="50"/>
        <v/>
      </c>
    </row>
    <row r="517" spans="17:17" x14ac:dyDescent="0.25">
      <c r="Q517" s="10" t="str">
        <f t="shared" si="50"/>
        <v/>
      </c>
    </row>
    <row r="518" spans="17:17" x14ac:dyDescent="0.25">
      <c r="Q518" s="10" t="str">
        <f t="shared" si="50"/>
        <v/>
      </c>
    </row>
    <row r="519" spans="17:17" x14ac:dyDescent="0.25">
      <c r="Q519" s="10" t="str">
        <f t="shared" si="50"/>
        <v/>
      </c>
    </row>
    <row r="520" spans="17:17" x14ac:dyDescent="0.25">
      <c r="Q520" s="10" t="str">
        <f t="shared" si="50"/>
        <v/>
      </c>
    </row>
    <row r="521" spans="17:17" x14ac:dyDescent="0.25">
      <c r="Q521" s="10" t="str">
        <f t="shared" si="50"/>
        <v/>
      </c>
    </row>
    <row r="522" spans="17:17" x14ac:dyDescent="0.25">
      <c r="Q522" s="10" t="str">
        <f t="shared" si="50"/>
        <v/>
      </c>
    </row>
    <row r="523" spans="17:17" x14ac:dyDescent="0.25">
      <c r="Q523" s="10" t="str">
        <f t="shared" ref="Q523:Q586" si="57">IF(AND(ISBLANK(O523),ISBLANK(P523)),"",IF(ISBLANK(P523), ROUND(Q522+O523,2), ROUND(Q522+P523,2)))</f>
        <v/>
      </c>
    </row>
    <row r="524" spans="17:17" x14ac:dyDescent="0.25">
      <c r="Q524" s="10" t="str">
        <f t="shared" si="57"/>
        <v/>
      </c>
    </row>
    <row r="525" spans="17:17" x14ac:dyDescent="0.25">
      <c r="Q525" s="10" t="str">
        <f t="shared" si="57"/>
        <v/>
      </c>
    </row>
    <row r="526" spans="17:17" x14ac:dyDescent="0.25">
      <c r="Q526" s="10" t="str">
        <f t="shared" si="57"/>
        <v/>
      </c>
    </row>
    <row r="527" spans="17:17" x14ac:dyDescent="0.25">
      <c r="Q527" s="10" t="str">
        <f t="shared" si="57"/>
        <v/>
      </c>
    </row>
    <row r="528" spans="17:17" x14ac:dyDescent="0.25">
      <c r="Q528" s="10" t="str">
        <f t="shared" si="57"/>
        <v/>
      </c>
    </row>
    <row r="529" spans="17:17" x14ac:dyDescent="0.25">
      <c r="Q529" s="10" t="str">
        <f t="shared" si="57"/>
        <v/>
      </c>
    </row>
    <row r="530" spans="17:17" x14ac:dyDescent="0.25">
      <c r="Q530" s="10" t="str">
        <f t="shared" si="57"/>
        <v/>
      </c>
    </row>
    <row r="531" spans="17:17" x14ac:dyDescent="0.25">
      <c r="Q531" s="10" t="str">
        <f t="shared" si="57"/>
        <v/>
      </c>
    </row>
    <row r="532" spans="17:17" x14ac:dyDescent="0.25">
      <c r="Q532" s="10" t="str">
        <f t="shared" si="57"/>
        <v/>
      </c>
    </row>
    <row r="533" spans="17:17" x14ac:dyDescent="0.25">
      <c r="Q533" s="10" t="str">
        <f t="shared" si="57"/>
        <v/>
      </c>
    </row>
    <row r="534" spans="17:17" x14ac:dyDescent="0.25">
      <c r="Q534" s="10" t="str">
        <f t="shared" si="57"/>
        <v/>
      </c>
    </row>
    <row r="535" spans="17:17" x14ac:dyDescent="0.25">
      <c r="Q535" s="10" t="str">
        <f t="shared" si="57"/>
        <v/>
      </c>
    </row>
    <row r="536" spans="17:17" x14ac:dyDescent="0.25">
      <c r="Q536" s="10" t="str">
        <f t="shared" si="57"/>
        <v/>
      </c>
    </row>
    <row r="537" spans="17:17" x14ac:dyDescent="0.25">
      <c r="Q537" s="10" t="str">
        <f t="shared" si="57"/>
        <v/>
      </c>
    </row>
    <row r="538" spans="17:17" x14ac:dyDescent="0.25">
      <c r="Q538" s="10" t="str">
        <f t="shared" si="57"/>
        <v/>
      </c>
    </row>
    <row r="539" spans="17:17" x14ac:dyDescent="0.25">
      <c r="Q539" s="10" t="str">
        <f t="shared" si="57"/>
        <v/>
      </c>
    </row>
    <row r="540" spans="17:17" x14ac:dyDescent="0.25">
      <c r="Q540" s="10" t="str">
        <f t="shared" si="57"/>
        <v/>
      </c>
    </row>
    <row r="541" spans="17:17" x14ac:dyDescent="0.25">
      <c r="Q541" s="10" t="str">
        <f t="shared" si="57"/>
        <v/>
      </c>
    </row>
    <row r="542" spans="17:17" x14ac:dyDescent="0.25">
      <c r="Q542" s="10" t="str">
        <f t="shared" si="57"/>
        <v/>
      </c>
    </row>
    <row r="543" spans="17:17" x14ac:dyDescent="0.25">
      <c r="Q543" s="10" t="str">
        <f t="shared" si="57"/>
        <v/>
      </c>
    </row>
    <row r="544" spans="17:17" x14ac:dyDescent="0.25">
      <c r="Q544" s="10" t="str">
        <f t="shared" si="57"/>
        <v/>
      </c>
    </row>
    <row r="545" spans="17:17" x14ac:dyDescent="0.25">
      <c r="Q545" s="10" t="str">
        <f t="shared" si="57"/>
        <v/>
      </c>
    </row>
    <row r="546" spans="17:17" x14ac:dyDescent="0.25">
      <c r="Q546" s="10" t="str">
        <f t="shared" si="57"/>
        <v/>
      </c>
    </row>
    <row r="547" spans="17:17" x14ac:dyDescent="0.25">
      <c r="Q547" s="10" t="str">
        <f t="shared" si="57"/>
        <v/>
      </c>
    </row>
    <row r="548" spans="17:17" x14ac:dyDescent="0.25">
      <c r="Q548" s="10" t="str">
        <f t="shared" si="57"/>
        <v/>
      </c>
    </row>
    <row r="549" spans="17:17" x14ac:dyDescent="0.25">
      <c r="Q549" s="10" t="str">
        <f t="shared" si="57"/>
        <v/>
      </c>
    </row>
    <row r="550" spans="17:17" x14ac:dyDescent="0.25">
      <c r="Q550" s="10" t="str">
        <f t="shared" si="57"/>
        <v/>
      </c>
    </row>
    <row r="551" spans="17:17" x14ac:dyDescent="0.25">
      <c r="Q551" s="10" t="str">
        <f t="shared" si="57"/>
        <v/>
      </c>
    </row>
    <row r="552" spans="17:17" x14ac:dyDescent="0.25">
      <c r="Q552" s="10" t="str">
        <f t="shared" si="57"/>
        <v/>
      </c>
    </row>
    <row r="553" spans="17:17" x14ac:dyDescent="0.25">
      <c r="Q553" s="10" t="str">
        <f t="shared" si="57"/>
        <v/>
      </c>
    </row>
    <row r="554" spans="17:17" x14ac:dyDescent="0.25">
      <c r="Q554" s="10" t="str">
        <f t="shared" si="57"/>
        <v/>
      </c>
    </row>
    <row r="555" spans="17:17" x14ac:dyDescent="0.25">
      <c r="Q555" s="10" t="str">
        <f t="shared" si="57"/>
        <v/>
      </c>
    </row>
    <row r="556" spans="17:17" x14ac:dyDescent="0.25">
      <c r="Q556" s="10" t="str">
        <f t="shared" si="57"/>
        <v/>
      </c>
    </row>
    <row r="557" spans="17:17" x14ac:dyDescent="0.25">
      <c r="Q557" s="10" t="str">
        <f t="shared" si="57"/>
        <v/>
      </c>
    </row>
    <row r="558" spans="17:17" x14ac:dyDescent="0.25">
      <c r="Q558" s="10" t="str">
        <f t="shared" si="57"/>
        <v/>
      </c>
    </row>
    <row r="559" spans="17:17" x14ac:dyDescent="0.25">
      <c r="Q559" s="10" t="str">
        <f t="shared" si="57"/>
        <v/>
      </c>
    </row>
    <row r="560" spans="17:17" x14ac:dyDescent="0.25">
      <c r="Q560" s="10" t="str">
        <f t="shared" si="57"/>
        <v/>
      </c>
    </row>
    <row r="561" spans="17:17" x14ac:dyDescent="0.25">
      <c r="Q561" s="10" t="str">
        <f t="shared" si="57"/>
        <v/>
      </c>
    </row>
    <row r="562" spans="17:17" x14ac:dyDescent="0.25">
      <c r="Q562" s="10" t="str">
        <f t="shared" si="57"/>
        <v/>
      </c>
    </row>
    <row r="563" spans="17:17" x14ac:dyDescent="0.25">
      <c r="Q563" s="10" t="str">
        <f t="shared" si="57"/>
        <v/>
      </c>
    </row>
    <row r="564" spans="17:17" x14ac:dyDescent="0.25">
      <c r="Q564" s="10" t="str">
        <f t="shared" si="57"/>
        <v/>
      </c>
    </row>
    <row r="565" spans="17:17" x14ac:dyDescent="0.25">
      <c r="Q565" s="10" t="str">
        <f t="shared" si="57"/>
        <v/>
      </c>
    </row>
    <row r="566" spans="17:17" x14ac:dyDescent="0.25">
      <c r="Q566" s="10" t="str">
        <f t="shared" si="57"/>
        <v/>
      </c>
    </row>
    <row r="567" spans="17:17" x14ac:dyDescent="0.25">
      <c r="Q567" s="10" t="str">
        <f t="shared" si="57"/>
        <v/>
      </c>
    </row>
    <row r="568" spans="17:17" x14ac:dyDescent="0.25">
      <c r="Q568" s="10" t="str">
        <f t="shared" si="57"/>
        <v/>
      </c>
    </row>
    <row r="569" spans="17:17" x14ac:dyDescent="0.25">
      <c r="Q569" s="10" t="str">
        <f t="shared" si="57"/>
        <v/>
      </c>
    </row>
    <row r="570" spans="17:17" x14ac:dyDescent="0.25">
      <c r="Q570" s="10" t="str">
        <f t="shared" si="57"/>
        <v/>
      </c>
    </row>
    <row r="571" spans="17:17" x14ac:dyDescent="0.25">
      <c r="Q571" s="10" t="str">
        <f t="shared" si="57"/>
        <v/>
      </c>
    </row>
    <row r="572" spans="17:17" x14ac:dyDescent="0.25">
      <c r="Q572" s="10" t="str">
        <f t="shared" si="57"/>
        <v/>
      </c>
    </row>
    <row r="573" spans="17:17" x14ac:dyDescent="0.25">
      <c r="Q573" s="10" t="str">
        <f t="shared" si="57"/>
        <v/>
      </c>
    </row>
    <row r="574" spans="17:17" x14ac:dyDescent="0.25">
      <c r="Q574" s="10" t="str">
        <f t="shared" si="57"/>
        <v/>
      </c>
    </row>
    <row r="575" spans="17:17" x14ac:dyDescent="0.25">
      <c r="Q575" s="10" t="str">
        <f t="shared" si="57"/>
        <v/>
      </c>
    </row>
    <row r="576" spans="17:17" x14ac:dyDescent="0.25">
      <c r="Q576" s="10" t="str">
        <f t="shared" si="57"/>
        <v/>
      </c>
    </row>
    <row r="577" spans="17:17" x14ac:dyDescent="0.25">
      <c r="Q577" s="10" t="str">
        <f t="shared" si="57"/>
        <v/>
      </c>
    </row>
    <row r="578" spans="17:17" x14ac:dyDescent="0.25">
      <c r="Q578" s="10" t="str">
        <f t="shared" si="57"/>
        <v/>
      </c>
    </row>
    <row r="579" spans="17:17" x14ac:dyDescent="0.25">
      <c r="Q579" s="10" t="str">
        <f t="shared" si="57"/>
        <v/>
      </c>
    </row>
    <row r="580" spans="17:17" x14ac:dyDescent="0.25">
      <c r="Q580" s="10" t="str">
        <f t="shared" si="57"/>
        <v/>
      </c>
    </row>
    <row r="581" spans="17:17" x14ac:dyDescent="0.25">
      <c r="Q581" s="10" t="str">
        <f t="shared" si="57"/>
        <v/>
      </c>
    </row>
    <row r="582" spans="17:17" x14ac:dyDescent="0.25">
      <c r="Q582" s="10" t="str">
        <f t="shared" si="57"/>
        <v/>
      </c>
    </row>
    <row r="583" spans="17:17" x14ac:dyDescent="0.25">
      <c r="Q583" s="10" t="str">
        <f t="shared" si="57"/>
        <v/>
      </c>
    </row>
    <row r="584" spans="17:17" x14ac:dyDescent="0.25">
      <c r="Q584" s="10" t="str">
        <f t="shared" si="57"/>
        <v/>
      </c>
    </row>
    <row r="585" spans="17:17" x14ac:dyDescent="0.25">
      <c r="Q585" s="10" t="str">
        <f t="shared" si="57"/>
        <v/>
      </c>
    </row>
    <row r="586" spans="17:17" x14ac:dyDescent="0.25">
      <c r="Q586" s="10" t="str">
        <f t="shared" si="57"/>
        <v/>
      </c>
    </row>
    <row r="587" spans="17:17" x14ac:dyDescent="0.25">
      <c r="Q587" s="10" t="str">
        <f t="shared" ref="Q587:Q650" si="58">IF(AND(ISBLANK(O587),ISBLANK(P587)),"",IF(ISBLANK(P587), ROUND(Q586+O587,2), ROUND(Q586+P587,2)))</f>
        <v/>
      </c>
    </row>
    <row r="588" spans="17:17" x14ac:dyDescent="0.25">
      <c r="Q588" s="10" t="str">
        <f t="shared" si="58"/>
        <v/>
      </c>
    </row>
    <row r="589" spans="17:17" x14ac:dyDescent="0.25">
      <c r="Q589" s="10" t="str">
        <f t="shared" si="58"/>
        <v/>
      </c>
    </row>
    <row r="590" spans="17:17" x14ac:dyDescent="0.25">
      <c r="Q590" s="10" t="str">
        <f t="shared" si="58"/>
        <v/>
      </c>
    </row>
    <row r="591" spans="17:17" x14ac:dyDescent="0.25">
      <c r="Q591" s="10" t="str">
        <f t="shared" si="58"/>
        <v/>
      </c>
    </row>
    <row r="592" spans="17:17" x14ac:dyDescent="0.25">
      <c r="Q592" s="10" t="str">
        <f t="shared" si="58"/>
        <v/>
      </c>
    </row>
    <row r="593" spans="17:17" x14ac:dyDescent="0.25">
      <c r="Q593" s="10" t="str">
        <f t="shared" si="58"/>
        <v/>
      </c>
    </row>
    <row r="594" spans="17:17" x14ac:dyDescent="0.25">
      <c r="Q594" s="10" t="str">
        <f t="shared" si="58"/>
        <v/>
      </c>
    </row>
    <row r="595" spans="17:17" x14ac:dyDescent="0.25">
      <c r="Q595" s="10" t="str">
        <f t="shared" si="58"/>
        <v/>
      </c>
    </row>
    <row r="596" spans="17:17" x14ac:dyDescent="0.25">
      <c r="Q596" s="10" t="str">
        <f t="shared" si="58"/>
        <v/>
      </c>
    </row>
    <row r="597" spans="17:17" x14ac:dyDescent="0.25">
      <c r="Q597" s="10" t="str">
        <f t="shared" si="58"/>
        <v/>
      </c>
    </row>
    <row r="598" spans="17:17" x14ac:dyDescent="0.25">
      <c r="Q598" s="10" t="str">
        <f t="shared" si="58"/>
        <v/>
      </c>
    </row>
    <row r="599" spans="17:17" x14ac:dyDescent="0.25">
      <c r="Q599" s="10" t="str">
        <f t="shared" si="58"/>
        <v/>
      </c>
    </row>
    <row r="600" spans="17:17" x14ac:dyDescent="0.25">
      <c r="Q600" s="10" t="str">
        <f t="shared" si="58"/>
        <v/>
      </c>
    </row>
    <row r="601" spans="17:17" x14ac:dyDescent="0.25">
      <c r="Q601" s="10" t="str">
        <f t="shared" si="58"/>
        <v/>
      </c>
    </row>
    <row r="602" spans="17:17" x14ac:dyDescent="0.25">
      <c r="Q602" s="10" t="str">
        <f t="shared" si="58"/>
        <v/>
      </c>
    </row>
    <row r="603" spans="17:17" x14ac:dyDescent="0.25">
      <c r="Q603" s="10" t="str">
        <f t="shared" si="58"/>
        <v/>
      </c>
    </row>
    <row r="604" spans="17:17" x14ac:dyDescent="0.25">
      <c r="Q604" s="10" t="str">
        <f t="shared" si="58"/>
        <v/>
      </c>
    </row>
    <row r="605" spans="17:17" x14ac:dyDescent="0.25">
      <c r="Q605" s="10" t="str">
        <f t="shared" si="58"/>
        <v/>
      </c>
    </row>
    <row r="606" spans="17:17" x14ac:dyDescent="0.25">
      <c r="Q606" s="10" t="str">
        <f t="shared" si="58"/>
        <v/>
      </c>
    </row>
    <row r="607" spans="17:17" x14ac:dyDescent="0.25">
      <c r="Q607" s="10" t="str">
        <f t="shared" si="58"/>
        <v/>
      </c>
    </row>
    <row r="608" spans="17:17" x14ac:dyDescent="0.25">
      <c r="Q608" s="10" t="str">
        <f t="shared" si="58"/>
        <v/>
      </c>
    </row>
    <row r="609" spans="17:17" x14ac:dyDescent="0.25">
      <c r="Q609" s="10" t="str">
        <f t="shared" si="58"/>
        <v/>
      </c>
    </row>
    <row r="610" spans="17:17" x14ac:dyDescent="0.25">
      <c r="Q610" s="10" t="str">
        <f t="shared" si="58"/>
        <v/>
      </c>
    </row>
    <row r="611" spans="17:17" x14ac:dyDescent="0.25">
      <c r="Q611" s="10" t="str">
        <f t="shared" si="58"/>
        <v/>
      </c>
    </row>
    <row r="612" spans="17:17" x14ac:dyDescent="0.25">
      <c r="Q612" s="10" t="str">
        <f t="shared" si="58"/>
        <v/>
      </c>
    </row>
    <row r="613" spans="17:17" x14ac:dyDescent="0.25">
      <c r="Q613" s="10" t="str">
        <f t="shared" si="58"/>
        <v/>
      </c>
    </row>
    <row r="614" spans="17:17" x14ac:dyDescent="0.25">
      <c r="Q614" s="10" t="str">
        <f t="shared" si="58"/>
        <v/>
      </c>
    </row>
    <row r="615" spans="17:17" x14ac:dyDescent="0.25">
      <c r="Q615" s="10" t="str">
        <f t="shared" si="58"/>
        <v/>
      </c>
    </row>
    <row r="616" spans="17:17" x14ac:dyDescent="0.25">
      <c r="Q616" s="10" t="str">
        <f t="shared" si="58"/>
        <v/>
      </c>
    </row>
    <row r="617" spans="17:17" x14ac:dyDescent="0.25">
      <c r="Q617" s="10" t="str">
        <f t="shared" si="58"/>
        <v/>
      </c>
    </row>
    <row r="618" spans="17:17" x14ac:dyDescent="0.25">
      <c r="Q618" s="10" t="str">
        <f t="shared" si="58"/>
        <v/>
      </c>
    </row>
    <row r="619" spans="17:17" x14ac:dyDescent="0.25">
      <c r="Q619" s="10" t="str">
        <f t="shared" si="58"/>
        <v/>
      </c>
    </row>
    <row r="620" spans="17:17" x14ac:dyDescent="0.25">
      <c r="Q620" s="10" t="str">
        <f t="shared" si="58"/>
        <v/>
      </c>
    </row>
    <row r="621" spans="17:17" x14ac:dyDescent="0.25">
      <c r="Q621" s="10" t="str">
        <f t="shared" si="58"/>
        <v/>
      </c>
    </row>
    <row r="622" spans="17:17" x14ac:dyDescent="0.25">
      <c r="Q622" s="10" t="str">
        <f t="shared" si="58"/>
        <v/>
      </c>
    </row>
    <row r="623" spans="17:17" x14ac:dyDescent="0.25">
      <c r="Q623" s="10" t="str">
        <f t="shared" si="58"/>
        <v/>
      </c>
    </row>
    <row r="624" spans="17:17" x14ac:dyDescent="0.25">
      <c r="Q624" s="10" t="str">
        <f t="shared" si="58"/>
        <v/>
      </c>
    </row>
    <row r="625" spans="17:17" x14ac:dyDescent="0.25">
      <c r="Q625" s="10" t="str">
        <f t="shared" si="58"/>
        <v/>
      </c>
    </row>
    <row r="626" spans="17:17" x14ac:dyDescent="0.25">
      <c r="Q626" s="10" t="str">
        <f t="shared" si="58"/>
        <v/>
      </c>
    </row>
    <row r="627" spans="17:17" x14ac:dyDescent="0.25">
      <c r="Q627" s="10" t="str">
        <f t="shared" si="58"/>
        <v/>
      </c>
    </row>
    <row r="628" spans="17:17" x14ac:dyDescent="0.25">
      <c r="Q628" s="10" t="str">
        <f t="shared" si="58"/>
        <v/>
      </c>
    </row>
    <row r="629" spans="17:17" x14ac:dyDescent="0.25">
      <c r="Q629" s="10" t="str">
        <f t="shared" si="58"/>
        <v/>
      </c>
    </row>
    <row r="630" spans="17:17" x14ac:dyDescent="0.25">
      <c r="Q630" s="10" t="str">
        <f t="shared" si="58"/>
        <v/>
      </c>
    </row>
    <row r="631" spans="17:17" x14ac:dyDescent="0.25">
      <c r="Q631" s="10" t="str">
        <f t="shared" si="58"/>
        <v/>
      </c>
    </row>
    <row r="632" spans="17:17" x14ac:dyDescent="0.25">
      <c r="Q632" s="10" t="str">
        <f t="shared" si="58"/>
        <v/>
      </c>
    </row>
    <row r="633" spans="17:17" x14ac:dyDescent="0.25">
      <c r="Q633" s="10" t="str">
        <f t="shared" si="58"/>
        <v/>
      </c>
    </row>
    <row r="634" spans="17:17" x14ac:dyDescent="0.25">
      <c r="Q634" s="10" t="str">
        <f t="shared" si="58"/>
        <v/>
      </c>
    </row>
    <row r="635" spans="17:17" x14ac:dyDescent="0.25">
      <c r="Q635" s="10" t="str">
        <f t="shared" si="58"/>
        <v/>
      </c>
    </row>
    <row r="636" spans="17:17" x14ac:dyDescent="0.25">
      <c r="Q636" s="10" t="str">
        <f t="shared" si="58"/>
        <v/>
      </c>
    </row>
    <row r="637" spans="17:17" x14ac:dyDescent="0.25">
      <c r="Q637" s="10" t="str">
        <f t="shared" si="58"/>
        <v/>
      </c>
    </row>
    <row r="638" spans="17:17" x14ac:dyDescent="0.25">
      <c r="Q638" s="10" t="str">
        <f t="shared" si="58"/>
        <v/>
      </c>
    </row>
    <row r="639" spans="17:17" x14ac:dyDescent="0.25">
      <c r="Q639" s="10" t="str">
        <f t="shared" si="58"/>
        <v/>
      </c>
    </row>
    <row r="640" spans="17:17" x14ac:dyDescent="0.25">
      <c r="Q640" s="10" t="str">
        <f t="shared" si="58"/>
        <v/>
      </c>
    </row>
    <row r="641" spans="17:17" x14ac:dyDescent="0.25">
      <c r="Q641" s="10" t="str">
        <f t="shared" si="58"/>
        <v/>
      </c>
    </row>
    <row r="642" spans="17:17" x14ac:dyDescent="0.25">
      <c r="Q642" s="10" t="str">
        <f t="shared" si="58"/>
        <v/>
      </c>
    </row>
    <row r="643" spans="17:17" x14ac:dyDescent="0.25">
      <c r="Q643" s="10" t="str">
        <f t="shared" si="58"/>
        <v/>
      </c>
    </row>
    <row r="644" spans="17:17" x14ac:dyDescent="0.25">
      <c r="Q644" s="10" t="str">
        <f t="shared" si="58"/>
        <v/>
      </c>
    </row>
    <row r="645" spans="17:17" x14ac:dyDescent="0.25">
      <c r="Q645" s="10" t="str">
        <f t="shared" si="58"/>
        <v/>
      </c>
    </row>
    <row r="646" spans="17:17" x14ac:dyDescent="0.25">
      <c r="Q646" s="10" t="str">
        <f t="shared" si="58"/>
        <v/>
      </c>
    </row>
    <row r="647" spans="17:17" x14ac:dyDescent="0.25">
      <c r="Q647" s="10" t="str">
        <f t="shared" si="58"/>
        <v/>
      </c>
    </row>
    <row r="648" spans="17:17" x14ac:dyDescent="0.25">
      <c r="Q648" s="10" t="str">
        <f t="shared" si="58"/>
        <v/>
      </c>
    </row>
    <row r="649" spans="17:17" x14ac:dyDescent="0.25">
      <c r="Q649" s="10" t="str">
        <f t="shared" si="58"/>
        <v/>
      </c>
    </row>
    <row r="650" spans="17:17" x14ac:dyDescent="0.25">
      <c r="Q650" s="10" t="str">
        <f t="shared" si="58"/>
        <v/>
      </c>
    </row>
    <row r="651" spans="17:17" x14ac:dyDescent="0.25">
      <c r="Q651" s="10" t="str">
        <f t="shared" ref="Q651:Q714" si="59">IF(AND(ISBLANK(O651),ISBLANK(P651)),"",IF(ISBLANK(P651), ROUND(Q650+O651,2), ROUND(Q650+P651,2)))</f>
        <v/>
      </c>
    </row>
    <row r="652" spans="17:17" x14ac:dyDescent="0.25">
      <c r="Q652" s="10" t="str">
        <f t="shared" si="59"/>
        <v/>
      </c>
    </row>
    <row r="653" spans="17:17" x14ac:dyDescent="0.25">
      <c r="Q653" s="10" t="str">
        <f t="shared" si="59"/>
        <v/>
      </c>
    </row>
    <row r="654" spans="17:17" x14ac:dyDescent="0.25">
      <c r="Q654" s="10" t="str">
        <f t="shared" si="59"/>
        <v/>
      </c>
    </row>
    <row r="655" spans="17:17" x14ac:dyDescent="0.25">
      <c r="Q655" s="10" t="str">
        <f t="shared" si="59"/>
        <v/>
      </c>
    </row>
    <row r="656" spans="17:17" x14ac:dyDescent="0.25">
      <c r="Q656" s="10" t="str">
        <f t="shared" si="59"/>
        <v/>
      </c>
    </row>
    <row r="657" spans="17:17" x14ac:dyDescent="0.25">
      <c r="Q657" s="10" t="str">
        <f t="shared" si="59"/>
        <v/>
      </c>
    </row>
    <row r="658" spans="17:17" x14ac:dyDescent="0.25">
      <c r="Q658" s="10" t="str">
        <f t="shared" si="59"/>
        <v/>
      </c>
    </row>
    <row r="659" spans="17:17" x14ac:dyDescent="0.25">
      <c r="Q659" s="10" t="str">
        <f t="shared" si="59"/>
        <v/>
      </c>
    </row>
    <row r="660" spans="17:17" x14ac:dyDescent="0.25">
      <c r="Q660" s="10" t="str">
        <f t="shared" si="59"/>
        <v/>
      </c>
    </row>
    <row r="661" spans="17:17" x14ac:dyDescent="0.25">
      <c r="Q661" s="10" t="str">
        <f t="shared" si="59"/>
        <v/>
      </c>
    </row>
    <row r="662" spans="17:17" x14ac:dyDescent="0.25">
      <c r="Q662" s="10" t="str">
        <f t="shared" si="59"/>
        <v/>
      </c>
    </row>
    <row r="663" spans="17:17" x14ac:dyDescent="0.25">
      <c r="Q663" s="10" t="str">
        <f t="shared" si="59"/>
        <v/>
      </c>
    </row>
    <row r="664" spans="17:17" x14ac:dyDescent="0.25">
      <c r="Q664" s="10" t="str">
        <f t="shared" si="59"/>
        <v/>
      </c>
    </row>
    <row r="665" spans="17:17" x14ac:dyDescent="0.25">
      <c r="Q665" s="10" t="str">
        <f t="shared" si="59"/>
        <v/>
      </c>
    </row>
    <row r="666" spans="17:17" x14ac:dyDescent="0.25">
      <c r="Q666" s="10" t="str">
        <f t="shared" si="59"/>
        <v/>
      </c>
    </row>
    <row r="667" spans="17:17" x14ac:dyDescent="0.25">
      <c r="Q667" s="10" t="str">
        <f t="shared" si="59"/>
        <v/>
      </c>
    </row>
    <row r="668" spans="17:17" x14ac:dyDescent="0.25">
      <c r="Q668" s="10" t="str">
        <f t="shared" si="59"/>
        <v/>
      </c>
    </row>
    <row r="669" spans="17:17" x14ac:dyDescent="0.25">
      <c r="Q669" s="10" t="str">
        <f t="shared" si="59"/>
        <v/>
      </c>
    </row>
    <row r="670" spans="17:17" x14ac:dyDescent="0.25">
      <c r="Q670" s="10" t="str">
        <f t="shared" si="59"/>
        <v/>
      </c>
    </row>
    <row r="671" spans="17:17" x14ac:dyDescent="0.25">
      <c r="Q671" s="10" t="str">
        <f t="shared" si="59"/>
        <v/>
      </c>
    </row>
    <row r="672" spans="17:17" x14ac:dyDescent="0.25">
      <c r="Q672" s="10" t="str">
        <f t="shared" si="59"/>
        <v/>
      </c>
    </row>
    <row r="673" spans="17:17" x14ac:dyDescent="0.25">
      <c r="Q673" s="10" t="str">
        <f t="shared" si="59"/>
        <v/>
      </c>
    </row>
    <row r="674" spans="17:17" x14ac:dyDescent="0.25">
      <c r="Q674" s="10" t="str">
        <f t="shared" si="59"/>
        <v/>
      </c>
    </row>
    <row r="675" spans="17:17" x14ac:dyDescent="0.25">
      <c r="Q675" s="10" t="str">
        <f t="shared" si="59"/>
        <v/>
      </c>
    </row>
    <row r="676" spans="17:17" x14ac:dyDescent="0.25">
      <c r="Q676" s="10" t="str">
        <f t="shared" si="59"/>
        <v/>
      </c>
    </row>
    <row r="677" spans="17:17" x14ac:dyDescent="0.25">
      <c r="Q677" s="10" t="str">
        <f t="shared" si="59"/>
        <v/>
      </c>
    </row>
    <row r="678" spans="17:17" x14ac:dyDescent="0.25">
      <c r="Q678" s="10" t="str">
        <f t="shared" si="59"/>
        <v/>
      </c>
    </row>
    <row r="679" spans="17:17" x14ac:dyDescent="0.25">
      <c r="Q679" s="10" t="str">
        <f t="shared" si="59"/>
        <v/>
      </c>
    </row>
    <row r="680" spans="17:17" x14ac:dyDescent="0.25">
      <c r="Q680" s="10" t="str">
        <f t="shared" si="59"/>
        <v/>
      </c>
    </row>
    <row r="681" spans="17:17" x14ac:dyDescent="0.25">
      <c r="Q681" s="10" t="str">
        <f t="shared" si="59"/>
        <v/>
      </c>
    </row>
    <row r="682" spans="17:17" x14ac:dyDescent="0.25">
      <c r="Q682" s="10" t="str">
        <f t="shared" si="59"/>
        <v/>
      </c>
    </row>
    <row r="683" spans="17:17" x14ac:dyDescent="0.25">
      <c r="Q683" s="10" t="str">
        <f t="shared" si="59"/>
        <v/>
      </c>
    </row>
    <row r="684" spans="17:17" x14ac:dyDescent="0.25">
      <c r="Q684" s="10" t="str">
        <f t="shared" si="59"/>
        <v/>
      </c>
    </row>
    <row r="685" spans="17:17" x14ac:dyDescent="0.25">
      <c r="Q685" s="10" t="str">
        <f t="shared" si="59"/>
        <v/>
      </c>
    </row>
    <row r="686" spans="17:17" x14ac:dyDescent="0.25">
      <c r="Q686" s="10" t="str">
        <f t="shared" si="59"/>
        <v/>
      </c>
    </row>
    <row r="687" spans="17:17" x14ac:dyDescent="0.25">
      <c r="Q687" s="10" t="str">
        <f t="shared" si="59"/>
        <v/>
      </c>
    </row>
    <row r="688" spans="17:17" x14ac:dyDescent="0.25">
      <c r="Q688" s="10" t="str">
        <f t="shared" si="59"/>
        <v/>
      </c>
    </row>
    <row r="689" spans="17:17" x14ac:dyDescent="0.25">
      <c r="Q689" s="10" t="str">
        <f t="shared" si="59"/>
        <v/>
      </c>
    </row>
    <row r="690" spans="17:17" x14ac:dyDescent="0.25">
      <c r="Q690" s="10" t="str">
        <f t="shared" si="59"/>
        <v/>
      </c>
    </row>
    <row r="691" spans="17:17" x14ac:dyDescent="0.25">
      <c r="Q691" s="10" t="str">
        <f t="shared" si="59"/>
        <v/>
      </c>
    </row>
    <row r="692" spans="17:17" x14ac:dyDescent="0.25">
      <c r="Q692" s="10" t="str">
        <f t="shared" si="59"/>
        <v/>
      </c>
    </row>
    <row r="693" spans="17:17" x14ac:dyDescent="0.25">
      <c r="Q693" s="10" t="str">
        <f t="shared" si="59"/>
        <v/>
      </c>
    </row>
    <row r="694" spans="17:17" x14ac:dyDescent="0.25">
      <c r="Q694" s="10" t="str">
        <f t="shared" si="59"/>
        <v/>
      </c>
    </row>
    <row r="695" spans="17:17" x14ac:dyDescent="0.25">
      <c r="Q695" s="10" t="str">
        <f t="shared" si="59"/>
        <v/>
      </c>
    </row>
    <row r="696" spans="17:17" x14ac:dyDescent="0.25">
      <c r="Q696" s="10" t="str">
        <f t="shared" si="59"/>
        <v/>
      </c>
    </row>
    <row r="697" spans="17:17" x14ac:dyDescent="0.25">
      <c r="Q697" s="10" t="str">
        <f t="shared" si="59"/>
        <v/>
      </c>
    </row>
    <row r="698" spans="17:17" x14ac:dyDescent="0.25">
      <c r="Q698" s="10" t="str">
        <f t="shared" si="59"/>
        <v/>
      </c>
    </row>
    <row r="699" spans="17:17" x14ac:dyDescent="0.25">
      <c r="Q699" s="10" t="str">
        <f t="shared" si="59"/>
        <v/>
      </c>
    </row>
    <row r="700" spans="17:17" x14ac:dyDescent="0.25">
      <c r="Q700" s="10" t="str">
        <f t="shared" si="59"/>
        <v/>
      </c>
    </row>
    <row r="701" spans="17:17" x14ac:dyDescent="0.25">
      <c r="Q701" s="10" t="str">
        <f t="shared" si="59"/>
        <v/>
      </c>
    </row>
    <row r="702" spans="17:17" x14ac:dyDescent="0.25">
      <c r="Q702" s="10" t="str">
        <f t="shared" si="59"/>
        <v/>
      </c>
    </row>
    <row r="703" spans="17:17" x14ac:dyDescent="0.25">
      <c r="Q703" s="10" t="str">
        <f t="shared" si="59"/>
        <v/>
      </c>
    </row>
    <row r="704" spans="17:17" x14ac:dyDescent="0.25">
      <c r="Q704" s="10" t="str">
        <f t="shared" si="59"/>
        <v/>
      </c>
    </row>
    <row r="705" spans="17:17" x14ac:dyDescent="0.25">
      <c r="Q705" s="10" t="str">
        <f t="shared" si="59"/>
        <v/>
      </c>
    </row>
    <row r="706" spans="17:17" x14ac:dyDescent="0.25">
      <c r="Q706" s="10" t="str">
        <f t="shared" si="59"/>
        <v/>
      </c>
    </row>
    <row r="707" spans="17:17" x14ac:dyDescent="0.25">
      <c r="Q707" s="10" t="str">
        <f t="shared" si="59"/>
        <v/>
      </c>
    </row>
    <row r="708" spans="17:17" x14ac:dyDescent="0.25">
      <c r="Q708" s="10" t="str">
        <f t="shared" si="59"/>
        <v/>
      </c>
    </row>
    <row r="709" spans="17:17" x14ac:dyDescent="0.25">
      <c r="Q709" s="10" t="str">
        <f t="shared" si="59"/>
        <v/>
      </c>
    </row>
    <row r="710" spans="17:17" x14ac:dyDescent="0.25">
      <c r="Q710" s="10" t="str">
        <f t="shared" si="59"/>
        <v/>
      </c>
    </row>
    <row r="711" spans="17:17" x14ac:dyDescent="0.25">
      <c r="Q711" s="10" t="str">
        <f t="shared" si="59"/>
        <v/>
      </c>
    </row>
    <row r="712" spans="17:17" x14ac:dyDescent="0.25">
      <c r="Q712" s="10" t="str">
        <f t="shared" si="59"/>
        <v/>
      </c>
    </row>
    <row r="713" spans="17:17" x14ac:dyDescent="0.25">
      <c r="Q713" s="10" t="str">
        <f t="shared" si="59"/>
        <v/>
      </c>
    </row>
    <row r="714" spans="17:17" x14ac:dyDescent="0.25">
      <c r="Q714" s="10" t="str">
        <f t="shared" si="59"/>
        <v/>
      </c>
    </row>
    <row r="715" spans="17:17" x14ac:dyDescent="0.25">
      <c r="Q715" s="10" t="str">
        <f t="shared" ref="Q715:Q778" si="60">IF(AND(ISBLANK(O715),ISBLANK(P715)),"",IF(ISBLANK(P715), ROUND(Q714+O715,2), ROUND(Q714+P715,2)))</f>
        <v/>
      </c>
    </row>
    <row r="716" spans="17:17" x14ac:dyDescent="0.25">
      <c r="Q716" s="10" t="str">
        <f t="shared" si="60"/>
        <v/>
      </c>
    </row>
    <row r="717" spans="17:17" x14ac:dyDescent="0.25">
      <c r="Q717" s="10" t="str">
        <f t="shared" si="60"/>
        <v/>
      </c>
    </row>
    <row r="718" spans="17:17" x14ac:dyDescent="0.25">
      <c r="Q718" s="10" t="str">
        <f t="shared" si="60"/>
        <v/>
      </c>
    </row>
    <row r="719" spans="17:17" x14ac:dyDescent="0.25">
      <c r="Q719" s="10" t="str">
        <f t="shared" si="60"/>
        <v/>
      </c>
    </row>
    <row r="720" spans="17:17" x14ac:dyDescent="0.25">
      <c r="Q720" s="10" t="str">
        <f t="shared" si="60"/>
        <v/>
      </c>
    </row>
    <row r="721" spans="17:17" x14ac:dyDescent="0.25">
      <c r="Q721" s="10" t="str">
        <f t="shared" si="60"/>
        <v/>
      </c>
    </row>
    <row r="722" spans="17:17" x14ac:dyDescent="0.25">
      <c r="Q722" s="10" t="str">
        <f t="shared" si="60"/>
        <v/>
      </c>
    </row>
    <row r="723" spans="17:17" x14ac:dyDescent="0.25">
      <c r="Q723" s="10" t="str">
        <f t="shared" si="60"/>
        <v/>
      </c>
    </row>
    <row r="724" spans="17:17" x14ac:dyDescent="0.25">
      <c r="Q724" s="10" t="str">
        <f t="shared" si="60"/>
        <v/>
      </c>
    </row>
    <row r="725" spans="17:17" x14ac:dyDescent="0.25">
      <c r="Q725" s="10" t="str">
        <f t="shared" si="60"/>
        <v/>
      </c>
    </row>
    <row r="726" spans="17:17" x14ac:dyDescent="0.25">
      <c r="Q726" s="10" t="str">
        <f t="shared" si="60"/>
        <v/>
      </c>
    </row>
    <row r="727" spans="17:17" x14ac:dyDescent="0.25">
      <c r="Q727" s="10" t="str">
        <f t="shared" si="60"/>
        <v/>
      </c>
    </row>
    <row r="728" spans="17:17" x14ac:dyDescent="0.25">
      <c r="Q728" s="10" t="str">
        <f t="shared" si="60"/>
        <v/>
      </c>
    </row>
    <row r="729" spans="17:17" x14ac:dyDescent="0.25">
      <c r="Q729" s="10" t="str">
        <f t="shared" si="60"/>
        <v/>
      </c>
    </row>
    <row r="730" spans="17:17" x14ac:dyDescent="0.25">
      <c r="Q730" s="10" t="str">
        <f t="shared" si="60"/>
        <v/>
      </c>
    </row>
    <row r="731" spans="17:17" x14ac:dyDescent="0.25">
      <c r="Q731" s="10" t="str">
        <f t="shared" si="60"/>
        <v/>
      </c>
    </row>
    <row r="732" spans="17:17" x14ac:dyDescent="0.25">
      <c r="Q732" s="10" t="str">
        <f t="shared" si="60"/>
        <v/>
      </c>
    </row>
    <row r="733" spans="17:17" x14ac:dyDescent="0.25">
      <c r="Q733" s="10" t="str">
        <f t="shared" si="60"/>
        <v/>
      </c>
    </row>
    <row r="734" spans="17:17" x14ac:dyDescent="0.25">
      <c r="Q734" s="10" t="str">
        <f t="shared" si="60"/>
        <v/>
      </c>
    </row>
    <row r="735" spans="17:17" x14ac:dyDescent="0.25">
      <c r="Q735" s="10" t="str">
        <f t="shared" si="60"/>
        <v/>
      </c>
    </row>
    <row r="736" spans="17:17" x14ac:dyDescent="0.25">
      <c r="Q736" s="10" t="str">
        <f t="shared" si="60"/>
        <v/>
      </c>
    </row>
    <row r="737" spans="17:17" x14ac:dyDescent="0.25">
      <c r="Q737" s="10" t="str">
        <f t="shared" si="60"/>
        <v/>
      </c>
    </row>
    <row r="738" spans="17:17" x14ac:dyDescent="0.25">
      <c r="Q738" s="10" t="str">
        <f t="shared" si="60"/>
        <v/>
      </c>
    </row>
    <row r="739" spans="17:17" x14ac:dyDescent="0.25">
      <c r="Q739" s="10" t="str">
        <f t="shared" si="60"/>
        <v/>
      </c>
    </row>
    <row r="740" spans="17:17" x14ac:dyDescent="0.25">
      <c r="Q740" s="10" t="str">
        <f t="shared" si="60"/>
        <v/>
      </c>
    </row>
    <row r="741" spans="17:17" x14ac:dyDescent="0.25">
      <c r="Q741" s="10" t="str">
        <f t="shared" si="60"/>
        <v/>
      </c>
    </row>
    <row r="742" spans="17:17" x14ac:dyDescent="0.25">
      <c r="Q742" s="10" t="str">
        <f t="shared" si="60"/>
        <v/>
      </c>
    </row>
    <row r="743" spans="17:17" x14ac:dyDescent="0.25">
      <c r="Q743" s="10" t="str">
        <f t="shared" si="60"/>
        <v/>
      </c>
    </row>
    <row r="744" spans="17:17" x14ac:dyDescent="0.25">
      <c r="Q744" s="10" t="str">
        <f t="shared" si="60"/>
        <v/>
      </c>
    </row>
    <row r="745" spans="17:17" x14ac:dyDescent="0.25">
      <c r="Q745" s="10" t="str">
        <f t="shared" si="60"/>
        <v/>
      </c>
    </row>
    <row r="746" spans="17:17" x14ac:dyDescent="0.25">
      <c r="Q746" s="10" t="str">
        <f t="shared" si="60"/>
        <v/>
      </c>
    </row>
    <row r="747" spans="17:17" x14ac:dyDescent="0.25">
      <c r="Q747" s="10" t="str">
        <f t="shared" si="60"/>
        <v/>
      </c>
    </row>
    <row r="748" spans="17:17" x14ac:dyDescent="0.25">
      <c r="Q748" s="10" t="str">
        <f t="shared" si="60"/>
        <v/>
      </c>
    </row>
    <row r="749" spans="17:17" x14ac:dyDescent="0.25">
      <c r="Q749" s="10" t="str">
        <f t="shared" si="60"/>
        <v/>
      </c>
    </row>
    <row r="750" spans="17:17" x14ac:dyDescent="0.25">
      <c r="Q750" s="10" t="str">
        <f t="shared" si="60"/>
        <v/>
      </c>
    </row>
    <row r="751" spans="17:17" x14ac:dyDescent="0.25">
      <c r="Q751" s="10" t="str">
        <f t="shared" si="60"/>
        <v/>
      </c>
    </row>
    <row r="752" spans="17:17" x14ac:dyDescent="0.25">
      <c r="Q752" s="10" t="str">
        <f t="shared" si="60"/>
        <v/>
      </c>
    </row>
    <row r="753" spans="17:17" x14ac:dyDescent="0.25">
      <c r="Q753" s="10" t="str">
        <f t="shared" si="60"/>
        <v/>
      </c>
    </row>
    <row r="754" spans="17:17" x14ac:dyDescent="0.25">
      <c r="Q754" s="10" t="str">
        <f t="shared" si="60"/>
        <v/>
      </c>
    </row>
    <row r="755" spans="17:17" x14ac:dyDescent="0.25">
      <c r="Q755" s="10" t="str">
        <f t="shared" si="60"/>
        <v/>
      </c>
    </row>
    <row r="756" spans="17:17" x14ac:dyDescent="0.25">
      <c r="Q756" s="10" t="str">
        <f t="shared" si="60"/>
        <v/>
      </c>
    </row>
    <row r="757" spans="17:17" x14ac:dyDescent="0.25">
      <c r="Q757" s="10" t="str">
        <f t="shared" si="60"/>
        <v/>
      </c>
    </row>
    <row r="758" spans="17:17" x14ac:dyDescent="0.25">
      <c r="Q758" s="10" t="str">
        <f t="shared" si="60"/>
        <v/>
      </c>
    </row>
    <row r="759" spans="17:17" x14ac:dyDescent="0.25">
      <c r="Q759" s="10" t="str">
        <f t="shared" si="60"/>
        <v/>
      </c>
    </row>
    <row r="760" spans="17:17" x14ac:dyDescent="0.25">
      <c r="Q760" s="10" t="str">
        <f t="shared" si="60"/>
        <v/>
      </c>
    </row>
    <row r="761" spans="17:17" x14ac:dyDescent="0.25">
      <c r="Q761" s="10" t="str">
        <f t="shared" si="60"/>
        <v/>
      </c>
    </row>
    <row r="762" spans="17:17" x14ac:dyDescent="0.25">
      <c r="Q762" s="10" t="str">
        <f t="shared" si="60"/>
        <v/>
      </c>
    </row>
    <row r="763" spans="17:17" x14ac:dyDescent="0.25">
      <c r="Q763" s="10" t="str">
        <f t="shared" si="60"/>
        <v/>
      </c>
    </row>
    <row r="764" spans="17:17" x14ac:dyDescent="0.25">
      <c r="Q764" s="10" t="str">
        <f t="shared" si="60"/>
        <v/>
      </c>
    </row>
    <row r="765" spans="17:17" x14ac:dyDescent="0.25">
      <c r="Q765" s="10" t="str">
        <f t="shared" si="60"/>
        <v/>
      </c>
    </row>
    <row r="766" spans="17:17" x14ac:dyDescent="0.25">
      <c r="Q766" s="10" t="str">
        <f t="shared" si="60"/>
        <v/>
      </c>
    </row>
    <row r="767" spans="17:17" x14ac:dyDescent="0.25">
      <c r="Q767" s="10" t="str">
        <f t="shared" si="60"/>
        <v/>
      </c>
    </row>
    <row r="768" spans="17:17" x14ac:dyDescent="0.25">
      <c r="Q768" s="10" t="str">
        <f t="shared" si="60"/>
        <v/>
      </c>
    </row>
    <row r="769" spans="17:17" x14ac:dyDescent="0.25">
      <c r="Q769" s="10" t="str">
        <f t="shared" si="60"/>
        <v/>
      </c>
    </row>
    <row r="770" spans="17:17" x14ac:dyDescent="0.25">
      <c r="Q770" s="10" t="str">
        <f t="shared" si="60"/>
        <v/>
      </c>
    </row>
    <row r="771" spans="17:17" x14ac:dyDescent="0.25">
      <c r="Q771" s="10" t="str">
        <f t="shared" si="60"/>
        <v/>
      </c>
    </row>
    <row r="772" spans="17:17" x14ac:dyDescent="0.25">
      <c r="Q772" s="10" t="str">
        <f t="shared" si="60"/>
        <v/>
      </c>
    </row>
    <row r="773" spans="17:17" x14ac:dyDescent="0.25">
      <c r="Q773" s="10" t="str">
        <f t="shared" si="60"/>
        <v/>
      </c>
    </row>
    <row r="774" spans="17:17" x14ac:dyDescent="0.25">
      <c r="Q774" s="10" t="str">
        <f t="shared" si="60"/>
        <v/>
      </c>
    </row>
    <row r="775" spans="17:17" x14ac:dyDescent="0.25">
      <c r="Q775" s="10" t="str">
        <f t="shared" si="60"/>
        <v/>
      </c>
    </row>
    <row r="776" spans="17:17" x14ac:dyDescent="0.25">
      <c r="Q776" s="10" t="str">
        <f t="shared" si="60"/>
        <v/>
      </c>
    </row>
    <row r="777" spans="17:17" x14ac:dyDescent="0.25">
      <c r="Q777" s="10" t="str">
        <f t="shared" si="60"/>
        <v/>
      </c>
    </row>
    <row r="778" spans="17:17" x14ac:dyDescent="0.25">
      <c r="Q778" s="10" t="str">
        <f t="shared" si="60"/>
        <v/>
      </c>
    </row>
    <row r="779" spans="17:17" x14ac:dyDescent="0.25">
      <c r="Q779" s="10" t="str">
        <f t="shared" ref="Q779:Q842" si="61">IF(AND(ISBLANK(O779),ISBLANK(P779)),"",IF(ISBLANK(P779), ROUND(Q778+O779,2), ROUND(Q778+P779,2)))</f>
        <v/>
      </c>
    </row>
    <row r="780" spans="17:17" x14ac:dyDescent="0.25">
      <c r="Q780" s="10" t="str">
        <f t="shared" si="61"/>
        <v/>
      </c>
    </row>
    <row r="781" spans="17:17" x14ac:dyDescent="0.25">
      <c r="Q781" s="10" t="str">
        <f t="shared" si="61"/>
        <v/>
      </c>
    </row>
    <row r="782" spans="17:17" x14ac:dyDescent="0.25">
      <c r="Q782" s="10" t="str">
        <f t="shared" si="61"/>
        <v/>
      </c>
    </row>
    <row r="783" spans="17:17" x14ac:dyDescent="0.25">
      <c r="Q783" s="10" t="str">
        <f t="shared" si="61"/>
        <v/>
      </c>
    </row>
    <row r="784" spans="17:17" x14ac:dyDescent="0.25">
      <c r="Q784" s="10" t="str">
        <f t="shared" si="61"/>
        <v/>
      </c>
    </row>
    <row r="785" spans="17:17" x14ac:dyDescent="0.25">
      <c r="Q785" s="10" t="str">
        <f t="shared" si="61"/>
        <v/>
      </c>
    </row>
    <row r="786" spans="17:17" x14ac:dyDescent="0.25">
      <c r="Q786" s="10" t="str">
        <f t="shared" si="61"/>
        <v/>
      </c>
    </row>
    <row r="787" spans="17:17" x14ac:dyDescent="0.25">
      <c r="Q787" s="10" t="str">
        <f t="shared" si="61"/>
        <v/>
      </c>
    </row>
    <row r="788" spans="17:17" x14ac:dyDescent="0.25">
      <c r="Q788" s="10" t="str">
        <f t="shared" si="61"/>
        <v/>
      </c>
    </row>
    <row r="789" spans="17:17" x14ac:dyDescent="0.25">
      <c r="Q789" s="10" t="str">
        <f t="shared" si="61"/>
        <v/>
      </c>
    </row>
    <row r="790" spans="17:17" x14ac:dyDescent="0.25">
      <c r="Q790" s="10" t="str">
        <f t="shared" si="61"/>
        <v/>
      </c>
    </row>
    <row r="791" spans="17:17" x14ac:dyDescent="0.25">
      <c r="Q791" s="10" t="str">
        <f t="shared" si="61"/>
        <v/>
      </c>
    </row>
    <row r="792" spans="17:17" x14ac:dyDescent="0.25">
      <c r="Q792" s="10" t="str">
        <f t="shared" si="61"/>
        <v/>
      </c>
    </row>
    <row r="793" spans="17:17" x14ac:dyDescent="0.25">
      <c r="Q793" s="10" t="str">
        <f t="shared" si="61"/>
        <v/>
      </c>
    </row>
    <row r="794" spans="17:17" x14ac:dyDescent="0.25">
      <c r="Q794" s="10" t="str">
        <f t="shared" si="61"/>
        <v/>
      </c>
    </row>
    <row r="795" spans="17:17" x14ac:dyDescent="0.25">
      <c r="Q795" s="10" t="str">
        <f t="shared" si="61"/>
        <v/>
      </c>
    </row>
    <row r="796" spans="17:17" x14ac:dyDescent="0.25">
      <c r="Q796" s="10" t="str">
        <f t="shared" si="61"/>
        <v/>
      </c>
    </row>
    <row r="797" spans="17:17" x14ac:dyDescent="0.25">
      <c r="Q797" s="10" t="str">
        <f t="shared" si="61"/>
        <v/>
      </c>
    </row>
    <row r="798" spans="17:17" x14ac:dyDescent="0.25">
      <c r="Q798" s="10" t="str">
        <f t="shared" si="61"/>
        <v/>
      </c>
    </row>
    <row r="799" spans="17:17" x14ac:dyDescent="0.25">
      <c r="Q799" s="10" t="str">
        <f t="shared" si="61"/>
        <v/>
      </c>
    </row>
    <row r="800" spans="17:17" x14ac:dyDescent="0.25">
      <c r="Q800" s="10" t="str">
        <f t="shared" si="61"/>
        <v/>
      </c>
    </row>
    <row r="801" spans="17:17" x14ac:dyDescent="0.25">
      <c r="Q801" s="10" t="str">
        <f t="shared" si="61"/>
        <v/>
      </c>
    </row>
    <row r="802" spans="17:17" x14ac:dyDescent="0.25">
      <c r="Q802" s="10" t="str">
        <f t="shared" si="61"/>
        <v/>
      </c>
    </row>
    <row r="803" spans="17:17" x14ac:dyDescent="0.25">
      <c r="Q803" s="10" t="str">
        <f t="shared" si="61"/>
        <v/>
      </c>
    </row>
    <row r="804" spans="17:17" x14ac:dyDescent="0.25">
      <c r="Q804" s="10" t="str">
        <f t="shared" si="61"/>
        <v/>
      </c>
    </row>
    <row r="805" spans="17:17" x14ac:dyDescent="0.25">
      <c r="Q805" s="10" t="str">
        <f t="shared" si="61"/>
        <v/>
      </c>
    </row>
    <row r="806" spans="17:17" x14ac:dyDescent="0.25">
      <c r="Q806" s="10" t="str">
        <f t="shared" si="61"/>
        <v/>
      </c>
    </row>
    <row r="807" spans="17:17" x14ac:dyDescent="0.25">
      <c r="Q807" s="10" t="str">
        <f t="shared" si="61"/>
        <v/>
      </c>
    </row>
    <row r="808" spans="17:17" x14ac:dyDescent="0.25">
      <c r="Q808" s="10" t="str">
        <f t="shared" si="61"/>
        <v/>
      </c>
    </row>
    <row r="809" spans="17:17" x14ac:dyDescent="0.25">
      <c r="Q809" s="10" t="str">
        <f t="shared" si="61"/>
        <v/>
      </c>
    </row>
    <row r="810" spans="17:17" x14ac:dyDescent="0.25">
      <c r="Q810" s="10" t="str">
        <f t="shared" si="61"/>
        <v/>
      </c>
    </row>
    <row r="811" spans="17:17" x14ac:dyDescent="0.25">
      <c r="Q811" s="10" t="str">
        <f t="shared" si="61"/>
        <v/>
      </c>
    </row>
    <row r="812" spans="17:17" x14ac:dyDescent="0.25">
      <c r="Q812" s="10" t="str">
        <f t="shared" si="61"/>
        <v/>
      </c>
    </row>
    <row r="813" spans="17:17" x14ac:dyDescent="0.25">
      <c r="Q813" s="10" t="str">
        <f t="shared" si="61"/>
        <v/>
      </c>
    </row>
    <row r="814" spans="17:17" x14ac:dyDescent="0.25">
      <c r="Q814" s="10" t="str">
        <f t="shared" si="61"/>
        <v/>
      </c>
    </row>
    <row r="815" spans="17:17" x14ac:dyDescent="0.25">
      <c r="Q815" s="10" t="str">
        <f t="shared" si="61"/>
        <v/>
      </c>
    </row>
    <row r="816" spans="17:17" x14ac:dyDescent="0.25">
      <c r="Q816" s="10" t="str">
        <f t="shared" si="61"/>
        <v/>
      </c>
    </row>
    <row r="817" spans="17:17" x14ac:dyDescent="0.25">
      <c r="Q817" s="10" t="str">
        <f t="shared" si="61"/>
        <v/>
      </c>
    </row>
    <row r="818" spans="17:17" x14ac:dyDescent="0.25">
      <c r="Q818" s="10" t="str">
        <f t="shared" si="61"/>
        <v/>
      </c>
    </row>
    <row r="819" spans="17:17" x14ac:dyDescent="0.25">
      <c r="Q819" s="10" t="str">
        <f t="shared" si="61"/>
        <v/>
      </c>
    </row>
    <row r="820" spans="17:17" x14ac:dyDescent="0.25">
      <c r="Q820" s="10" t="str">
        <f t="shared" si="61"/>
        <v/>
      </c>
    </row>
    <row r="821" spans="17:17" x14ac:dyDescent="0.25">
      <c r="Q821" s="10" t="str">
        <f t="shared" si="61"/>
        <v/>
      </c>
    </row>
    <row r="822" spans="17:17" x14ac:dyDescent="0.25">
      <c r="Q822" s="10" t="str">
        <f t="shared" si="61"/>
        <v/>
      </c>
    </row>
    <row r="823" spans="17:17" x14ac:dyDescent="0.25">
      <c r="Q823" s="10" t="str">
        <f t="shared" si="61"/>
        <v/>
      </c>
    </row>
    <row r="824" spans="17:17" x14ac:dyDescent="0.25">
      <c r="Q824" s="10" t="str">
        <f t="shared" si="61"/>
        <v/>
      </c>
    </row>
    <row r="825" spans="17:17" x14ac:dyDescent="0.25">
      <c r="Q825" s="10" t="str">
        <f t="shared" si="61"/>
        <v/>
      </c>
    </row>
    <row r="826" spans="17:17" x14ac:dyDescent="0.25">
      <c r="Q826" s="10" t="str">
        <f t="shared" si="61"/>
        <v/>
      </c>
    </row>
    <row r="827" spans="17:17" x14ac:dyDescent="0.25">
      <c r="Q827" s="10" t="str">
        <f t="shared" si="61"/>
        <v/>
      </c>
    </row>
    <row r="828" spans="17:17" x14ac:dyDescent="0.25">
      <c r="Q828" s="10" t="str">
        <f t="shared" si="61"/>
        <v/>
      </c>
    </row>
    <row r="829" spans="17:17" x14ac:dyDescent="0.25">
      <c r="Q829" s="10" t="str">
        <f t="shared" si="61"/>
        <v/>
      </c>
    </row>
    <row r="830" spans="17:17" x14ac:dyDescent="0.25">
      <c r="Q830" s="10" t="str">
        <f t="shared" si="61"/>
        <v/>
      </c>
    </row>
    <row r="831" spans="17:17" x14ac:dyDescent="0.25">
      <c r="Q831" s="10" t="str">
        <f t="shared" si="61"/>
        <v/>
      </c>
    </row>
    <row r="832" spans="17:17" x14ac:dyDescent="0.25">
      <c r="Q832" s="10" t="str">
        <f t="shared" si="61"/>
        <v/>
      </c>
    </row>
    <row r="833" spans="17:17" x14ac:dyDescent="0.25">
      <c r="Q833" s="10" t="str">
        <f t="shared" si="61"/>
        <v/>
      </c>
    </row>
    <row r="834" spans="17:17" x14ac:dyDescent="0.25">
      <c r="Q834" s="10" t="str">
        <f t="shared" si="61"/>
        <v/>
      </c>
    </row>
    <row r="835" spans="17:17" x14ac:dyDescent="0.25">
      <c r="Q835" s="10" t="str">
        <f t="shared" si="61"/>
        <v/>
      </c>
    </row>
    <row r="836" spans="17:17" x14ac:dyDescent="0.25">
      <c r="Q836" s="10" t="str">
        <f t="shared" si="61"/>
        <v/>
      </c>
    </row>
    <row r="837" spans="17:17" x14ac:dyDescent="0.25">
      <c r="Q837" s="10" t="str">
        <f t="shared" si="61"/>
        <v/>
      </c>
    </row>
    <row r="838" spans="17:17" x14ac:dyDescent="0.25">
      <c r="Q838" s="10" t="str">
        <f t="shared" si="61"/>
        <v/>
      </c>
    </row>
    <row r="839" spans="17:17" x14ac:dyDescent="0.25">
      <c r="Q839" s="10" t="str">
        <f t="shared" si="61"/>
        <v/>
      </c>
    </row>
    <row r="840" spans="17:17" x14ac:dyDescent="0.25">
      <c r="Q840" s="10" t="str">
        <f t="shared" si="61"/>
        <v/>
      </c>
    </row>
    <row r="841" spans="17:17" x14ac:dyDescent="0.25">
      <c r="Q841" s="10" t="str">
        <f t="shared" si="61"/>
        <v/>
      </c>
    </row>
    <row r="842" spans="17:17" x14ac:dyDescent="0.25">
      <c r="Q842" s="10" t="str">
        <f t="shared" si="61"/>
        <v/>
      </c>
    </row>
    <row r="843" spans="17:17" x14ac:dyDescent="0.25">
      <c r="Q843" s="10" t="str">
        <f t="shared" ref="Q843:Q906" si="62">IF(AND(ISBLANK(O843),ISBLANK(P843)),"",IF(ISBLANK(P843), ROUND(Q842+O843,2), ROUND(Q842+P843,2)))</f>
        <v/>
      </c>
    </row>
    <row r="844" spans="17:17" x14ac:dyDescent="0.25">
      <c r="Q844" s="10" t="str">
        <f t="shared" si="62"/>
        <v/>
      </c>
    </row>
    <row r="845" spans="17:17" x14ac:dyDescent="0.25">
      <c r="Q845" s="10" t="str">
        <f t="shared" si="62"/>
        <v/>
      </c>
    </row>
    <row r="846" spans="17:17" x14ac:dyDescent="0.25">
      <c r="Q846" s="10" t="str">
        <f t="shared" si="62"/>
        <v/>
      </c>
    </row>
    <row r="847" spans="17:17" x14ac:dyDescent="0.25">
      <c r="Q847" s="10" t="str">
        <f t="shared" si="62"/>
        <v/>
      </c>
    </row>
    <row r="848" spans="17:17" x14ac:dyDescent="0.25">
      <c r="Q848" s="10" t="str">
        <f t="shared" si="62"/>
        <v/>
      </c>
    </row>
    <row r="849" spans="17:17" x14ac:dyDescent="0.25">
      <c r="Q849" s="10" t="str">
        <f t="shared" si="62"/>
        <v/>
      </c>
    </row>
    <row r="850" spans="17:17" x14ac:dyDescent="0.25">
      <c r="Q850" s="10" t="str">
        <f t="shared" si="62"/>
        <v/>
      </c>
    </row>
    <row r="851" spans="17:17" x14ac:dyDescent="0.25">
      <c r="Q851" s="10" t="str">
        <f t="shared" si="62"/>
        <v/>
      </c>
    </row>
    <row r="852" spans="17:17" x14ac:dyDescent="0.25">
      <c r="Q852" s="10" t="str">
        <f t="shared" si="62"/>
        <v/>
      </c>
    </row>
    <row r="853" spans="17:17" x14ac:dyDescent="0.25">
      <c r="Q853" s="10" t="str">
        <f t="shared" si="62"/>
        <v/>
      </c>
    </row>
    <row r="854" spans="17:17" x14ac:dyDescent="0.25">
      <c r="Q854" s="10" t="str">
        <f t="shared" si="62"/>
        <v/>
      </c>
    </row>
    <row r="855" spans="17:17" x14ac:dyDescent="0.25">
      <c r="Q855" s="10" t="str">
        <f t="shared" si="62"/>
        <v/>
      </c>
    </row>
    <row r="856" spans="17:17" x14ac:dyDescent="0.25">
      <c r="Q856" s="10" t="str">
        <f t="shared" si="62"/>
        <v/>
      </c>
    </row>
    <row r="857" spans="17:17" x14ac:dyDescent="0.25">
      <c r="Q857" s="10" t="str">
        <f t="shared" si="62"/>
        <v/>
      </c>
    </row>
    <row r="858" spans="17:17" x14ac:dyDescent="0.25">
      <c r="Q858" s="10" t="str">
        <f t="shared" si="62"/>
        <v/>
      </c>
    </row>
    <row r="859" spans="17:17" x14ac:dyDescent="0.25">
      <c r="Q859" s="10" t="str">
        <f t="shared" si="62"/>
        <v/>
      </c>
    </row>
    <row r="860" spans="17:17" x14ac:dyDescent="0.25">
      <c r="Q860" s="10" t="str">
        <f t="shared" si="62"/>
        <v/>
      </c>
    </row>
    <row r="861" spans="17:17" x14ac:dyDescent="0.25">
      <c r="Q861" s="10" t="str">
        <f t="shared" si="62"/>
        <v/>
      </c>
    </row>
    <row r="862" spans="17:17" x14ac:dyDescent="0.25">
      <c r="Q862" s="10" t="str">
        <f t="shared" si="62"/>
        <v/>
      </c>
    </row>
    <row r="863" spans="17:17" x14ac:dyDescent="0.25">
      <c r="Q863" s="10" t="str">
        <f t="shared" si="62"/>
        <v/>
      </c>
    </row>
    <row r="864" spans="17:17" x14ac:dyDescent="0.25">
      <c r="Q864" s="10" t="str">
        <f t="shared" si="62"/>
        <v/>
      </c>
    </row>
    <row r="865" spans="17:17" x14ac:dyDescent="0.25">
      <c r="Q865" s="10" t="str">
        <f t="shared" si="62"/>
        <v/>
      </c>
    </row>
    <row r="866" spans="17:17" x14ac:dyDescent="0.25">
      <c r="Q866" s="10" t="str">
        <f t="shared" si="62"/>
        <v/>
      </c>
    </row>
    <row r="867" spans="17:17" x14ac:dyDescent="0.25">
      <c r="Q867" s="10" t="str">
        <f t="shared" si="62"/>
        <v/>
      </c>
    </row>
    <row r="868" spans="17:17" x14ac:dyDescent="0.25">
      <c r="Q868" s="10" t="str">
        <f t="shared" si="62"/>
        <v/>
      </c>
    </row>
    <row r="869" spans="17:17" x14ac:dyDescent="0.25">
      <c r="Q869" s="10" t="str">
        <f t="shared" si="62"/>
        <v/>
      </c>
    </row>
    <row r="870" spans="17:17" x14ac:dyDescent="0.25">
      <c r="Q870" s="10" t="str">
        <f t="shared" si="62"/>
        <v/>
      </c>
    </row>
    <row r="871" spans="17:17" x14ac:dyDescent="0.25">
      <c r="Q871" s="10" t="str">
        <f t="shared" si="62"/>
        <v/>
      </c>
    </row>
    <row r="872" spans="17:17" x14ac:dyDescent="0.25">
      <c r="Q872" s="10" t="str">
        <f t="shared" si="62"/>
        <v/>
      </c>
    </row>
    <row r="873" spans="17:17" x14ac:dyDescent="0.25">
      <c r="Q873" s="10" t="str">
        <f t="shared" si="62"/>
        <v/>
      </c>
    </row>
    <row r="874" spans="17:17" x14ac:dyDescent="0.25">
      <c r="Q874" s="10" t="str">
        <f t="shared" si="62"/>
        <v/>
      </c>
    </row>
    <row r="875" spans="17:17" x14ac:dyDescent="0.25">
      <c r="Q875" s="10" t="str">
        <f t="shared" si="62"/>
        <v/>
      </c>
    </row>
    <row r="876" spans="17:17" x14ac:dyDescent="0.25">
      <c r="Q876" s="10" t="str">
        <f t="shared" si="62"/>
        <v/>
      </c>
    </row>
    <row r="877" spans="17:17" x14ac:dyDescent="0.25">
      <c r="Q877" s="10" t="str">
        <f t="shared" si="62"/>
        <v/>
      </c>
    </row>
    <row r="878" spans="17:17" x14ac:dyDescent="0.25">
      <c r="Q878" s="10" t="str">
        <f t="shared" si="62"/>
        <v/>
      </c>
    </row>
    <row r="879" spans="17:17" x14ac:dyDescent="0.25">
      <c r="Q879" s="10" t="str">
        <f t="shared" si="62"/>
        <v/>
      </c>
    </row>
    <row r="880" spans="17:17" x14ac:dyDescent="0.25">
      <c r="Q880" s="10" t="str">
        <f t="shared" si="62"/>
        <v/>
      </c>
    </row>
    <row r="881" spans="17:17" x14ac:dyDescent="0.25">
      <c r="Q881" s="10" t="str">
        <f t="shared" si="62"/>
        <v/>
      </c>
    </row>
    <row r="882" spans="17:17" x14ac:dyDescent="0.25">
      <c r="Q882" s="10" t="str">
        <f t="shared" si="62"/>
        <v/>
      </c>
    </row>
    <row r="883" spans="17:17" x14ac:dyDescent="0.25">
      <c r="Q883" s="10" t="str">
        <f t="shared" si="62"/>
        <v/>
      </c>
    </row>
    <row r="884" spans="17:17" x14ac:dyDescent="0.25">
      <c r="Q884" s="10" t="str">
        <f t="shared" si="62"/>
        <v/>
      </c>
    </row>
    <row r="885" spans="17:17" x14ac:dyDescent="0.25">
      <c r="Q885" s="10" t="str">
        <f t="shared" si="62"/>
        <v/>
      </c>
    </row>
    <row r="886" spans="17:17" x14ac:dyDescent="0.25">
      <c r="Q886" s="10" t="str">
        <f t="shared" si="62"/>
        <v/>
      </c>
    </row>
    <row r="887" spans="17:17" x14ac:dyDescent="0.25">
      <c r="Q887" s="10" t="str">
        <f t="shared" si="62"/>
        <v/>
      </c>
    </row>
    <row r="888" spans="17:17" x14ac:dyDescent="0.25">
      <c r="Q888" s="10" t="str">
        <f t="shared" si="62"/>
        <v/>
      </c>
    </row>
    <row r="889" spans="17:17" x14ac:dyDescent="0.25">
      <c r="Q889" s="10" t="str">
        <f t="shared" si="62"/>
        <v/>
      </c>
    </row>
    <row r="890" spans="17:17" x14ac:dyDescent="0.25">
      <c r="Q890" s="10" t="str">
        <f t="shared" si="62"/>
        <v/>
      </c>
    </row>
    <row r="891" spans="17:17" x14ac:dyDescent="0.25">
      <c r="Q891" s="10" t="str">
        <f t="shared" si="62"/>
        <v/>
      </c>
    </row>
    <row r="892" spans="17:17" x14ac:dyDescent="0.25">
      <c r="Q892" s="10" t="str">
        <f t="shared" si="62"/>
        <v/>
      </c>
    </row>
    <row r="893" spans="17:17" x14ac:dyDescent="0.25">
      <c r="Q893" s="10" t="str">
        <f t="shared" si="62"/>
        <v/>
      </c>
    </row>
    <row r="894" spans="17:17" x14ac:dyDescent="0.25">
      <c r="Q894" s="10" t="str">
        <f t="shared" si="62"/>
        <v/>
      </c>
    </row>
    <row r="895" spans="17:17" x14ac:dyDescent="0.25">
      <c r="Q895" s="10" t="str">
        <f t="shared" si="62"/>
        <v/>
      </c>
    </row>
    <row r="896" spans="17:17" x14ac:dyDescent="0.25">
      <c r="Q896" s="10" t="str">
        <f t="shared" si="62"/>
        <v/>
      </c>
    </row>
    <row r="897" spans="17:17" x14ac:dyDescent="0.25">
      <c r="Q897" s="10" t="str">
        <f t="shared" si="62"/>
        <v/>
      </c>
    </row>
    <row r="898" spans="17:17" x14ac:dyDescent="0.25">
      <c r="Q898" s="10" t="str">
        <f t="shared" si="62"/>
        <v/>
      </c>
    </row>
    <row r="899" spans="17:17" x14ac:dyDescent="0.25">
      <c r="Q899" s="10" t="str">
        <f t="shared" si="62"/>
        <v/>
      </c>
    </row>
    <row r="900" spans="17:17" x14ac:dyDescent="0.25">
      <c r="Q900" s="10" t="str">
        <f t="shared" si="62"/>
        <v/>
      </c>
    </row>
    <row r="901" spans="17:17" x14ac:dyDescent="0.25">
      <c r="Q901" s="10" t="str">
        <f t="shared" si="62"/>
        <v/>
      </c>
    </row>
    <row r="902" spans="17:17" x14ac:dyDescent="0.25">
      <c r="Q902" s="10" t="str">
        <f t="shared" si="62"/>
        <v/>
      </c>
    </row>
    <row r="903" spans="17:17" x14ac:dyDescent="0.25">
      <c r="Q903" s="10" t="str">
        <f t="shared" si="62"/>
        <v/>
      </c>
    </row>
    <row r="904" spans="17:17" x14ac:dyDescent="0.25">
      <c r="Q904" s="10" t="str">
        <f t="shared" si="62"/>
        <v/>
      </c>
    </row>
    <row r="905" spans="17:17" x14ac:dyDescent="0.25">
      <c r="Q905" s="10" t="str">
        <f t="shared" si="62"/>
        <v/>
      </c>
    </row>
    <row r="906" spans="17:17" x14ac:dyDescent="0.25">
      <c r="Q906" s="10" t="str">
        <f t="shared" si="62"/>
        <v/>
      </c>
    </row>
    <row r="907" spans="17:17" x14ac:dyDescent="0.25">
      <c r="Q907" s="10" t="str">
        <f t="shared" ref="Q907:Q970" si="63">IF(AND(ISBLANK(O907),ISBLANK(P907)),"",IF(ISBLANK(P907), ROUND(Q906+O907,2), ROUND(Q906+P907,2)))</f>
        <v/>
      </c>
    </row>
    <row r="908" spans="17:17" x14ac:dyDescent="0.25">
      <c r="Q908" s="10" t="str">
        <f t="shared" si="63"/>
        <v/>
      </c>
    </row>
    <row r="909" spans="17:17" x14ac:dyDescent="0.25">
      <c r="Q909" s="10" t="str">
        <f t="shared" si="63"/>
        <v/>
      </c>
    </row>
    <row r="910" spans="17:17" x14ac:dyDescent="0.25">
      <c r="Q910" s="10" t="str">
        <f t="shared" si="63"/>
        <v/>
      </c>
    </row>
    <row r="911" spans="17:17" x14ac:dyDescent="0.25">
      <c r="Q911" s="10" t="str">
        <f t="shared" si="63"/>
        <v/>
      </c>
    </row>
    <row r="912" spans="17:17" x14ac:dyDescent="0.25">
      <c r="Q912" s="10" t="str">
        <f t="shared" si="63"/>
        <v/>
      </c>
    </row>
    <row r="913" spans="17:17" x14ac:dyDescent="0.25">
      <c r="Q913" s="10" t="str">
        <f t="shared" si="63"/>
        <v/>
      </c>
    </row>
    <row r="914" spans="17:17" x14ac:dyDescent="0.25">
      <c r="Q914" s="10" t="str">
        <f t="shared" si="63"/>
        <v/>
      </c>
    </row>
    <row r="915" spans="17:17" x14ac:dyDescent="0.25">
      <c r="Q915" s="10" t="str">
        <f t="shared" si="63"/>
        <v/>
      </c>
    </row>
    <row r="916" spans="17:17" x14ac:dyDescent="0.25">
      <c r="Q916" s="10" t="str">
        <f t="shared" si="63"/>
        <v/>
      </c>
    </row>
    <row r="917" spans="17:17" x14ac:dyDescent="0.25">
      <c r="Q917" s="10" t="str">
        <f t="shared" si="63"/>
        <v/>
      </c>
    </row>
    <row r="918" spans="17:17" x14ac:dyDescent="0.25">
      <c r="Q918" s="10" t="str">
        <f t="shared" si="63"/>
        <v/>
      </c>
    </row>
    <row r="919" spans="17:17" x14ac:dyDescent="0.25">
      <c r="Q919" s="10" t="str">
        <f t="shared" si="63"/>
        <v/>
      </c>
    </row>
    <row r="920" spans="17:17" x14ac:dyDescent="0.25">
      <c r="Q920" s="10" t="str">
        <f t="shared" si="63"/>
        <v/>
      </c>
    </row>
    <row r="921" spans="17:17" x14ac:dyDescent="0.25">
      <c r="Q921" s="10" t="str">
        <f t="shared" si="63"/>
        <v/>
      </c>
    </row>
    <row r="922" spans="17:17" x14ac:dyDescent="0.25">
      <c r="Q922" s="10" t="str">
        <f t="shared" si="63"/>
        <v/>
      </c>
    </row>
    <row r="923" spans="17:17" x14ac:dyDescent="0.25">
      <c r="Q923" s="10" t="str">
        <f t="shared" si="63"/>
        <v/>
      </c>
    </row>
    <row r="924" spans="17:17" x14ac:dyDescent="0.25">
      <c r="Q924" s="10" t="str">
        <f t="shared" si="63"/>
        <v/>
      </c>
    </row>
    <row r="925" spans="17:17" x14ac:dyDescent="0.25">
      <c r="Q925" s="10" t="str">
        <f t="shared" si="63"/>
        <v/>
      </c>
    </row>
    <row r="926" spans="17:17" x14ac:dyDescent="0.25">
      <c r="Q926" s="10" t="str">
        <f t="shared" si="63"/>
        <v/>
      </c>
    </row>
    <row r="927" spans="17:17" x14ac:dyDescent="0.25">
      <c r="Q927" s="10" t="str">
        <f t="shared" si="63"/>
        <v/>
      </c>
    </row>
    <row r="928" spans="17:17" x14ac:dyDescent="0.25">
      <c r="Q928" s="10" t="str">
        <f t="shared" si="63"/>
        <v/>
      </c>
    </row>
    <row r="929" spans="17:17" x14ac:dyDescent="0.25">
      <c r="Q929" s="10" t="str">
        <f t="shared" si="63"/>
        <v/>
      </c>
    </row>
    <row r="930" spans="17:17" x14ac:dyDescent="0.25">
      <c r="Q930" s="10" t="str">
        <f t="shared" si="63"/>
        <v/>
      </c>
    </row>
    <row r="931" spans="17:17" x14ac:dyDescent="0.25">
      <c r="Q931" s="10" t="str">
        <f t="shared" si="63"/>
        <v/>
      </c>
    </row>
    <row r="932" spans="17:17" x14ac:dyDescent="0.25">
      <c r="Q932" s="10" t="str">
        <f t="shared" si="63"/>
        <v/>
      </c>
    </row>
    <row r="933" spans="17:17" x14ac:dyDescent="0.25">
      <c r="Q933" s="10" t="str">
        <f t="shared" si="63"/>
        <v/>
      </c>
    </row>
    <row r="934" spans="17:17" x14ac:dyDescent="0.25">
      <c r="Q934" s="10" t="str">
        <f t="shared" si="63"/>
        <v/>
      </c>
    </row>
    <row r="935" spans="17:17" x14ac:dyDescent="0.25">
      <c r="Q935" s="10" t="str">
        <f t="shared" si="63"/>
        <v/>
      </c>
    </row>
    <row r="936" spans="17:17" x14ac:dyDescent="0.25">
      <c r="Q936" s="10" t="str">
        <f t="shared" si="63"/>
        <v/>
      </c>
    </row>
    <row r="937" spans="17:17" x14ac:dyDescent="0.25">
      <c r="Q937" s="10" t="str">
        <f t="shared" si="63"/>
        <v/>
      </c>
    </row>
    <row r="938" spans="17:17" x14ac:dyDescent="0.25">
      <c r="Q938" s="10" t="str">
        <f t="shared" si="63"/>
        <v/>
      </c>
    </row>
    <row r="939" spans="17:17" x14ac:dyDescent="0.25">
      <c r="Q939" s="10" t="str">
        <f t="shared" si="63"/>
        <v/>
      </c>
    </row>
    <row r="940" spans="17:17" x14ac:dyDescent="0.25">
      <c r="Q940" s="10" t="str">
        <f t="shared" si="63"/>
        <v/>
      </c>
    </row>
    <row r="941" spans="17:17" x14ac:dyDescent="0.25">
      <c r="Q941" s="10" t="str">
        <f t="shared" si="63"/>
        <v/>
      </c>
    </row>
    <row r="942" spans="17:17" x14ac:dyDescent="0.25">
      <c r="Q942" s="10" t="str">
        <f t="shared" si="63"/>
        <v/>
      </c>
    </row>
    <row r="943" spans="17:17" x14ac:dyDescent="0.25">
      <c r="Q943" s="10" t="str">
        <f t="shared" si="63"/>
        <v/>
      </c>
    </row>
    <row r="944" spans="17:17" x14ac:dyDescent="0.25">
      <c r="Q944" s="10" t="str">
        <f t="shared" si="63"/>
        <v/>
      </c>
    </row>
    <row r="945" spans="17:17" x14ac:dyDescent="0.25">
      <c r="Q945" s="10" t="str">
        <f t="shared" si="63"/>
        <v/>
      </c>
    </row>
    <row r="946" spans="17:17" x14ac:dyDescent="0.25">
      <c r="Q946" s="10" t="str">
        <f t="shared" si="63"/>
        <v/>
      </c>
    </row>
    <row r="947" spans="17:17" x14ac:dyDescent="0.25">
      <c r="Q947" s="10" t="str">
        <f t="shared" si="63"/>
        <v/>
      </c>
    </row>
    <row r="948" spans="17:17" x14ac:dyDescent="0.25">
      <c r="Q948" s="10" t="str">
        <f t="shared" si="63"/>
        <v/>
      </c>
    </row>
    <row r="949" spans="17:17" x14ac:dyDescent="0.25">
      <c r="Q949" s="10" t="str">
        <f t="shared" si="63"/>
        <v/>
      </c>
    </row>
    <row r="950" spans="17:17" x14ac:dyDescent="0.25">
      <c r="Q950" s="10" t="str">
        <f t="shared" si="63"/>
        <v/>
      </c>
    </row>
    <row r="951" spans="17:17" x14ac:dyDescent="0.25">
      <c r="Q951" s="10" t="str">
        <f t="shared" si="63"/>
        <v/>
      </c>
    </row>
    <row r="952" spans="17:17" x14ac:dyDescent="0.25">
      <c r="Q952" s="10" t="str">
        <f t="shared" si="63"/>
        <v/>
      </c>
    </row>
    <row r="953" spans="17:17" x14ac:dyDescent="0.25">
      <c r="Q953" s="10" t="str">
        <f t="shared" si="63"/>
        <v/>
      </c>
    </row>
    <row r="954" spans="17:17" x14ac:dyDescent="0.25">
      <c r="Q954" s="10" t="str">
        <f t="shared" si="63"/>
        <v/>
      </c>
    </row>
    <row r="955" spans="17:17" x14ac:dyDescent="0.25">
      <c r="Q955" s="10" t="str">
        <f t="shared" si="63"/>
        <v/>
      </c>
    </row>
    <row r="956" spans="17:17" x14ac:dyDescent="0.25">
      <c r="Q956" s="10" t="str">
        <f t="shared" si="63"/>
        <v/>
      </c>
    </row>
    <row r="957" spans="17:17" x14ac:dyDescent="0.25">
      <c r="Q957" s="10" t="str">
        <f t="shared" si="63"/>
        <v/>
      </c>
    </row>
    <row r="958" spans="17:17" x14ac:dyDescent="0.25">
      <c r="Q958" s="10" t="str">
        <f t="shared" si="63"/>
        <v/>
      </c>
    </row>
    <row r="959" spans="17:17" x14ac:dyDescent="0.25">
      <c r="Q959" s="10" t="str">
        <f t="shared" si="63"/>
        <v/>
      </c>
    </row>
    <row r="960" spans="17:17" x14ac:dyDescent="0.25">
      <c r="Q960" s="10" t="str">
        <f t="shared" si="63"/>
        <v/>
      </c>
    </row>
    <row r="961" spans="17:17" x14ac:dyDescent="0.25">
      <c r="Q961" s="10" t="str">
        <f t="shared" si="63"/>
        <v/>
      </c>
    </row>
    <row r="962" spans="17:17" x14ac:dyDescent="0.25">
      <c r="Q962" s="10" t="str">
        <f t="shared" si="63"/>
        <v/>
      </c>
    </row>
    <row r="963" spans="17:17" x14ac:dyDescent="0.25">
      <c r="Q963" s="10" t="str">
        <f t="shared" si="63"/>
        <v/>
      </c>
    </row>
    <row r="964" spans="17:17" x14ac:dyDescent="0.25">
      <c r="Q964" s="10" t="str">
        <f t="shared" si="63"/>
        <v/>
      </c>
    </row>
    <row r="965" spans="17:17" x14ac:dyDescent="0.25">
      <c r="Q965" s="10" t="str">
        <f t="shared" si="63"/>
        <v/>
      </c>
    </row>
    <row r="966" spans="17:17" x14ac:dyDescent="0.25">
      <c r="Q966" s="10" t="str">
        <f t="shared" si="63"/>
        <v/>
      </c>
    </row>
    <row r="967" spans="17:17" x14ac:dyDescent="0.25">
      <c r="Q967" s="10" t="str">
        <f t="shared" si="63"/>
        <v/>
      </c>
    </row>
    <row r="968" spans="17:17" x14ac:dyDescent="0.25">
      <c r="Q968" s="10" t="str">
        <f t="shared" si="63"/>
        <v/>
      </c>
    </row>
    <row r="969" spans="17:17" x14ac:dyDescent="0.25">
      <c r="Q969" s="10" t="str">
        <f t="shared" si="63"/>
        <v/>
      </c>
    </row>
    <row r="970" spans="17:17" x14ac:dyDescent="0.25">
      <c r="Q970" s="10" t="str">
        <f t="shared" si="63"/>
        <v/>
      </c>
    </row>
    <row r="971" spans="17:17" x14ac:dyDescent="0.25">
      <c r="Q971" s="10" t="str">
        <f t="shared" ref="Q971:Q1034" si="64">IF(AND(ISBLANK(O971),ISBLANK(P971)),"",IF(ISBLANK(P971), ROUND(Q970+O971,2), ROUND(Q970+P971,2)))</f>
        <v/>
      </c>
    </row>
    <row r="972" spans="17:17" x14ac:dyDescent="0.25">
      <c r="Q972" s="10" t="str">
        <f t="shared" si="64"/>
        <v/>
      </c>
    </row>
    <row r="973" spans="17:17" x14ac:dyDescent="0.25">
      <c r="Q973" s="10" t="str">
        <f t="shared" si="64"/>
        <v/>
      </c>
    </row>
    <row r="974" spans="17:17" x14ac:dyDescent="0.25">
      <c r="Q974" s="10" t="str">
        <f t="shared" si="64"/>
        <v/>
      </c>
    </row>
    <row r="975" spans="17:17" x14ac:dyDescent="0.25">
      <c r="Q975" s="10" t="str">
        <f t="shared" si="64"/>
        <v/>
      </c>
    </row>
    <row r="976" spans="17:17" x14ac:dyDescent="0.25">
      <c r="Q976" s="10" t="str">
        <f t="shared" si="64"/>
        <v/>
      </c>
    </row>
    <row r="977" spans="17:17" x14ac:dyDescent="0.25">
      <c r="Q977" s="10" t="str">
        <f t="shared" si="64"/>
        <v/>
      </c>
    </row>
    <row r="978" spans="17:17" x14ac:dyDescent="0.25">
      <c r="Q978" s="10" t="str">
        <f t="shared" si="64"/>
        <v/>
      </c>
    </row>
    <row r="979" spans="17:17" x14ac:dyDescent="0.25">
      <c r="Q979" s="10" t="str">
        <f t="shared" si="64"/>
        <v/>
      </c>
    </row>
    <row r="980" spans="17:17" x14ac:dyDescent="0.25">
      <c r="Q980" s="10" t="str">
        <f t="shared" si="64"/>
        <v/>
      </c>
    </row>
    <row r="981" spans="17:17" x14ac:dyDescent="0.25">
      <c r="Q981" s="10" t="str">
        <f t="shared" si="64"/>
        <v/>
      </c>
    </row>
    <row r="982" spans="17:17" x14ac:dyDescent="0.25">
      <c r="Q982" s="10" t="str">
        <f t="shared" si="64"/>
        <v/>
      </c>
    </row>
    <row r="983" spans="17:17" x14ac:dyDescent="0.25">
      <c r="Q983" s="10" t="str">
        <f t="shared" si="64"/>
        <v/>
      </c>
    </row>
    <row r="984" spans="17:17" x14ac:dyDescent="0.25">
      <c r="Q984" s="10" t="str">
        <f t="shared" si="64"/>
        <v/>
      </c>
    </row>
    <row r="985" spans="17:17" x14ac:dyDescent="0.25">
      <c r="Q985" s="10" t="str">
        <f t="shared" si="64"/>
        <v/>
      </c>
    </row>
    <row r="986" spans="17:17" x14ac:dyDescent="0.25">
      <c r="Q986" s="10" t="str">
        <f t="shared" si="64"/>
        <v/>
      </c>
    </row>
    <row r="987" spans="17:17" x14ac:dyDescent="0.25">
      <c r="Q987" s="10" t="str">
        <f t="shared" si="64"/>
        <v/>
      </c>
    </row>
    <row r="988" spans="17:17" x14ac:dyDescent="0.25">
      <c r="Q988" s="10" t="str">
        <f t="shared" si="64"/>
        <v/>
      </c>
    </row>
    <row r="989" spans="17:17" x14ac:dyDescent="0.25">
      <c r="Q989" s="10" t="str">
        <f t="shared" si="64"/>
        <v/>
      </c>
    </row>
    <row r="990" spans="17:17" x14ac:dyDescent="0.25">
      <c r="Q990" s="10" t="str">
        <f t="shared" si="64"/>
        <v/>
      </c>
    </row>
    <row r="991" spans="17:17" x14ac:dyDescent="0.25">
      <c r="Q991" s="10" t="str">
        <f t="shared" si="64"/>
        <v/>
      </c>
    </row>
    <row r="992" spans="17:17" x14ac:dyDescent="0.25">
      <c r="Q992" s="10" t="str">
        <f t="shared" si="64"/>
        <v/>
      </c>
    </row>
    <row r="993" spans="17:17" x14ac:dyDescent="0.25">
      <c r="Q993" s="10" t="str">
        <f t="shared" si="64"/>
        <v/>
      </c>
    </row>
    <row r="994" spans="17:17" x14ac:dyDescent="0.25">
      <c r="Q994" s="10" t="str">
        <f t="shared" si="64"/>
        <v/>
      </c>
    </row>
    <row r="995" spans="17:17" x14ac:dyDescent="0.25">
      <c r="Q995" s="10" t="str">
        <f t="shared" si="64"/>
        <v/>
      </c>
    </row>
    <row r="996" spans="17:17" x14ac:dyDescent="0.25">
      <c r="Q996" s="10" t="str">
        <f t="shared" si="64"/>
        <v/>
      </c>
    </row>
    <row r="997" spans="17:17" x14ac:dyDescent="0.25">
      <c r="Q997" s="10" t="str">
        <f t="shared" si="64"/>
        <v/>
      </c>
    </row>
    <row r="998" spans="17:17" x14ac:dyDescent="0.25">
      <c r="Q998" s="10" t="str">
        <f t="shared" si="64"/>
        <v/>
      </c>
    </row>
    <row r="999" spans="17:17" x14ac:dyDescent="0.25">
      <c r="Q999" s="10" t="str">
        <f t="shared" si="64"/>
        <v/>
      </c>
    </row>
    <row r="1000" spans="17:17" x14ac:dyDescent="0.25">
      <c r="Q1000" s="10" t="str">
        <f t="shared" si="64"/>
        <v/>
      </c>
    </row>
    <row r="1001" spans="17:17" x14ac:dyDescent="0.25">
      <c r="Q1001" s="10" t="str">
        <f t="shared" si="64"/>
        <v/>
      </c>
    </row>
    <row r="1002" spans="17:17" x14ac:dyDescent="0.25">
      <c r="Q1002" s="10" t="str">
        <f t="shared" si="64"/>
        <v/>
      </c>
    </row>
    <row r="1003" spans="17:17" x14ac:dyDescent="0.25">
      <c r="Q1003" s="10" t="str">
        <f t="shared" si="64"/>
        <v/>
      </c>
    </row>
    <row r="1004" spans="17:17" x14ac:dyDescent="0.25">
      <c r="Q1004" s="10" t="str">
        <f t="shared" si="64"/>
        <v/>
      </c>
    </row>
    <row r="1005" spans="17:17" x14ac:dyDescent="0.25">
      <c r="Q1005" s="10" t="str">
        <f t="shared" si="64"/>
        <v/>
      </c>
    </row>
    <row r="1006" spans="17:17" x14ac:dyDescent="0.25">
      <c r="Q1006" s="10" t="str">
        <f t="shared" si="64"/>
        <v/>
      </c>
    </row>
    <row r="1007" spans="17:17" x14ac:dyDescent="0.25">
      <c r="Q1007" s="10" t="str">
        <f t="shared" si="64"/>
        <v/>
      </c>
    </row>
    <row r="1008" spans="17:17" x14ac:dyDescent="0.25">
      <c r="Q1008" s="10" t="str">
        <f t="shared" si="64"/>
        <v/>
      </c>
    </row>
    <row r="1009" spans="17:17" x14ac:dyDescent="0.25">
      <c r="Q1009" s="10" t="str">
        <f t="shared" si="64"/>
        <v/>
      </c>
    </row>
    <row r="1010" spans="17:17" x14ac:dyDescent="0.25">
      <c r="Q1010" s="10" t="str">
        <f t="shared" si="64"/>
        <v/>
      </c>
    </row>
    <row r="1011" spans="17:17" x14ac:dyDescent="0.25">
      <c r="Q1011" s="10" t="str">
        <f t="shared" si="64"/>
        <v/>
      </c>
    </row>
    <row r="1012" spans="17:17" x14ac:dyDescent="0.25">
      <c r="Q1012" s="10" t="str">
        <f t="shared" si="64"/>
        <v/>
      </c>
    </row>
    <row r="1013" spans="17:17" x14ac:dyDescent="0.25">
      <c r="Q1013" s="10" t="str">
        <f t="shared" si="64"/>
        <v/>
      </c>
    </row>
    <row r="1014" spans="17:17" x14ac:dyDescent="0.25">
      <c r="Q1014" s="10" t="str">
        <f t="shared" si="64"/>
        <v/>
      </c>
    </row>
    <row r="1015" spans="17:17" x14ac:dyDescent="0.25">
      <c r="Q1015" s="10" t="str">
        <f t="shared" si="64"/>
        <v/>
      </c>
    </row>
    <row r="1016" spans="17:17" x14ac:dyDescent="0.25">
      <c r="Q1016" s="10" t="str">
        <f t="shared" si="64"/>
        <v/>
      </c>
    </row>
    <row r="1017" spans="17:17" x14ac:dyDescent="0.25">
      <c r="Q1017" s="10" t="str">
        <f t="shared" si="64"/>
        <v/>
      </c>
    </row>
    <row r="1018" spans="17:17" x14ac:dyDescent="0.25">
      <c r="Q1018" s="10" t="str">
        <f t="shared" si="64"/>
        <v/>
      </c>
    </row>
    <row r="1019" spans="17:17" x14ac:dyDescent="0.25">
      <c r="Q1019" s="10" t="str">
        <f t="shared" si="64"/>
        <v/>
      </c>
    </row>
    <row r="1020" spans="17:17" x14ac:dyDescent="0.25">
      <c r="Q1020" s="10" t="str">
        <f t="shared" si="64"/>
        <v/>
      </c>
    </row>
    <row r="1021" spans="17:17" x14ac:dyDescent="0.25">
      <c r="Q1021" s="10" t="str">
        <f t="shared" si="64"/>
        <v/>
      </c>
    </row>
    <row r="1022" spans="17:17" x14ac:dyDescent="0.25">
      <c r="Q1022" s="10" t="str">
        <f t="shared" si="64"/>
        <v/>
      </c>
    </row>
    <row r="1023" spans="17:17" x14ac:dyDescent="0.25">
      <c r="Q1023" s="10" t="str">
        <f t="shared" si="64"/>
        <v/>
      </c>
    </row>
    <row r="1024" spans="17:17" x14ac:dyDescent="0.25">
      <c r="Q1024" s="10" t="str">
        <f t="shared" si="64"/>
        <v/>
      </c>
    </row>
    <row r="1025" spans="17:17" x14ac:dyDescent="0.25">
      <c r="Q1025" s="10" t="str">
        <f t="shared" si="64"/>
        <v/>
      </c>
    </row>
    <row r="1026" spans="17:17" x14ac:dyDescent="0.25">
      <c r="Q1026" s="10" t="str">
        <f t="shared" si="64"/>
        <v/>
      </c>
    </row>
    <row r="1027" spans="17:17" x14ac:dyDescent="0.25">
      <c r="Q1027" s="10" t="str">
        <f t="shared" si="64"/>
        <v/>
      </c>
    </row>
    <row r="1028" spans="17:17" x14ac:dyDescent="0.25">
      <c r="Q1028" s="10" t="str">
        <f t="shared" si="64"/>
        <v/>
      </c>
    </row>
    <row r="1029" spans="17:17" x14ac:dyDescent="0.25">
      <c r="Q1029" s="10" t="str">
        <f t="shared" si="64"/>
        <v/>
      </c>
    </row>
    <row r="1030" spans="17:17" x14ac:dyDescent="0.25">
      <c r="Q1030" s="10" t="str">
        <f t="shared" si="64"/>
        <v/>
      </c>
    </row>
    <row r="1031" spans="17:17" x14ac:dyDescent="0.25">
      <c r="Q1031" s="10" t="str">
        <f t="shared" si="64"/>
        <v/>
      </c>
    </row>
    <row r="1032" spans="17:17" x14ac:dyDescent="0.25">
      <c r="Q1032" s="10" t="str">
        <f t="shared" si="64"/>
        <v/>
      </c>
    </row>
    <row r="1033" spans="17:17" x14ac:dyDescent="0.25">
      <c r="Q1033" s="10" t="str">
        <f t="shared" si="64"/>
        <v/>
      </c>
    </row>
    <row r="1034" spans="17:17" x14ac:dyDescent="0.25">
      <c r="Q1034" s="10" t="str">
        <f t="shared" si="64"/>
        <v/>
      </c>
    </row>
    <row r="1035" spans="17:17" x14ac:dyDescent="0.25">
      <c r="Q1035" s="10" t="str">
        <f t="shared" ref="Q1035:Q1098" si="65">IF(AND(ISBLANK(O1035),ISBLANK(P1035)),"",IF(ISBLANK(P1035), ROUND(Q1034+O1035,2), ROUND(Q1034+P1035,2)))</f>
        <v/>
      </c>
    </row>
    <row r="1036" spans="17:17" x14ac:dyDescent="0.25">
      <c r="Q1036" s="10" t="str">
        <f t="shared" si="65"/>
        <v/>
      </c>
    </row>
    <row r="1037" spans="17:17" x14ac:dyDescent="0.25">
      <c r="Q1037" s="10" t="str">
        <f t="shared" si="65"/>
        <v/>
      </c>
    </row>
    <row r="1038" spans="17:17" x14ac:dyDescent="0.25">
      <c r="Q1038" s="10" t="str">
        <f t="shared" si="65"/>
        <v/>
      </c>
    </row>
    <row r="1039" spans="17:17" x14ac:dyDescent="0.25">
      <c r="Q1039" s="10" t="str">
        <f t="shared" si="65"/>
        <v/>
      </c>
    </row>
    <row r="1040" spans="17:17" x14ac:dyDescent="0.25">
      <c r="Q1040" s="10" t="str">
        <f t="shared" si="65"/>
        <v/>
      </c>
    </row>
    <row r="1041" spans="17:17" x14ac:dyDescent="0.25">
      <c r="Q1041" s="10" t="str">
        <f t="shared" si="65"/>
        <v/>
      </c>
    </row>
    <row r="1042" spans="17:17" x14ac:dyDescent="0.25">
      <c r="Q1042" s="10" t="str">
        <f t="shared" si="65"/>
        <v/>
      </c>
    </row>
    <row r="1043" spans="17:17" x14ac:dyDescent="0.25">
      <c r="Q1043" s="10" t="str">
        <f t="shared" si="65"/>
        <v/>
      </c>
    </row>
    <row r="1044" spans="17:17" x14ac:dyDescent="0.25">
      <c r="Q1044" s="10" t="str">
        <f t="shared" si="65"/>
        <v/>
      </c>
    </row>
    <row r="1045" spans="17:17" x14ac:dyDescent="0.25">
      <c r="Q1045" s="10" t="str">
        <f t="shared" si="65"/>
        <v/>
      </c>
    </row>
    <row r="1046" spans="17:17" x14ac:dyDescent="0.25">
      <c r="Q1046" s="10" t="str">
        <f t="shared" si="65"/>
        <v/>
      </c>
    </row>
    <row r="1047" spans="17:17" x14ac:dyDescent="0.25">
      <c r="Q1047" s="10" t="str">
        <f t="shared" si="65"/>
        <v/>
      </c>
    </row>
    <row r="1048" spans="17:17" x14ac:dyDescent="0.25">
      <c r="Q1048" s="10" t="str">
        <f t="shared" si="65"/>
        <v/>
      </c>
    </row>
    <row r="1049" spans="17:17" x14ac:dyDescent="0.25">
      <c r="Q1049" s="10" t="str">
        <f t="shared" si="65"/>
        <v/>
      </c>
    </row>
    <row r="1050" spans="17:17" x14ac:dyDescent="0.25">
      <c r="Q1050" s="10" t="str">
        <f t="shared" si="65"/>
        <v/>
      </c>
    </row>
    <row r="1051" spans="17:17" x14ac:dyDescent="0.25">
      <c r="Q1051" s="10" t="str">
        <f t="shared" si="65"/>
        <v/>
      </c>
    </row>
    <row r="1052" spans="17:17" x14ac:dyDescent="0.25">
      <c r="Q1052" s="10" t="str">
        <f t="shared" si="65"/>
        <v/>
      </c>
    </row>
    <row r="1053" spans="17:17" x14ac:dyDescent="0.25">
      <c r="Q1053" s="10" t="str">
        <f t="shared" si="65"/>
        <v/>
      </c>
    </row>
    <row r="1054" spans="17:17" x14ac:dyDescent="0.25">
      <c r="Q1054" s="10" t="str">
        <f t="shared" si="65"/>
        <v/>
      </c>
    </row>
    <row r="1055" spans="17:17" x14ac:dyDescent="0.25">
      <c r="Q1055" s="10" t="str">
        <f t="shared" si="65"/>
        <v/>
      </c>
    </row>
    <row r="1056" spans="17:17" x14ac:dyDescent="0.25">
      <c r="Q1056" s="10" t="str">
        <f t="shared" si="65"/>
        <v/>
      </c>
    </row>
    <row r="1057" spans="17:17" x14ac:dyDescent="0.25">
      <c r="Q1057" s="10" t="str">
        <f t="shared" si="65"/>
        <v/>
      </c>
    </row>
    <row r="1058" spans="17:17" x14ac:dyDescent="0.25">
      <c r="Q1058" s="10" t="str">
        <f t="shared" si="65"/>
        <v/>
      </c>
    </row>
    <row r="1059" spans="17:17" x14ac:dyDescent="0.25">
      <c r="Q1059" s="10" t="str">
        <f t="shared" si="65"/>
        <v/>
      </c>
    </row>
    <row r="1060" spans="17:17" x14ac:dyDescent="0.25">
      <c r="Q1060" s="10" t="str">
        <f t="shared" si="65"/>
        <v/>
      </c>
    </row>
    <row r="1061" spans="17:17" x14ac:dyDescent="0.25">
      <c r="Q1061" s="10" t="str">
        <f t="shared" si="65"/>
        <v/>
      </c>
    </row>
    <row r="1062" spans="17:17" x14ac:dyDescent="0.25">
      <c r="Q1062" s="10" t="str">
        <f t="shared" si="65"/>
        <v/>
      </c>
    </row>
    <row r="1063" spans="17:17" x14ac:dyDescent="0.25">
      <c r="Q1063" s="10" t="str">
        <f t="shared" si="65"/>
        <v/>
      </c>
    </row>
    <row r="1064" spans="17:17" x14ac:dyDescent="0.25">
      <c r="Q1064" s="10" t="str">
        <f t="shared" si="65"/>
        <v/>
      </c>
    </row>
    <row r="1065" spans="17:17" x14ac:dyDescent="0.25">
      <c r="Q1065" s="10" t="str">
        <f t="shared" si="65"/>
        <v/>
      </c>
    </row>
    <row r="1066" spans="17:17" x14ac:dyDescent="0.25">
      <c r="Q1066" s="10" t="str">
        <f t="shared" si="65"/>
        <v/>
      </c>
    </row>
    <row r="1067" spans="17:17" x14ac:dyDescent="0.25">
      <c r="Q1067" s="10" t="str">
        <f t="shared" si="65"/>
        <v/>
      </c>
    </row>
    <row r="1068" spans="17:17" x14ac:dyDescent="0.25">
      <c r="Q1068" s="10" t="str">
        <f t="shared" si="65"/>
        <v/>
      </c>
    </row>
    <row r="1069" spans="17:17" x14ac:dyDescent="0.25">
      <c r="Q1069" s="10" t="str">
        <f t="shared" si="65"/>
        <v/>
      </c>
    </row>
    <row r="1070" spans="17:17" x14ac:dyDescent="0.25">
      <c r="Q1070" s="10" t="str">
        <f t="shared" si="65"/>
        <v/>
      </c>
    </row>
    <row r="1071" spans="17:17" x14ac:dyDescent="0.25">
      <c r="Q1071" s="10" t="str">
        <f t="shared" si="65"/>
        <v/>
      </c>
    </row>
    <row r="1072" spans="17:17" x14ac:dyDescent="0.25">
      <c r="Q1072" s="10" t="str">
        <f t="shared" si="65"/>
        <v/>
      </c>
    </row>
    <row r="1073" spans="17:17" x14ac:dyDescent="0.25">
      <c r="Q1073" s="10" t="str">
        <f t="shared" si="65"/>
        <v/>
      </c>
    </row>
    <row r="1074" spans="17:17" x14ac:dyDescent="0.25">
      <c r="Q1074" s="10" t="str">
        <f t="shared" si="65"/>
        <v/>
      </c>
    </row>
    <row r="1075" spans="17:17" x14ac:dyDescent="0.25">
      <c r="Q1075" s="10" t="str">
        <f t="shared" si="65"/>
        <v/>
      </c>
    </row>
    <row r="1076" spans="17:17" x14ac:dyDescent="0.25">
      <c r="Q1076" s="10" t="str">
        <f t="shared" si="65"/>
        <v/>
      </c>
    </row>
    <row r="1077" spans="17:17" x14ac:dyDescent="0.25">
      <c r="Q1077" s="10" t="str">
        <f t="shared" si="65"/>
        <v/>
      </c>
    </row>
    <row r="1078" spans="17:17" x14ac:dyDescent="0.25">
      <c r="Q1078" s="10" t="str">
        <f t="shared" si="65"/>
        <v/>
      </c>
    </row>
    <row r="1079" spans="17:17" x14ac:dyDescent="0.25">
      <c r="Q1079" s="10" t="str">
        <f t="shared" si="65"/>
        <v/>
      </c>
    </row>
    <row r="1080" spans="17:17" x14ac:dyDescent="0.25">
      <c r="Q1080" s="10" t="str">
        <f t="shared" si="65"/>
        <v/>
      </c>
    </row>
    <row r="1081" spans="17:17" x14ac:dyDescent="0.25">
      <c r="Q1081" s="10" t="str">
        <f t="shared" si="65"/>
        <v/>
      </c>
    </row>
    <row r="1082" spans="17:17" x14ac:dyDescent="0.25">
      <c r="Q1082" s="10" t="str">
        <f t="shared" si="65"/>
        <v/>
      </c>
    </row>
    <row r="1083" spans="17:17" x14ac:dyDescent="0.25">
      <c r="Q1083" s="10" t="str">
        <f t="shared" si="65"/>
        <v/>
      </c>
    </row>
    <row r="1084" spans="17:17" x14ac:dyDescent="0.25">
      <c r="Q1084" s="10" t="str">
        <f t="shared" si="65"/>
        <v/>
      </c>
    </row>
    <row r="1085" spans="17:17" x14ac:dyDescent="0.25">
      <c r="Q1085" s="10" t="str">
        <f t="shared" si="65"/>
        <v/>
      </c>
    </row>
    <row r="1086" spans="17:17" x14ac:dyDescent="0.25">
      <c r="Q1086" s="10" t="str">
        <f t="shared" si="65"/>
        <v/>
      </c>
    </row>
    <row r="1087" spans="17:17" x14ac:dyDescent="0.25">
      <c r="Q1087" s="10" t="str">
        <f t="shared" si="65"/>
        <v/>
      </c>
    </row>
    <row r="1088" spans="17:17" x14ac:dyDescent="0.25">
      <c r="Q1088" s="10" t="str">
        <f t="shared" si="65"/>
        <v/>
      </c>
    </row>
    <row r="1089" spans="17:17" x14ac:dyDescent="0.25">
      <c r="Q1089" s="10" t="str">
        <f t="shared" si="65"/>
        <v/>
      </c>
    </row>
    <row r="1090" spans="17:17" x14ac:dyDescent="0.25">
      <c r="Q1090" s="10" t="str">
        <f t="shared" si="65"/>
        <v/>
      </c>
    </row>
    <row r="1091" spans="17:17" x14ac:dyDescent="0.25">
      <c r="Q1091" s="10" t="str">
        <f t="shared" si="65"/>
        <v/>
      </c>
    </row>
    <row r="1092" spans="17:17" x14ac:dyDescent="0.25">
      <c r="Q1092" s="10" t="str">
        <f t="shared" si="65"/>
        <v/>
      </c>
    </row>
    <row r="1093" spans="17:17" x14ac:dyDescent="0.25">
      <c r="Q1093" s="10" t="str">
        <f t="shared" si="65"/>
        <v/>
      </c>
    </row>
    <row r="1094" spans="17:17" x14ac:dyDescent="0.25">
      <c r="Q1094" s="10" t="str">
        <f t="shared" si="65"/>
        <v/>
      </c>
    </row>
    <row r="1095" spans="17:17" x14ac:dyDescent="0.25">
      <c r="Q1095" s="10" t="str">
        <f t="shared" si="65"/>
        <v/>
      </c>
    </row>
    <row r="1096" spans="17:17" x14ac:dyDescent="0.25">
      <c r="Q1096" s="10" t="str">
        <f t="shared" si="65"/>
        <v/>
      </c>
    </row>
    <row r="1097" spans="17:17" x14ac:dyDescent="0.25">
      <c r="Q1097" s="10" t="str">
        <f t="shared" si="65"/>
        <v/>
      </c>
    </row>
    <row r="1098" spans="17:17" x14ac:dyDescent="0.25">
      <c r="Q1098" s="10" t="str">
        <f t="shared" si="65"/>
        <v/>
      </c>
    </row>
    <row r="1099" spans="17:17" x14ac:dyDescent="0.25">
      <c r="Q1099" s="10" t="str">
        <f t="shared" ref="Q1099:Q1162" si="66">IF(AND(ISBLANK(O1099),ISBLANK(P1099)),"",IF(ISBLANK(P1099), ROUND(Q1098+O1099,2), ROUND(Q1098+P1099,2)))</f>
        <v/>
      </c>
    </row>
    <row r="1100" spans="17:17" x14ac:dyDescent="0.25">
      <c r="Q1100" s="10" t="str">
        <f t="shared" si="66"/>
        <v/>
      </c>
    </row>
    <row r="1101" spans="17:17" x14ac:dyDescent="0.25">
      <c r="Q1101" s="10" t="str">
        <f t="shared" si="66"/>
        <v/>
      </c>
    </row>
    <row r="1102" spans="17:17" x14ac:dyDescent="0.25">
      <c r="Q1102" s="10" t="str">
        <f t="shared" si="66"/>
        <v/>
      </c>
    </row>
    <row r="1103" spans="17:17" x14ac:dyDescent="0.25">
      <c r="Q1103" s="10" t="str">
        <f t="shared" si="66"/>
        <v/>
      </c>
    </row>
    <row r="1104" spans="17:17" x14ac:dyDescent="0.25">
      <c r="Q1104" s="10" t="str">
        <f t="shared" si="66"/>
        <v/>
      </c>
    </row>
    <row r="1105" spans="17:17" x14ac:dyDescent="0.25">
      <c r="Q1105" s="10" t="str">
        <f t="shared" si="66"/>
        <v/>
      </c>
    </row>
    <row r="1106" spans="17:17" x14ac:dyDescent="0.25">
      <c r="Q1106" s="10" t="str">
        <f t="shared" si="66"/>
        <v/>
      </c>
    </row>
    <row r="1107" spans="17:17" x14ac:dyDescent="0.25">
      <c r="Q1107" s="10" t="str">
        <f t="shared" si="66"/>
        <v/>
      </c>
    </row>
    <row r="1108" spans="17:17" x14ac:dyDescent="0.25">
      <c r="Q1108" s="10" t="str">
        <f t="shared" si="66"/>
        <v/>
      </c>
    </row>
    <row r="1109" spans="17:17" x14ac:dyDescent="0.25">
      <c r="Q1109" s="10" t="str">
        <f t="shared" si="66"/>
        <v/>
      </c>
    </row>
    <row r="1110" spans="17:17" x14ac:dyDescent="0.25">
      <c r="Q1110" s="10" t="str">
        <f t="shared" si="66"/>
        <v/>
      </c>
    </row>
    <row r="1111" spans="17:17" x14ac:dyDescent="0.25">
      <c r="Q1111" s="10" t="str">
        <f t="shared" si="66"/>
        <v/>
      </c>
    </row>
    <row r="1112" spans="17:17" x14ac:dyDescent="0.25">
      <c r="Q1112" s="10" t="str">
        <f t="shared" si="66"/>
        <v/>
      </c>
    </row>
    <row r="1113" spans="17:17" x14ac:dyDescent="0.25">
      <c r="Q1113" s="10" t="str">
        <f t="shared" si="66"/>
        <v/>
      </c>
    </row>
    <row r="1114" spans="17:17" x14ac:dyDescent="0.25">
      <c r="Q1114" s="10" t="str">
        <f t="shared" si="66"/>
        <v/>
      </c>
    </row>
    <row r="1115" spans="17:17" x14ac:dyDescent="0.25">
      <c r="Q1115" s="10" t="str">
        <f t="shared" si="66"/>
        <v/>
      </c>
    </row>
    <row r="1116" spans="17:17" x14ac:dyDescent="0.25">
      <c r="Q1116" s="10" t="str">
        <f t="shared" si="66"/>
        <v/>
      </c>
    </row>
    <row r="1117" spans="17:17" x14ac:dyDescent="0.25">
      <c r="Q1117" s="10" t="str">
        <f t="shared" si="66"/>
        <v/>
      </c>
    </row>
    <row r="1118" spans="17:17" x14ac:dyDescent="0.25">
      <c r="Q1118" s="10" t="str">
        <f t="shared" si="66"/>
        <v/>
      </c>
    </row>
    <row r="1119" spans="17:17" x14ac:dyDescent="0.25">
      <c r="Q1119" s="10" t="str">
        <f t="shared" si="66"/>
        <v/>
      </c>
    </row>
    <row r="1120" spans="17:17" x14ac:dyDescent="0.25">
      <c r="Q1120" s="10" t="str">
        <f t="shared" si="66"/>
        <v/>
      </c>
    </row>
    <row r="1121" spans="17:17" x14ac:dyDescent="0.25">
      <c r="Q1121" s="10" t="str">
        <f t="shared" si="66"/>
        <v/>
      </c>
    </row>
    <row r="1122" spans="17:17" x14ac:dyDescent="0.25">
      <c r="Q1122" s="10" t="str">
        <f t="shared" si="66"/>
        <v/>
      </c>
    </row>
    <row r="1123" spans="17:17" x14ac:dyDescent="0.25">
      <c r="Q1123" s="10" t="str">
        <f t="shared" si="66"/>
        <v/>
      </c>
    </row>
    <row r="1124" spans="17:17" x14ac:dyDescent="0.25">
      <c r="Q1124" s="10" t="str">
        <f t="shared" si="66"/>
        <v/>
      </c>
    </row>
    <row r="1125" spans="17:17" x14ac:dyDescent="0.25">
      <c r="Q1125" s="10" t="str">
        <f t="shared" si="66"/>
        <v/>
      </c>
    </row>
    <row r="1126" spans="17:17" x14ac:dyDescent="0.25">
      <c r="Q1126" s="10" t="str">
        <f t="shared" si="66"/>
        <v/>
      </c>
    </row>
    <row r="1127" spans="17:17" x14ac:dyDescent="0.25">
      <c r="Q1127" s="10" t="str">
        <f t="shared" si="66"/>
        <v/>
      </c>
    </row>
    <row r="1128" spans="17:17" x14ac:dyDescent="0.25">
      <c r="Q1128" s="10" t="str">
        <f t="shared" si="66"/>
        <v/>
      </c>
    </row>
    <row r="1129" spans="17:17" x14ac:dyDescent="0.25">
      <c r="Q1129" s="10" t="str">
        <f t="shared" si="66"/>
        <v/>
      </c>
    </row>
    <row r="1130" spans="17:17" x14ac:dyDescent="0.25">
      <c r="Q1130" s="10" t="str">
        <f t="shared" si="66"/>
        <v/>
      </c>
    </row>
    <row r="1131" spans="17:17" x14ac:dyDescent="0.25">
      <c r="Q1131" s="10" t="str">
        <f t="shared" si="66"/>
        <v/>
      </c>
    </row>
    <row r="1132" spans="17:17" x14ac:dyDescent="0.25">
      <c r="Q1132" s="10" t="str">
        <f t="shared" si="66"/>
        <v/>
      </c>
    </row>
    <row r="1133" spans="17:17" x14ac:dyDescent="0.25">
      <c r="Q1133" s="10" t="str">
        <f t="shared" si="66"/>
        <v/>
      </c>
    </row>
    <row r="1134" spans="17:17" x14ac:dyDescent="0.25">
      <c r="Q1134" s="10" t="str">
        <f t="shared" si="66"/>
        <v/>
      </c>
    </row>
    <row r="1135" spans="17:17" x14ac:dyDescent="0.25">
      <c r="Q1135" s="10" t="str">
        <f t="shared" si="66"/>
        <v/>
      </c>
    </row>
    <row r="1136" spans="17:17" x14ac:dyDescent="0.25">
      <c r="Q1136" s="10" t="str">
        <f t="shared" si="66"/>
        <v/>
      </c>
    </row>
    <row r="1137" spans="17:17" x14ac:dyDescent="0.25">
      <c r="Q1137" s="10" t="str">
        <f t="shared" si="66"/>
        <v/>
      </c>
    </row>
    <row r="1138" spans="17:17" x14ac:dyDescent="0.25">
      <c r="Q1138" s="10" t="str">
        <f t="shared" si="66"/>
        <v/>
      </c>
    </row>
    <row r="1139" spans="17:17" x14ac:dyDescent="0.25">
      <c r="Q1139" s="10" t="str">
        <f t="shared" si="66"/>
        <v/>
      </c>
    </row>
    <row r="1140" spans="17:17" x14ac:dyDescent="0.25">
      <c r="Q1140" s="10" t="str">
        <f t="shared" si="66"/>
        <v/>
      </c>
    </row>
    <row r="1141" spans="17:17" x14ac:dyDescent="0.25">
      <c r="Q1141" s="10" t="str">
        <f t="shared" si="66"/>
        <v/>
      </c>
    </row>
    <row r="1142" spans="17:17" x14ac:dyDescent="0.25">
      <c r="Q1142" s="10" t="str">
        <f t="shared" si="66"/>
        <v/>
      </c>
    </row>
    <row r="1143" spans="17:17" x14ac:dyDescent="0.25">
      <c r="Q1143" s="10" t="str">
        <f t="shared" si="66"/>
        <v/>
      </c>
    </row>
    <row r="1144" spans="17:17" x14ac:dyDescent="0.25">
      <c r="Q1144" s="10" t="str">
        <f t="shared" si="66"/>
        <v/>
      </c>
    </row>
    <row r="1145" spans="17:17" x14ac:dyDescent="0.25">
      <c r="Q1145" s="10" t="str">
        <f t="shared" si="66"/>
        <v/>
      </c>
    </row>
    <row r="1146" spans="17:17" x14ac:dyDescent="0.25">
      <c r="Q1146" s="10" t="str">
        <f t="shared" si="66"/>
        <v/>
      </c>
    </row>
    <row r="1147" spans="17:17" x14ac:dyDescent="0.25">
      <c r="Q1147" s="10" t="str">
        <f t="shared" si="66"/>
        <v/>
      </c>
    </row>
    <row r="1148" spans="17:17" x14ac:dyDescent="0.25">
      <c r="Q1148" s="10" t="str">
        <f t="shared" si="66"/>
        <v/>
      </c>
    </row>
    <row r="1149" spans="17:17" x14ac:dyDescent="0.25">
      <c r="Q1149" s="10" t="str">
        <f t="shared" si="66"/>
        <v/>
      </c>
    </row>
    <row r="1150" spans="17:17" x14ac:dyDescent="0.25">
      <c r="Q1150" s="10" t="str">
        <f t="shared" si="66"/>
        <v/>
      </c>
    </row>
    <row r="1151" spans="17:17" x14ac:dyDescent="0.25">
      <c r="Q1151" s="10" t="str">
        <f t="shared" si="66"/>
        <v/>
      </c>
    </row>
    <row r="1152" spans="17:17" x14ac:dyDescent="0.25">
      <c r="Q1152" s="10" t="str">
        <f t="shared" si="66"/>
        <v/>
      </c>
    </row>
    <row r="1153" spans="17:17" x14ac:dyDescent="0.25">
      <c r="Q1153" s="10" t="str">
        <f t="shared" si="66"/>
        <v/>
      </c>
    </row>
    <row r="1154" spans="17:17" x14ac:dyDescent="0.25">
      <c r="Q1154" s="10" t="str">
        <f t="shared" si="66"/>
        <v/>
      </c>
    </row>
    <row r="1155" spans="17:17" x14ac:dyDescent="0.25">
      <c r="Q1155" s="10" t="str">
        <f t="shared" si="66"/>
        <v/>
      </c>
    </row>
    <row r="1156" spans="17:17" x14ac:dyDescent="0.25">
      <c r="Q1156" s="10" t="str">
        <f t="shared" si="66"/>
        <v/>
      </c>
    </row>
    <row r="1157" spans="17:17" x14ac:dyDescent="0.25">
      <c r="Q1157" s="10" t="str">
        <f t="shared" si="66"/>
        <v/>
      </c>
    </row>
    <row r="1158" spans="17:17" x14ac:dyDescent="0.25">
      <c r="Q1158" s="10" t="str">
        <f t="shared" si="66"/>
        <v/>
      </c>
    </row>
    <row r="1159" spans="17:17" x14ac:dyDescent="0.25">
      <c r="Q1159" s="10" t="str">
        <f t="shared" si="66"/>
        <v/>
      </c>
    </row>
    <row r="1160" spans="17:17" x14ac:dyDescent="0.25">
      <c r="Q1160" s="10" t="str">
        <f t="shared" si="66"/>
        <v/>
      </c>
    </row>
    <row r="1161" spans="17:17" x14ac:dyDescent="0.25">
      <c r="Q1161" s="10" t="str">
        <f t="shared" si="66"/>
        <v/>
      </c>
    </row>
    <row r="1162" spans="17:17" x14ac:dyDescent="0.25">
      <c r="Q1162" s="10" t="str">
        <f t="shared" si="66"/>
        <v/>
      </c>
    </row>
    <row r="1163" spans="17:17" x14ac:dyDescent="0.25">
      <c r="Q1163" s="10" t="str">
        <f t="shared" ref="Q1163:Q1226" si="67">IF(AND(ISBLANK(O1163),ISBLANK(P1163)),"",IF(ISBLANK(P1163), ROUND(Q1162+O1163,2), ROUND(Q1162+P1163,2)))</f>
        <v/>
      </c>
    </row>
    <row r="1164" spans="17:17" x14ac:dyDescent="0.25">
      <c r="Q1164" s="10" t="str">
        <f t="shared" si="67"/>
        <v/>
      </c>
    </row>
    <row r="1165" spans="17:17" x14ac:dyDescent="0.25">
      <c r="Q1165" s="10" t="str">
        <f t="shared" si="67"/>
        <v/>
      </c>
    </row>
    <row r="1166" spans="17:17" x14ac:dyDescent="0.25">
      <c r="Q1166" s="10" t="str">
        <f t="shared" si="67"/>
        <v/>
      </c>
    </row>
    <row r="1167" spans="17:17" x14ac:dyDescent="0.25">
      <c r="Q1167" s="10" t="str">
        <f t="shared" si="67"/>
        <v/>
      </c>
    </row>
    <row r="1168" spans="17:17" x14ac:dyDescent="0.25">
      <c r="Q1168" s="10" t="str">
        <f t="shared" si="67"/>
        <v/>
      </c>
    </row>
    <row r="1169" spans="17:17" x14ac:dyDescent="0.25">
      <c r="Q1169" s="10" t="str">
        <f t="shared" si="67"/>
        <v/>
      </c>
    </row>
    <row r="1170" spans="17:17" x14ac:dyDescent="0.25">
      <c r="Q1170" s="10" t="str">
        <f t="shared" si="67"/>
        <v/>
      </c>
    </row>
    <row r="1171" spans="17:17" x14ac:dyDescent="0.25">
      <c r="Q1171" s="10" t="str">
        <f t="shared" si="67"/>
        <v/>
      </c>
    </row>
    <row r="1172" spans="17:17" x14ac:dyDescent="0.25">
      <c r="Q1172" s="10" t="str">
        <f t="shared" si="67"/>
        <v/>
      </c>
    </row>
    <row r="1173" spans="17:17" x14ac:dyDescent="0.25">
      <c r="Q1173" s="10" t="str">
        <f t="shared" si="67"/>
        <v/>
      </c>
    </row>
    <row r="1174" spans="17:17" x14ac:dyDescent="0.25">
      <c r="Q1174" s="10" t="str">
        <f t="shared" si="67"/>
        <v/>
      </c>
    </row>
    <row r="1175" spans="17:17" x14ac:dyDescent="0.25">
      <c r="Q1175" s="10" t="str">
        <f t="shared" si="67"/>
        <v/>
      </c>
    </row>
    <row r="1176" spans="17:17" x14ac:dyDescent="0.25">
      <c r="Q1176" s="10" t="str">
        <f t="shared" si="67"/>
        <v/>
      </c>
    </row>
    <row r="1177" spans="17:17" x14ac:dyDescent="0.25">
      <c r="Q1177" s="10" t="str">
        <f t="shared" si="67"/>
        <v/>
      </c>
    </row>
    <row r="1178" spans="17:17" x14ac:dyDescent="0.25">
      <c r="Q1178" s="10" t="str">
        <f t="shared" si="67"/>
        <v/>
      </c>
    </row>
    <row r="1179" spans="17:17" x14ac:dyDescent="0.25">
      <c r="Q1179" s="10" t="str">
        <f t="shared" si="67"/>
        <v/>
      </c>
    </row>
    <row r="1180" spans="17:17" x14ac:dyDescent="0.25">
      <c r="Q1180" s="10" t="str">
        <f t="shared" si="67"/>
        <v/>
      </c>
    </row>
    <row r="1181" spans="17:17" x14ac:dyDescent="0.25">
      <c r="Q1181" s="10" t="str">
        <f t="shared" si="67"/>
        <v/>
      </c>
    </row>
    <row r="1182" spans="17:17" x14ac:dyDescent="0.25">
      <c r="Q1182" s="10" t="str">
        <f t="shared" si="67"/>
        <v/>
      </c>
    </row>
    <row r="1183" spans="17:17" x14ac:dyDescent="0.25">
      <c r="Q1183" s="10" t="str">
        <f t="shared" si="67"/>
        <v/>
      </c>
    </row>
    <row r="1184" spans="17:17" x14ac:dyDescent="0.25">
      <c r="Q1184" s="10" t="str">
        <f t="shared" si="67"/>
        <v/>
      </c>
    </row>
    <row r="1185" spans="17:17" x14ac:dyDescent="0.25">
      <c r="Q1185" s="10" t="str">
        <f t="shared" si="67"/>
        <v/>
      </c>
    </row>
    <row r="1186" spans="17:17" x14ac:dyDescent="0.25">
      <c r="Q1186" s="10" t="str">
        <f t="shared" si="67"/>
        <v/>
      </c>
    </row>
    <row r="1187" spans="17:17" x14ac:dyDescent="0.25">
      <c r="Q1187" s="10" t="str">
        <f t="shared" si="67"/>
        <v/>
      </c>
    </row>
    <row r="1188" spans="17:17" x14ac:dyDescent="0.25">
      <c r="Q1188" s="10" t="str">
        <f t="shared" si="67"/>
        <v/>
      </c>
    </row>
    <row r="1189" spans="17:17" x14ac:dyDescent="0.25">
      <c r="Q1189" s="10" t="str">
        <f t="shared" si="67"/>
        <v/>
      </c>
    </row>
    <row r="1190" spans="17:17" x14ac:dyDescent="0.25">
      <c r="Q1190" s="10" t="str">
        <f t="shared" si="67"/>
        <v/>
      </c>
    </row>
    <row r="1191" spans="17:17" x14ac:dyDescent="0.25">
      <c r="Q1191" s="10" t="str">
        <f t="shared" si="67"/>
        <v/>
      </c>
    </row>
    <row r="1192" spans="17:17" x14ac:dyDescent="0.25">
      <c r="Q1192" s="10" t="str">
        <f t="shared" si="67"/>
        <v/>
      </c>
    </row>
    <row r="1193" spans="17:17" x14ac:dyDescent="0.25">
      <c r="Q1193" s="10" t="str">
        <f t="shared" si="67"/>
        <v/>
      </c>
    </row>
    <row r="1194" spans="17:17" x14ac:dyDescent="0.25">
      <c r="Q1194" s="10" t="str">
        <f t="shared" si="67"/>
        <v/>
      </c>
    </row>
    <row r="1195" spans="17:17" x14ac:dyDescent="0.25">
      <c r="Q1195" s="10" t="str">
        <f t="shared" si="67"/>
        <v/>
      </c>
    </row>
    <row r="1196" spans="17:17" x14ac:dyDescent="0.25">
      <c r="Q1196" s="10" t="str">
        <f t="shared" si="67"/>
        <v/>
      </c>
    </row>
    <row r="1197" spans="17:17" x14ac:dyDescent="0.25">
      <c r="Q1197" s="10" t="str">
        <f t="shared" si="67"/>
        <v/>
      </c>
    </row>
    <row r="1198" spans="17:17" x14ac:dyDescent="0.25">
      <c r="Q1198" s="10" t="str">
        <f t="shared" si="67"/>
        <v/>
      </c>
    </row>
    <row r="1199" spans="17:17" x14ac:dyDescent="0.25">
      <c r="Q1199" s="10" t="str">
        <f t="shared" si="67"/>
        <v/>
      </c>
    </row>
    <row r="1200" spans="17:17" x14ac:dyDescent="0.25">
      <c r="Q1200" s="10" t="str">
        <f t="shared" si="67"/>
        <v/>
      </c>
    </row>
    <row r="1201" spans="17:17" x14ac:dyDescent="0.25">
      <c r="Q1201" s="10" t="str">
        <f t="shared" si="67"/>
        <v/>
      </c>
    </row>
    <row r="1202" spans="17:17" x14ac:dyDescent="0.25">
      <c r="Q1202" s="10" t="str">
        <f t="shared" si="67"/>
        <v/>
      </c>
    </row>
    <row r="1203" spans="17:17" x14ac:dyDescent="0.25">
      <c r="Q1203" s="10" t="str">
        <f t="shared" si="67"/>
        <v/>
      </c>
    </row>
    <row r="1204" spans="17:17" x14ac:dyDescent="0.25">
      <c r="Q1204" s="10" t="str">
        <f t="shared" si="67"/>
        <v/>
      </c>
    </row>
    <row r="1205" spans="17:17" x14ac:dyDescent="0.25">
      <c r="Q1205" s="10" t="str">
        <f t="shared" si="67"/>
        <v/>
      </c>
    </row>
    <row r="1206" spans="17:17" x14ac:dyDescent="0.25">
      <c r="Q1206" s="10" t="str">
        <f t="shared" si="67"/>
        <v/>
      </c>
    </row>
    <row r="1207" spans="17:17" x14ac:dyDescent="0.25">
      <c r="Q1207" s="10" t="str">
        <f t="shared" si="67"/>
        <v/>
      </c>
    </row>
    <row r="1208" spans="17:17" x14ac:dyDescent="0.25">
      <c r="Q1208" s="10" t="str">
        <f t="shared" si="67"/>
        <v/>
      </c>
    </row>
    <row r="1209" spans="17:17" x14ac:dyDescent="0.25">
      <c r="Q1209" s="10" t="str">
        <f t="shared" si="67"/>
        <v/>
      </c>
    </row>
    <row r="1210" spans="17:17" x14ac:dyDescent="0.25">
      <c r="Q1210" s="10" t="str">
        <f t="shared" si="67"/>
        <v/>
      </c>
    </row>
    <row r="1211" spans="17:17" x14ac:dyDescent="0.25">
      <c r="Q1211" s="10" t="str">
        <f t="shared" si="67"/>
        <v/>
      </c>
    </row>
    <row r="1212" spans="17:17" x14ac:dyDescent="0.25">
      <c r="Q1212" s="10" t="str">
        <f t="shared" si="67"/>
        <v/>
      </c>
    </row>
    <row r="1213" spans="17:17" x14ac:dyDescent="0.25">
      <c r="Q1213" s="10" t="str">
        <f t="shared" si="67"/>
        <v/>
      </c>
    </row>
    <row r="1214" spans="17:17" x14ac:dyDescent="0.25">
      <c r="Q1214" s="10" t="str">
        <f t="shared" si="67"/>
        <v/>
      </c>
    </row>
    <row r="1215" spans="17:17" x14ac:dyDescent="0.25">
      <c r="Q1215" s="10" t="str">
        <f t="shared" si="67"/>
        <v/>
      </c>
    </row>
    <row r="1216" spans="17:17" x14ac:dyDescent="0.25">
      <c r="Q1216" s="10" t="str">
        <f t="shared" si="67"/>
        <v/>
      </c>
    </row>
    <row r="1217" spans="17:17" x14ac:dyDescent="0.25">
      <c r="Q1217" s="10" t="str">
        <f t="shared" si="67"/>
        <v/>
      </c>
    </row>
    <row r="1218" spans="17:17" x14ac:dyDescent="0.25">
      <c r="Q1218" s="10" t="str">
        <f t="shared" si="67"/>
        <v/>
      </c>
    </row>
    <row r="1219" spans="17:17" x14ac:dyDescent="0.25">
      <c r="Q1219" s="10" t="str">
        <f t="shared" si="67"/>
        <v/>
      </c>
    </row>
    <row r="1220" spans="17:17" x14ac:dyDescent="0.25">
      <c r="Q1220" s="10" t="str">
        <f t="shared" si="67"/>
        <v/>
      </c>
    </row>
    <row r="1221" spans="17:17" x14ac:dyDescent="0.25">
      <c r="Q1221" s="10" t="str">
        <f t="shared" si="67"/>
        <v/>
      </c>
    </row>
    <row r="1222" spans="17:17" x14ac:dyDescent="0.25">
      <c r="Q1222" s="10" t="str">
        <f t="shared" si="67"/>
        <v/>
      </c>
    </row>
    <row r="1223" spans="17:17" x14ac:dyDescent="0.25">
      <c r="Q1223" s="10" t="str">
        <f t="shared" si="67"/>
        <v/>
      </c>
    </row>
    <row r="1224" spans="17:17" x14ac:dyDescent="0.25">
      <c r="Q1224" s="10" t="str">
        <f t="shared" si="67"/>
        <v/>
      </c>
    </row>
    <row r="1225" spans="17:17" x14ac:dyDescent="0.25">
      <c r="Q1225" s="10" t="str">
        <f t="shared" si="67"/>
        <v/>
      </c>
    </row>
    <row r="1226" spans="17:17" x14ac:dyDescent="0.25">
      <c r="Q1226" s="10" t="str">
        <f t="shared" si="67"/>
        <v/>
      </c>
    </row>
    <row r="1227" spans="17:17" x14ac:dyDescent="0.25">
      <c r="Q1227" s="10" t="str">
        <f t="shared" ref="Q1227:Q1290" si="68">IF(AND(ISBLANK(O1227),ISBLANK(P1227)),"",IF(ISBLANK(P1227), ROUND(Q1226+O1227,2), ROUND(Q1226+P1227,2)))</f>
        <v/>
      </c>
    </row>
    <row r="1228" spans="17:17" x14ac:dyDescent="0.25">
      <c r="Q1228" s="10" t="str">
        <f t="shared" si="68"/>
        <v/>
      </c>
    </row>
    <row r="1229" spans="17:17" x14ac:dyDescent="0.25">
      <c r="Q1229" s="10" t="str">
        <f t="shared" si="68"/>
        <v/>
      </c>
    </row>
    <row r="1230" spans="17:17" x14ac:dyDescent="0.25">
      <c r="Q1230" s="10" t="str">
        <f t="shared" si="68"/>
        <v/>
      </c>
    </row>
    <row r="1231" spans="17:17" x14ac:dyDescent="0.25">
      <c r="Q1231" s="10" t="str">
        <f t="shared" si="68"/>
        <v/>
      </c>
    </row>
    <row r="1232" spans="17:17" x14ac:dyDescent="0.25">
      <c r="Q1232" s="10" t="str">
        <f t="shared" si="68"/>
        <v/>
      </c>
    </row>
    <row r="1233" spans="17:17" x14ac:dyDescent="0.25">
      <c r="Q1233" s="10" t="str">
        <f t="shared" si="68"/>
        <v/>
      </c>
    </row>
    <row r="1234" spans="17:17" x14ac:dyDescent="0.25">
      <c r="Q1234" s="10" t="str">
        <f t="shared" si="68"/>
        <v/>
      </c>
    </row>
    <row r="1235" spans="17:17" x14ac:dyDescent="0.25">
      <c r="Q1235" s="10" t="str">
        <f t="shared" si="68"/>
        <v/>
      </c>
    </row>
    <row r="1236" spans="17:17" x14ac:dyDescent="0.25">
      <c r="Q1236" s="10" t="str">
        <f t="shared" si="68"/>
        <v/>
      </c>
    </row>
    <row r="1237" spans="17:17" x14ac:dyDescent="0.25">
      <c r="Q1237" s="10" t="str">
        <f t="shared" si="68"/>
        <v/>
      </c>
    </row>
    <row r="1238" spans="17:17" x14ac:dyDescent="0.25">
      <c r="Q1238" s="10" t="str">
        <f t="shared" si="68"/>
        <v/>
      </c>
    </row>
    <row r="1239" spans="17:17" x14ac:dyDescent="0.25">
      <c r="Q1239" s="10" t="str">
        <f t="shared" si="68"/>
        <v/>
      </c>
    </row>
    <row r="1240" spans="17:17" x14ac:dyDescent="0.25">
      <c r="Q1240" s="10" t="str">
        <f t="shared" si="68"/>
        <v/>
      </c>
    </row>
    <row r="1241" spans="17:17" x14ac:dyDescent="0.25">
      <c r="Q1241" s="10" t="str">
        <f t="shared" si="68"/>
        <v/>
      </c>
    </row>
    <row r="1242" spans="17:17" x14ac:dyDescent="0.25">
      <c r="Q1242" s="10" t="str">
        <f t="shared" si="68"/>
        <v/>
      </c>
    </row>
    <row r="1243" spans="17:17" x14ac:dyDescent="0.25">
      <c r="Q1243" s="10" t="str">
        <f t="shared" si="68"/>
        <v/>
      </c>
    </row>
    <row r="1244" spans="17:17" x14ac:dyDescent="0.25">
      <c r="Q1244" s="10" t="str">
        <f t="shared" si="68"/>
        <v/>
      </c>
    </row>
    <row r="1245" spans="17:17" x14ac:dyDescent="0.25">
      <c r="Q1245" s="10" t="str">
        <f t="shared" si="68"/>
        <v/>
      </c>
    </row>
    <row r="1246" spans="17:17" x14ac:dyDescent="0.25">
      <c r="Q1246" s="10" t="str">
        <f t="shared" si="68"/>
        <v/>
      </c>
    </row>
    <row r="1247" spans="17:17" x14ac:dyDescent="0.25">
      <c r="Q1247" s="10" t="str">
        <f t="shared" si="68"/>
        <v/>
      </c>
    </row>
    <row r="1248" spans="17:17" x14ac:dyDescent="0.25">
      <c r="Q1248" s="10" t="str">
        <f t="shared" si="68"/>
        <v/>
      </c>
    </row>
    <row r="1249" spans="17:17" x14ac:dyDescent="0.25">
      <c r="Q1249" s="10" t="str">
        <f t="shared" si="68"/>
        <v/>
      </c>
    </row>
    <row r="1250" spans="17:17" x14ac:dyDescent="0.25">
      <c r="Q1250" s="10" t="str">
        <f t="shared" si="68"/>
        <v/>
      </c>
    </row>
    <row r="1251" spans="17:17" x14ac:dyDescent="0.25">
      <c r="Q1251" s="10" t="str">
        <f t="shared" si="68"/>
        <v/>
      </c>
    </row>
    <row r="1252" spans="17:17" x14ac:dyDescent="0.25">
      <c r="Q1252" s="10" t="str">
        <f t="shared" si="68"/>
        <v/>
      </c>
    </row>
    <row r="1253" spans="17:17" x14ac:dyDescent="0.25">
      <c r="Q1253" s="10" t="str">
        <f t="shared" si="68"/>
        <v/>
      </c>
    </row>
    <row r="1254" spans="17:17" x14ac:dyDescent="0.25">
      <c r="Q1254" s="10" t="str">
        <f t="shared" si="68"/>
        <v/>
      </c>
    </row>
    <row r="1255" spans="17:17" x14ac:dyDescent="0.25">
      <c r="Q1255" s="10" t="str">
        <f t="shared" si="68"/>
        <v/>
      </c>
    </row>
    <row r="1256" spans="17:17" x14ac:dyDescent="0.25">
      <c r="Q1256" s="10" t="str">
        <f t="shared" si="68"/>
        <v/>
      </c>
    </row>
    <row r="1257" spans="17:17" x14ac:dyDescent="0.25">
      <c r="Q1257" s="10" t="str">
        <f t="shared" si="68"/>
        <v/>
      </c>
    </row>
    <row r="1258" spans="17:17" x14ac:dyDescent="0.25">
      <c r="Q1258" s="10" t="str">
        <f t="shared" si="68"/>
        <v/>
      </c>
    </row>
    <row r="1259" spans="17:17" x14ac:dyDescent="0.25">
      <c r="Q1259" s="10" t="str">
        <f t="shared" si="68"/>
        <v/>
      </c>
    </row>
    <row r="1260" spans="17:17" x14ac:dyDescent="0.25">
      <c r="Q1260" s="10" t="str">
        <f t="shared" si="68"/>
        <v/>
      </c>
    </row>
    <row r="1261" spans="17:17" x14ac:dyDescent="0.25">
      <c r="Q1261" s="10" t="str">
        <f t="shared" si="68"/>
        <v/>
      </c>
    </row>
    <row r="1262" spans="17:17" x14ac:dyDescent="0.25">
      <c r="Q1262" s="10" t="str">
        <f t="shared" si="68"/>
        <v/>
      </c>
    </row>
    <row r="1263" spans="17:17" x14ac:dyDescent="0.25">
      <c r="Q1263" s="10" t="str">
        <f t="shared" si="68"/>
        <v/>
      </c>
    </row>
    <row r="1264" spans="17:17" x14ac:dyDescent="0.25">
      <c r="Q1264" s="10" t="str">
        <f t="shared" si="68"/>
        <v/>
      </c>
    </row>
    <row r="1265" spans="17:17" x14ac:dyDescent="0.25">
      <c r="Q1265" s="10" t="str">
        <f t="shared" si="68"/>
        <v/>
      </c>
    </row>
    <row r="1266" spans="17:17" x14ac:dyDescent="0.25">
      <c r="Q1266" s="10" t="str">
        <f t="shared" si="68"/>
        <v/>
      </c>
    </row>
    <row r="1267" spans="17:17" x14ac:dyDescent="0.25">
      <c r="Q1267" s="10" t="str">
        <f t="shared" si="68"/>
        <v/>
      </c>
    </row>
    <row r="1268" spans="17:17" x14ac:dyDescent="0.25">
      <c r="Q1268" s="10" t="str">
        <f t="shared" si="68"/>
        <v/>
      </c>
    </row>
    <row r="1269" spans="17:17" x14ac:dyDescent="0.25">
      <c r="Q1269" s="10" t="str">
        <f t="shared" si="68"/>
        <v/>
      </c>
    </row>
    <row r="1270" spans="17:17" x14ac:dyDescent="0.25">
      <c r="Q1270" s="10" t="str">
        <f t="shared" si="68"/>
        <v/>
      </c>
    </row>
    <row r="1271" spans="17:17" x14ac:dyDescent="0.25">
      <c r="Q1271" s="10" t="str">
        <f t="shared" si="68"/>
        <v/>
      </c>
    </row>
    <row r="1272" spans="17:17" x14ac:dyDescent="0.25">
      <c r="Q1272" s="10" t="str">
        <f t="shared" si="68"/>
        <v/>
      </c>
    </row>
    <row r="1273" spans="17:17" x14ac:dyDescent="0.25">
      <c r="Q1273" s="10" t="str">
        <f t="shared" si="68"/>
        <v/>
      </c>
    </row>
    <row r="1274" spans="17:17" x14ac:dyDescent="0.25">
      <c r="Q1274" s="10" t="str">
        <f t="shared" si="68"/>
        <v/>
      </c>
    </row>
    <row r="1275" spans="17:17" x14ac:dyDescent="0.25">
      <c r="Q1275" s="10" t="str">
        <f t="shared" si="68"/>
        <v/>
      </c>
    </row>
    <row r="1276" spans="17:17" x14ac:dyDescent="0.25">
      <c r="Q1276" s="10" t="str">
        <f t="shared" si="68"/>
        <v/>
      </c>
    </row>
    <row r="1277" spans="17:17" x14ac:dyDescent="0.25">
      <c r="Q1277" s="10" t="str">
        <f t="shared" si="68"/>
        <v/>
      </c>
    </row>
    <row r="1278" spans="17:17" x14ac:dyDescent="0.25">
      <c r="Q1278" s="10" t="str">
        <f t="shared" si="68"/>
        <v/>
      </c>
    </row>
    <row r="1279" spans="17:17" x14ac:dyDescent="0.25">
      <c r="Q1279" s="10" t="str">
        <f t="shared" si="68"/>
        <v/>
      </c>
    </row>
    <row r="1280" spans="17:17" x14ac:dyDescent="0.25">
      <c r="Q1280" s="10" t="str">
        <f t="shared" si="68"/>
        <v/>
      </c>
    </row>
    <row r="1281" spans="17:17" x14ac:dyDescent="0.25">
      <c r="Q1281" s="10" t="str">
        <f t="shared" si="68"/>
        <v/>
      </c>
    </row>
    <row r="1282" spans="17:17" x14ac:dyDescent="0.25">
      <c r="Q1282" s="10" t="str">
        <f t="shared" si="68"/>
        <v/>
      </c>
    </row>
    <row r="1283" spans="17:17" x14ac:dyDescent="0.25">
      <c r="Q1283" s="10" t="str">
        <f t="shared" si="68"/>
        <v/>
      </c>
    </row>
    <row r="1284" spans="17:17" x14ac:dyDescent="0.25">
      <c r="Q1284" s="10" t="str">
        <f t="shared" si="68"/>
        <v/>
      </c>
    </row>
    <row r="1285" spans="17:17" x14ac:dyDescent="0.25">
      <c r="Q1285" s="10" t="str">
        <f t="shared" si="68"/>
        <v/>
      </c>
    </row>
    <row r="1286" spans="17:17" x14ac:dyDescent="0.25">
      <c r="Q1286" s="10" t="str">
        <f t="shared" si="68"/>
        <v/>
      </c>
    </row>
    <row r="1287" spans="17:17" x14ac:dyDescent="0.25">
      <c r="Q1287" s="10" t="str">
        <f t="shared" si="68"/>
        <v/>
      </c>
    </row>
    <row r="1288" spans="17:17" x14ac:dyDescent="0.25">
      <c r="Q1288" s="10" t="str">
        <f t="shared" si="68"/>
        <v/>
      </c>
    </row>
    <row r="1289" spans="17:17" x14ac:dyDescent="0.25">
      <c r="Q1289" s="10" t="str">
        <f t="shared" si="68"/>
        <v/>
      </c>
    </row>
    <row r="1290" spans="17:17" x14ac:dyDescent="0.25">
      <c r="Q1290" s="10" t="str">
        <f t="shared" si="68"/>
        <v/>
      </c>
    </row>
    <row r="1291" spans="17:17" x14ac:dyDescent="0.25">
      <c r="Q1291" s="10" t="str">
        <f t="shared" ref="Q1291:Q1354" si="69">IF(AND(ISBLANK(O1291),ISBLANK(P1291)),"",IF(ISBLANK(P1291), ROUND(Q1290+O1291,2), ROUND(Q1290+P1291,2)))</f>
        <v/>
      </c>
    </row>
    <row r="1292" spans="17:17" x14ac:dyDescent="0.25">
      <c r="Q1292" s="10" t="str">
        <f t="shared" si="69"/>
        <v/>
      </c>
    </row>
    <row r="1293" spans="17:17" x14ac:dyDescent="0.25">
      <c r="Q1293" s="10" t="str">
        <f t="shared" si="69"/>
        <v/>
      </c>
    </row>
    <row r="1294" spans="17:17" x14ac:dyDescent="0.25">
      <c r="Q1294" s="10" t="str">
        <f t="shared" si="69"/>
        <v/>
      </c>
    </row>
    <row r="1295" spans="17:17" x14ac:dyDescent="0.25">
      <c r="Q1295" s="10" t="str">
        <f t="shared" si="69"/>
        <v/>
      </c>
    </row>
    <row r="1296" spans="17:17" x14ac:dyDescent="0.25">
      <c r="Q1296" s="10" t="str">
        <f t="shared" si="69"/>
        <v/>
      </c>
    </row>
    <row r="1297" spans="17:17" x14ac:dyDescent="0.25">
      <c r="Q1297" s="10" t="str">
        <f t="shared" si="69"/>
        <v/>
      </c>
    </row>
    <row r="1298" spans="17:17" x14ac:dyDescent="0.25">
      <c r="Q1298" s="10" t="str">
        <f t="shared" si="69"/>
        <v/>
      </c>
    </row>
    <row r="1299" spans="17:17" x14ac:dyDescent="0.25">
      <c r="Q1299" s="10" t="str">
        <f t="shared" si="69"/>
        <v/>
      </c>
    </row>
    <row r="1300" spans="17:17" x14ac:dyDescent="0.25">
      <c r="Q1300" s="10" t="str">
        <f t="shared" si="69"/>
        <v/>
      </c>
    </row>
    <row r="1301" spans="17:17" x14ac:dyDescent="0.25">
      <c r="Q1301" s="10" t="str">
        <f t="shared" si="69"/>
        <v/>
      </c>
    </row>
    <row r="1302" spans="17:17" x14ac:dyDescent="0.25">
      <c r="Q1302" s="10" t="str">
        <f t="shared" si="69"/>
        <v/>
      </c>
    </row>
    <row r="1303" spans="17:17" x14ac:dyDescent="0.25">
      <c r="Q1303" s="10" t="str">
        <f t="shared" si="69"/>
        <v/>
      </c>
    </row>
    <row r="1304" spans="17:17" x14ac:dyDescent="0.25">
      <c r="Q1304" s="10" t="str">
        <f t="shared" si="69"/>
        <v/>
      </c>
    </row>
    <row r="1305" spans="17:17" x14ac:dyDescent="0.25">
      <c r="Q1305" s="10" t="str">
        <f t="shared" si="69"/>
        <v/>
      </c>
    </row>
    <row r="1306" spans="17:17" x14ac:dyDescent="0.25">
      <c r="Q1306" s="10" t="str">
        <f t="shared" si="69"/>
        <v/>
      </c>
    </row>
    <row r="1307" spans="17:17" x14ac:dyDescent="0.25">
      <c r="Q1307" s="10" t="str">
        <f t="shared" si="69"/>
        <v/>
      </c>
    </row>
    <row r="1308" spans="17:17" x14ac:dyDescent="0.25">
      <c r="Q1308" s="10" t="str">
        <f t="shared" si="69"/>
        <v/>
      </c>
    </row>
    <row r="1309" spans="17:17" x14ac:dyDescent="0.25">
      <c r="Q1309" s="10" t="str">
        <f t="shared" si="69"/>
        <v/>
      </c>
    </row>
    <row r="1310" spans="17:17" x14ac:dyDescent="0.25">
      <c r="Q1310" s="10" t="str">
        <f t="shared" si="69"/>
        <v/>
      </c>
    </row>
    <row r="1311" spans="17:17" x14ac:dyDescent="0.25">
      <c r="Q1311" s="10" t="str">
        <f t="shared" si="69"/>
        <v/>
      </c>
    </row>
    <row r="1312" spans="17:17" x14ac:dyDescent="0.25">
      <c r="Q1312" s="10" t="str">
        <f t="shared" si="69"/>
        <v/>
      </c>
    </row>
    <row r="1313" spans="17:17" x14ac:dyDescent="0.25">
      <c r="Q1313" s="10" t="str">
        <f t="shared" si="69"/>
        <v/>
      </c>
    </row>
    <row r="1314" spans="17:17" x14ac:dyDescent="0.25">
      <c r="Q1314" s="10" t="str">
        <f t="shared" si="69"/>
        <v/>
      </c>
    </row>
    <row r="1315" spans="17:17" x14ac:dyDescent="0.25">
      <c r="Q1315" s="10" t="str">
        <f t="shared" si="69"/>
        <v/>
      </c>
    </row>
    <row r="1316" spans="17:17" x14ac:dyDescent="0.25">
      <c r="Q1316" s="10" t="str">
        <f t="shared" si="69"/>
        <v/>
      </c>
    </row>
    <row r="1317" spans="17:17" x14ac:dyDescent="0.25">
      <c r="Q1317" s="10" t="str">
        <f t="shared" si="69"/>
        <v/>
      </c>
    </row>
    <row r="1318" spans="17:17" x14ac:dyDescent="0.25">
      <c r="Q1318" s="10" t="str">
        <f t="shared" si="69"/>
        <v/>
      </c>
    </row>
    <row r="1319" spans="17:17" x14ac:dyDescent="0.25">
      <c r="Q1319" s="10" t="str">
        <f t="shared" si="69"/>
        <v/>
      </c>
    </row>
    <row r="1320" spans="17:17" x14ac:dyDescent="0.25">
      <c r="Q1320" s="10" t="str">
        <f t="shared" si="69"/>
        <v/>
      </c>
    </row>
    <row r="1321" spans="17:17" x14ac:dyDescent="0.25">
      <c r="Q1321" s="10" t="str">
        <f t="shared" si="69"/>
        <v/>
      </c>
    </row>
    <row r="1322" spans="17:17" x14ac:dyDescent="0.25">
      <c r="Q1322" s="10" t="str">
        <f t="shared" si="69"/>
        <v/>
      </c>
    </row>
    <row r="1323" spans="17:17" x14ac:dyDescent="0.25">
      <c r="Q1323" s="10" t="str">
        <f t="shared" si="69"/>
        <v/>
      </c>
    </row>
    <row r="1324" spans="17:17" x14ac:dyDescent="0.25">
      <c r="Q1324" s="10" t="str">
        <f t="shared" si="69"/>
        <v/>
      </c>
    </row>
    <row r="1325" spans="17:17" x14ac:dyDescent="0.25">
      <c r="Q1325" s="10" t="str">
        <f t="shared" si="69"/>
        <v/>
      </c>
    </row>
    <row r="1326" spans="17:17" x14ac:dyDescent="0.25">
      <c r="Q1326" s="10" t="str">
        <f t="shared" si="69"/>
        <v/>
      </c>
    </row>
    <row r="1327" spans="17:17" x14ac:dyDescent="0.25">
      <c r="Q1327" s="10" t="str">
        <f t="shared" si="69"/>
        <v/>
      </c>
    </row>
    <row r="1328" spans="17:17" x14ac:dyDescent="0.25">
      <c r="Q1328" s="10" t="str">
        <f t="shared" si="69"/>
        <v/>
      </c>
    </row>
    <row r="1329" spans="17:17" x14ac:dyDescent="0.25">
      <c r="Q1329" s="10" t="str">
        <f t="shared" si="69"/>
        <v/>
      </c>
    </row>
    <row r="1330" spans="17:17" x14ac:dyDescent="0.25">
      <c r="Q1330" s="10" t="str">
        <f t="shared" si="69"/>
        <v/>
      </c>
    </row>
    <row r="1331" spans="17:17" x14ac:dyDescent="0.25">
      <c r="Q1331" s="10" t="str">
        <f t="shared" si="69"/>
        <v/>
      </c>
    </row>
    <row r="1332" spans="17:17" x14ac:dyDescent="0.25">
      <c r="Q1332" s="10" t="str">
        <f t="shared" si="69"/>
        <v/>
      </c>
    </row>
    <row r="1333" spans="17:17" x14ac:dyDescent="0.25">
      <c r="Q1333" s="10" t="str">
        <f t="shared" si="69"/>
        <v/>
      </c>
    </row>
    <row r="1334" spans="17:17" x14ac:dyDescent="0.25">
      <c r="Q1334" s="10" t="str">
        <f t="shared" si="69"/>
        <v/>
      </c>
    </row>
    <row r="1335" spans="17:17" x14ac:dyDescent="0.25">
      <c r="Q1335" s="10" t="str">
        <f t="shared" si="69"/>
        <v/>
      </c>
    </row>
    <row r="1336" spans="17:17" x14ac:dyDescent="0.25">
      <c r="Q1336" s="10" t="str">
        <f t="shared" si="69"/>
        <v/>
      </c>
    </row>
    <row r="1337" spans="17:17" x14ac:dyDescent="0.25">
      <c r="Q1337" s="10" t="str">
        <f t="shared" si="69"/>
        <v/>
      </c>
    </row>
    <row r="1338" spans="17:17" x14ac:dyDescent="0.25">
      <c r="Q1338" s="10" t="str">
        <f t="shared" si="69"/>
        <v/>
      </c>
    </row>
    <row r="1339" spans="17:17" x14ac:dyDescent="0.25">
      <c r="Q1339" s="10" t="str">
        <f t="shared" si="69"/>
        <v/>
      </c>
    </row>
    <row r="1340" spans="17:17" x14ac:dyDescent="0.25">
      <c r="Q1340" s="10" t="str">
        <f t="shared" si="69"/>
        <v/>
      </c>
    </row>
    <row r="1341" spans="17:17" x14ac:dyDescent="0.25">
      <c r="Q1341" s="10" t="str">
        <f t="shared" si="69"/>
        <v/>
      </c>
    </row>
    <row r="1342" spans="17:17" x14ac:dyDescent="0.25">
      <c r="Q1342" s="10" t="str">
        <f t="shared" si="69"/>
        <v/>
      </c>
    </row>
    <row r="1343" spans="17:17" x14ac:dyDescent="0.25">
      <c r="Q1343" s="10" t="str">
        <f t="shared" si="69"/>
        <v/>
      </c>
    </row>
    <row r="1344" spans="17:17" x14ac:dyDescent="0.25">
      <c r="Q1344" s="10" t="str">
        <f t="shared" si="69"/>
        <v/>
      </c>
    </row>
    <row r="1345" spans="17:17" x14ac:dyDescent="0.25">
      <c r="Q1345" s="10" t="str">
        <f t="shared" si="69"/>
        <v/>
      </c>
    </row>
    <row r="1346" spans="17:17" x14ac:dyDescent="0.25">
      <c r="Q1346" s="10" t="str">
        <f t="shared" si="69"/>
        <v/>
      </c>
    </row>
    <row r="1347" spans="17:17" x14ac:dyDescent="0.25">
      <c r="Q1347" s="10" t="str">
        <f t="shared" si="69"/>
        <v/>
      </c>
    </row>
    <row r="1348" spans="17:17" x14ac:dyDescent="0.25">
      <c r="Q1348" s="10" t="str">
        <f t="shared" si="69"/>
        <v/>
      </c>
    </row>
    <row r="1349" spans="17:17" x14ac:dyDescent="0.25">
      <c r="Q1349" s="10" t="str">
        <f t="shared" si="69"/>
        <v/>
      </c>
    </row>
    <row r="1350" spans="17:17" x14ac:dyDescent="0.25">
      <c r="Q1350" s="10" t="str">
        <f t="shared" si="69"/>
        <v/>
      </c>
    </row>
    <row r="1351" spans="17:17" x14ac:dyDescent="0.25">
      <c r="Q1351" s="10" t="str">
        <f t="shared" si="69"/>
        <v/>
      </c>
    </row>
    <row r="1352" spans="17:17" x14ac:dyDescent="0.25">
      <c r="Q1352" s="10" t="str">
        <f t="shared" si="69"/>
        <v/>
      </c>
    </row>
    <row r="1353" spans="17:17" x14ac:dyDescent="0.25">
      <c r="Q1353" s="10" t="str">
        <f t="shared" si="69"/>
        <v/>
      </c>
    </row>
    <row r="1354" spans="17:17" x14ac:dyDescent="0.25">
      <c r="Q1354" s="10" t="str">
        <f t="shared" si="69"/>
        <v/>
      </c>
    </row>
    <row r="1355" spans="17:17" x14ac:dyDescent="0.25">
      <c r="Q1355" s="10" t="str">
        <f t="shared" ref="Q1355:Q1418" si="70">IF(AND(ISBLANK(O1355),ISBLANK(P1355)),"",IF(ISBLANK(P1355), ROUND(Q1354+O1355,2), ROUND(Q1354+P1355,2)))</f>
        <v/>
      </c>
    </row>
    <row r="1356" spans="17:17" x14ac:dyDescent="0.25">
      <c r="Q1356" s="10" t="str">
        <f t="shared" si="70"/>
        <v/>
      </c>
    </row>
    <row r="1357" spans="17:17" x14ac:dyDescent="0.25">
      <c r="Q1357" s="10" t="str">
        <f t="shared" si="70"/>
        <v/>
      </c>
    </row>
    <row r="1358" spans="17:17" x14ac:dyDescent="0.25">
      <c r="Q1358" s="10" t="str">
        <f t="shared" si="70"/>
        <v/>
      </c>
    </row>
    <row r="1359" spans="17:17" x14ac:dyDescent="0.25">
      <c r="Q1359" s="10" t="str">
        <f t="shared" si="70"/>
        <v/>
      </c>
    </row>
    <row r="1360" spans="17:17" x14ac:dyDescent="0.25">
      <c r="Q1360" s="10" t="str">
        <f t="shared" si="70"/>
        <v/>
      </c>
    </row>
    <row r="1361" spans="17:17" x14ac:dyDescent="0.25">
      <c r="Q1361" s="10" t="str">
        <f t="shared" si="70"/>
        <v/>
      </c>
    </row>
    <row r="1362" spans="17:17" x14ac:dyDescent="0.25">
      <c r="Q1362" s="10" t="str">
        <f t="shared" si="70"/>
        <v/>
      </c>
    </row>
    <row r="1363" spans="17:17" x14ac:dyDescent="0.25">
      <c r="Q1363" s="10" t="str">
        <f t="shared" si="70"/>
        <v/>
      </c>
    </row>
    <row r="1364" spans="17:17" x14ac:dyDescent="0.25">
      <c r="Q1364" s="10" t="str">
        <f t="shared" si="70"/>
        <v/>
      </c>
    </row>
    <row r="1365" spans="17:17" x14ac:dyDescent="0.25">
      <c r="Q1365" s="10" t="str">
        <f t="shared" si="70"/>
        <v/>
      </c>
    </row>
    <row r="1366" spans="17:17" x14ac:dyDescent="0.25">
      <c r="Q1366" s="10" t="str">
        <f t="shared" si="70"/>
        <v/>
      </c>
    </row>
    <row r="1367" spans="17:17" x14ac:dyDescent="0.25">
      <c r="Q1367" s="10" t="str">
        <f t="shared" si="70"/>
        <v/>
      </c>
    </row>
    <row r="1368" spans="17:17" x14ac:dyDescent="0.25">
      <c r="Q1368" s="10" t="str">
        <f t="shared" si="70"/>
        <v/>
      </c>
    </row>
    <row r="1369" spans="17:17" x14ac:dyDescent="0.25">
      <c r="Q1369" s="10" t="str">
        <f t="shared" si="70"/>
        <v/>
      </c>
    </row>
    <row r="1370" spans="17:17" x14ac:dyDescent="0.25">
      <c r="Q1370" s="10" t="str">
        <f t="shared" si="70"/>
        <v/>
      </c>
    </row>
    <row r="1371" spans="17:17" x14ac:dyDescent="0.25">
      <c r="Q1371" s="10" t="str">
        <f t="shared" si="70"/>
        <v/>
      </c>
    </row>
    <row r="1372" spans="17:17" x14ac:dyDescent="0.25">
      <c r="Q1372" s="10" t="str">
        <f t="shared" si="70"/>
        <v/>
      </c>
    </row>
    <row r="1373" spans="17:17" x14ac:dyDescent="0.25">
      <c r="Q1373" s="10" t="str">
        <f t="shared" si="70"/>
        <v/>
      </c>
    </row>
    <row r="1374" spans="17:17" x14ac:dyDescent="0.25">
      <c r="Q1374" s="10" t="str">
        <f t="shared" si="70"/>
        <v/>
      </c>
    </row>
    <row r="1375" spans="17:17" x14ac:dyDescent="0.25">
      <c r="Q1375" s="10" t="str">
        <f t="shared" si="70"/>
        <v/>
      </c>
    </row>
    <row r="1376" spans="17:17" x14ac:dyDescent="0.25">
      <c r="Q1376" s="10" t="str">
        <f t="shared" si="70"/>
        <v/>
      </c>
    </row>
    <row r="1377" spans="17:17" x14ac:dyDescent="0.25">
      <c r="Q1377" s="10" t="str">
        <f t="shared" si="70"/>
        <v/>
      </c>
    </row>
    <row r="1378" spans="17:17" x14ac:dyDescent="0.25">
      <c r="Q1378" s="10" t="str">
        <f t="shared" si="70"/>
        <v/>
      </c>
    </row>
    <row r="1379" spans="17:17" x14ac:dyDescent="0.25">
      <c r="Q1379" s="10" t="str">
        <f t="shared" si="70"/>
        <v/>
      </c>
    </row>
    <row r="1380" spans="17:17" x14ac:dyDescent="0.25">
      <c r="Q1380" s="10" t="str">
        <f t="shared" si="70"/>
        <v/>
      </c>
    </row>
    <row r="1381" spans="17:17" x14ac:dyDescent="0.25">
      <c r="Q1381" s="10" t="str">
        <f t="shared" si="70"/>
        <v/>
      </c>
    </row>
    <row r="1382" spans="17:17" x14ac:dyDescent="0.25">
      <c r="Q1382" s="10" t="str">
        <f t="shared" si="70"/>
        <v/>
      </c>
    </row>
    <row r="1383" spans="17:17" x14ac:dyDescent="0.25">
      <c r="Q1383" s="10" t="str">
        <f t="shared" si="70"/>
        <v/>
      </c>
    </row>
    <row r="1384" spans="17:17" x14ac:dyDescent="0.25">
      <c r="Q1384" s="10" t="str">
        <f t="shared" si="70"/>
        <v/>
      </c>
    </row>
    <row r="1385" spans="17:17" x14ac:dyDescent="0.25">
      <c r="Q1385" s="10" t="str">
        <f t="shared" si="70"/>
        <v/>
      </c>
    </row>
    <row r="1386" spans="17:17" x14ac:dyDescent="0.25">
      <c r="Q1386" s="10" t="str">
        <f t="shared" si="70"/>
        <v/>
      </c>
    </row>
    <row r="1387" spans="17:17" x14ac:dyDescent="0.25">
      <c r="Q1387" s="10" t="str">
        <f t="shared" si="70"/>
        <v/>
      </c>
    </row>
    <row r="1388" spans="17:17" x14ac:dyDescent="0.25">
      <c r="Q1388" s="10" t="str">
        <f t="shared" si="70"/>
        <v/>
      </c>
    </row>
    <row r="1389" spans="17:17" x14ac:dyDescent="0.25">
      <c r="Q1389" s="10" t="str">
        <f t="shared" si="70"/>
        <v/>
      </c>
    </row>
    <row r="1390" spans="17:17" x14ac:dyDescent="0.25">
      <c r="Q1390" s="10" t="str">
        <f t="shared" si="70"/>
        <v/>
      </c>
    </row>
    <row r="1391" spans="17:17" x14ac:dyDescent="0.25">
      <c r="Q1391" s="10" t="str">
        <f t="shared" si="70"/>
        <v/>
      </c>
    </row>
    <row r="1392" spans="17:17" x14ac:dyDescent="0.25">
      <c r="Q1392" s="10" t="str">
        <f t="shared" si="70"/>
        <v/>
      </c>
    </row>
    <row r="1393" spans="17:17" x14ac:dyDescent="0.25">
      <c r="Q1393" s="10" t="str">
        <f t="shared" si="70"/>
        <v/>
      </c>
    </row>
    <row r="1394" spans="17:17" x14ac:dyDescent="0.25">
      <c r="Q1394" s="10" t="str">
        <f t="shared" si="70"/>
        <v/>
      </c>
    </row>
    <row r="1395" spans="17:17" x14ac:dyDescent="0.25">
      <c r="Q1395" s="10" t="str">
        <f t="shared" si="70"/>
        <v/>
      </c>
    </row>
    <row r="1396" spans="17:17" x14ac:dyDescent="0.25">
      <c r="Q1396" s="10" t="str">
        <f t="shared" si="70"/>
        <v/>
      </c>
    </row>
    <row r="1397" spans="17:17" x14ac:dyDescent="0.25">
      <c r="Q1397" s="10" t="str">
        <f t="shared" si="70"/>
        <v/>
      </c>
    </row>
    <row r="1398" spans="17:17" x14ac:dyDescent="0.25">
      <c r="Q1398" s="10" t="str">
        <f t="shared" si="70"/>
        <v/>
      </c>
    </row>
    <row r="1399" spans="17:17" x14ac:dyDescent="0.25">
      <c r="Q1399" s="10" t="str">
        <f t="shared" si="70"/>
        <v/>
      </c>
    </row>
    <row r="1400" spans="17:17" x14ac:dyDescent="0.25">
      <c r="Q1400" s="10" t="str">
        <f t="shared" si="70"/>
        <v/>
      </c>
    </row>
    <row r="1401" spans="17:17" x14ac:dyDescent="0.25">
      <c r="Q1401" s="10" t="str">
        <f t="shared" si="70"/>
        <v/>
      </c>
    </row>
    <row r="1402" spans="17:17" x14ac:dyDescent="0.25">
      <c r="Q1402" s="10" t="str">
        <f t="shared" si="70"/>
        <v/>
      </c>
    </row>
    <row r="1403" spans="17:17" x14ac:dyDescent="0.25">
      <c r="Q1403" s="10" t="str">
        <f t="shared" si="70"/>
        <v/>
      </c>
    </row>
    <row r="1404" spans="17:17" x14ac:dyDescent="0.25">
      <c r="Q1404" s="10" t="str">
        <f t="shared" si="70"/>
        <v/>
      </c>
    </row>
    <row r="1405" spans="17:17" x14ac:dyDescent="0.25">
      <c r="Q1405" s="10" t="str">
        <f t="shared" si="70"/>
        <v/>
      </c>
    </row>
    <row r="1406" spans="17:17" x14ac:dyDescent="0.25">
      <c r="Q1406" s="10" t="str">
        <f t="shared" si="70"/>
        <v/>
      </c>
    </row>
    <row r="1407" spans="17:17" x14ac:dyDescent="0.25">
      <c r="Q1407" s="10" t="str">
        <f t="shared" si="70"/>
        <v/>
      </c>
    </row>
    <row r="1408" spans="17:17" x14ac:dyDescent="0.25">
      <c r="Q1408" s="10" t="str">
        <f t="shared" si="70"/>
        <v/>
      </c>
    </row>
    <row r="1409" spans="17:17" x14ac:dyDescent="0.25">
      <c r="Q1409" s="10" t="str">
        <f t="shared" si="70"/>
        <v/>
      </c>
    </row>
    <row r="1410" spans="17:17" x14ac:dyDescent="0.25">
      <c r="Q1410" s="10" t="str">
        <f t="shared" si="70"/>
        <v/>
      </c>
    </row>
    <row r="1411" spans="17:17" x14ac:dyDescent="0.25">
      <c r="Q1411" s="10" t="str">
        <f t="shared" si="70"/>
        <v/>
      </c>
    </row>
    <row r="1412" spans="17:17" x14ac:dyDescent="0.25">
      <c r="Q1412" s="10" t="str">
        <f t="shared" si="70"/>
        <v/>
      </c>
    </row>
    <row r="1413" spans="17:17" x14ac:dyDescent="0.25">
      <c r="Q1413" s="10" t="str">
        <f t="shared" si="70"/>
        <v/>
      </c>
    </row>
    <row r="1414" spans="17:17" x14ac:dyDescent="0.25">
      <c r="Q1414" s="10" t="str">
        <f t="shared" si="70"/>
        <v/>
      </c>
    </row>
    <row r="1415" spans="17:17" x14ac:dyDescent="0.25">
      <c r="Q1415" s="10" t="str">
        <f t="shared" si="70"/>
        <v/>
      </c>
    </row>
    <row r="1416" spans="17:17" x14ac:dyDescent="0.25">
      <c r="Q1416" s="10" t="str">
        <f t="shared" si="70"/>
        <v/>
      </c>
    </row>
    <row r="1417" spans="17:17" x14ac:dyDescent="0.25">
      <c r="Q1417" s="10" t="str">
        <f t="shared" si="70"/>
        <v/>
      </c>
    </row>
    <row r="1418" spans="17:17" x14ac:dyDescent="0.25">
      <c r="Q1418" s="10" t="str">
        <f t="shared" si="70"/>
        <v/>
      </c>
    </row>
    <row r="1419" spans="17:17" x14ac:dyDescent="0.25">
      <c r="Q1419" s="10" t="str">
        <f t="shared" ref="Q1419:Q1482" si="71">IF(AND(ISBLANK(O1419),ISBLANK(P1419)),"",IF(ISBLANK(P1419), ROUND(Q1418+O1419,2), ROUND(Q1418+P1419,2)))</f>
        <v/>
      </c>
    </row>
    <row r="1420" spans="17:17" x14ac:dyDescent="0.25">
      <c r="Q1420" s="10" t="str">
        <f t="shared" si="71"/>
        <v/>
      </c>
    </row>
    <row r="1421" spans="17:17" x14ac:dyDescent="0.25">
      <c r="Q1421" s="10" t="str">
        <f t="shared" si="71"/>
        <v/>
      </c>
    </row>
    <row r="1422" spans="17:17" x14ac:dyDescent="0.25">
      <c r="Q1422" s="10" t="str">
        <f t="shared" si="71"/>
        <v/>
      </c>
    </row>
    <row r="1423" spans="17:17" x14ac:dyDescent="0.25">
      <c r="Q1423" s="10" t="str">
        <f t="shared" si="71"/>
        <v/>
      </c>
    </row>
    <row r="1424" spans="17:17" x14ac:dyDescent="0.25">
      <c r="Q1424" s="10" t="str">
        <f t="shared" si="71"/>
        <v/>
      </c>
    </row>
    <row r="1425" spans="17:17" x14ac:dyDescent="0.25">
      <c r="Q1425" s="10" t="str">
        <f t="shared" si="71"/>
        <v/>
      </c>
    </row>
    <row r="1426" spans="17:17" x14ac:dyDescent="0.25">
      <c r="Q1426" s="10" t="str">
        <f t="shared" si="71"/>
        <v/>
      </c>
    </row>
    <row r="1427" spans="17:17" x14ac:dyDescent="0.25">
      <c r="Q1427" s="10" t="str">
        <f t="shared" si="71"/>
        <v/>
      </c>
    </row>
    <row r="1428" spans="17:17" x14ac:dyDescent="0.25">
      <c r="Q1428" s="10" t="str">
        <f t="shared" si="71"/>
        <v/>
      </c>
    </row>
    <row r="1429" spans="17:17" x14ac:dyDescent="0.25">
      <c r="Q1429" s="10" t="str">
        <f t="shared" si="71"/>
        <v/>
      </c>
    </row>
    <row r="1430" spans="17:17" x14ac:dyDescent="0.25">
      <c r="Q1430" s="10" t="str">
        <f t="shared" si="71"/>
        <v/>
      </c>
    </row>
    <row r="1431" spans="17:17" x14ac:dyDescent="0.25">
      <c r="Q1431" s="10" t="str">
        <f t="shared" si="71"/>
        <v/>
      </c>
    </row>
    <row r="1432" spans="17:17" x14ac:dyDescent="0.25">
      <c r="Q1432" s="10" t="str">
        <f t="shared" si="71"/>
        <v/>
      </c>
    </row>
    <row r="1433" spans="17:17" x14ac:dyDescent="0.25">
      <c r="Q1433" s="10" t="str">
        <f t="shared" si="71"/>
        <v/>
      </c>
    </row>
    <row r="1434" spans="17:17" x14ac:dyDescent="0.25">
      <c r="Q1434" s="10" t="str">
        <f t="shared" si="71"/>
        <v/>
      </c>
    </row>
    <row r="1435" spans="17:17" x14ac:dyDescent="0.25">
      <c r="Q1435" s="10" t="str">
        <f t="shared" si="71"/>
        <v/>
      </c>
    </row>
    <row r="1436" spans="17:17" x14ac:dyDescent="0.25">
      <c r="Q1436" s="10" t="str">
        <f t="shared" si="71"/>
        <v/>
      </c>
    </row>
    <row r="1437" spans="17:17" x14ac:dyDescent="0.25">
      <c r="Q1437" s="10" t="str">
        <f t="shared" si="71"/>
        <v/>
      </c>
    </row>
    <row r="1438" spans="17:17" x14ac:dyDescent="0.25">
      <c r="Q1438" s="10" t="str">
        <f t="shared" si="71"/>
        <v/>
      </c>
    </row>
    <row r="1439" spans="17:17" x14ac:dyDescent="0.25">
      <c r="Q1439" s="10" t="str">
        <f t="shared" si="71"/>
        <v/>
      </c>
    </row>
    <row r="1440" spans="17:17" x14ac:dyDescent="0.25">
      <c r="Q1440" s="10" t="str">
        <f t="shared" si="71"/>
        <v/>
      </c>
    </row>
    <row r="1441" spans="17:17" x14ac:dyDescent="0.25">
      <c r="Q1441" s="10" t="str">
        <f t="shared" si="71"/>
        <v/>
      </c>
    </row>
    <row r="1442" spans="17:17" x14ac:dyDescent="0.25">
      <c r="Q1442" s="10" t="str">
        <f t="shared" si="71"/>
        <v/>
      </c>
    </row>
    <row r="1443" spans="17:17" x14ac:dyDescent="0.25">
      <c r="Q1443" s="10" t="str">
        <f t="shared" si="71"/>
        <v/>
      </c>
    </row>
    <row r="1444" spans="17:17" x14ac:dyDescent="0.25">
      <c r="Q1444" s="10" t="str">
        <f t="shared" si="71"/>
        <v/>
      </c>
    </row>
    <row r="1445" spans="17:17" x14ac:dyDescent="0.25">
      <c r="Q1445" s="10" t="str">
        <f t="shared" si="71"/>
        <v/>
      </c>
    </row>
    <row r="1446" spans="17:17" x14ac:dyDescent="0.25">
      <c r="Q1446" s="10" t="str">
        <f t="shared" si="71"/>
        <v/>
      </c>
    </row>
    <row r="1447" spans="17:17" x14ac:dyDescent="0.25">
      <c r="Q1447" s="10" t="str">
        <f t="shared" si="71"/>
        <v/>
      </c>
    </row>
    <row r="1448" spans="17:17" x14ac:dyDescent="0.25">
      <c r="Q1448" s="10" t="str">
        <f t="shared" si="71"/>
        <v/>
      </c>
    </row>
    <row r="1449" spans="17:17" x14ac:dyDescent="0.25">
      <c r="Q1449" s="10" t="str">
        <f t="shared" si="71"/>
        <v/>
      </c>
    </row>
    <row r="1450" spans="17:17" x14ac:dyDescent="0.25">
      <c r="Q1450" s="10" t="str">
        <f t="shared" si="71"/>
        <v/>
      </c>
    </row>
    <row r="1451" spans="17:17" x14ac:dyDescent="0.25">
      <c r="Q1451" s="10" t="str">
        <f t="shared" si="71"/>
        <v/>
      </c>
    </row>
    <row r="1452" spans="17:17" x14ac:dyDescent="0.25">
      <c r="Q1452" s="10" t="str">
        <f t="shared" si="71"/>
        <v/>
      </c>
    </row>
    <row r="1453" spans="17:17" x14ac:dyDescent="0.25">
      <c r="Q1453" s="10" t="str">
        <f t="shared" si="71"/>
        <v/>
      </c>
    </row>
    <row r="1454" spans="17:17" x14ac:dyDescent="0.25">
      <c r="Q1454" s="10" t="str">
        <f t="shared" si="71"/>
        <v/>
      </c>
    </row>
    <row r="1455" spans="17:17" x14ac:dyDescent="0.25">
      <c r="Q1455" s="10" t="str">
        <f t="shared" si="71"/>
        <v/>
      </c>
    </row>
    <row r="1456" spans="17:17" x14ac:dyDescent="0.25">
      <c r="Q1456" s="10" t="str">
        <f t="shared" si="71"/>
        <v/>
      </c>
    </row>
    <row r="1457" spans="17:17" x14ac:dyDescent="0.25">
      <c r="Q1457" s="10" t="str">
        <f t="shared" si="71"/>
        <v/>
      </c>
    </row>
    <row r="1458" spans="17:17" x14ac:dyDescent="0.25">
      <c r="Q1458" s="10" t="str">
        <f t="shared" si="71"/>
        <v/>
      </c>
    </row>
    <row r="1459" spans="17:17" x14ac:dyDescent="0.25">
      <c r="Q1459" s="10" t="str">
        <f t="shared" si="71"/>
        <v/>
      </c>
    </row>
    <row r="1460" spans="17:17" x14ac:dyDescent="0.25">
      <c r="Q1460" s="10" t="str">
        <f t="shared" si="71"/>
        <v/>
      </c>
    </row>
    <row r="1461" spans="17:17" x14ac:dyDescent="0.25">
      <c r="Q1461" s="10" t="str">
        <f t="shared" si="71"/>
        <v/>
      </c>
    </row>
    <row r="1462" spans="17:17" x14ac:dyDescent="0.25">
      <c r="Q1462" s="10" t="str">
        <f t="shared" si="71"/>
        <v/>
      </c>
    </row>
    <row r="1463" spans="17:17" x14ac:dyDescent="0.25">
      <c r="Q1463" s="10" t="str">
        <f t="shared" si="71"/>
        <v/>
      </c>
    </row>
    <row r="1464" spans="17:17" x14ac:dyDescent="0.25">
      <c r="Q1464" s="10" t="str">
        <f t="shared" si="71"/>
        <v/>
      </c>
    </row>
    <row r="1465" spans="17:17" x14ac:dyDescent="0.25">
      <c r="Q1465" s="10" t="str">
        <f t="shared" si="71"/>
        <v/>
      </c>
    </row>
    <row r="1466" spans="17:17" x14ac:dyDescent="0.25">
      <c r="Q1466" s="10" t="str">
        <f t="shared" si="71"/>
        <v/>
      </c>
    </row>
    <row r="1467" spans="17:17" x14ac:dyDescent="0.25">
      <c r="Q1467" s="10" t="str">
        <f t="shared" si="71"/>
        <v/>
      </c>
    </row>
    <row r="1468" spans="17:17" x14ac:dyDescent="0.25">
      <c r="Q1468" s="10" t="str">
        <f t="shared" si="71"/>
        <v/>
      </c>
    </row>
    <row r="1469" spans="17:17" x14ac:dyDescent="0.25">
      <c r="Q1469" s="10" t="str">
        <f t="shared" si="71"/>
        <v/>
      </c>
    </row>
    <row r="1470" spans="17:17" x14ac:dyDescent="0.25">
      <c r="Q1470" s="10" t="str">
        <f t="shared" si="71"/>
        <v/>
      </c>
    </row>
    <row r="1471" spans="17:17" x14ac:dyDescent="0.25">
      <c r="Q1471" s="10" t="str">
        <f t="shared" si="71"/>
        <v/>
      </c>
    </row>
    <row r="1472" spans="17:17" x14ac:dyDescent="0.25">
      <c r="Q1472" s="10" t="str">
        <f t="shared" si="71"/>
        <v/>
      </c>
    </row>
    <row r="1473" spans="17:17" x14ac:dyDescent="0.25">
      <c r="Q1473" s="10" t="str">
        <f t="shared" si="71"/>
        <v/>
      </c>
    </row>
    <row r="1474" spans="17:17" x14ac:dyDescent="0.25">
      <c r="Q1474" s="10" t="str">
        <f t="shared" si="71"/>
        <v/>
      </c>
    </row>
    <row r="1475" spans="17:17" x14ac:dyDescent="0.25">
      <c r="Q1475" s="10" t="str">
        <f t="shared" si="71"/>
        <v/>
      </c>
    </row>
    <row r="1476" spans="17:17" x14ac:dyDescent="0.25">
      <c r="Q1476" s="10" t="str">
        <f t="shared" si="71"/>
        <v/>
      </c>
    </row>
    <row r="1477" spans="17:17" x14ac:dyDescent="0.25">
      <c r="Q1477" s="10" t="str">
        <f t="shared" si="71"/>
        <v/>
      </c>
    </row>
    <row r="1478" spans="17:17" x14ac:dyDescent="0.25">
      <c r="Q1478" s="10" t="str">
        <f t="shared" si="71"/>
        <v/>
      </c>
    </row>
    <row r="1479" spans="17:17" x14ac:dyDescent="0.25">
      <c r="Q1479" s="10" t="str">
        <f t="shared" si="71"/>
        <v/>
      </c>
    </row>
    <row r="1480" spans="17:17" x14ac:dyDescent="0.25">
      <c r="Q1480" s="10" t="str">
        <f t="shared" si="71"/>
        <v/>
      </c>
    </row>
    <row r="1481" spans="17:17" x14ac:dyDescent="0.25">
      <c r="Q1481" s="10" t="str">
        <f t="shared" si="71"/>
        <v/>
      </c>
    </row>
    <row r="1482" spans="17:17" x14ac:dyDescent="0.25">
      <c r="Q1482" s="10" t="str">
        <f t="shared" si="71"/>
        <v/>
      </c>
    </row>
    <row r="1483" spans="17:17" x14ac:dyDescent="0.25">
      <c r="Q1483" s="10" t="str">
        <f t="shared" ref="Q1483:Q1546" si="72">IF(AND(ISBLANK(O1483),ISBLANK(P1483)),"",IF(ISBLANK(P1483), ROUND(Q1482+O1483,2), ROUND(Q1482+P1483,2)))</f>
        <v/>
      </c>
    </row>
    <row r="1484" spans="17:17" x14ac:dyDescent="0.25">
      <c r="Q1484" s="10" t="str">
        <f t="shared" si="72"/>
        <v/>
      </c>
    </row>
    <row r="1485" spans="17:17" x14ac:dyDescent="0.25">
      <c r="Q1485" s="10" t="str">
        <f t="shared" si="72"/>
        <v/>
      </c>
    </row>
    <row r="1486" spans="17:17" x14ac:dyDescent="0.25">
      <c r="Q1486" s="10" t="str">
        <f t="shared" si="72"/>
        <v/>
      </c>
    </row>
    <row r="1487" spans="17:17" x14ac:dyDescent="0.25">
      <c r="Q1487" s="10" t="str">
        <f t="shared" si="72"/>
        <v/>
      </c>
    </row>
    <row r="1488" spans="17:17" x14ac:dyDescent="0.25">
      <c r="Q1488" s="10" t="str">
        <f t="shared" si="72"/>
        <v/>
      </c>
    </row>
    <row r="1489" spans="17:17" x14ac:dyDescent="0.25">
      <c r="Q1489" s="10" t="str">
        <f t="shared" si="72"/>
        <v/>
      </c>
    </row>
    <row r="1490" spans="17:17" x14ac:dyDescent="0.25">
      <c r="Q1490" s="10" t="str">
        <f t="shared" si="72"/>
        <v/>
      </c>
    </row>
    <row r="1491" spans="17:17" x14ac:dyDescent="0.25">
      <c r="Q1491" s="10" t="str">
        <f t="shared" si="72"/>
        <v/>
      </c>
    </row>
    <row r="1492" spans="17:17" x14ac:dyDescent="0.25">
      <c r="Q1492" s="10" t="str">
        <f t="shared" si="72"/>
        <v/>
      </c>
    </row>
    <row r="1493" spans="17:17" x14ac:dyDescent="0.25">
      <c r="Q1493" s="10" t="str">
        <f t="shared" si="72"/>
        <v/>
      </c>
    </row>
    <row r="1494" spans="17:17" x14ac:dyDescent="0.25">
      <c r="Q1494" s="10" t="str">
        <f t="shared" si="72"/>
        <v/>
      </c>
    </row>
    <row r="1495" spans="17:17" x14ac:dyDescent="0.25">
      <c r="Q1495" s="10" t="str">
        <f t="shared" si="72"/>
        <v/>
      </c>
    </row>
    <row r="1496" spans="17:17" x14ac:dyDescent="0.25">
      <c r="Q1496" s="10" t="str">
        <f t="shared" si="72"/>
        <v/>
      </c>
    </row>
    <row r="1497" spans="17:17" x14ac:dyDescent="0.25">
      <c r="Q1497" s="10" t="str">
        <f t="shared" si="72"/>
        <v/>
      </c>
    </row>
    <row r="1498" spans="17:17" x14ac:dyDescent="0.25">
      <c r="Q1498" s="10" t="str">
        <f t="shared" si="72"/>
        <v/>
      </c>
    </row>
    <row r="1499" spans="17:17" x14ac:dyDescent="0.25">
      <c r="Q1499" s="10" t="str">
        <f t="shared" si="72"/>
        <v/>
      </c>
    </row>
    <row r="1500" spans="17:17" x14ac:dyDescent="0.25">
      <c r="Q1500" s="10" t="str">
        <f t="shared" si="72"/>
        <v/>
      </c>
    </row>
    <row r="1501" spans="17:17" x14ac:dyDescent="0.25">
      <c r="Q1501" s="10" t="str">
        <f t="shared" si="72"/>
        <v/>
      </c>
    </row>
    <row r="1502" spans="17:17" x14ac:dyDescent="0.25">
      <c r="Q1502" s="10" t="str">
        <f t="shared" si="72"/>
        <v/>
      </c>
    </row>
    <row r="1503" spans="17:17" x14ac:dyDescent="0.25">
      <c r="Q1503" s="10" t="str">
        <f t="shared" si="72"/>
        <v/>
      </c>
    </row>
    <row r="1504" spans="17:17" x14ac:dyDescent="0.25">
      <c r="Q1504" s="10" t="str">
        <f t="shared" si="72"/>
        <v/>
      </c>
    </row>
    <row r="1505" spans="17:17" x14ac:dyDescent="0.25">
      <c r="Q1505" s="10" t="str">
        <f t="shared" si="72"/>
        <v/>
      </c>
    </row>
    <row r="1506" spans="17:17" x14ac:dyDescent="0.25">
      <c r="Q1506" s="10" t="str">
        <f t="shared" si="72"/>
        <v/>
      </c>
    </row>
    <row r="1507" spans="17:17" x14ac:dyDescent="0.25">
      <c r="Q1507" s="10" t="str">
        <f t="shared" si="72"/>
        <v/>
      </c>
    </row>
    <row r="1508" spans="17:17" x14ac:dyDescent="0.25">
      <c r="Q1508" s="10" t="str">
        <f t="shared" si="72"/>
        <v/>
      </c>
    </row>
    <row r="1509" spans="17:17" x14ac:dyDescent="0.25">
      <c r="Q1509" s="10" t="str">
        <f t="shared" si="72"/>
        <v/>
      </c>
    </row>
    <row r="1510" spans="17:17" x14ac:dyDescent="0.25">
      <c r="Q1510" s="10" t="str">
        <f t="shared" si="72"/>
        <v/>
      </c>
    </row>
    <row r="1511" spans="17:17" x14ac:dyDescent="0.25">
      <c r="Q1511" s="10" t="str">
        <f t="shared" si="72"/>
        <v/>
      </c>
    </row>
    <row r="1512" spans="17:17" x14ac:dyDescent="0.25">
      <c r="Q1512" s="10" t="str">
        <f t="shared" si="72"/>
        <v/>
      </c>
    </row>
    <row r="1513" spans="17:17" x14ac:dyDescent="0.25">
      <c r="Q1513" s="10" t="str">
        <f t="shared" si="72"/>
        <v/>
      </c>
    </row>
    <row r="1514" spans="17:17" x14ac:dyDescent="0.25">
      <c r="Q1514" s="10" t="str">
        <f t="shared" si="72"/>
        <v/>
      </c>
    </row>
    <row r="1515" spans="17:17" x14ac:dyDescent="0.25">
      <c r="Q1515" s="10" t="str">
        <f t="shared" si="72"/>
        <v/>
      </c>
    </row>
    <row r="1516" spans="17:17" x14ac:dyDescent="0.25">
      <c r="Q1516" s="10" t="str">
        <f t="shared" si="72"/>
        <v/>
      </c>
    </row>
    <row r="1517" spans="17:17" x14ac:dyDescent="0.25">
      <c r="Q1517" s="10" t="str">
        <f t="shared" si="72"/>
        <v/>
      </c>
    </row>
    <row r="1518" spans="17:17" x14ac:dyDescent="0.25">
      <c r="Q1518" s="10" t="str">
        <f t="shared" si="72"/>
        <v/>
      </c>
    </row>
    <row r="1519" spans="17:17" x14ac:dyDescent="0.25">
      <c r="Q1519" s="10" t="str">
        <f t="shared" si="72"/>
        <v/>
      </c>
    </row>
    <row r="1520" spans="17:17" x14ac:dyDescent="0.25">
      <c r="Q1520" s="10" t="str">
        <f t="shared" si="72"/>
        <v/>
      </c>
    </row>
    <row r="1521" spans="17:17" x14ac:dyDescent="0.25">
      <c r="Q1521" s="10" t="str">
        <f t="shared" si="72"/>
        <v/>
      </c>
    </row>
    <row r="1522" spans="17:17" x14ac:dyDescent="0.25">
      <c r="Q1522" s="10" t="str">
        <f t="shared" si="72"/>
        <v/>
      </c>
    </row>
    <row r="1523" spans="17:17" x14ac:dyDescent="0.25">
      <c r="Q1523" s="10" t="str">
        <f t="shared" si="72"/>
        <v/>
      </c>
    </row>
    <row r="1524" spans="17:17" x14ac:dyDescent="0.25">
      <c r="Q1524" s="10" t="str">
        <f t="shared" si="72"/>
        <v/>
      </c>
    </row>
    <row r="1525" spans="17:17" x14ac:dyDescent="0.25">
      <c r="Q1525" s="10" t="str">
        <f t="shared" si="72"/>
        <v/>
      </c>
    </row>
    <row r="1526" spans="17:17" x14ac:dyDescent="0.25">
      <c r="Q1526" s="10" t="str">
        <f t="shared" si="72"/>
        <v/>
      </c>
    </row>
    <row r="1527" spans="17:17" x14ac:dyDescent="0.25">
      <c r="Q1527" s="10" t="str">
        <f t="shared" si="72"/>
        <v/>
      </c>
    </row>
    <row r="1528" spans="17:17" x14ac:dyDescent="0.25">
      <c r="Q1528" s="10" t="str">
        <f t="shared" si="72"/>
        <v/>
      </c>
    </row>
    <row r="1529" spans="17:17" x14ac:dyDescent="0.25">
      <c r="Q1529" s="10" t="str">
        <f t="shared" si="72"/>
        <v/>
      </c>
    </row>
    <row r="1530" spans="17:17" x14ac:dyDescent="0.25">
      <c r="Q1530" s="10" t="str">
        <f t="shared" si="72"/>
        <v/>
      </c>
    </row>
    <row r="1531" spans="17:17" x14ac:dyDescent="0.25">
      <c r="Q1531" s="10" t="str">
        <f t="shared" si="72"/>
        <v/>
      </c>
    </row>
    <row r="1532" spans="17:17" x14ac:dyDescent="0.25">
      <c r="Q1532" s="10" t="str">
        <f t="shared" si="72"/>
        <v/>
      </c>
    </row>
    <row r="1533" spans="17:17" x14ac:dyDescent="0.25">
      <c r="Q1533" s="10" t="str">
        <f t="shared" si="72"/>
        <v/>
      </c>
    </row>
    <row r="1534" spans="17:17" x14ac:dyDescent="0.25">
      <c r="Q1534" s="10" t="str">
        <f t="shared" si="72"/>
        <v/>
      </c>
    </row>
    <row r="1535" spans="17:17" x14ac:dyDescent="0.25">
      <c r="Q1535" s="10" t="str">
        <f t="shared" si="72"/>
        <v/>
      </c>
    </row>
    <row r="1536" spans="17:17" x14ac:dyDescent="0.25">
      <c r="Q1536" s="10" t="str">
        <f t="shared" si="72"/>
        <v/>
      </c>
    </row>
    <row r="1537" spans="17:17" x14ac:dyDescent="0.25">
      <c r="Q1537" s="10" t="str">
        <f t="shared" si="72"/>
        <v/>
      </c>
    </row>
    <row r="1538" spans="17:17" x14ac:dyDescent="0.25">
      <c r="Q1538" s="10" t="str">
        <f t="shared" si="72"/>
        <v/>
      </c>
    </row>
    <row r="1539" spans="17:17" x14ac:dyDescent="0.25">
      <c r="Q1539" s="10" t="str">
        <f t="shared" si="72"/>
        <v/>
      </c>
    </row>
    <row r="1540" spans="17:17" x14ac:dyDescent="0.25">
      <c r="Q1540" s="10" t="str">
        <f t="shared" si="72"/>
        <v/>
      </c>
    </row>
    <row r="1541" spans="17:17" x14ac:dyDescent="0.25">
      <c r="Q1541" s="10" t="str">
        <f t="shared" si="72"/>
        <v/>
      </c>
    </row>
    <row r="1542" spans="17:17" x14ac:dyDescent="0.25">
      <c r="Q1542" s="10" t="str">
        <f t="shared" si="72"/>
        <v/>
      </c>
    </row>
    <row r="1543" spans="17:17" x14ac:dyDescent="0.25">
      <c r="Q1543" s="10" t="str">
        <f t="shared" si="72"/>
        <v/>
      </c>
    </row>
    <row r="1544" spans="17:17" x14ac:dyDescent="0.25">
      <c r="Q1544" s="10" t="str">
        <f t="shared" si="72"/>
        <v/>
      </c>
    </row>
    <row r="1545" spans="17:17" x14ac:dyDescent="0.25">
      <c r="Q1545" s="10" t="str">
        <f t="shared" si="72"/>
        <v/>
      </c>
    </row>
    <row r="1546" spans="17:17" x14ac:dyDescent="0.25">
      <c r="Q1546" s="10" t="str">
        <f t="shared" si="72"/>
        <v/>
      </c>
    </row>
    <row r="1547" spans="17:17" x14ac:dyDescent="0.25">
      <c r="Q1547" s="10" t="str">
        <f t="shared" ref="Q1547:Q1610" si="73">IF(AND(ISBLANK(O1547),ISBLANK(P1547)),"",IF(ISBLANK(P1547), ROUND(Q1546+O1547,2), ROUND(Q1546+P1547,2)))</f>
        <v/>
      </c>
    </row>
    <row r="1548" spans="17:17" x14ac:dyDescent="0.25">
      <c r="Q1548" s="10" t="str">
        <f t="shared" si="73"/>
        <v/>
      </c>
    </row>
    <row r="1549" spans="17:17" x14ac:dyDescent="0.25">
      <c r="Q1549" s="10" t="str">
        <f t="shared" si="73"/>
        <v/>
      </c>
    </row>
    <row r="1550" spans="17:17" x14ac:dyDescent="0.25">
      <c r="Q1550" s="10" t="str">
        <f t="shared" si="73"/>
        <v/>
      </c>
    </row>
    <row r="1551" spans="17:17" x14ac:dyDescent="0.25">
      <c r="Q1551" s="10" t="str">
        <f t="shared" si="73"/>
        <v/>
      </c>
    </row>
    <row r="1552" spans="17:17" x14ac:dyDescent="0.25">
      <c r="Q1552" s="10" t="str">
        <f t="shared" si="73"/>
        <v/>
      </c>
    </row>
    <row r="1553" spans="17:17" x14ac:dyDescent="0.25">
      <c r="Q1553" s="10" t="str">
        <f t="shared" si="73"/>
        <v/>
      </c>
    </row>
    <row r="1554" spans="17:17" x14ac:dyDescent="0.25">
      <c r="Q1554" s="10" t="str">
        <f t="shared" si="73"/>
        <v/>
      </c>
    </row>
    <row r="1555" spans="17:17" x14ac:dyDescent="0.25">
      <c r="Q1555" s="10" t="str">
        <f t="shared" si="73"/>
        <v/>
      </c>
    </row>
    <row r="1556" spans="17:17" x14ac:dyDescent="0.25">
      <c r="Q1556" s="10" t="str">
        <f t="shared" si="73"/>
        <v/>
      </c>
    </row>
    <row r="1557" spans="17:17" x14ac:dyDescent="0.25">
      <c r="Q1557" s="10" t="str">
        <f t="shared" si="73"/>
        <v/>
      </c>
    </row>
    <row r="1558" spans="17:17" x14ac:dyDescent="0.25">
      <c r="Q1558" s="10" t="str">
        <f t="shared" si="73"/>
        <v/>
      </c>
    </row>
    <row r="1559" spans="17:17" x14ac:dyDescent="0.25">
      <c r="Q1559" s="10" t="str">
        <f t="shared" si="73"/>
        <v/>
      </c>
    </row>
    <row r="1560" spans="17:17" x14ac:dyDescent="0.25">
      <c r="Q1560" s="10" t="str">
        <f t="shared" si="73"/>
        <v/>
      </c>
    </row>
    <row r="1561" spans="17:17" x14ac:dyDescent="0.25">
      <c r="Q1561" s="10" t="str">
        <f t="shared" si="73"/>
        <v/>
      </c>
    </row>
    <row r="1562" spans="17:17" x14ac:dyDescent="0.25">
      <c r="Q1562" s="10" t="str">
        <f t="shared" si="73"/>
        <v/>
      </c>
    </row>
    <row r="1563" spans="17:17" x14ac:dyDescent="0.25">
      <c r="Q1563" s="10" t="str">
        <f t="shared" si="73"/>
        <v/>
      </c>
    </row>
    <row r="1564" spans="17:17" x14ac:dyDescent="0.25">
      <c r="Q1564" s="10" t="str">
        <f t="shared" si="73"/>
        <v/>
      </c>
    </row>
    <row r="1565" spans="17:17" x14ac:dyDescent="0.25">
      <c r="Q1565" s="10" t="str">
        <f t="shared" si="73"/>
        <v/>
      </c>
    </row>
    <row r="1566" spans="17:17" x14ac:dyDescent="0.25">
      <c r="Q1566" s="10" t="str">
        <f t="shared" si="73"/>
        <v/>
      </c>
    </row>
    <row r="1567" spans="17:17" x14ac:dyDescent="0.25">
      <c r="Q1567" s="10" t="str">
        <f t="shared" si="73"/>
        <v/>
      </c>
    </row>
    <row r="1568" spans="17:17" x14ac:dyDescent="0.25">
      <c r="Q1568" s="10" t="str">
        <f t="shared" si="73"/>
        <v/>
      </c>
    </row>
    <row r="1569" spans="17:17" x14ac:dyDescent="0.25">
      <c r="Q1569" s="10" t="str">
        <f t="shared" si="73"/>
        <v/>
      </c>
    </row>
    <row r="1570" spans="17:17" x14ac:dyDescent="0.25">
      <c r="Q1570" s="10" t="str">
        <f t="shared" si="73"/>
        <v/>
      </c>
    </row>
    <row r="1571" spans="17:17" x14ac:dyDescent="0.25">
      <c r="Q1571" s="10" t="str">
        <f t="shared" si="73"/>
        <v/>
      </c>
    </row>
    <row r="1572" spans="17:17" x14ac:dyDescent="0.25">
      <c r="Q1572" s="10" t="str">
        <f t="shared" si="73"/>
        <v/>
      </c>
    </row>
    <row r="1573" spans="17:17" x14ac:dyDescent="0.25">
      <c r="Q1573" s="10" t="str">
        <f t="shared" si="73"/>
        <v/>
      </c>
    </row>
    <row r="1574" spans="17:17" x14ac:dyDescent="0.25">
      <c r="Q1574" s="10" t="str">
        <f t="shared" si="73"/>
        <v/>
      </c>
    </row>
    <row r="1575" spans="17:17" x14ac:dyDescent="0.25">
      <c r="Q1575" s="10" t="str">
        <f t="shared" si="73"/>
        <v/>
      </c>
    </row>
    <row r="1576" spans="17:17" x14ac:dyDescent="0.25">
      <c r="Q1576" s="10" t="str">
        <f t="shared" si="73"/>
        <v/>
      </c>
    </row>
    <row r="1577" spans="17:17" x14ac:dyDescent="0.25">
      <c r="Q1577" s="10" t="str">
        <f t="shared" si="73"/>
        <v/>
      </c>
    </row>
    <row r="1578" spans="17:17" x14ac:dyDescent="0.25">
      <c r="Q1578" s="10" t="str">
        <f t="shared" si="73"/>
        <v/>
      </c>
    </row>
    <row r="1579" spans="17:17" x14ac:dyDescent="0.25">
      <c r="Q1579" s="10" t="str">
        <f t="shared" si="73"/>
        <v/>
      </c>
    </row>
    <row r="1580" spans="17:17" x14ac:dyDescent="0.25">
      <c r="Q1580" s="10" t="str">
        <f t="shared" si="73"/>
        <v/>
      </c>
    </row>
    <row r="1581" spans="17:17" x14ac:dyDescent="0.25">
      <c r="Q1581" s="10" t="str">
        <f t="shared" si="73"/>
        <v/>
      </c>
    </row>
    <row r="1582" spans="17:17" x14ac:dyDescent="0.25">
      <c r="Q1582" s="10" t="str">
        <f t="shared" si="73"/>
        <v/>
      </c>
    </row>
    <row r="1583" spans="17:17" x14ac:dyDescent="0.25">
      <c r="Q1583" s="10" t="str">
        <f t="shared" si="73"/>
        <v/>
      </c>
    </row>
    <row r="1584" spans="17:17" x14ac:dyDescent="0.25">
      <c r="Q1584" s="10" t="str">
        <f t="shared" si="73"/>
        <v/>
      </c>
    </row>
    <row r="1585" spans="17:17" x14ac:dyDescent="0.25">
      <c r="Q1585" s="10" t="str">
        <f t="shared" si="73"/>
        <v/>
      </c>
    </row>
    <row r="1586" spans="17:17" x14ac:dyDescent="0.25">
      <c r="Q1586" s="10" t="str">
        <f t="shared" si="73"/>
        <v/>
      </c>
    </row>
    <row r="1587" spans="17:17" x14ac:dyDescent="0.25">
      <c r="Q1587" s="10" t="str">
        <f t="shared" si="73"/>
        <v/>
      </c>
    </row>
    <row r="1588" spans="17:17" x14ac:dyDescent="0.25">
      <c r="Q1588" s="10" t="str">
        <f t="shared" si="73"/>
        <v/>
      </c>
    </row>
    <row r="1589" spans="17:17" x14ac:dyDescent="0.25">
      <c r="Q1589" s="10" t="str">
        <f t="shared" si="73"/>
        <v/>
      </c>
    </row>
    <row r="1590" spans="17:17" x14ac:dyDescent="0.25">
      <c r="Q1590" s="10" t="str">
        <f t="shared" si="73"/>
        <v/>
      </c>
    </row>
    <row r="1591" spans="17:17" x14ac:dyDescent="0.25">
      <c r="Q1591" s="10" t="str">
        <f t="shared" si="73"/>
        <v/>
      </c>
    </row>
    <row r="1592" spans="17:17" x14ac:dyDescent="0.25">
      <c r="Q1592" s="10" t="str">
        <f t="shared" si="73"/>
        <v/>
      </c>
    </row>
    <row r="1593" spans="17:17" x14ac:dyDescent="0.25">
      <c r="Q1593" s="10" t="str">
        <f t="shared" si="73"/>
        <v/>
      </c>
    </row>
    <row r="1594" spans="17:17" x14ac:dyDescent="0.25">
      <c r="Q1594" s="10" t="str">
        <f t="shared" si="73"/>
        <v/>
      </c>
    </row>
    <row r="1595" spans="17:17" x14ac:dyDescent="0.25">
      <c r="Q1595" s="10" t="str">
        <f t="shared" si="73"/>
        <v/>
      </c>
    </row>
    <row r="1596" spans="17:17" x14ac:dyDescent="0.25">
      <c r="Q1596" s="10" t="str">
        <f t="shared" si="73"/>
        <v/>
      </c>
    </row>
    <row r="1597" spans="17:17" x14ac:dyDescent="0.25">
      <c r="Q1597" s="10" t="str">
        <f t="shared" si="73"/>
        <v/>
      </c>
    </row>
    <row r="1598" spans="17:17" x14ac:dyDescent="0.25">
      <c r="Q1598" s="10" t="str">
        <f t="shared" si="73"/>
        <v/>
      </c>
    </row>
    <row r="1599" spans="17:17" x14ac:dyDescent="0.25">
      <c r="Q1599" s="10" t="str">
        <f t="shared" si="73"/>
        <v/>
      </c>
    </row>
    <row r="1600" spans="17:17" x14ac:dyDescent="0.25">
      <c r="Q1600" s="10" t="str">
        <f t="shared" si="73"/>
        <v/>
      </c>
    </row>
    <row r="1601" spans="17:17" x14ac:dyDescent="0.25">
      <c r="Q1601" s="10" t="str">
        <f t="shared" si="73"/>
        <v/>
      </c>
    </row>
    <row r="1602" spans="17:17" x14ac:dyDescent="0.25">
      <c r="Q1602" s="10" t="str">
        <f t="shared" si="73"/>
        <v/>
      </c>
    </row>
    <row r="1603" spans="17:17" x14ac:dyDescent="0.25">
      <c r="Q1603" s="10" t="str">
        <f t="shared" si="73"/>
        <v/>
      </c>
    </row>
    <row r="1604" spans="17:17" x14ac:dyDescent="0.25">
      <c r="Q1604" s="10" t="str">
        <f t="shared" si="73"/>
        <v/>
      </c>
    </row>
    <row r="1605" spans="17:17" x14ac:dyDescent="0.25">
      <c r="Q1605" s="10" t="str">
        <f t="shared" si="73"/>
        <v/>
      </c>
    </row>
    <row r="1606" spans="17:17" x14ac:dyDescent="0.25">
      <c r="Q1606" s="10" t="str">
        <f t="shared" si="73"/>
        <v/>
      </c>
    </row>
    <row r="1607" spans="17:17" x14ac:dyDescent="0.25">
      <c r="Q1607" s="10" t="str">
        <f t="shared" si="73"/>
        <v/>
      </c>
    </row>
    <row r="1608" spans="17:17" x14ac:dyDescent="0.25">
      <c r="Q1608" s="10" t="str">
        <f t="shared" si="73"/>
        <v/>
      </c>
    </row>
    <row r="1609" spans="17:17" x14ac:dyDescent="0.25">
      <c r="Q1609" s="10" t="str">
        <f t="shared" si="73"/>
        <v/>
      </c>
    </row>
    <row r="1610" spans="17:17" x14ac:dyDescent="0.25">
      <c r="Q1610" s="10" t="str">
        <f t="shared" si="73"/>
        <v/>
      </c>
    </row>
    <row r="1611" spans="17:17" x14ac:dyDescent="0.25">
      <c r="Q1611" s="10" t="str">
        <f t="shared" ref="Q1611:Q1674" si="74">IF(AND(ISBLANK(O1611),ISBLANK(P1611)),"",IF(ISBLANK(P1611), ROUND(Q1610+O1611,2), ROUND(Q1610+P1611,2)))</f>
        <v/>
      </c>
    </row>
    <row r="1612" spans="17:17" x14ac:dyDescent="0.25">
      <c r="Q1612" s="10" t="str">
        <f t="shared" si="74"/>
        <v/>
      </c>
    </row>
    <row r="1613" spans="17:17" x14ac:dyDescent="0.25">
      <c r="Q1613" s="10" t="str">
        <f t="shared" si="74"/>
        <v/>
      </c>
    </row>
    <row r="1614" spans="17:17" x14ac:dyDescent="0.25">
      <c r="Q1614" s="10" t="str">
        <f t="shared" si="74"/>
        <v/>
      </c>
    </row>
    <row r="1615" spans="17:17" x14ac:dyDescent="0.25">
      <c r="Q1615" s="10" t="str">
        <f t="shared" si="74"/>
        <v/>
      </c>
    </row>
    <row r="1616" spans="17:17" x14ac:dyDescent="0.25">
      <c r="Q1616" s="10" t="str">
        <f t="shared" si="74"/>
        <v/>
      </c>
    </row>
    <row r="1617" spans="17:17" x14ac:dyDescent="0.25">
      <c r="Q1617" s="10" t="str">
        <f t="shared" si="74"/>
        <v/>
      </c>
    </row>
    <row r="1618" spans="17:17" x14ac:dyDescent="0.25">
      <c r="Q1618" s="10" t="str">
        <f t="shared" si="74"/>
        <v/>
      </c>
    </row>
    <row r="1619" spans="17:17" x14ac:dyDescent="0.25">
      <c r="Q1619" s="10" t="str">
        <f t="shared" si="74"/>
        <v/>
      </c>
    </row>
    <row r="1620" spans="17:17" x14ac:dyDescent="0.25">
      <c r="Q1620" s="10" t="str">
        <f t="shared" si="74"/>
        <v/>
      </c>
    </row>
    <row r="1621" spans="17:17" x14ac:dyDescent="0.25">
      <c r="Q1621" s="10" t="str">
        <f t="shared" si="74"/>
        <v/>
      </c>
    </row>
    <row r="1622" spans="17:17" x14ac:dyDescent="0.25">
      <c r="Q1622" s="10" t="str">
        <f t="shared" si="74"/>
        <v/>
      </c>
    </row>
    <row r="1623" spans="17:17" x14ac:dyDescent="0.25">
      <c r="Q1623" s="10" t="str">
        <f t="shared" si="74"/>
        <v/>
      </c>
    </row>
    <row r="1624" spans="17:17" x14ac:dyDescent="0.25">
      <c r="Q1624" s="10" t="str">
        <f t="shared" si="74"/>
        <v/>
      </c>
    </row>
    <row r="1625" spans="17:17" x14ac:dyDescent="0.25">
      <c r="Q1625" s="10" t="str">
        <f t="shared" si="74"/>
        <v/>
      </c>
    </row>
    <row r="1626" spans="17:17" x14ac:dyDescent="0.25">
      <c r="Q1626" s="10" t="str">
        <f t="shared" si="74"/>
        <v/>
      </c>
    </row>
    <row r="1627" spans="17:17" x14ac:dyDescent="0.25">
      <c r="Q1627" s="10" t="str">
        <f t="shared" si="74"/>
        <v/>
      </c>
    </row>
    <row r="1628" spans="17:17" x14ac:dyDescent="0.25">
      <c r="Q1628" s="10" t="str">
        <f t="shared" si="74"/>
        <v/>
      </c>
    </row>
    <row r="1629" spans="17:17" x14ac:dyDescent="0.25">
      <c r="Q1629" s="10" t="str">
        <f t="shared" si="74"/>
        <v/>
      </c>
    </row>
    <row r="1630" spans="17:17" x14ac:dyDescent="0.25">
      <c r="Q1630" s="10" t="str">
        <f t="shared" si="74"/>
        <v/>
      </c>
    </row>
    <row r="1631" spans="17:17" x14ac:dyDescent="0.25">
      <c r="Q1631" s="10" t="str">
        <f t="shared" si="74"/>
        <v/>
      </c>
    </row>
    <row r="1632" spans="17:17" x14ac:dyDescent="0.25">
      <c r="Q1632" s="10" t="str">
        <f t="shared" si="74"/>
        <v/>
      </c>
    </row>
    <row r="1633" spans="17:17" x14ac:dyDescent="0.25">
      <c r="Q1633" s="10" t="str">
        <f t="shared" si="74"/>
        <v/>
      </c>
    </row>
    <row r="1634" spans="17:17" x14ac:dyDescent="0.25">
      <c r="Q1634" s="10" t="str">
        <f t="shared" si="74"/>
        <v/>
      </c>
    </row>
    <row r="1635" spans="17:17" x14ac:dyDescent="0.25">
      <c r="Q1635" s="10" t="str">
        <f t="shared" si="74"/>
        <v/>
      </c>
    </row>
    <row r="1636" spans="17:17" x14ac:dyDescent="0.25">
      <c r="Q1636" s="10" t="str">
        <f t="shared" si="74"/>
        <v/>
      </c>
    </row>
    <row r="1637" spans="17:17" x14ac:dyDescent="0.25">
      <c r="Q1637" s="10" t="str">
        <f t="shared" si="74"/>
        <v/>
      </c>
    </row>
    <row r="1638" spans="17:17" x14ac:dyDescent="0.25">
      <c r="Q1638" s="10" t="str">
        <f t="shared" si="74"/>
        <v/>
      </c>
    </row>
    <row r="1639" spans="17:17" x14ac:dyDescent="0.25">
      <c r="Q1639" s="10" t="str">
        <f t="shared" si="74"/>
        <v/>
      </c>
    </row>
    <row r="1640" spans="17:17" x14ac:dyDescent="0.25">
      <c r="Q1640" s="10" t="str">
        <f t="shared" si="74"/>
        <v/>
      </c>
    </row>
    <row r="1641" spans="17:17" x14ac:dyDescent="0.25">
      <c r="Q1641" s="10" t="str">
        <f t="shared" si="74"/>
        <v/>
      </c>
    </row>
    <row r="1642" spans="17:17" x14ac:dyDescent="0.25">
      <c r="Q1642" s="10" t="str">
        <f t="shared" si="74"/>
        <v/>
      </c>
    </row>
    <row r="1643" spans="17:17" x14ac:dyDescent="0.25">
      <c r="Q1643" s="10" t="str">
        <f t="shared" si="74"/>
        <v/>
      </c>
    </row>
    <row r="1644" spans="17:17" x14ac:dyDescent="0.25">
      <c r="Q1644" s="10" t="str">
        <f t="shared" si="74"/>
        <v/>
      </c>
    </row>
    <row r="1645" spans="17:17" x14ac:dyDescent="0.25">
      <c r="Q1645" s="10" t="str">
        <f t="shared" si="74"/>
        <v/>
      </c>
    </row>
    <row r="1646" spans="17:17" x14ac:dyDescent="0.25">
      <c r="Q1646" s="10" t="str">
        <f t="shared" si="74"/>
        <v/>
      </c>
    </row>
    <row r="1647" spans="17:17" x14ac:dyDescent="0.25">
      <c r="Q1647" s="10" t="str">
        <f t="shared" si="74"/>
        <v/>
      </c>
    </row>
    <row r="1648" spans="17:17" x14ac:dyDescent="0.25">
      <c r="Q1648" s="10" t="str">
        <f t="shared" si="74"/>
        <v/>
      </c>
    </row>
    <row r="1649" spans="17:17" x14ac:dyDescent="0.25">
      <c r="Q1649" s="10" t="str">
        <f t="shared" si="74"/>
        <v/>
      </c>
    </row>
    <row r="1650" spans="17:17" x14ac:dyDescent="0.25">
      <c r="Q1650" s="10" t="str">
        <f t="shared" si="74"/>
        <v/>
      </c>
    </row>
    <row r="1651" spans="17:17" x14ac:dyDescent="0.25">
      <c r="Q1651" s="10" t="str">
        <f t="shared" si="74"/>
        <v/>
      </c>
    </row>
    <row r="1652" spans="17:17" x14ac:dyDescent="0.25">
      <c r="Q1652" s="10" t="str">
        <f t="shared" si="74"/>
        <v/>
      </c>
    </row>
    <row r="1653" spans="17:17" x14ac:dyDescent="0.25">
      <c r="Q1653" s="10" t="str">
        <f t="shared" si="74"/>
        <v/>
      </c>
    </row>
    <row r="1654" spans="17:17" x14ac:dyDescent="0.25">
      <c r="Q1654" s="10" t="str">
        <f t="shared" si="74"/>
        <v/>
      </c>
    </row>
    <row r="1655" spans="17:17" x14ac:dyDescent="0.25">
      <c r="Q1655" s="10" t="str">
        <f t="shared" si="74"/>
        <v/>
      </c>
    </row>
    <row r="1656" spans="17:17" x14ac:dyDescent="0.25">
      <c r="Q1656" s="10" t="str">
        <f t="shared" si="74"/>
        <v/>
      </c>
    </row>
    <row r="1657" spans="17:17" x14ac:dyDescent="0.25">
      <c r="Q1657" s="10" t="str">
        <f t="shared" si="74"/>
        <v/>
      </c>
    </row>
    <row r="1658" spans="17:17" x14ac:dyDescent="0.25">
      <c r="Q1658" s="10" t="str">
        <f t="shared" si="74"/>
        <v/>
      </c>
    </row>
    <row r="1659" spans="17:17" x14ac:dyDescent="0.25">
      <c r="Q1659" s="10" t="str">
        <f t="shared" si="74"/>
        <v/>
      </c>
    </row>
    <row r="1660" spans="17:17" x14ac:dyDescent="0.25">
      <c r="Q1660" s="10" t="str">
        <f t="shared" si="74"/>
        <v/>
      </c>
    </row>
    <row r="1661" spans="17:17" x14ac:dyDescent="0.25">
      <c r="Q1661" s="10" t="str">
        <f t="shared" si="74"/>
        <v/>
      </c>
    </row>
    <row r="1662" spans="17:17" x14ac:dyDescent="0.25">
      <c r="Q1662" s="10" t="str">
        <f t="shared" si="74"/>
        <v/>
      </c>
    </row>
    <row r="1663" spans="17:17" x14ac:dyDescent="0.25">
      <c r="Q1663" s="10" t="str">
        <f t="shared" si="74"/>
        <v/>
      </c>
    </row>
    <row r="1664" spans="17:17" x14ac:dyDescent="0.25">
      <c r="Q1664" s="10" t="str">
        <f t="shared" si="74"/>
        <v/>
      </c>
    </row>
    <row r="1665" spans="17:17" x14ac:dyDescent="0.25">
      <c r="Q1665" s="10" t="str">
        <f t="shared" si="74"/>
        <v/>
      </c>
    </row>
    <row r="1666" spans="17:17" x14ac:dyDescent="0.25">
      <c r="Q1666" s="10" t="str">
        <f t="shared" si="74"/>
        <v/>
      </c>
    </row>
    <row r="1667" spans="17:17" x14ac:dyDescent="0.25">
      <c r="Q1667" s="10" t="str">
        <f t="shared" si="74"/>
        <v/>
      </c>
    </row>
    <row r="1668" spans="17:17" x14ac:dyDescent="0.25">
      <c r="Q1668" s="10" t="str">
        <f t="shared" si="74"/>
        <v/>
      </c>
    </row>
    <row r="1669" spans="17:17" x14ac:dyDescent="0.25">
      <c r="Q1669" s="10" t="str">
        <f t="shared" si="74"/>
        <v/>
      </c>
    </row>
    <row r="1670" spans="17:17" x14ac:dyDescent="0.25">
      <c r="Q1670" s="10" t="str">
        <f t="shared" si="74"/>
        <v/>
      </c>
    </row>
    <row r="1671" spans="17:17" x14ac:dyDescent="0.25">
      <c r="Q1671" s="10" t="str">
        <f t="shared" si="74"/>
        <v/>
      </c>
    </row>
    <row r="1672" spans="17:17" x14ac:dyDescent="0.25">
      <c r="Q1672" s="10" t="str">
        <f t="shared" si="74"/>
        <v/>
      </c>
    </row>
    <row r="1673" spans="17:17" x14ac:dyDescent="0.25">
      <c r="Q1673" s="10" t="str">
        <f t="shared" si="74"/>
        <v/>
      </c>
    </row>
    <row r="1674" spans="17:17" x14ac:dyDescent="0.25">
      <c r="Q1674" s="10" t="str">
        <f t="shared" si="74"/>
        <v/>
      </c>
    </row>
    <row r="1675" spans="17:17" x14ac:dyDescent="0.25">
      <c r="Q1675" s="10" t="str">
        <f t="shared" ref="Q1675:Q1719" si="75">IF(AND(ISBLANK(O1675),ISBLANK(P1675)),"",IF(ISBLANK(P1675), ROUND(Q1674+O1675,2), ROUND(Q1674+P1675,2)))</f>
        <v/>
      </c>
    </row>
    <row r="1676" spans="17:17" x14ac:dyDescent="0.25">
      <c r="Q1676" s="10" t="str">
        <f t="shared" si="75"/>
        <v/>
      </c>
    </row>
    <row r="1677" spans="17:17" x14ac:dyDescent="0.25">
      <c r="Q1677" s="10" t="str">
        <f t="shared" si="75"/>
        <v/>
      </c>
    </row>
    <row r="1678" spans="17:17" x14ac:dyDescent="0.25">
      <c r="Q1678" s="10" t="str">
        <f t="shared" si="75"/>
        <v/>
      </c>
    </row>
    <row r="1679" spans="17:17" x14ac:dyDescent="0.25">
      <c r="Q1679" s="10" t="str">
        <f t="shared" si="75"/>
        <v/>
      </c>
    </row>
    <row r="1680" spans="17:17" x14ac:dyDescent="0.25">
      <c r="Q1680" s="10" t="str">
        <f t="shared" si="75"/>
        <v/>
      </c>
    </row>
    <row r="1681" spans="17:17" x14ac:dyDescent="0.25">
      <c r="Q1681" s="10" t="str">
        <f t="shared" si="75"/>
        <v/>
      </c>
    </row>
    <row r="1682" spans="17:17" x14ac:dyDescent="0.25">
      <c r="Q1682" s="10" t="str">
        <f t="shared" si="75"/>
        <v/>
      </c>
    </row>
    <row r="1683" spans="17:17" x14ac:dyDescent="0.25">
      <c r="Q1683" s="10" t="str">
        <f t="shared" si="75"/>
        <v/>
      </c>
    </row>
    <row r="1684" spans="17:17" x14ac:dyDescent="0.25">
      <c r="Q1684" s="10" t="str">
        <f t="shared" si="75"/>
        <v/>
      </c>
    </row>
    <row r="1685" spans="17:17" x14ac:dyDescent="0.25">
      <c r="Q1685" s="10" t="str">
        <f t="shared" si="75"/>
        <v/>
      </c>
    </row>
    <row r="1686" spans="17:17" x14ac:dyDescent="0.25">
      <c r="Q1686" s="10" t="str">
        <f t="shared" si="75"/>
        <v/>
      </c>
    </row>
    <row r="1687" spans="17:17" x14ac:dyDescent="0.25">
      <c r="Q1687" s="10" t="str">
        <f t="shared" si="75"/>
        <v/>
      </c>
    </row>
    <row r="1688" spans="17:17" x14ac:dyDescent="0.25">
      <c r="Q1688" s="10" t="str">
        <f t="shared" si="75"/>
        <v/>
      </c>
    </row>
    <row r="1689" spans="17:17" x14ac:dyDescent="0.25">
      <c r="Q1689" s="10" t="str">
        <f t="shared" si="75"/>
        <v/>
      </c>
    </row>
    <row r="1690" spans="17:17" x14ac:dyDescent="0.25">
      <c r="Q1690" s="10" t="str">
        <f t="shared" si="75"/>
        <v/>
      </c>
    </row>
    <row r="1691" spans="17:17" x14ac:dyDescent="0.25">
      <c r="Q1691" s="10" t="str">
        <f t="shared" si="75"/>
        <v/>
      </c>
    </row>
    <row r="1692" spans="17:17" x14ac:dyDescent="0.25">
      <c r="Q1692" s="10" t="str">
        <f t="shared" si="75"/>
        <v/>
      </c>
    </row>
    <row r="1693" spans="17:17" x14ac:dyDescent="0.25">
      <c r="Q1693" s="10" t="str">
        <f t="shared" si="75"/>
        <v/>
      </c>
    </row>
    <row r="1694" spans="17:17" x14ac:dyDescent="0.25">
      <c r="Q1694" s="10" t="str">
        <f t="shared" si="75"/>
        <v/>
      </c>
    </row>
    <row r="1695" spans="17:17" x14ac:dyDescent="0.25">
      <c r="Q1695" s="10" t="str">
        <f t="shared" si="75"/>
        <v/>
      </c>
    </row>
    <row r="1696" spans="17:17" x14ac:dyDescent="0.25">
      <c r="Q1696" s="10" t="str">
        <f t="shared" si="75"/>
        <v/>
      </c>
    </row>
    <row r="1697" spans="17:17" x14ac:dyDescent="0.25">
      <c r="Q1697" s="10" t="str">
        <f t="shared" si="75"/>
        <v/>
      </c>
    </row>
    <row r="1698" spans="17:17" x14ac:dyDescent="0.25">
      <c r="Q1698" s="10" t="str">
        <f t="shared" si="75"/>
        <v/>
      </c>
    </row>
    <row r="1699" spans="17:17" x14ac:dyDescent="0.25">
      <c r="Q1699" s="10" t="str">
        <f t="shared" si="75"/>
        <v/>
      </c>
    </row>
    <row r="1700" spans="17:17" x14ac:dyDescent="0.25">
      <c r="Q1700" s="10" t="str">
        <f t="shared" si="75"/>
        <v/>
      </c>
    </row>
    <row r="1701" spans="17:17" x14ac:dyDescent="0.25">
      <c r="Q1701" s="10" t="str">
        <f t="shared" si="75"/>
        <v/>
      </c>
    </row>
    <row r="1702" spans="17:17" x14ac:dyDescent="0.25">
      <c r="Q1702" s="10" t="str">
        <f t="shared" si="75"/>
        <v/>
      </c>
    </row>
    <row r="1703" spans="17:17" x14ac:dyDescent="0.25">
      <c r="Q1703" s="10" t="str">
        <f t="shared" si="75"/>
        <v/>
      </c>
    </row>
    <row r="1704" spans="17:17" x14ac:dyDescent="0.25">
      <c r="Q1704" s="10" t="str">
        <f t="shared" si="75"/>
        <v/>
      </c>
    </row>
    <row r="1705" spans="17:17" x14ac:dyDescent="0.25">
      <c r="Q1705" s="10" t="str">
        <f t="shared" si="75"/>
        <v/>
      </c>
    </row>
    <row r="1706" spans="17:17" x14ac:dyDescent="0.25">
      <c r="Q1706" s="10" t="str">
        <f t="shared" si="75"/>
        <v/>
      </c>
    </row>
    <row r="1707" spans="17:17" x14ac:dyDescent="0.25">
      <c r="Q1707" s="10" t="str">
        <f t="shared" si="75"/>
        <v/>
      </c>
    </row>
    <row r="1708" spans="17:17" x14ac:dyDescent="0.25">
      <c r="Q1708" s="10" t="str">
        <f t="shared" si="75"/>
        <v/>
      </c>
    </row>
    <row r="1709" spans="17:17" x14ac:dyDescent="0.25">
      <c r="Q1709" s="10" t="str">
        <f t="shared" si="75"/>
        <v/>
      </c>
    </row>
    <row r="1710" spans="17:17" x14ac:dyDescent="0.25">
      <c r="Q1710" s="10" t="str">
        <f t="shared" si="75"/>
        <v/>
      </c>
    </row>
    <row r="1711" spans="17:17" x14ac:dyDescent="0.25">
      <c r="Q1711" s="10" t="str">
        <f t="shared" si="75"/>
        <v/>
      </c>
    </row>
    <row r="1712" spans="17:17" x14ac:dyDescent="0.25">
      <c r="Q1712" s="10" t="str">
        <f t="shared" si="75"/>
        <v/>
      </c>
    </row>
    <row r="1713" spans="17:17" x14ac:dyDescent="0.25">
      <c r="Q1713" s="10" t="str">
        <f t="shared" si="75"/>
        <v/>
      </c>
    </row>
    <row r="1714" spans="17:17" x14ac:dyDescent="0.25">
      <c r="Q1714" s="10" t="str">
        <f t="shared" si="75"/>
        <v/>
      </c>
    </row>
    <row r="1715" spans="17:17" x14ac:dyDescent="0.25">
      <c r="Q1715" s="10" t="str">
        <f t="shared" si="75"/>
        <v/>
      </c>
    </row>
    <row r="1716" spans="17:17" x14ac:dyDescent="0.25">
      <c r="Q1716" s="10" t="str">
        <f t="shared" si="75"/>
        <v/>
      </c>
    </row>
    <row r="1717" spans="17:17" x14ac:dyDescent="0.25">
      <c r="Q1717" s="10" t="str">
        <f t="shared" si="75"/>
        <v/>
      </c>
    </row>
    <row r="1718" spans="17:17" x14ac:dyDescent="0.25">
      <c r="Q1718" s="10" t="str">
        <f t="shared" si="75"/>
        <v/>
      </c>
    </row>
    <row r="1719" spans="17:17" x14ac:dyDescent="0.25">
      <c r="Q1719" s="10" t="str">
        <f t="shared" si="75"/>
        <v/>
      </c>
    </row>
  </sheetData>
  <mergeCells count="507">
    <mergeCell ref="B5:B6"/>
    <mergeCell ref="C5:C6"/>
    <mergeCell ref="E5:E6"/>
    <mergeCell ref="F5:I6"/>
    <mergeCell ref="B8:B9"/>
    <mergeCell ref="C8:C9"/>
    <mergeCell ref="E8:E9"/>
    <mergeCell ref="F8:I9"/>
    <mergeCell ref="I2:I3"/>
    <mergeCell ref="B2:B3"/>
    <mergeCell ref="C2:C3"/>
    <mergeCell ref="E2:E3"/>
    <mergeCell ref="F2:F3"/>
    <mergeCell ref="H2:H3"/>
    <mergeCell ref="B17:B18"/>
    <mergeCell ref="C17:C18"/>
    <mergeCell ref="B11:B12"/>
    <mergeCell ref="C11:C12"/>
    <mergeCell ref="E11:E12"/>
    <mergeCell ref="F11:I12"/>
    <mergeCell ref="B14:B15"/>
    <mergeCell ref="C14:C15"/>
    <mergeCell ref="E14:E15"/>
    <mergeCell ref="F14:I1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46:H46"/>
    <mergeCell ref="G47:H47"/>
    <mergeCell ref="G48:H48"/>
    <mergeCell ref="G49:H49"/>
    <mergeCell ref="G50:H50"/>
    <mergeCell ref="G41:H41"/>
    <mergeCell ref="G42:H42"/>
    <mergeCell ref="G43:H43"/>
    <mergeCell ref="G44:H44"/>
    <mergeCell ref="G45:H45"/>
    <mergeCell ref="G56:H56"/>
    <mergeCell ref="G57:H57"/>
    <mergeCell ref="G58:H58"/>
    <mergeCell ref="G59:H59"/>
    <mergeCell ref="G60:H60"/>
    <mergeCell ref="G51:H51"/>
    <mergeCell ref="G52:H52"/>
    <mergeCell ref="G53:H53"/>
    <mergeCell ref="G54:H54"/>
    <mergeCell ref="G55:H55"/>
    <mergeCell ref="G66:H66"/>
    <mergeCell ref="G67:H67"/>
    <mergeCell ref="G68:H68"/>
    <mergeCell ref="G69:H69"/>
    <mergeCell ref="G70:H70"/>
    <mergeCell ref="G61:H61"/>
    <mergeCell ref="G62:H62"/>
    <mergeCell ref="G63:H63"/>
    <mergeCell ref="G64:H64"/>
    <mergeCell ref="G65:H65"/>
    <mergeCell ref="G76:H76"/>
    <mergeCell ref="G77:H77"/>
    <mergeCell ref="G78:H78"/>
    <mergeCell ref="G79:H79"/>
    <mergeCell ref="G80:H80"/>
    <mergeCell ref="G71:H71"/>
    <mergeCell ref="G72:H72"/>
    <mergeCell ref="G73:H73"/>
    <mergeCell ref="G74:H74"/>
    <mergeCell ref="G75:H75"/>
    <mergeCell ref="G86:H86"/>
    <mergeCell ref="G87:H87"/>
    <mergeCell ref="G88:H88"/>
    <mergeCell ref="G89:H89"/>
    <mergeCell ref="G90:H90"/>
    <mergeCell ref="G81:H81"/>
    <mergeCell ref="G82:H82"/>
    <mergeCell ref="G83:H83"/>
    <mergeCell ref="G84:H84"/>
    <mergeCell ref="G85:H85"/>
    <mergeCell ref="G96:H96"/>
    <mergeCell ref="G97:H97"/>
    <mergeCell ref="G98:H98"/>
    <mergeCell ref="G99:H99"/>
    <mergeCell ref="G100:H100"/>
    <mergeCell ref="G91:H91"/>
    <mergeCell ref="G92:H92"/>
    <mergeCell ref="G93:H93"/>
    <mergeCell ref="G94:H94"/>
    <mergeCell ref="G95:H95"/>
    <mergeCell ref="G106:H106"/>
    <mergeCell ref="G107:H107"/>
    <mergeCell ref="G108:H108"/>
    <mergeCell ref="G109:H109"/>
    <mergeCell ref="G110:H110"/>
    <mergeCell ref="G101:H101"/>
    <mergeCell ref="G102:H102"/>
    <mergeCell ref="G103:H103"/>
    <mergeCell ref="G104:H104"/>
    <mergeCell ref="G105:H105"/>
    <mergeCell ref="G116:H116"/>
    <mergeCell ref="G117:H117"/>
    <mergeCell ref="G118:H118"/>
    <mergeCell ref="G119:H119"/>
    <mergeCell ref="G120:H120"/>
    <mergeCell ref="G111:H111"/>
    <mergeCell ref="G112:H112"/>
    <mergeCell ref="G113:H113"/>
    <mergeCell ref="G114:H114"/>
    <mergeCell ref="G115:H115"/>
    <mergeCell ref="G126:H126"/>
    <mergeCell ref="G127:H127"/>
    <mergeCell ref="G128:H128"/>
    <mergeCell ref="G129:H129"/>
    <mergeCell ref="G130:H130"/>
    <mergeCell ref="G121:H121"/>
    <mergeCell ref="G122:H122"/>
    <mergeCell ref="G123:H123"/>
    <mergeCell ref="G124:H124"/>
    <mergeCell ref="G125:H125"/>
    <mergeCell ref="G136:H136"/>
    <mergeCell ref="G137:H137"/>
    <mergeCell ref="G138:H138"/>
    <mergeCell ref="G139:H139"/>
    <mergeCell ref="G140:H140"/>
    <mergeCell ref="G131:H131"/>
    <mergeCell ref="G132:H132"/>
    <mergeCell ref="G133:H133"/>
    <mergeCell ref="G134:H134"/>
    <mergeCell ref="G135:H135"/>
    <mergeCell ref="G146:H146"/>
    <mergeCell ref="G147:H147"/>
    <mergeCell ref="G148:H148"/>
    <mergeCell ref="G149:H149"/>
    <mergeCell ref="G150:H150"/>
    <mergeCell ref="G141:H141"/>
    <mergeCell ref="G142:H142"/>
    <mergeCell ref="G143:H143"/>
    <mergeCell ref="G144:H144"/>
    <mergeCell ref="G145:H145"/>
    <mergeCell ref="G156:H156"/>
    <mergeCell ref="G157:H157"/>
    <mergeCell ref="G158:H158"/>
    <mergeCell ref="G159:H159"/>
    <mergeCell ref="G160:H160"/>
    <mergeCell ref="G151:H151"/>
    <mergeCell ref="G152:H152"/>
    <mergeCell ref="G153:H153"/>
    <mergeCell ref="G154:H154"/>
    <mergeCell ref="G155:H155"/>
    <mergeCell ref="G166:H166"/>
    <mergeCell ref="G167:H167"/>
    <mergeCell ref="G168:H168"/>
    <mergeCell ref="G169:H169"/>
    <mergeCell ref="G170:H170"/>
    <mergeCell ref="G161:H161"/>
    <mergeCell ref="G162:H162"/>
    <mergeCell ref="G163:H163"/>
    <mergeCell ref="G164:H164"/>
    <mergeCell ref="G165:H165"/>
    <mergeCell ref="G176:H176"/>
    <mergeCell ref="G177:H177"/>
    <mergeCell ref="G178:H178"/>
    <mergeCell ref="G179:H179"/>
    <mergeCell ref="G180:H180"/>
    <mergeCell ref="G171:H171"/>
    <mergeCell ref="G172:H172"/>
    <mergeCell ref="G173:H173"/>
    <mergeCell ref="G174:H174"/>
    <mergeCell ref="G175:H175"/>
    <mergeCell ref="G186:H186"/>
    <mergeCell ref="G187:H187"/>
    <mergeCell ref="G188:H188"/>
    <mergeCell ref="G189:H189"/>
    <mergeCell ref="G190:H190"/>
    <mergeCell ref="G181:H181"/>
    <mergeCell ref="G182:H182"/>
    <mergeCell ref="G183:H183"/>
    <mergeCell ref="G184:H184"/>
    <mergeCell ref="G185:H185"/>
    <mergeCell ref="G196:H196"/>
    <mergeCell ref="G197:H197"/>
    <mergeCell ref="G198:H198"/>
    <mergeCell ref="G199:H199"/>
    <mergeCell ref="G200:H200"/>
    <mergeCell ref="G191:H191"/>
    <mergeCell ref="G192:H192"/>
    <mergeCell ref="G193:H193"/>
    <mergeCell ref="G194:H194"/>
    <mergeCell ref="G195:H195"/>
    <mergeCell ref="G206:H206"/>
    <mergeCell ref="G207:H207"/>
    <mergeCell ref="G208:H208"/>
    <mergeCell ref="G209:H209"/>
    <mergeCell ref="G210:H210"/>
    <mergeCell ref="G201:H201"/>
    <mergeCell ref="G202:H202"/>
    <mergeCell ref="G203:H203"/>
    <mergeCell ref="G204:H204"/>
    <mergeCell ref="G205:H205"/>
    <mergeCell ref="G216:H216"/>
    <mergeCell ref="G217:H217"/>
    <mergeCell ref="G218:H218"/>
    <mergeCell ref="G219:H219"/>
    <mergeCell ref="G220:H220"/>
    <mergeCell ref="G211:H211"/>
    <mergeCell ref="G212:H212"/>
    <mergeCell ref="G213:H213"/>
    <mergeCell ref="G214:H214"/>
    <mergeCell ref="G215:H215"/>
    <mergeCell ref="G226:H226"/>
    <mergeCell ref="G227:H227"/>
    <mergeCell ref="G228:H228"/>
    <mergeCell ref="G229:H229"/>
    <mergeCell ref="G230:H230"/>
    <mergeCell ref="G221:H221"/>
    <mergeCell ref="G222:H222"/>
    <mergeCell ref="G223:H223"/>
    <mergeCell ref="G224:H224"/>
    <mergeCell ref="G225:H225"/>
    <mergeCell ref="G236:H236"/>
    <mergeCell ref="G237:H237"/>
    <mergeCell ref="G238:H238"/>
    <mergeCell ref="G239:H239"/>
    <mergeCell ref="G240:H240"/>
    <mergeCell ref="G231:H231"/>
    <mergeCell ref="G232:H232"/>
    <mergeCell ref="G233:H233"/>
    <mergeCell ref="G234:H234"/>
    <mergeCell ref="G235:H235"/>
    <mergeCell ref="G246:H246"/>
    <mergeCell ref="G247:H247"/>
    <mergeCell ref="G248:H248"/>
    <mergeCell ref="G249:H249"/>
    <mergeCell ref="G250:H250"/>
    <mergeCell ref="G241:H241"/>
    <mergeCell ref="G242:H242"/>
    <mergeCell ref="G243:H243"/>
    <mergeCell ref="G244:H244"/>
    <mergeCell ref="G245:H245"/>
    <mergeCell ref="G256:H256"/>
    <mergeCell ref="G257:H257"/>
    <mergeCell ref="G258:H258"/>
    <mergeCell ref="G259:H259"/>
    <mergeCell ref="G260:H260"/>
    <mergeCell ref="G251:H251"/>
    <mergeCell ref="G252:H252"/>
    <mergeCell ref="G253:H253"/>
    <mergeCell ref="G254:H254"/>
    <mergeCell ref="G255:H255"/>
    <mergeCell ref="G266:H266"/>
    <mergeCell ref="G267:H267"/>
    <mergeCell ref="G268:H268"/>
    <mergeCell ref="G269:H269"/>
    <mergeCell ref="G270:H270"/>
    <mergeCell ref="G261:H261"/>
    <mergeCell ref="G262:H262"/>
    <mergeCell ref="G263:H263"/>
    <mergeCell ref="G264:H264"/>
    <mergeCell ref="G265:H265"/>
    <mergeCell ref="G276:H276"/>
    <mergeCell ref="G277:H277"/>
    <mergeCell ref="G278:H278"/>
    <mergeCell ref="G279:H279"/>
    <mergeCell ref="G280:H280"/>
    <mergeCell ref="G271:H271"/>
    <mergeCell ref="G272:H272"/>
    <mergeCell ref="G273:H273"/>
    <mergeCell ref="G274:H274"/>
    <mergeCell ref="G275:H275"/>
    <mergeCell ref="G286:H286"/>
    <mergeCell ref="G287:H287"/>
    <mergeCell ref="G288:H288"/>
    <mergeCell ref="G289:H289"/>
    <mergeCell ref="G290:H290"/>
    <mergeCell ref="G281:H281"/>
    <mergeCell ref="G282:H282"/>
    <mergeCell ref="G283:H283"/>
    <mergeCell ref="G284:H284"/>
    <mergeCell ref="G285:H285"/>
    <mergeCell ref="G296:H296"/>
    <mergeCell ref="G297:H297"/>
    <mergeCell ref="G298:H298"/>
    <mergeCell ref="G299:H299"/>
    <mergeCell ref="G300:H300"/>
    <mergeCell ref="G291:H291"/>
    <mergeCell ref="G292:H292"/>
    <mergeCell ref="G293:H293"/>
    <mergeCell ref="G294:H294"/>
    <mergeCell ref="G295:H295"/>
    <mergeCell ref="G306:H306"/>
    <mergeCell ref="G307:H307"/>
    <mergeCell ref="G308:H308"/>
    <mergeCell ref="G309:H309"/>
    <mergeCell ref="G310:H310"/>
    <mergeCell ref="G301:H301"/>
    <mergeCell ref="G302:H302"/>
    <mergeCell ref="G303:H303"/>
    <mergeCell ref="G304:H304"/>
    <mergeCell ref="G305:H305"/>
    <mergeCell ref="G316:H316"/>
    <mergeCell ref="G317:H317"/>
    <mergeCell ref="G318:H318"/>
    <mergeCell ref="G319:H319"/>
    <mergeCell ref="G320:H320"/>
    <mergeCell ref="G311:H311"/>
    <mergeCell ref="G312:H312"/>
    <mergeCell ref="G313:H313"/>
    <mergeCell ref="G314:H314"/>
    <mergeCell ref="G315:H315"/>
    <mergeCell ref="G326:H326"/>
    <mergeCell ref="G327:H327"/>
    <mergeCell ref="G328:H328"/>
    <mergeCell ref="G329:H329"/>
    <mergeCell ref="G330:H330"/>
    <mergeCell ref="G321:H321"/>
    <mergeCell ref="G322:H322"/>
    <mergeCell ref="G323:H323"/>
    <mergeCell ref="G324:H324"/>
    <mergeCell ref="G325:H325"/>
    <mergeCell ref="G336:H336"/>
    <mergeCell ref="G337:H337"/>
    <mergeCell ref="G338:H338"/>
    <mergeCell ref="G339:H339"/>
    <mergeCell ref="G340:H340"/>
    <mergeCell ref="G331:H331"/>
    <mergeCell ref="G332:H332"/>
    <mergeCell ref="G333:H333"/>
    <mergeCell ref="G334:H334"/>
    <mergeCell ref="G335:H335"/>
    <mergeCell ref="G346:H346"/>
    <mergeCell ref="G347:H347"/>
    <mergeCell ref="G348:H348"/>
    <mergeCell ref="G349:H349"/>
    <mergeCell ref="G350:H350"/>
    <mergeCell ref="G341:H341"/>
    <mergeCell ref="G342:H342"/>
    <mergeCell ref="G343:H343"/>
    <mergeCell ref="G344:H344"/>
    <mergeCell ref="G345:H345"/>
    <mergeCell ref="G356:H356"/>
    <mergeCell ref="G357:H357"/>
    <mergeCell ref="G358:H358"/>
    <mergeCell ref="G359:H359"/>
    <mergeCell ref="G360:H360"/>
    <mergeCell ref="G351:H351"/>
    <mergeCell ref="G352:H352"/>
    <mergeCell ref="G353:H353"/>
    <mergeCell ref="G354:H354"/>
    <mergeCell ref="G355:H355"/>
    <mergeCell ref="G366:H366"/>
    <mergeCell ref="G367:H367"/>
    <mergeCell ref="G368:H368"/>
    <mergeCell ref="G369:H369"/>
    <mergeCell ref="G370:H370"/>
    <mergeCell ref="G361:H361"/>
    <mergeCell ref="G362:H362"/>
    <mergeCell ref="G363:H363"/>
    <mergeCell ref="G364:H364"/>
    <mergeCell ref="G365:H365"/>
    <mergeCell ref="G376:H376"/>
    <mergeCell ref="G377:H377"/>
    <mergeCell ref="G378:H378"/>
    <mergeCell ref="G379:H379"/>
    <mergeCell ref="G380:H380"/>
    <mergeCell ref="G371:H371"/>
    <mergeCell ref="G372:H372"/>
    <mergeCell ref="G373:H373"/>
    <mergeCell ref="G374:H374"/>
    <mergeCell ref="G375:H375"/>
    <mergeCell ref="G386:H386"/>
    <mergeCell ref="G387:H387"/>
    <mergeCell ref="G388:H388"/>
    <mergeCell ref="G389:H389"/>
    <mergeCell ref="G390:H390"/>
    <mergeCell ref="G381:H381"/>
    <mergeCell ref="G382:H382"/>
    <mergeCell ref="G383:H383"/>
    <mergeCell ref="G384:H384"/>
    <mergeCell ref="G385:H385"/>
    <mergeCell ref="G396:H396"/>
    <mergeCell ref="G397:H397"/>
    <mergeCell ref="G398:H398"/>
    <mergeCell ref="G399:H399"/>
    <mergeCell ref="G400:H400"/>
    <mergeCell ref="G391:H391"/>
    <mergeCell ref="G392:H392"/>
    <mergeCell ref="G393:H393"/>
    <mergeCell ref="G394:H394"/>
    <mergeCell ref="G395:H395"/>
    <mergeCell ref="G406:H406"/>
    <mergeCell ref="G407:H407"/>
    <mergeCell ref="G408:H408"/>
    <mergeCell ref="G409:H409"/>
    <mergeCell ref="G410:H410"/>
    <mergeCell ref="G401:H401"/>
    <mergeCell ref="G402:H402"/>
    <mergeCell ref="G403:H403"/>
    <mergeCell ref="G404:H404"/>
    <mergeCell ref="G405:H405"/>
    <mergeCell ref="G416:H416"/>
    <mergeCell ref="G417:H417"/>
    <mergeCell ref="G418:H418"/>
    <mergeCell ref="G419:H419"/>
    <mergeCell ref="G420:H420"/>
    <mergeCell ref="G411:H411"/>
    <mergeCell ref="G412:H412"/>
    <mergeCell ref="G413:H413"/>
    <mergeCell ref="G414:H414"/>
    <mergeCell ref="G415:H415"/>
    <mergeCell ref="G426:H426"/>
    <mergeCell ref="G427:H427"/>
    <mergeCell ref="G428:H428"/>
    <mergeCell ref="G429:H429"/>
    <mergeCell ref="G430:H430"/>
    <mergeCell ref="G421:H421"/>
    <mergeCell ref="G422:H422"/>
    <mergeCell ref="G423:H423"/>
    <mergeCell ref="G424:H424"/>
    <mergeCell ref="G425:H425"/>
    <mergeCell ref="G436:H436"/>
    <mergeCell ref="G437:H437"/>
    <mergeCell ref="G438:H438"/>
    <mergeCell ref="G439:H439"/>
    <mergeCell ref="G440:H440"/>
    <mergeCell ref="G431:H431"/>
    <mergeCell ref="G432:H432"/>
    <mergeCell ref="G433:H433"/>
    <mergeCell ref="G434:H434"/>
    <mergeCell ref="G435:H435"/>
    <mergeCell ref="G446:H446"/>
    <mergeCell ref="G447:H447"/>
    <mergeCell ref="G448:H448"/>
    <mergeCell ref="G449:H449"/>
    <mergeCell ref="G450:H450"/>
    <mergeCell ref="G441:H441"/>
    <mergeCell ref="G442:H442"/>
    <mergeCell ref="G443:H443"/>
    <mergeCell ref="G444:H444"/>
    <mergeCell ref="G445:H445"/>
    <mergeCell ref="G456:H456"/>
    <mergeCell ref="G457:H457"/>
    <mergeCell ref="G458:H458"/>
    <mergeCell ref="G459:H459"/>
    <mergeCell ref="G460:H460"/>
    <mergeCell ref="G451:H451"/>
    <mergeCell ref="G452:H452"/>
    <mergeCell ref="G453:H453"/>
    <mergeCell ref="G454:H454"/>
    <mergeCell ref="G455:H455"/>
    <mergeCell ref="G466:H466"/>
    <mergeCell ref="G467:H467"/>
    <mergeCell ref="G468:H468"/>
    <mergeCell ref="G469:H469"/>
    <mergeCell ref="G470:H470"/>
    <mergeCell ref="G461:H461"/>
    <mergeCell ref="G462:H462"/>
    <mergeCell ref="G463:H463"/>
    <mergeCell ref="G464:H464"/>
    <mergeCell ref="G465:H465"/>
    <mergeCell ref="G477:H477"/>
    <mergeCell ref="G478:H478"/>
    <mergeCell ref="G479:H479"/>
    <mergeCell ref="G480:H480"/>
    <mergeCell ref="G471:H471"/>
    <mergeCell ref="G472:H472"/>
    <mergeCell ref="G473:H473"/>
    <mergeCell ref="G474:H474"/>
    <mergeCell ref="G475:H475"/>
    <mergeCell ref="G501:H501"/>
    <mergeCell ref="E17:E18"/>
    <mergeCell ref="F17:I18"/>
    <mergeCell ref="G496:H496"/>
    <mergeCell ref="G497:H497"/>
    <mergeCell ref="G498:H498"/>
    <mergeCell ref="G499:H499"/>
    <mergeCell ref="G500:H500"/>
    <mergeCell ref="G491:H491"/>
    <mergeCell ref="G492:H492"/>
    <mergeCell ref="G493:H493"/>
    <mergeCell ref="G494:H494"/>
    <mergeCell ref="G495:H495"/>
    <mergeCell ref="G486:H486"/>
    <mergeCell ref="G487:H487"/>
    <mergeCell ref="G488:H488"/>
    <mergeCell ref="G489:H489"/>
    <mergeCell ref="G490:H490"/>
    <mergeCell ref="G481:H481"/>
    <mergeCell ref="G482:H482"/>
    <mergeCell ref="G483:H483"/>
    <mergeCell ref="G484:H484"/>
    <mergeCell ref="G485:H485"/>
    <mergeCell ref="G476:H476"/>
  </mergeCells>
  <conditionalFormatting sqref="O1:Q3 O1720:Q1048576 O4:P1719">
    <cfRule type="cellIs" dxfId="10" priority="2" operator="lessThan">
      <formula>0</formula>
    </cfRule>
  </conditionalFormatting>
  <conditionalFormatting sqref="Q4:Q1719">
    <cfRule type="cellIs" dxfId="9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44B8-ACB3-4B9E-90FE-49FBC87FB354}">
  <sheetPr codeName="Sheet32"/>
  <dimension ref="A1:CX1882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  <col min="17" max="102" width="9.140625" style="3"/>
  </cols>
  <sheetData>
    <row r="1" spans="1:16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</row>
    <row r="2" spans="1:16" ht="18.75" customHeight="1" x14ac:dyDescent="0.3">
      <c r="A2" s="3"/>
      <c r="B2" s="189" t="s">
        <v>14</v>
      </c>
      <c r="C2" s="190" cm="1">
        <f t="array" ref="C2">LOOKUP(2,1/(P:P&lt;&gt;""),P:P)</f>
        <v>0</v>
      </c>
      <c r="D2" s="3"/>
      <c r="E2" s="189" t="s">
        <v>74</v>
      </c>
      <c r="F2" s="194"/>
      <c r="G2" s="194"/>
      <c r="H2" s="194"/>
      <c r="I2" s="194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</row>
    <row r="3" spans="1:16" x14ac:dyDescent="0.25">
      <c r="A3" s="3"/>
      <c r="B3" s="189"/>
      <c r="C3" s="190"/>
      <c r="D3" s="3"/>
      <c r="E3" s="189"/>
      <c r="F3" s="194"/>
      <c r="G3" s="194"/>
      <c r="H3" s="194"/>
      <c r="I3" s="194"/>
      <c r="J3" s="3"/>
      <c r="P3" s="10">
        <f>SUM(O3)</f>
        <v>0</v>
      </c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</row>
    <row r="5" spans="1:16" x14ac:dyDescent="0.25">
      <c r="A5" s="3"/>
      <c r="B5" s="189" t="s">
        <v>6</v>
      </c>
      <c r="C5" s="192"/>
      <c r="D5" s="3"/>
      <c r="E5" s="189" t="s">
        <v>19</v>
      </c>
      <c r="F5" s="192"/>
      <c r="G5" s="192"/>
      <c r="H5" s="192"/>
      <c r="I5" s="192"/>
      <c r="J5" s="3"/>
      <c r="P5" s="10" t="str">
        <f t="shared" si="0"/>
        <v/>
      </c>
    </row>
    <row r="6" spans="1:16" x14ac:dyDescent="0.25">
      <c r="A6" s="3"/>
      <c r="B6" s="189"/>
      <c r="C6" s="192"/>
      <c r="D6" s="3"/>
      <c r="E6" s="189"/>
      <c r="F6" s="192"/>
      <c r="G6" s="192"/>
      <c r="H6" s="192"/>
      <c r="I6" s="192"/>
      <c r="J6" s="3"/>
      <c r="P6" s="10" t="str">
        <f t="shared" si="0"/>
        <v/>
      </c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</row>
    <row r="8" spans="1:16" ht="15" customHeight="1" x14ac:dyDescent="0.25">
      <c r="A8" s="3"/>
      <c r="B8" s="189" t="s">
        <v>16</v>
      </c>
      <c r="C8" s="204"/>
      <c r="D8" s="3"/>
      <c r="E8" s="189" t="s">
        <v>7</v>
      </c>
      <c r="F8" s="205"/>
      <c r="G8" s="194"/>
      <c r="H8" s="194"/>
      <c r="I8" s="194"/>
      <c r="J8" s="3"/>
      <c r="P8" s="10" t="str">
        <f t="shared" si="0"/>
        <v/>
      </c>
    </row>
    <row r="9" spans="1:16" x14ac:dyDescent="0.25">
      <c r="A9" s="3"/>
      <c r="B9" s="189"/>
      <c r="C9" s="204"/>
      <c r="D9" s="3"/>
      <c r="E9" s="189"/>
      <c r="F9" s="194"/>
      <c r="G9" s="194"/>
      <c r="H9" s="194"/>
      <c r="I9" s="194"/>
      <c r="J9" s="3"/>
      <c r="P9" s="10" t="str">
        <f t="shared" si="0"/>
        <v/>
      </c>
    </row>
    <row r="10" spans="1:16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</row>
    <row r="11" spans="1:16" ht="15" customHeight="1" x14ac:dyDescent="0.25">
      <c r="A11" s="3"/>
      <c r="B11" s="189" t="s">
        <v>77</v>
      </c>
      <c r="C11" s="206">
        <v>44999.870057870372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</row>
    <row r="12" spans="1:16" ht="15" customHeight="1" x14ac:dyDescent="0.25">
      <c r="A12" s="3"/>
      <c r="B12" s="189"/>
      <c r="C12" s="206"/>
      <c r="D12" s="3"/>
      <c r="E12" s="3"/>
      <c r="F12" s="3"/>
      <c r="G12" s="3"/>
      <c r="H12" s="3"/>
      <c r="I12" s="3"/>
      <c r="J12" s="3"/>
      <c r="P12" s="10" t="str">
        <f t="shared" si="1"/>
        <v/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</row>
    <row r="14" spans="1:16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</row>
    <row r="15" spans="1:16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</row>
    <row r="16" spans="1:16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</row>
    <row r="17" spans="1:16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</row>
    <row r="18" spans="1:16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</row>
    <row r="19" spans="1:16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</row>
    <row r="33" spans="1:16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</row>
    <row r="34" spans="1:16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</row>
    <row r="35" spans="1:16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</row>
    <row r="36" spans="1:16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</row>
    <row r="37" spans="1:16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</row>
    <row r="38" spans="1:16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</row>
    <row r="39" spans="1:16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P39" s="10" t="str">
        <f t="shared" si="1"/>
        <v/>
      </c>
    </row>
    <row r="40" spans="1:16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P40" s="10" t="str">
        <f t="shared" si="1"/>
        <v/>
      </c>
    </row>
    <row r="41" spans="1:16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P41" s="10" t="str">
        <f t="shared" si="1"/>
        <v/>
      </c>
    </row>
    <row r="42" spans="1:16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P42" s="10" t="str">
        <f t="shared" si="1"/>
        <v/>
      </c>
    </row>
    <row r="43" spans="1:16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P43" s="10" t="str">
        <f t="shared" si="1"/>
        <v/>
      </c>
    </row>
    <row r="44" spans="1:16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P44" s="10" t="str">
        <f t="shared" si="1"/>
        <v/>
      </c>
    </row>
    <row r="45" spans="1:16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P45" s="10" t="str">
        <f t="shared" si="1"/>
        <v/>
      </c>
    </row>
    <row r="46" spans="1:16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P46" s="10" t="str">
        <f t="shared" si="1"/>
        <v/>
      </c>
    </row>
    <row r="47" spans="1:16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P47" s="10" t="str">
        <f t="shared" si="1"/>
        <v/>
      </c>
    </row>
    <row r="48" spans="1:16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P48" s="10" t="str">
        <f t="shared" si="1"/>
        <v/>
      </c>
    </row>
    <row r="49" spans="1:16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P49" s="10" t="str">
        <f t="shared" si="1"/>
        <v/>
      </c>
    </row>
    <row r="50" spans="1:16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P50" s="10" t="str">
        <f t="shared" si="1"/>
        <v/>
      </c>
    </row>
    <row r="51" spans="1:16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P51" s="10" t="str">
        <f t="shared" si="1"/>
        <v/>
      </c>
    </row>
    <row r="52" spans="1:16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P52" s="10" t="str">
        <f t="shared" si="1"/>
        <v/>
      </c>
    </row>
    <row r="53" spans="1:16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P53" s="10" t="str">
        <f t="shared" si="1"/>
        <v/>
      </c>
    </row>
    <row r="54" spans="1:16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P54" s="10" t="str">
        <f t="shared" si="1"/>
        <v/>
      </c>
    </row>
    <row r="55" spans="1:16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P55" s="10" t="str">
        <f t="shared" si="1"/>
        <v/>
      </c>
    </row>
    <row r="56" spans="1:16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P56" s="10" t="str">
        <f t="shared" si="1"/>
        <v/>
      </c>
    </row>
    <row r="57" spans="1:16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P57" s="10" t="str">
        <f t="shared" si="1"/>
        <v/>
      </c>
    </row>
    <row r="58" spans="1:16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P58" s="10" t="str">
        <f t="shared" si="1"/>
        <v/>
      </c>
    </row>
    <row r="59" spans="1:16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P59" s="10" t="str">
        <f t="shared" si="1"/>
        <v/>
      </c>
    </row>
    <row r="60" spans="1:16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P60" s="10" t="str">
        <f t="shared" si="1"/>
        <v/>
      </c>
    </row>
    <row r="61" spans="1:16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P61" s="10" t="str">
        <f t="shared" si="1"/>
        <v/>
      </c>
    </row>
    <row r="62" spans="1:16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P62" s="10" t="str">
        <f t="shared" si="1"/>
        <v/>
      </c>
    </row>
    <row r="63" spans="1:16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P63" s="10" t="str">
        <f t="shared" si="1"/>
        <v/>
      </c>
    </row>
    <row r="64" spans="1:16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P64" s="10" t="str">
        <f t="shared" si="1"/>
        <v/>
      </c>
    </row>
    <row r="65" spans="1:16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P65" s="10" t="str">
        <f t="shared" si="1"/>
        <v/>
      </c>
    </row>
    <row r="66" spans="1:16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P66" s="10" t="str">
        <f t="shared" si="1"/>
        <v/>
      </c>
    </row>
    <row r="67" spans="1:16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P67" s="10" t="str">
        <f t="shared" si="1"/>
        <v/>
      </c>
    </row>
    <row r="68" spans="1:16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P68" s="10" t="str">
        <f t="shared" si="1"/>
        <v/>
      </c>
    </row>
    <row r="69" spans="1:1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P69" s="10" t="str">
        <f t="shared" si="1"/>
        <v/>
      </c>
    </row>
    <row r="70" spans="1:16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P70" s="10" t="str">
        <f t="shared" si="1"/>
        <v/>
      </c>
    </row>
    <row r="71" spans="1:16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P71" s="10" t="str">
        <f t="shared" si="1"/>
        <v/>
      </c>
    </row>
    <row r="72" spans="1:16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P72" s="10" t="str">
        <f t="shared" si="1"/>
        <v/>
      </c>
    </row>
    <row r="73" spans="1:16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P73" s="10" t="str">
        <f t="shared" si="1"/>
        <v/>
      </c>
    </row>
    <row r="74" spans="1:16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P74" s="10" t="str">
        <f t="shared" si="1"/>
        <v/>
      </c>
    </row>
    <row r="75" spans="1:16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P75" s="10" t="str">
        <f t="shared" ref="P75:P138" si="2">IF(AND(ISBLANK(N75),ISBLANK(O75)),"",IF(ISBLANK(O75), ROUND(P74+N75,2), ROUND(P74+O75,2)))</f>
        <v/>
      </c>
    </row>
    <row r="76" spans="1:16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P76" s="10" t="str">
        <f t="shared" si="2"/>
        <v/>
      </c>
    </row>
    <row r="77" spans="1:16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P77" s="10" t="str">
        <f t="shared" si="2"/>
        <v/>
      </c>
    </row>
    <row r="78" spans="1:16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P78" s="10" t="str">
        <f t="shared" si="2"/>
        <v/>
      </c>
    </row>
    <row r="79" spans="1:16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P79" s="10" t="str">
        <f t="shared" si="2"/>
        <v/>
      </c>
    </row>
    <row r="80" spans="1:16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P80" s="10" t="str">
        <f t="shared" si="2"/>
        <v/>
      </c>
    </row>
    <row r="81" spans="1:16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P81" s="10" t="str">
        <f t="shared" si="2"/>
        <v/>
      </c>
    </row>
    <row r="82" spans="1:16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P82" s="10" t="str">
        <f t="shared" si="2"/>
        <v/>
      </c>
    </row>
    <row r="83" spans="1:16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P83" s="10" t="str">
        <f t="shared" si="2"/>
        <v/>
      </c>
    </row>
    <row r="84" spans="1:16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P84" s="10" t="str">
        <f t="shared" si="2"/>
        <v/>
      </c>
    </row>
    <row r="85" spans="1:16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P85" s="10" t="str">
        <f t="shared" si="2"/>
        <v/>
      </c>
    </row>
    <row r="86" spans="1:16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P86" s="10" t="str">
        <f t="shared" si="2"/>
        <v/>
      </c>
    </row>
    <row r="87" spans="1:16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P87" s="10" t="str">
        <f t="shared" si="2"/>
        <v/>
      </c>
    </row>
    <row r="88" spans="1:16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P88" s="10" t="str">
        <f t="shared" si="2"/>
        <v/>
      </c>
    </row>
    <row r="89" spans="1:16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P89" s="10" t="str">
        <f t="shared" si="2"/>
        <v/>
      </c>
    </row>
    <row r="90" spans="1:16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P90" s="10" t="str">
        <f t="shared" si="2"/>
        <v/>
      </c>
    </row>
    <row r="91" spans="1:16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P91" s="10" t="str">
        <f t="shared" si="2"/>
        <v/>
      </c>
    </row>
    <row r="92" spans="1:16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P92" s="10" t="str">
        <f t="shared" si="2"/>
        <v/>
      </c>
    </row>
    <row r="93" spans="1:16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P93" s="10" t="str">
        <f t="shared" si="2"/>
        <v/>
      </c>
    </row>
    <row r="94" spans="1:16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P94" s="10" t="str">
        <f t="shared" si="2"/>
        <v/>
      </c>
    </row>
    <row r="95" spans="1:16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P95" s="10" t="str">
        <f t="shared" si="2"/>
        <v/>
      </c>
    </row>
    <row r="96" spans="1:16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P96" s="10" t="str">
        <f t="shared" si="2"/>
        <v/>
      </c>
    </row>
    <row r="97" spans="1:16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P97" s="10" t="str">
        <f t="shared" si="2"/>
        <v/>
      </c>
    </row>
    <row r="98" spans="1:16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P98" s="10" t="str">
        <f t="shared" si="2"/>
        <v/>
      </c>
    </row>
    <row r="99" spans="1:16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P99" s="10" t="str">
        <f t="shared" si="2"/>
        <v/>
      </c>
    </row>
    <row r="100" spans="1:16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P100" s="10" t="str">
        <f t="shared" si="2"/>
        <v/>
      </c>
    </row>
    <row r="101" spans="1:1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P101" s="10" t="str">
        <f t="shared" si="2"/>
        <v/>
      </c>
    </row>
    <row r="102" spans="1:1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P102" s="10" t="str">
        <f t="shared" si="2"/>
        <v/>
      </c>
    </row>
    <row r="103" spans="1:1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P103" s="10" t="str">
        <f t="shared" si="2"/>
        <v/>
      </c>
    </row>
    <row r="104" spans="1:1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P104" s="10" t="str">
        <f t="shared" si="2"/>
        <v/>
      </c>
    </row>
    <row r="105" spans="1:1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P105" s="10" t="str">
        <f t="shared" si="2"/>
        <v/>
      </c>
    </row>
    <row r="106" spans="1:1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P106" s="10" t="str">
        <f t="shared" si="2"/>
        <v/>
      </c>
    </row>
    <row r="107" spans="1:1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P107" s="10" t="str">
        <f t="shared" si="2"/>
        <v/>
      </c>
    </row>
    <row r="108" spans="1:1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P108" s="10" t="str">
        <f t="shared" si="2"/>
        <v/>
      </c>
    </row>
    <row r="109" spans="1:1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P109" s="10" t="str">
        <f t="shared" si="2"/>
        <v/>
      </c>
    </row>
    <row r="110" spans="1:1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P110" s="10" t="str">
        <f t="shared" si="2"/>
        <v/>
      </c>
    </row>
    <row r="111" spans="1:1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P111" s="10" t="str">
        <f t="shared" si="2"/>
        <v/>
      </c>
    </row>
    <row r="112" spans="1:1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P112" s="10" t="str">
        <f t="shared" si="2"/>
        <v/>
      </c>
    </row>
    <row r="113" spans="1:1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P113" s="10" t="str">
        <f t="shared" si="2"/>
        <v/>
      </c>
    </row>
    <row r="114" spans="1:1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P114" s="10" t="str">
        <f t="shared" si="2"/>
        <v/>
      </c>
    </row>
    <row r="115" spans="1:1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P115" s="10" t="str">
        <f t="shared" si="2"/>
        <v/>
      </c>
    </row>
    <row r="116" spans="1:1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P116" s="10" t="str">
        <f t="shared" si="2"/>
        <v/>
      </c>
    </row>
    <row r="117" spans="1:1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P117" s="10" t="str">
        <f t="shared" si="2"/>
        <v/>
      </c>
    </row>
    <row r="118" spans="1:1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P118" s="10" t="str">
        <f t="shared" si="2"/>
        <v/>
      </c>
    </row>
    <row r="119" spans="1:1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P119" s="10" t="str">
        <f t="shared" si="2"/>
        <v/>
      </c>
    </row>
    <row r="120" spans="1:1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P120" s="10" t="str">
        <f t="shared" si="2"/>
        <v/>
      </c>
    </row>
    <row r="121" spans="1:1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P121" s="10" t="str">
        <f t="shared" si="2"/>
        <v/>
      </c>
    </row>
    <row r="122" spans="1:1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P122" s="10" t="str">
        <f t="shared" si="2"/>
        <v/>
      </c>
    </row>
    <row r="123" spans="1:1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P123" s="10" t="str">
        <f t="shared" si="2"/>
        <v/>
      </c>
    </row>
    <row r="124" spans="1:1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P124" s="10" t="str">
        <f t="shared" si="2"/>
        <v/>
      </c>
    </row>
    <row r="125" spans="1:1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P125" s="10" t="str">
        <f t="shared" si="2"/>
        <v/>
      </c>
    </row>
    <row r="126" spans="1:1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P126" s="10" t="str">
        <f t="shared" si="2"/>
        <v/>
      </c>
    </row>
    <row r="127" spans="1:1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P127" s="10" t="str">
        <f t="shared" si="2"/>
        <v/>
      </c>
    </row>
    <row r="128" spans="1:1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P128" s="10" t="str">
        <f t="shared" si="2"/>
        <v/>
      </c>
    </row>
    <row r="129" spans="1:1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P129" s="10" t="str">
        <f t="shared" si="2"/>
        <v/>
      </c>
    </row>
    <row r="130" spans="1:1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P130" s="10" t="str">
        <f t="shared" si="2"/>
        <v/>
      </c>
    </row>
    <row r="131" spans="1:1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P131" s="10" t="str">
        <f t="shared" si="2"/>
        <v/>
      </c>
    </row>
    <row r="132" spans="1:1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P132" s="10" t="str">
        <f t="shared" si="2"/>
        <v/>
      </c>
    </row>
    <row r="133" spans="1:1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P133" s="10" t="str">
        <f t="shared" si="2"/>
        <v/>
      </c>
    </row>
    <row r="134" spans="1:1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P134" s="10" t="str">
        <f t="shared" si="2"/>
        <v/>
      </c>
    </row>
    <row r="135" spans="1:1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P135" s="10" t="str">
        <f t="shared" si="2"/>
        <v/>
      </c>
    </row>
    <row r="136" spans="1:1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P136" s="10" t="str">
        <f t="shared" si="2"/>
        <v/>
      </c>
    </row>
    <row r="137" spans="1:1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P137" s="10" t="str">
        <f t="shared" si="2"/>
        <v/>
      </c>
    </row>
    <row r="138" spans="1:1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P138" s="10" t="str">
        <f t="shared" si="2"/>
        <v/>
      </c>
    </row>
    <row r="139" spans="1:1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P139" s="10" t="str">
        <f t="shared" ref="P139:P202" si="3">IF(AND(ISBLANK(N139),ISBLANK(O139)),"",IF(ISBLANK(O139), ROUND(P138+N139,2), ROUND(P138+O139,2)))</f>
        <v/>
      </c>
    </row>
    <row r="140" spans="1:1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P140" s="10" t="str">
        <f t="shared" si="3"/>
        <v/>
      </c>
    </row>
    <row r="141" spans="1:1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P141" s="10" t="str">
        <f t="shared" si="3"/>
        <v/>
      </c>
    </row>
    <row r="142" spans="1:1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P142" s="10" t="str">
        <f t="shared" si="3"/>
        <v/>
      </c>
    </row>
    <row r="143" spans="1:1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P143" s="10" t="str">
        <f t="shared" si="3"/>
        <v/>
      </c>
    </row>
    <row r="144" spans="1:1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P144" s="10" t="str">
        <f t="shared" si="3"/>
        <v/>
      </c>
    </row>
    <row r="145" spans="1:1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P145" s="10" t="str">
        <f t="shared" si="3"/>
        <v/>
      </c>
    </row>
    <row r="146" spans="1:1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P146" s="10" t="str">
        <f t="shared" si="3"/>
        <v/>
      </c>
    </row>
    <row r="147" spans="1:1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P147" s="10" t="str">
        <f t="shared" si="3"/>
        <v/>
      </c>
    </row>
    <row r="148" spans="1:1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P148" s="10" t="str">
        <f t="shared" si="3"/>
        <v/>
      </c>
    </row>
    <row r="149" spans="1:1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P149" s="10" t="str">
        <f t="shared" si="3"/>
        <v/>
      </c>
    </row>
    <row r="150" spans="1:1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P150" s="10" t="str">
        <f t="shared" si="3"/>
        <v/>
      </c>
    </row>
    <row r="151" spans="1:1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P151" s="10" t="str">
        <f t="shared" si="3"/>
        <v/>
      </c>
    </row>
    <row r="152" spans="1:1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P152" s="10" t="str">
        <f t="shared" si="3"/>
        <v/>
      </c>
    </row>
    <row r="153" spans="1:1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P153" s="10" t="str">
        <f t="shared" si="3"/>
        <v/>
      </c>
    </row>
    <row r="154" spans="1:1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P154" s="10" t="str">
        <f t="shared" si="3"/>
        <v/>
      </c>
    </row>
    <row r="155" spans="1:1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P155" s="10" t="str">
        <f t="shared" si="3"/>
        <v/>
      </c>
    </row>
    <row r="156" spans="1:1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P156" s="10" t="str">
        <f t="shared" si="3"/>
        <v/>
      </c>
    </row>
    <row r="157" spans="1:1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P157" s="10" t="str">
        <f t="shared" si="3"/>
        <v/>
      </c>
    </row>
    <row r="158" spans="1:1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P158" s="10" t="str">
        <f t="shared" si="3"/>
        <v/>
      </c>
    </row>
    <row r="159" spans="1:1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P159" s="10" t="str">
        <f t="shared" si="3"/>
        <v/>
      </c>
    </row>
    <row r="160" spans="1:1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P160" s="10" t="str">
        <f t="shared" si="3"/>
        <v/>
      </c>
    </row>
    <row r="161" spans="1:1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P161" s="10" t="str">
        <f t="shared" si="3"/>
        <v/>
      </c>
    </row>
    <row r="162" spans="1:1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P162" s="10" t="str">
        <f t="shared" si="3"/>
        <v/>
      </c>
    </row>
    <row r="163" spans="1:1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P163" s="10" t="str">
        <f t="shared" si="3"/>
        <v/>
      </c>
    </row>
    <row r="164" spans="1:1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P164" s="10" t="str">
        <f t="shared" si="3"/>
        <v/>
      </c>
    </row>
    <row r="165" spans="1:1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P165" s="10" t="str">
        <f t="shared" si="3"/>
        <v/>
      </c>
    </row>
    <row r="166" spans="1:1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P166" s="10" t="str">
        <f t="shared" si="3"/>
        <v/>
      </c>
    </row>
    <row r="167" spans="1:1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P167" s="10" t="str">
        <f t="shared" si="3"/>
        <v/>
      </c>
    </row>
    <row r="168" spans="1:1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P168" s="10" t="str">
        <f t="shared" si="3"/>
        <v/>
      </c>
    </row>
    <row r="169" spans="1:1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P169" s="10" t="str">
        <f t="shared" si="3"/>
        <v/>
      </c>
    </row>
    <row r="170" spans="1:1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P170" s="10" t="str">
        <f t="shared" si="3"/>
        <v/>
      </c>
    </row>
    <row r="171" spans="1:1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P171" s="10" t="str">
        <f t="shared" si="3"/>
        <v/>
      </c>
    </row>
    <row r="172" spans="1:1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P172" s="10" t="str">
        <f t="shared" si="3"/>
        <v/>
      </c>
    </row>
    <row r="173" spans="1:1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P173" s="10" t="str">
        <f t="shared" si="3"/>
        <v/>
      </c>
    </row>
    <row r="174" spans="1:1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P174" s="10" t="str">
        <f t="shared" si="3"/>
        <v/>
      </c>
    </row>
    <row r="175" spans="1:1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P175" s="10" t="str">
        <f t="shared" si="3"/>
        <v/>
      </c>
    </row>
    <row r="176" spans="1:1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P176" s="10" t="str">
        <f t="shared" si="3"/>
        <v/>
      </c>
    </row>
    <row r="177" spans="1:1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P177" s="10" t="str">
        <f t="shared" si="3"/>
        <v/>
      </c>
    </row>
    <row r="178" spans="1:1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P178" s="10" t="str">
        <f t="shared" si="3"/>
        <v/>
      </c>
    </row>
    <row r="179" spans="1:1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P179" s="10" t="str">
        <f t="shared" si="3"/>
        <v/>
      </c>
    </row>
    <row r="180" spans="1:1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P180" s="10" t="str">
        <f t="shared" si="3"/>
        <v/>
      </c>
    </row>
    <row r="181" spans="1:1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P181" s="10" t="str">
        <f t="shared" si="3"/>
        <v/>
      </c>
    </row>
    <row r="182" spans="1:1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P182" s="10" t="str">
        <f t="shared" si="3"/>
        <v/>
      </c>
    </row>
    <row r="183" spans="1:1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P183" s="10" t="str">
        <f t="shared" si="3"/>
        <v/>
      </c>
    </row>
    <row r="184" spans="1:1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P184" s="10" t="str">
        <f t="shared" si="3"/>
        <v/>
      </c>
    </row>
    <row r="185" spans="1:1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P185" s="10" t="str">
        <f t="shared" si="3"/>
        <v/>
      </c>
    </row>
    <row r="186" spans="1:1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P186" s="10" t="str">
        <f t="shared" si="3"/>
        <v/>
      </c>
    </row>
    <row r="187" spans="1:1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P187" s="10" t="str">
        <f t="shared" si="3"/>
        <v/>
      </c>
    </row>
    <row r="188" spans="1:1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P188" s="10" t="str">
        <f t="shared" si="3"/>
        <v/>
      </c>
    </row>
    <row r="189" spans="1:1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P189" s="10" t="str">
        <f t="shared" si="3"/>
        <v/>
      </c>
    </row>
    <row r="190" spans="1:1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P190" s="10" t="str">
        <f t="shared" si="3"/>
        <v/>
      </c>
    </row>
    <row r="191" spans="1:1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P191" s="10" t="str">
        <f t="shared" si="3"/>
        <v/>
      </c>
    </row>
    <row r="192" spans="1:1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P192" s="10" t="str">
        <f t="shared" si="3"/>
        <v/>
      </c>
    </row>
    <row r="193" spans="1:1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P193" s="10" t="str">
        <f t="shared" si="3"/>
        <v/>
      </c>
    </row>
    <row r="194" spans="1:1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P194" s="10" t="str">
        <f t="shared" si="3"/>
        <v/>
      </c>
    </row>
    <row r="195" spans="1:1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P195" s="10" t="str">
        <f t="shared" si="3"/>
        <v/>
      </c>
    </row>
    <row r="196" spans="1:1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P196" s="10" t="str">
        <f t="shared" si="3"/>
        <v/>
      </c>
    </row>
    <row r="197" spans="1:1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P197" s="10" t="str">
        <f t="shared" si="3"/>
        <v/>
      </c>
    </row>
    <row r="198" spans="1:1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P198" s="10" t="str">
        <f t="shared" si="3"/>
        <v/>
      </c>
    </row>
    <row r="199" spans="1:1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P199" s="10" t="str">
        <f t="shared" si="3"/>
        <v/>
      </c>
    </row>
    <row r="200" spans="1:1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P200" s="10" t="str">
        <f t="shared" si="3"/>
        <v/>
      </c>
    </row>
    <row r="201" spans="1:1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P201" s="10" t="str">
        <f t="shared" si="3"/>
        <v/>
      </c>
    </row>
    <row r="202" spans="1:1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P202" s="10" t="str">
        <f t="shared" si="3"/>
        <v/>
      </c>
    </row>
    <row r="203" spans="1:1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P203" s="10" t="str">
        <f t="shared" ref="P203:P266" si="4">IF(AND(ISBLANK(N203),ISBLANK(O203)),"",IF(ISBLANK(O203), ROUND(P202+N203,2), ROUND(P202+O203,2)))</f>
        <v/>
      </c>
    </row>
    <row r="204" spans="1:1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P204" s="10" t="str">
        <f t="shared" si="4"/>
        <v/>
      </c>
    </row>
    <row r="205" spans="1:1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P205" s="10" t="str">
        <f t="shared" si="4"/>
        <v/>
      </c>
    </row>
    <row r="206" spans="1:1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P206" s="10" t="str">
        <f t="shared" si="4"/>
        <v/>
      </c>
    </row>
    <row r="207" spans="1:1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P207" s="10" t="str">
        <f t="shared" si="4"/>
        <v/>
      </c>
    </row>
    <row r="208" spans="1:1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P208" s="10" t="str">
        <f t="shared" si="4"/>
        <v/>
      </c>
    </row>
    <row r="209" spans="1:1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P209" s="10" t="str">
        <f t="shared" si="4"/>
        <v/>
      </c>
    </row>
    <row r="210" spans="1:1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P210" s="10" t="str">
        <f t="shared" si="4"/>
        <v/>
      </c>
    </row>
    <row r="211" spans="1:1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P211" s="10" t="str">
        <f t="shared" si="4"/>
        <v/>
      </c>
    </row>
    <row r="212" spans="1:1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P212" s="10" t="str">
        <f t="shared" si="4"/>
        <v/>
      </c>
    </row>
    <row r="213" spans="1:1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P213" s="10" t="str">
        <f t="shared" si="4"/>
        <v/>
      </c>
    </row>
    <row r="214" spans="1:1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P214" s="10" t="str">
        <f t="shared" si="4"/>
        <v/>
      </c>
    </row>
    <row r="215" spans="1:1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P215" s="10" t="str">
        <f t="shared" si="4"/>
        <v/>
      </c>
    </row>
    <row r="216" spans="1:1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P216" s="10" t="str">
        <f t="shared" si="4"/>
        <v/>
      </c>
    </row>
    <row r="217" spans="1:1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P217" s="10" t="str">
        <f t="shared" si="4"/>
        <v/>
      </c>
    </row>
    <row r="218" spans="1:1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P218" s="10" t="str">
        <f t="shared" si="4"/>
        <v/>
      </c>
    </row>
    <row r="219" spans="1:1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P219" s="10" t="str">
        <f t="shared" si="4"/>
        <v/>
      </c>
    </row>
    <row r="220" spans="1:1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P220" s="10" t="str">
        <f t="shared" si="4"/>
        <v/>
      </c>
    </row>
    <row r="221" spans="1:1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P221" s="10" t="str">
        <f t="shared" si="4"/>
        <v/>
      </c>
    </row>
    <row r="222" spans="1:1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P222" s="10" t="str">
        <f t="shared" si="4"/>
        <v/>
      </c>
    </row>
    <row r="223" spans="1:1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P223" s="10" t="str">
        <f t="shared" si="4"/>
        <v/>
      </c>
    </row>
    <row r="224" spans="1:1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P224" s="10" t="str">
        <f t="shared" si="4"/>
        <v/>
      </c>
    </row>
    <row r="225" spans="1:1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P225" s="10" t="str">
        <f t="shared" si="4"/>
        <v/>
      </c>
    </row>
    <row r="226" spans="1:1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P226" s="10" t="str">
        <f t="shared" si="4"/>
        <v/>
      </c>
    </row>
    <row r="227" spans="1:1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P227" s="10" t="str">
        <f t="shared" si="4"/>
        <v/>
      </c>
    </row>
    <row r="228" spans="1:1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P228" s="10" t="str">
        <f t="shared" si="4"/>
        <v/>
      </c>
    </row>
    <row r="229" spans="1:1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P229" s="10" t="str">
        <f t="shared" si="4"/>
        <v/>
      </c>
    </row>
    <row r="230" spans="1:1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P230" s="10" t="str">
        <f t="shared" si="4"/>
        <v/>
      </c>
    </row>
    <row r="231" spans="1:1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P231" s="10" t="str">
        <f t="shared" si="4"/>
        <v/>
      </c>
    </row>
    <row r="232" spans="1:1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P232" s="10" t="str">
        <f t="shared" si="4"/>
        <v/>
      </c>
    </row>
    <row r="233" spans="1:1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P233" s="10" t="str">
        <f t="shared" si="4"/>
        <v/>
      </c>
    </row>
    <row r="234" spans="1:1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P234" s="10" t="str">
        <f t="shared" si="4"/>
        <v/>
      </c>
    </row>
    <row r="235" spans="1:1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P235" s="10" t="str">
        <f t="shared" si="4"/>
        <v/>
      </c>
    </row>
    <row r="236" spans="1:1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P236" s="10" t="str">
        <f t="shared" si="4"/>
        <v/>
      </c>
    </row>
    <row r="237" spans="1:1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P237" s="10" t="str">
        <f t="shared" si="4"/>
        <v/>
      </c>
    </row>
    <row r="238" spans="1:1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P238" s="10" t="str">
        <f t="shared" si="4"/>
        <v/>
      </c>
    </row>
    <row r="239" spans="1:1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P239" s="10" t="str">
        <f t="shared" si="4"/>
        <v/>
      </c>
    </row>
    <row r="240" spans="1:1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P240" s="10" t="str">
        <f t="shared" si="4"/>
        <v/>
      </c>
    </row>
    <row r="241" spans="1:1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P241" s="10" t="str">
        <f t="shared" si="4"/>
        <v/>
      </c>
    </row>
    <row r="242" spans="1:1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P242" s="10" t="str">
        <f t="shared" si="4"/>
        <v/>
      </c>
    </row>
    <row r="243" spans="1:1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P243" s="10" t="str">
        <f t="shared" si="4"/>
        <v/>
      </c>
    </row>
    <row r="244" spans="1:1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P244" s="10" t="str">
        <f t="shared" si="4"/>
        <v/>
      </c>
    </row>
    <row r="245" spans="1:1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P245" s="10" t="str">
        <f t="shared" si="4"/>
        <v/>
      </c>
    </row>
    <row r="246" spans="1:1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P246" s="10" t="str">
        <f t="shared" si="4"/>
        <v/>
      </c>
    </row>
    <row r="247" spans="1:1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P247" s="10" t="str">
        <f t="shared" si="4"/>
        <v/>
      </c>
    </row>
    <row r="248" spans="1:1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P248" s="10" t="str">
        <f t="shared" si="4"/>
        <v/>
      </c>
    </row>
    <row r="249" spans="1:1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P249" s="10" t="str">
        <f t="shared" si="4"/>
        <v/>
      </c>
    </row>
    <row r="250" spans="1:1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P250" s="10" t="str">
        <f t="shared" si="4"/>
        <v/>
      </c>
    </row>
    <row r="251" spans="1:1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P251" s="10" t="str">
        <f t="shared" si="4"/>
        <v/>
      </c>
    </row>
    <row r="252" spans="1:1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P252" s="10" t="str">
        <f t="shared" si="4"/>
        <v/>
      </c>
    </row>
    <row r="253" spans="1:1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P253" s="10" t="str">
        <f t="shared" si="4"/>
        <v/>
      </c>
    </row>
    <row r="254" spans="1:1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P254" s="10" t="str">
        <f t="shared" si="4"/>
        <v/>
      </c>
    </row>
    <row r="255" spans="1:1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P255" s="10" t="str">
        <f t="shared" si="4"/>
        <v/>
      </c>
    </row>
    <row r="256" spans="1:1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P256" s="10" t="str">
        <f t="shared" si="4"/>
        <v/>
      </c>
    </row>
    <row r="257" spans="1:1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P257" s="10" t="str">
        <f t="shared" si="4"/>
        <v/>
      </c>
    </row>
    <row r="258" spans="1:1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P258" s="10" t="str">
        <f t="shared" si="4"/>
        <v/>
      </c>
    </row>
    <row r="259" spans="1:1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P259" s="10" t="str">
        <f t="shared" si="4"/>
        <v/>
      </c>
    </row>
    <row r="260" spans="1:1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P260" s="10" t="str">
        <f t="shared" si="4"/>
        <v/>
      </c>
    </row>
    <row r="261" spans="1:1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P261" s="10" t="str">
        <f t="shared" si="4"/>
        <v/>
      </c>
    </row>
    <row r="262" spans="1:1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P262" s="10" t="str">
        <f t="shared" si="4"/>
        <v/>
      </c>
    </row>
    <row r="263" spans="1:1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P263" s="10" t="str">
        <f t="shared" si="4"/>
        <v/>
      </c>
    </row>
    <row r="264" spans="1:1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P264" s="10" t="str">
        <f t="shared" si="4"/>
        <v/>
      </c>
    </row>
    <row r="265" spans="1:1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P265" s="10" t="str">
        <f t="shared" si="4"/>
        <v/>
      </c>
    </row>
    <row r="266" spans="1:1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P266" s="10" t="str">
        <f t="shared" si="4"/>
        <v/>
      </c>
    </row>
    <row r="267" spans="1:1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P267" s="10" t="str">
        <f t="shared" ref="P267:P330" si="5">IF(AND(ISBLANK(N267),ISBLANK(O267)),"",IF(ISBLANK(O267), ROUND(P266+N267,2), ROUND(P266+O267,2)))</f>
        <v/>
      </c>
    </row>
    <row r="268" spans="1:1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P268" s="10" t="str">
        <f t="shared" si="5"/>
        <v/>
      </c>
    </row>
    <row r="269" spans="1:1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P269" s="10" t="str">
        <f t="shared" si="5"/>
        <v/>
      </c>
    </row>
    <row r="270" spans="1:1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P270" s="10" t="str">
        <f t="shared" si="5"/>
        <v/>
      </c>
    </row>
    <row r="271" spans="1:1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P271" s="10" t="str">
        <f t="shared" si="5"/>
        <v/>
      </c>
    </row>
    <row r="272" spans="1:1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P272" s="10" t="str">
        <f t="shared" si="5"/>
        <v/>
      </c>
    </row>
    <row r="273" spans="1:1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P273" s="10" t="str">
        <f t="shared" si="5"/>
        <v/>
      </c>
    </row>
    <row r="274" spans="1:1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P274" s="10" t="str">
        <f t="shared" si="5"/>
        <v/>
      </c>
    </row>
    <row r="275" spans="1:1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P275" s="10" t="str">
        <f t="shared" si="5"/>
        <v/>
      </c>
    </row>
    <row r="276" spans="1:1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P276" s="10" t="str">
        <f t="shared" si="5"/>
        <v/>
      </c>
    </row>
    <row r="277" spans="1:1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P277" s="10" t="str">
        <f t="shared" si="5"/>
        <v/>
      </c>
    </row>
    <row r="278" spans="1:1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P278" s="10" t="str">
        <f t="shared" si="5"/>
        <v/>
      </c>
    </row>
    <row r="279" spans="1:1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P279" s="10" t="str">
        <f t="shared" si="5"/>
        <v/>
      </c>
    </row>
    <row r="280" spans="1:1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P280" s="10" t="str">
        <f t="shared" si="5"/>
        <v/>
      </c>
    </row>
    <row r="281" spans="1:1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P281" s="10" t="str">
        <f t="shared" si="5"/>
        <v/>
      </c>
    </row>
    <row r="282" spans="1:1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P282" s="10" t="str">
        <f t="shared" si="5"/>
        <v/>
      </c>
    </row>
    <row r="283" spans="1:1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P283" s="10" t="str">
        <f t="shared" si="5"/>
        <v/>
      </c>
    </row>
    <row r="284" spans="1:1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P284" s="10" t="str">
        <f t="shared" si="5"/>
        <v/>
      </c>
    </row>
    <row r="285" spans="1:1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P285" s="10" t="str">
        <f t="shared" si="5"/>
        <v/>
      </c>
    </row>
    <row r="286" spans="1:1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P286" s="10" t="str">
        <f t="shared" si="5"/>
        <v/>
      </c>
    </row>
    <row r="287" spans="1:1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P287" s="10" t="str">
        <f t="shared" si="5"/>
        <v/>
      </c>
    </row>
    <row r="288" spans="1:1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P288" s="10" t="str">
        <f t="shared" si="5"/>
        <v/>
      </c>
    </row>
    <row r="289" spans="1:1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P289" s="10" t="str">
        <f t="shared" si="5"/>
        <v/>
      </c>
    </row>
    <row r="290" spans="1:1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P290" s="10" t="str">
        <f t="shared" si="5"/>
        <v/>
      </c>
    </row>
    <row r="291" spans="1:1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P291" s="10" t="str">
        <f t="shared" si="5"/>
        <v/>
      </c>
    </row>
    <row r="292" spans="1:1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P292" s="10" t="str">
        <f t="shared" si="5"/>
        <v/>
      </c>
    </row>
    <row r="293" spans="1:1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P293" s="10" t="str">
        <f t="shared" si="5"/>
        <v/>
      </c>
    </row>
    <row r="294" spans="1:1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P294" s="10" t="str">
        <f t="shared" si="5"/>
        <v/>
      </c>
    </row>
    <row r="295" spans="1:1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P295" s="10" t="str">
        <f t="shared" si="5"/>
        <v/>
      </c>
    </row>
    <row r="296" spans="1:1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P296" s="10" t="str">
        <f t="shared" si="5"/>
        <v/>
      </c>
    </row>
    <row r="297" spans="1:1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P297" s="10" t="str">
        <f t="shared" si="5"/>
        <v/>
      </c>
    </row>
    <row r="298" spans="1:1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P298" s="10" t="str">
        <f t="shared" si="5"/>
        <v/>
      </c>
    </row>
    <row r="299" spans="1:1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P299" s="10" t="str">
        <f t="shared" si="5"/>
        <v/>
      </c>
    </row>
    <row r="300" spans="1:1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P300" s="10" t="str">
        <f t="shared" si="5"/>
        <v/>
      </c>
    </row>
    <row r="301" spans="1:1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P301" s="10" t="str">
        <f t="shared" si="5"/>
        <v/>
      </c>
    </row>
    <row r="302" spans="1:1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P302" s="10" t="str">
        <f t="shared" si="5"/>
        <v/>
      </c>
    </row>
    <row r="303" spans="1:1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P303" s="10" t="str">
        <f t="shared" si="5"/>
        <v/>
      </c>
    </row>
    <row r="304" spans="1:1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P304" s="10" t="str">
        <f t="shared" si="5"/>
        <v/>
      </c>
    </row>
    <row r="305" spans="1:1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P305" s="10" t="str">
        <f t="shared" si="5"/>
        <v/>
      </c>
    </row>
    <row r="306" spans="1:1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P306" s="10" t="str">
        <f t="shared" si="5"/>
        <v/>
      </c>
    </row>
    <row r="307" spans="1:1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P307" s="10" t="str">
        <f t="shared" si="5"/>
        <v/>
      </c>
    </row>
    <row r="308" spans="1:1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P308" s="10" t="str">
        <f t="shared" si="5"/>
        <v/>
      </c>
    </row>
    <row r="309" spans="1:1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P309" s="10" t="str">
        <f t="shared" si="5"/>
        <v/>
      </c>
    </row>
    <row r="310" spans="1:1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P310" s="10" t="str">
        <f t="shared" si="5"/>
        <v/>
      </c>
    </row>
    <row r="311" spans="1:1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P311" s="10" t="str">
        <f t="shared" si="5"/>
        <v/>
      </c>
    </row>
    <row r="312" spans="1:1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P312" s="10" t="str">
        <f t="shared" si="5"/>
        <v/>
      </c>
    </row>
    <row r="313" spans="1:1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P313" s="10" t="str">
        <f t="shared" si="5"/>
        <v/>
      </c>
    </row>
    <row r="314" spans="1:1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P314" s="10" t="str">
        <f t="shared" si="5"/>
        <v/>
      </c>
    </row>
    <row r="315" spans="1:1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P315" s="10" t="str">
        <f t="shared" si="5"/>
        <v/>
      </c>
    </row>
    <row r="316" spans="1:1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P316" s="10" t="str">
        <f t="shared" si="5"/>
        <v/>
      </c>
    </row>
    <row r="317" spans="1:1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P317" s="10" t="str">
        <f t="shared" si="5"/>
        <v/>
      </c>
    </row>
    <row r="318" spans="1:1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P318" s="10" t="str">
        <f t="shared" si="5"/>
        <v/>
      </c>
    </row>
    <row r="319" spans="1:1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P319" s="10" t="str">
        <f t="shared" si="5"/>
        <v/>
      </c>
    </row>
    <row r="320" spans="1:1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P320" s="10" t="str">
        <f t="shared" si="5"/>
        <v/>
      </c>
    </row>
    <row r="321" spans="1:1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P321" s="10" t="str">
        <f t="shared" si="5"/>
        <v/>
      </c>
    </row>
    <row r="322" spans="1:1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P322" s="10" t="str">
        <f t="shared" si="5"/>
        <v/>
      </c>
    </row>
    <row r="323" spans="1:1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P323" s="10" t="str">
        <f t="shared" si="5"/>
        <v/>
      </c>
    </row>
    <row r="324" spans="1:1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P324" s="10" t="str">
        <f t="shared" si="5"/>
        <v/>
      </c>
    </row>
    <row r="325" spans="1:1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P325" s="10" t="str">
        <f t="shared" si="5"/>
        <v/>
      </c>
    </row>
    <row r="326" spans="1:1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P326" s="10" t="str">
        <f t="shared" si="5"/>
        <v/>
      </c>
    </row>
    <row r="327" spans="1:1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P327" s="10" t="str">
        <f t="shared" si="5"/>
        <v/>
      </c>
    </row>
    <row r="328" spans="1:1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P328" s="10" t="str">
        <f t="shared" si="5"/>
        <v/>
      </c>
    </row>
    <row r="329" spans="1:1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P329" s="10" t="str">
        <f t="shared" si="5"/>
        <v/>
      </c>
    </row>
    <row r="330" spans="1:1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P330" s="10" t="str">
        <f t="shared" si="5"/>
        <v/>
      </c>
    </row>
    <row r="331" spans="1:1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P331" s="10" t="str">
        <f t="shared" ref="P331:P394" si="6">IF(AND(ISBLANK(N331),ISBLANK(O331)),"",IF(ISBLANK(O331), ROUND(P330+N331,2), ROUND(P330+O331,2)))</f>
        <v/>
      </c>
    </row>
    <row r="332" spans="1:1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P332" s="10" t="str">
        <f t="shared" si="6"/>
        <v/>
      </c>
    </row>
    <row r="333" spans="1:1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P333" s="10" t="str">
        <f t="shared" si="6"/>
        <v/>
      </c>
    </row>
    <row r="334" spans="1:1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P334" s="10" t="str">
        <f t="shared" si="6"/>
        <v/>
      </c>
    </row>
    <row r="335" spans="1:1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P335" s="10" t="str">
        <f t="shared" si="6"/>
        <v/>
      </c>
    </row>
    <row r="336" spans="1:1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P336" s="10" t="str">
        <f t="shared" si="6"/>
        <v/>
      </c>
    </row>
    <row r="337" spans="1:1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P337" s="10" t="str">
        <f t="shared" si="6"/>
        <v/>
      </c>
    </row>
    <row r="338" spans="1:1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P338" s="10" t="str">
        <f t="shared" si="6"/>
        <v/>
      </c>
    </row>
    <row r="339" spans="1:1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P339" s="10" t="str">
        <f t="shared" si="6"/>
        <v/>
      </c>
    </row>
    <row r="340" spans="1:1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P340" s="10" t="str">
        <f t="shared" si="6"/>
        <v/>
      </c>
    </row>
    <row r="341" spans="1:1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P341" s="10" t="str">
        <f t="shared" si="6"/>
        <v/>
      </c>
    </row>
    <row r="342" spans="1:1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P342" s="10" t="str">
        <f t="shared" si="6"/>
        <v/>
      </c>
    </row>
    <row r="343" spans="1:1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P343" s="10" t="str">
        <f t="shared" si="6"/>
        <v/>
      </c>
    </row>
    <row r="344" spans="1:1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P344" s="10" t="str">
        <f t="shared" si="6"/>
        <v/>
      </c>
    </row>
    <row r="345" spans="1:1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P345" s="10" t="str">
        <f t="shared" si="6"/>
        <v/>
      </c>
    </row>
    <row r="346" spans="1:1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P346" s="10" t="str">
        <f t="shared" si="6"/>
        <v/>
      </c>
    </row>
    <row r="347" spans="1:1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P347" s="10" t="str">
        <f t="shared" si="6"/>
        <v/>
      </c>
    </row>
    <row r="348" spans="1:1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P348" s="10" t="str">
        <f t="shared" si="6"/>
        <v/>
      </c>
    </row>
    <row r="349" spans="1:1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P349" s="10" t="str">
        <f t="shared" si="6"/>
        <v/>
      </c>
    </row>
    <row r="350" spans="1:1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P350" s="10" t="str">
        <f t="shared" si="6"/>
        <v/>
      </c>
    </row>
    <row r="351" spans="1:1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P351" s="10" t="str">
        <f t="shared" si="6"/>
        <v/>
      </c>
    </row>
    <row r="352" spans="1:1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P352" s="10" t="str">
        <f t="shared" si="6"/>
        <v/>
      </c>
    </row>
    <row r="353" spans="1:1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P353" s="10" t="str">
        <f t="shared" si="6"/>
        <v/>
      </c>
    </row>
    <row r="354" spans="1:1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P354" s="10" t="str">
        <f t="shared" si="6"/>
        <v/>
      </c>
    </row>
    <row r="355" spans="1:1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P355" s="10" t="str">
        <f t="shared" si="6"/>
        <v/>
      </c>
    </row>
    <row r="356" spans="1:1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P356" s="10" t="str">
        <f t="shared" si="6"/>
        <v/>
      </c>
    </row>
    <row r="357" spans="1:1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P357" s="10" t="str">
        <f t="shared" si="6"/>
        <v/>
      </c>
    </row>
    <row r="358" spans="1:1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P358" s="10" t="str">
        <f t="shared" si="6"/>
        <v/>
      </c>
    </row>
    <row r="359" spans="1:1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P359" s="10" t="str">
        <f t="shared" si="6"/>
        <v/>
      </c>
    </row>
    <row r="360" spans="1:1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P360" s="10" t="str">
        <f t="shared" si="6"/>
        <v/>
      </c>
    </row>
    <row r="361" spans="1:1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P361" s="10" t="str">
        <f t="shared" si="6"/>
        <v/>
      </c>
    </row>
    <row r="362" spans="1:1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P362" s="10" t="str">
        <f t="shared" si="6"/>
        <v/>
      </c>
    </row>
    <row r="363" spans="1:1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P363" s="10" t="str">
        <f t="shared" si="6"/>
        <v/>
      </c>
    </row>
    <row r="364" spans="1:1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P364" s="10" t="str">
        <f t="shared" si="6"/>
        <v/>
      </c>
    </row>
    <row r="365" spans="1:1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P365" s="10" t="str">
        <f t="shared" si="6"/>
        <v/>
      </c>
    </row>
    <row r="366" spans="1:1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P366" s="10" t="str">
        <f t="shared" si="6"/>
        <v/>
      </c>
    </row>
    <row r="367" spans="1:1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P367" s="10" t="str">
        <f t="shared" si="6"/>
        <v/>
      </c>
    </row>
    <row r="368" spans="1:1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P368" s="10" t="str">
        <f t="shared" si="6"/>
        <v/>
      </c>
    </row>
    <row r="369" spans="1:1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P369" s="10" t="str">
        <f t="shared" si="6"/>
        <v/>
      </c>
    </row>
    <row r="370" spans="1:1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P370" s="10" t="str">
        <f t="shared" si="6"/>
        <v/>
      </c>
    </row>
    <row r="371" spans="1:1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P371" s="10" t="str">
        <f t="shared" si="6"/>
        <v/>
      </c>
    </row>
    <row r="372" spans="1:1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P372" s="10" t="str">
        <f t="shared" si="6"/>
        <v/>
      </c>
    </row>
    <row r="373" spans="1:1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P373" s="10" t="str">
        <f t="shared" si="6"/>
        <v/>
      </c>
    </row>
    <row r="374" spans="1:1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P374" s="10" t="str">
        <f t="shared" si="6"/>
        <v/>
      </c>
    </row>
    <row r="375" spans="1:1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P375" s="10" t="str">
        <f t="shared" si="6"/>
        <v/>
      </c>
    </row>
    <row r="376" spans="1:1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P376" s="10" t="str">
        <f t="shared" si="6"/>
        <v/>
      </c>
    </row>
    <row r="377" spans="1:1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P377" s="10" t="str">
        <f t="shared" si="6"/>
        <v/>
      </c>
    </row>
    <row r="378" spans="1:1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P378" s="10" t="str">
        <f t="shared" si="6"/>
        <v/>
      </c>
    </row>
    <row r="379" spans="1:1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P379" s="10" t="str">
        <f t="shared" si="6"/>
        <v/>
      </c>
    </row>
    <row r="380" spans="1:1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P380" s="10" t="str">
        <f t="shared" si="6"/>
        <v/>
      </c>
    </row>
    <row r="381" spans="1:1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P381" s="10" t="str">
        <f t="shared" si="6"/>
        <v/>
      </c>
    </row>
    <row r="382" spans="1:1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P382" s="10" t="str">
        <f t="shared" si="6"/>
        <v/>
      </c>
    </row>
    <row r="383" spans="1:1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P383" s="10" t="str">
        <f t="shared" si="6"/>
        <v/>
      </c>
    </row>
    <row r="384" spans="1:1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P384" s="10" t="str">
        <f t="shared" si="6"/>
        <v/>
      </c>
    </row>
    <row r="385" spans="1:1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P385" s="10" t="str">
        <f t="shared" si="6"/>
        <v/>
      </c>
    </row>
    <row r="386" spans="1:1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P386" s="10" t="str">
        <f t="shared" si="6"/>
        <v/>
      </c>
    </row>
    <row r="387" spans="1:1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P387" s="10" t="str">
        <f t="shared" si="6"/>
        <v/>
      </c>
    </row>
    <row r="388" spans="1:1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P388" s="10" t="str">
        <f t="shared" si="6"/>
        <v/>
      </c>
    </row>
    <row r="389" spans="1:1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P389" s="10" t="str">
        <f t="shared" si="6"/>
        <v/>
      </c>
    </row>
    <row r="390" spans="1:16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P390" s="10" t="str">
        <f t="shared" si="6"/>
        <v/>
      </c>
    </row>
    <row r="391" spans="1:16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P391" s="10" t="str">
        <f t="shared" si="6"/>
        <v/>
      </c>
    </row>
    <row r="392" spans="1:16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P392" s="10" t="str">
        <f t="shared" si="6"/>
        <v/>
      </c>
    </row>
    <row r="393" spans="1:16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P393" s="10" t="str">
        <f t="shared" si="6"/>
        <v/>
      </c>
    </row>
    <row r="394" spans="1:16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P394" s="10" t="str">
        <f t="shared" si="6"/>
        <v/>
      </c>
    </row>
    <row r="395" spans="1:16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P395" s="10" t="str">
        <f t="shared" ref="P395:P458" si="7">IF(AND(ISBLANK(N395),ISBLANK(O395)),"",IF(ISBLANK(O395), ROUND(P394+N395,2), ROUND(P394+O395,2)))</f>
        <v/>
      </c>
    </row>
    <row r="396" spans="1:16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P396" s="10" t="str">
        <f t="shared" si="7"/>
        <v/>
      </c>
    </row>
    <row r="397" spans="1:16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P397" s="10" t="str">
        <f t="shared" si="7"/>
        <v/>
      </c>
    </row>
    <row r="398" spans="1:16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P398" s="10" t="str">
        <f t="shared" si="7"/>
        <v/>
      </c>
    </row>
    <row r="399" spans="1:16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P399" s="10" t="str">
        <f t="shared" si="7"/>
        <v/>
      </c>
    </row>
    <row r="400" spans="1:16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P400" s="10" t="str">
        <f t="shared" si="7"/>
        <v/>
      </c>
    </row>
    <row r="401" spans="1:16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P401" s="10" t="str">
        <f t="shared" si="7"/>
        <v/>
      </c>
    </row>
    <row r="402" spans="1:16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P402" s="10" t="str">
        <f t="shared" si="7"/>
        <v/>
      </c>
    </row>
    <row r="403" spans="1:16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P403" s="10" t="str">
        <f t="shared" si="7"/>
        <v/>
      </c>
    </row>
    <row r="404" spans="1:16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P404" s="10" t="str">
        <f t="shared" si="7"/>
        <v/>
      </c>
    </row>
    <row r="405" spans="1:16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P405" s="10" t="str">
        <f t="shared" si="7"/>
        <v/>
      </c>
    </row>
    <row r="406" spans="1:16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P406" s="10" t="str">
        <f t="shared" si="7"/>
        <v/>
      </c>
    </row>
    <row r="407" spans="1:16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P407" s="10" t="str">
        <f t="shared" si="7"/>
        <v/>
      </c>
    </row>
    <row r="408" spans="1:16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P408" s="10" t="str">
        <f t="shared" si="7"/>
        <v/>
      </c>
    </row>
    <row r="409" spans="1:16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P409" s="10" t="str">
        <f t="shared" si="7"/>
        <v/>
      </c>
    </row>
    <row r="410" spans="1:16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P410" s="10" t="str">
        <f t="shared" si="7"/>
        <v/>
      </c>
    </row>
    <row r="411" spans="1:16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P411" s="10" t="str">
        <f t="shared" si="7"/>
        <v/>
      </c>
    </row>
    <row r="412" spans="1:16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P412" s="10" t="str">
        <f t="shared" si="7"/>
        <v/>
      </c>
    </row>
    <row r="413" spans="1:16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P413" s="10" t="str">
        <f t="shared" si="7"/>
        <v/>
      </c>
    </row>
    <row r="414" spans="1:16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P414" s="10" t="str">
        <f t="shared" si="7"/>
        <v/>
      </c>
    </row>
    <row r="415" spans="1:16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P415" s="10" t="str">
        <f t="shared" si="7"/>
        <v/>
      </c>
    </row>
    <row r="416" spans="1:16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P416" s="10" t="str">
        <f t="shared" si="7"/>
        <v/>
      </c>
    </row>
    <row r="417" spans="1:16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P417" s="10" t="str">
        <f t="shared" si="7"/>
        <v/>
      </c>
    </row>
    <row r="418" spans="1:16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P418" s="10" t="str">
        <f t="shared" si="7"/>
        <v/>
      </c>
    </row>
    <row r="419" spans="1:16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P419" s="10" t="str">
        <f t="shared" si="7"/>
        <v/>
      </c>
    </row>
    <row r="420" spans="1:16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P420" s="10" t="str">
        <f t="shared" si="7"/>
        <v/>
      </c>
    </row>
    <row r="421" spans="1:16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P421" s="10" t="str">
        <f t="shared" si="7"/>
        <v/>
      </c>
    </row>
    <row r="422" spans="1:16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P422" s="10" t="str">
        <f t="shared" si="7"/>
        <v/>
      </c>
    </row>
    <row r="423" spans="1:16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P423" s="10" t="str">
        <f t="shared" si="7"/>
        <v/>
      </c>
    </row>
    <row r="424" spans="1:16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P424" s="10" t="str">
        <f t="shared" si="7"/>
        <v/>
      </c>
    </row>
    <row r="425" spans="1:16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P425" s="10" t="str">
        <f t="shared" si="7"/>
        <v/>
      </c>
    </row>
    <row r="426" spans="1:16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P426" s="10" t="str">
        <f t="shared" si="7"/>
        <v/>
      </c>
    </row>
    <row r="427" spans="1:16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P427" s="10" t="str">
        <f t="shared" si="7"/>
        <v/>
      </c>
    </row>
    <row r="428" spans="1:16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P428" s="10" t="str">
        <f t="shared" si="7"/>
        <v/>
      </c>
    </row>
    <row r="429" spans="1:16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P429" s="10" t="str">
        <f t="shared" si="7"/>
        <v/>
      </c>
    </row>
    <row r="430" spans="1:16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P430" s="10" t="str">
        <f t="shared" si="7"/>
        <v/>
      </c>
    </row>
    <row r="431" spans="1:16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P431" s="10" t="str">
        <f t="shared" si="7"/>
        <v/>
      </c>
    </row>
    <row r="432" spans="1:16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P432" s="10" t="str">
        <f t="shared" si="7"/>
        <v/>
      </c>
    </row>
    <row r="433" spans="1:16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P433" s="10" t="str">
        <f t="shared" si="7"/>
        <v/>
      </c>
    </row>
    <row r="434" spans="1:16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P434" s="10" t="str">
        <f t="shared" si="7"/>
        <v/>
      </c>
    </row>
    <row r="435" spans="1:16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P435" s="10" t="str">
        <f t="shared" si="7"/>
        <v/>
      </c>
    </row>
    <row r="436" spans="1:16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P436" s="10" t="str">
        <f t="shared" si="7"/>
        <v/>
      </c>
    </row>
    <row r="437" spans="1:16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P437" s="10" t="str">
        <f t="shared" si="7"/>
        <v/>
      </c>
    </row>
    <row r="438" spans="1:16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P438" s="10" t="str">
        <f t="shared" si="7"/>
        <v/>
      </c>
    </row>
    <row r="439" spans="1:16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P439" s="10" t="str">
        <f t="shared" si="7"/>
        <v/>
      </c>
    </row>
    <row r="440" spans="1:16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P440" s="10" t="str">
        <f t="shared" si="7"/>
        <v/>
      </c>
    </row>
    <row r="441" spans="1:16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P441" s="10" t="str">
        <f t="shared" si="7"/>
        <v/>
      </c>
    </row>
    <row r="442" spans="1:16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P442" s="10" t="str">
        <f t="shared" si="7"/>
        <v/>
      </c>
    </row>
    <row r="443" spans="1:16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P443" s="10" t="str">
        <f t="shared" si="7"/>
        <v/>
      </c>
    </row>
    <row r="444" spans="1:16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P444" s="10" t="str">
        <f t="shared" si="7"/>
        <v/>
      </c>
    </row>
    <row r="445" spans="1:16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P445" s="10" t="str">
        <f t="shared" si="7"/>
        <v/>
      </c>
    </row>
    <row r="446" spans="1:16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P446" s="10" t="str">
        <f t="shared" si="7"/>
        <v/>
      </c>
    </row>
    <row r="447" spans="1:16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P447" s="10" t="str">
        <f t="shared" si="7"/>
        <v/>
      </c>
    </row>
    <row r="448" spans="1:16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P448" s="10" t="str">
        <f t="shared" si="7"/>
        <v/>
      </c>
    </row>
    <row r="449" spans="1:16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P449" s="10" t="str">
        <f t="shared" si="7"/>
        <v/>
      </c>
    </row>
    <row r="450" spans="1:16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P450" s="10" t="str">
        <f t="shared" si="7"/>
        <v/>
      </c>
    </row>
    <row r="451" spans="1:16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P451" s="10" t="str">
        <f t="shared" si="7"/>
        <v/>
      </c>
    </row>
    <row r="452" spans="1:16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P452" s="10" t="str">
        <f t="shared" si="7"/>
        <v/>
      </c>
    </row>
    <row r="453" spans="1:16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P453" s="10" t="str">
        <f t="shared" si="7"/>
        <v/>
      </c>
    </row>
    <row r="454" spans="1:16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P454" s="10" t="str">
        <f t="shared" si="7"/>
        <v/>
      </c>
    </row>
    <row r="455" spans="1:16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P455" s="10" t="str">
        <f t="shared" si="7"/>
        <v/>
      </c>
    </row>
    <row r="456" spans="1:16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P456" s="10" t="str">
        <f t="shared" si="7"/>
        <v/>
      </c>
    </row>
    <row r="457" spans="1:16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P457" s="10" t="str">
        <f t="shared" si="7"/>
        <v/>
      </c>
    </row>
    <row r="458" spans="1:16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P458" s="10" t="str">
        <f t="shared" si="7"/>
        <v/>
      </c>
    </row>
    <row r="459" spans="1:16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P459" s="10" t="str">
        <f t="shared" ref="P459:P522" si="8">IF(AND(ISBLANK(N459),ISBLANK(O459)),"",IF(ISBLANK(O459), ROUND(P458+N459,2), ROUND(P458+O459,2)))</f>
        <v/>
      </c>
    </row>
    <row r="460" spans="1:16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P460" s="10" t="str">
        <f t="shared" si="8"/>
        <v/>
      </c>
    </row>
    <row r="461" spans="1:16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P461" s="10" t="str">
        <f t="shared" si="8"/>
        <v/>
      </c>
    </row>
    <row r="462" spans="1:16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P462" s="10" t="str">
        <f t="shared" si="8"/>
        <v/>
      </c>
    </row>
    <row r="463" spans="1:16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P463" s="10" t="str">
        <f t="shared" si="8"/>
        <v/>
      </c>
    </row>
    <row r="464" spans="1:16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P464" s="10" t="str">
        <f t="shared" si="8"/>
        <v/>
      </c>
    </row>
    <row r="465" spans="1:16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P465" s="10" t="str">
        <f t="shared" si="8"/>
        <v/>
      </c>
    </row>
    <row r="466" spans="1:16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P466" s="10" t="str">
        <f t="shared" si="8"/>
        <v/>
      </c>
    </row>
    <row r="467" spans="1:16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P467" s="10" t="str">
        <f t="shared" si="8"/>
        <v/>
      </c>
    </row>
    <row r="468" spans="1:16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P468" s="10" t="str">
        <f t="shared" si="8"/>
        <v/>
      </c>
    </row>
    <row r="469" spans="1:16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P469" s="10" t="str">
        <f t="shared" si="8"/>
        <v/>
      </c>
    </row>
    <row r="470" spans="1:16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P470" s="10" t="str">
        <f t="shared" si="8"/>
        <v/>
      </c>
    </row>
    <row r="471" spans="1:16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P471" s="10" t="str">
        <f t="shared" si="8"/>
        <v/>
      </c>
    </row>
    <row r="472" spans="1:16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P472" s="10" t="str">
        <f t="shared" si="8"/>
        <v/>
      </c>
    </row>
    <row r="473" spans="1:16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P473" s="10" t="str">
        <f t="shared" si="8"/>
        <v/>
      </c>
    </row>
    <row r="474" spans="1:16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P474" s="10" t="str">
        <f t="shared" si="8"/>
        <v/>
      </c>
    </row>
    <row r="475" spans="1:16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P475" s="10" t="str">
        <f t="shared" si="8"/>
        <v/>
      </c>
    </row>
    <row r="476" spans="1:16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P476" s="10" t="str">
        <f t="shared" si="8"/>
        <v/>
      </c>
    </row>
    <row r="477" spans="1:16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P477" s="10" t="str">
        <f t="shared" si="8"/>
        <v/>
      </c>
    </row>
    <row r="478" spans="1:16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P478" s="10" t="str">
        <f t="shared" si="8"/>
        <v/>
      </c>
    </row>
    <row r="479" spans="1:16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P479" s="10" t="str">
        <f t="shared" si="8"/>
        <v/>
      </c>
    </row>
    <row r="480" spans="1:16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P480" s="10" t="str">
        <f t="shared" si="8"/>
        <v/>
      </c>
    </row>
    <row r="481" spans="1:16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P481" s="10" t="str">
        <f t="shared" si="8"/>
        <v/>
      </c>
    </row>
    <row r="482" spans="1:16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P482" s="10" t="str">
        <f t="shared" si="8"/>
        <v/>
      </c>
    </row>
    <row r="483" spans="1:16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P483" s="10" t="str">
        <f t="shared" si="8"/>
        <v/>
      </c>
    </row>
    <row r="484" spans="1:16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P484" s="10" t="str">
        <f t="shared" si="8"/>
        <v/>
      </c>
    </row>
    <row r="485" spans="1:16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P485" s="10" t="str">
        <f t="shared" si="8"/>
        <v/>
      </c>
    </row>
    <row r="486" spans="1:16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P486" s="10" t="str">
        <f t="shared" si="8"/>
        <v/>
      </c>
    </row>
    <row r="487" spans="1:16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P487" s="10" t="str">
        <f t="shared" si="8"/>
        <v/>
      </c>
    </row>
    <row r="488" spans="1:16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P488" s="10" t="str">
        <f t="shared" si="8"/>
        <v/>
      </c>
    </row>
    <row r="489" spans="1:16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P489" s="10" t="str">
        <f t="shared" si="8"/>
        <v/>
      </c>
    </row>
    <row r="490" spans="1:16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P490" s="10" t="str">
        <f t="shared" si="8"/>
        <v/>
      </c>
    </row>
    <row r="491" spans="1:16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P491" s="10" t="str">
        <f t="shared" si="8"/>
        <v/>
      </c>
    </row>
    <row r="492" spans="1:16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P492" s="10" t="str">
        <f t="shared" si="8"/>
        <v/>
      </c>
    </row>
    <row r="493" spans="1:16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P493" s="10" t="str">
        <f t="shared" si="8"/>
        <v/>
      </c>
    </row>
    <row r="494" spans="1:16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P494" s="10" t="str">
        <f t="shared" si="8"/>
        <v/>
      </c>
    </row>
    <row r="495" spans="1:16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P495" s="10" t="str">
        <f t="shared" si="8"/>
        <v/>
      </c>
    </row>
    <row r="496" spans="1:16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P496" s="10" t="str">
        <f t="shared" si="8"/>
        <v/>
      </c>
    </row>
    <row r="497" spans="1:16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P497" s="10" t="str">
        <f t="shared" si="8"/>
        <v/>
      </c>
    </row>
    <row r="498" spans="1:16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P498" s="10" t="str">
        <f t="shared" si="8"/>
        <v/>
      </c>
    </row>
    <row r="499" spans="1:16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P499" s="10" t="str">
        <f t="shared" si="8"/>
        <v/>
      </c>
    </row>
    <row r="500" spans="1:16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P500" s="10" t="str">
        <f t="shared" si="8"/>
        <v/>
      </c>
    </row>
    <row r="501" spans="1:16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P501" s="10" t="str">
        <f t="shared" si="8"/>
        <v/>
      </c>
    </row>
    <row r="502" spans="1:16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P502" s="10" t="str">
        <f t="shared" si="8"/>
        <v/>
      </c>
    </row>
    <row r="503" spans="1:16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P503" s="10" t="str">
        <f t="shared" si="8"/>
        <v/>
      </c>
    </row>
    <row r="504" spans="1:16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P504" s="10" t="str">
        <f t="shared" si="8"/>
        <v/>
      </c>
    </row>
    <row r="505" spans="1:16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P505" s="10" t="str">
        <f t="shared" si="8"/>
        <v/>
      </c>
    </row>
    <row r="506" spans="1:16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P506" s="10" t="str">
        <f t="shared" si="8"/>
        <v/>
      </c>
    </row>
    <row r="507" spans="1:16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P507" s="10" t="str">
        <f t="shared" si="8"/>
        <v/>
      </c>
    </row>
    <row r="508" spans="1:16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P508" s="10" t="str">
        <f t="shared" si="8"/>
        <v/>
      </c>
    </row>
    <row r="509" spans="1:16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P509" s="10" t="str">
        <f t="shared" si="8"/>
        <v/>
      </c>
    </row>
    <row r="510" spans="1:16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P510" s="10" t="str">
        <f t="shared" si="8"/>
        <v/>
      </c>
    </row>
    <row r="511" spans="1:16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P511" s="10" t="str">
        <f t="shared" si="8"/>
        <v/>
      </c>
    </row>
    <row r="512" spans="1:16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P512" s="10" t="str">
        <f t="shared" si="8"/>
        <v/>
      </c>
    </row>
    <row r="513" spans="1:16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P513" s="10" t="str">
        <f t="shared" si="8"/>
        <v/>
      </c>
    </row>
    <row r="514" spans="1:16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P514" s="10" t="str">
        <f t="shared" si="8"/>
        <v/>
      </c>
    </row>
    <row r="515" spans="1:16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P515" s="10" t="str">
        <f t="shared" si="8"/>
        <v/>
      </c>
    </row>
    <row r="516" spans="1:16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P516" s="10" t="str">
        <f t="shared" si="8"/>
        <v/>
      </c>
    </row>
    <row r="517" spans="1:16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P517" s="10" t="str">
        <f t="shared" si="8"/>
        <v/>
      </c>
    </row>
    <row r="518" spans="1:16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P518" s="10" t="str">
        <f t="shared" si="8"/>
        <v/>
      </c>
    </row>
    <row r="519" spans="1:16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P519" s="10" t="str">
        <f t="shared" si="8"/>
        <v/>
      </c>
    </row>
    <row r="520" spans="1:16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P520" s="10" t="str">
        <f t="shared" si="8"/>
        <v/>
      </c>
    </row>
    <row r="521" spans="1:16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P521" s="10" t="str">
        <f t="shared" si="8"/>
        <v/>
      </c>
    </row>
    <row r="522" spans="1:16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P522" s="10" t="str">
        <f t="shared" si="8"/>
        <v/>
      </c>
    </row>
    <row r="523" spans="1:16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P523" s="10" t="str">
        <f t="shared" ref="P523:P586" si="9">IF(AND(ISBLANK(N523),ISBLANK(O523)),"",IF(ISBLANK(O523), ROUND(P522+N523,2), ROUND(P522+O523,2)))</f>
        <v/>
      </c>
    </row>
    <row r="524" spans="1:16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P524" s="10" t="str">
        <f t="shared" si="9"/>
        <v/>
      </c>
    </row>
    <row r="525" spans="1:16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P525" s="10" t="str">
        <f t="shared" si="9"/>
        <v/>
      </c>
    </row>
    <row r="526" spans="1:16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P526" s="10" t="str">
        <f t="shared" si="9"/>
        <v/>
      </c>
    </row>
    <row r="527" spans="1:16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P527" s="10" t="str">
        <f t="shared" si="9"/>
        <v/>
      </c>
    </row>
    <row r="528" spans="1:16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P528" s="10" t="str">
        <f t="shared" si="9"/>
        <v/>
      </c>
    </row>
    <row r="529" spans="1:16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P529" s="10" t="str">
        <f t="shared" si="9"/>
        <v/>
      </c>
    </row>
    <row r="530" spans="1:16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P530" s="10" t="str">
        <f t="shared" si="9"/>
        <v/>
      </c>
    </row>
    <row r="531" spans="1:16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P531" s="10" t="str">
        <f t="shared" si="9"/>
        <v/>
      </c>
    </row>
    <row r="532" spans="1:16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P532" s="10" t="str">
        <f t="shared" si="9"/>
        <v/>
      </c>
    </row>
    <row r="533" spans="1:16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P533" s="10" t="str">
        <f t="shared" si="9"/>
        <v/>
      </c>
    </row>
    <row r="534" spans="1:16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P534" s="10" t="str">
        <f t="shared" si="9"/>
        <v/>
      </c>
    </row>
    <row r="535" spans="1:16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P535" s="10" t="str">
        <f t="shared" si="9"/>
        <v/>
      </c>
    </row>
    <row r="536" spans="1:16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P536" s="10" t="str">
        <f t="shared" si="9"/>
        <v/>
      </c>
    </row>
    <row r="537" spans="1:16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P537" s="10" t="str">
        <f t="shared" si="9"/>
        <v/>
      </c>
    </row>
    <row r="538" spans="1:16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P538" s="10" t="str">
        <f t="shared" si="9"/>
        <v/>
      </c>
    </row>
    <row r="539" spans="1:16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P539" s="10" t="str">
        <f t="shared" si="9"/>
        <v/>
      </c>
    </row>
    <row r="540" spans="1:16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P540" s="10" t="str">
        <f t="shared" si="9"/>
        <v/>
      </c>
    </row>
    <row r="541" spans="1:16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P541" s="10" t="str">
        <f t="shared" si="9"/>
        <v/>
      </c>
    </row>
    <row r="542" spans="1:16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P542" s="10" t="str">
        <f t="shared" si="9"/>
        <v/>
      </c>
    </row>
    <row r="543" spans="1:16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P543" s="10" t="str">
        <f t="shared" si="9"/>
        <v/>
      </c>
    </row>
    <row r="544" spans="1:16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P544" s="10" t="str">
        <f t="shared" si="9"/>
        <v/>
      </c>
    </row>
    <row r="545" spans="1:16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P545" s="10" t="str">
        <f t="shared" si="9"/>
        <v/>
      </c>
    </row>
    <row r="546" spans="1:16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P546" s="10" t="str">
        <f t="shared" si="9"/>
        <v/>
      </c>
    </row>
    <row r="547" spans="1:16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P547" s="10" t="str">
        <f t="shared" si="9"/>
        <v/>
      </c>
    </row>
    <row r="548" spans="1:16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P548" s="10" t="str">
        <f t="shared" si="9"/>
        <v/>
      </c>
    </row>
    <row r="549" spans="1:16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P549" s="10" t="str">
        <f t="shared" si="9"/>
        <v/>
      </c>
    </row>
    <row r="550" spans="1:16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P550" s="10" t="str">
        <f t="shared" si="9"/>
        <v/>
      </c>
    </row>
    <row r="551" spans="1:16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P551" s="10" t="str">
        <f t="shared" si="9"/>
        <v/>
      </c>
    </row>
    <row r="552" spans="1:16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P552" s="10" t="str">
        <f t="shared" si="9"/>
        <v/>
      </c>
    </row>
    <row r="553" spans="1:16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P553" s="10" t="str">
        <f t="shared" si="9"/>
        <v/>
      </c>
    </row>
    <row r="554" spans="1:16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P554" s="10" t="str">
        <f t="shared" si="9"/>
        <v/>
      </c>
    </row>
    <row r="555" spans="1:16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P555" s="10" t="str">
        <f t="shared" si="9"/>
        <v/>
      </c>
    </row>
    <row r="556" spans="1:16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P556" s="10" t="str">
        <f t="shared" si="9"/>
        <v/>
      </c>
    </row>
    <row r="557" spans="1:16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P557" s="10" t="str">
        <f t="shared" si="9"/>
        <v/>
      </c>
    </row>
    <row r="558" spans="1:16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P558" s="10" t="str">
        <f t="shared" si="9"/>
        <v/>
      </c>
    </row>
    <row r="559" spans="1:16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P559" s="10" t="str">
        <f t="shared" si="9"/>
        <v/>
      </c>
    </row>
    <row r="560" spans="1:16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P560" s="10" t="str">
        <f t="shared" si="9"/>
        <v/>
      </c>
    </row>
    <row r="561" spans="1:16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P561" s="10" t="str">
        <f t="shared" si="9"/>
        <v/>
      </c>
    </row>
    <row r="562" spans="1:16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P562" s="10" t="str">
        <f t="shared" si="9"/>
        <v/>
      </c>
    </row>
    <row r="563" spans="1:16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P563" s="10" t="str">
        <f t="shared" si="9"/>
        <v/>
      </c>
    </row>
    <row r="564" spans="1:16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P564" s="10" t="str">
        <f t="shared" si="9"/>
        <v/>
      </c>
    </row>
    <row r="565" spans="1:16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P565" s="10" t="str">
        <f t="shared" si="9"/>
        <v/>
      </c>
    </row>
    <row r="566" spans="1:16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P566" s="10" t="str">
        <f t="shared" si="9"/>
        <v/>
      </c>
    </row>
    <row r="567" spans="1:16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P567" s="10" t="str">
        <f t="shared" si="9"/>
        <v/>
      </c>
    </row>
    <row r="568" spans="1:16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P568" s="10" t="str">
        <f t="shared" si="9"/>
        <v/>
      </c>
    </row>
    <row r="569" spans="1:16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P569" s="10" t="str">
        <f t="shared" si="9"/>
        <v/>
      </c>
    </row>
    <row r="570" spans="1:16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P570" s="10" t="str">
        <f t="shared" si="9"/>
        <v/>
      </c>
    </row>
    <row r="571" spans="1:16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P571" s="10" t="str">
        <f t="shared" si="9"/>
        <v/>
      </c>
    </row>
    <row r="572" spans="1:16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P572" s="10" t="str">
        <f t="shared" si="9"/>
        <v/>
      </c>
    </row>
    <row r="573" spans="1:16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P573" s="10" t="str">
        <f t="shared" si="9"/>
        <v/>
      </c>
    </row>
    <row r="574" spans="1:16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P574" s="10" t="str">
        <f t="shared" si="9"/>
        <v/>
      </c>
    </row>
    <row r="575" spans="1:16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P575" s="10" t="str">
        <f t="shared" si="9"/>
        <v/>
      </c>
    </row>
    <row r="576" spans="1:16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P576" s="10" t="str">
        <f t="shared" si="9"/>
        <v/>
      </c>
    </row>
    <row r="577" spans="1:16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P577" s="10" t="str">
        <f t="shared" si="9"/>
        <v/>
      </c>
    </row>
    <row r="578" spans="1:16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P578" s="10" t="str">
        <f t="shared" si="9"/>
        <v/>
      </c>
    </row>
    <row r="579" spans="1:16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P579" s="10" t="str">
        <f t="shared" si="9"/>
        <v/>
      </c>
    </row>
    <row r="580" spans="1:16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P580" s="10" t="str">
        <f t="shared" si="9"/>
        <v/>
      </c>
    </row>
    <row r="581" spans="1:16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P581" s="10" t="str">
        <f t="shared" si="9"/>
        <v/>
      </c>
    </row>
    <row r="582" spans="1:16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P582" s="10" t="str">
        <f t="shared" si="9"/>
        <v/>
      </c>
    </row>
    <row r="583" spans="1:16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P583" s="10" t="str">
        <f t="shared" si="9"/>
        <v/>
      </c>
    </row>
    <row r="584" spans="1:16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P584" s="10" t="str">
        <f t="shared" si="9"/>
        <v/>
      </c>
    </row>
    <row r="585" spans="1:16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P585" s="10" t="str">
        <f t="shared" si="9"/>
        <v/>
      </c>
    </row>
    <row r="586" spans="1:16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P586" s="10" t="str">
        <f t="shared" si="9"/>
        <v/>
      </c>
    </row>
    <row r="587" spans="1:16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P587" s="10" t="str">
        <f t="shared" ref="P587:P650" si="10">IF(AND(ISBLANK(N587),ISBLANK(O587)),"",IF(ISBLANK(O587), ROUND(P586+N587,2), ROUND(P586+O587,2)))</f>
        <v/>
      </c>
    </row>
    <row r="588" spans="1:16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P588" s="10" t="str">
        <f t="shared" si="10"/>
        <v/>
      </c>
    </row>
    <row r="589" spans="1:16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P589" s="10" t="str">
        <f t="shared" si="10"/>
        <v/>
      </c>
    </row>
    <row r="590" spans="1:16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P590" s="10" t="str">
        <f t="shared" si="10"/>
        <v/>
      </c>
    </row>
    <row r="591" spans="1:16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P591" s="10" t="str">
        <f t="shared" si="10"/>
        <v/>
      </c>
    </row>
    <row r="592" spans="1:16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P592" s="10" t="str">
        <f t="shared" si="10"/>
        <v/>
      </c>
    </row>
    <row r="593" spans="1:16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P593" s="10" t="str">
        <f t="shared" si="10"/>
        <v/>
      </c>
    </row>
    <row r="594" spans="1:16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P594" s="10" t="str">
        <f t="shared" si="10"/>
        <v/>
      </c>
    </row>
    <row r="595" spans="1:16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P595" s="10" t="str">
        <f t="shared" si="10"/>
        <v/>
      </c>
    </row>
    <row r="596" spans="1:16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P596" s="10" t="str">
        <f t="shared" si="10"/>
        <v/>
      </c>
    </row>
    <row r="597" spans="1:16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P597" s="10" t="str">
        <f t="shared" si="10"/>
        <v/>
      </c>
    </row>
    <row r="598" spans="1:16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P598" s="10" t="str">
        <f t="shared" si="10"/>
        <v/>
      </c>
    </row>
    <row r="599" spans="1:16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P599" s="10" t="str">
        <f t="shared" si="10"/>
        <v/>
      </c>
    </row>
    <row r="600" spans="1:16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P600" s="10" t="str">
        <f t="shared" si="10"/>
        <v/>
      </c>
    </row>
    <row r="601" spans="1:16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P601" s="10" t="str">
        <f t="shared" si="10"/>
        <v/>
      </c>
    </row>
    <row r="602" spans="1:16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P602" s="10" t="str">
        <f t="shared" si="10"/>
        <v/>
      </c>
    </row>
    <row r="603" spans="1:16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P603" s="10" t="str">
        <f t="shared" si="10"/>
        <v/>
      </c>
    </row>
    <row r="604" spans="1:16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P604" s="10" t="str">
        <f t="shared" si="10"/>
        <v/>
      </c>
    </row>
    <row r="605" spans="1:16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P605" s="10" t="str">
        <f t="shared" si="10"/>
        <v/>
      </c>
    </row>
    <row r="606" spans="1:16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P606" s="10" t="str">
        <f t="shared" si="10"/>
        <v/>
      </c>
    </row>
    <row r="607" spans="1:16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P607" s="10" t="str">
        <f t="shared" si="10"/>
        <v/>
      </c>
    </row>
    <row r="608" spans="1:16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P608" s="10" t="str">
        <f t="shared" si="10"/>
        <v/>
      </c>
    </row>
    <row r="609" spans="1:16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P609" s="10" t="str">
        <f t="shared" si="10"/>
        <v/>
      </c>
    </row>
    <row r="610" spans="1:16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P610" s="10" t="str">
        <f t="shared" si="10"/>
        <v/>
      </c>
    </row>
    <row r="611" spans="1:16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P611" s="10" t="str">
        <f t="shared" si="10"/>
        <v/>
      </c>
    </row>
    <row r="612" spans="1:16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P612" s="10" t="str">
        <f t="shared" si="10"/>
        <v/>
      </c>
    </row>
    <row r="613" spans="1:16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P613" s="10" t="str">
        <f t="shared" si="10"/>
        <v/>
      </c>
    </row>
    <row r="614" spans="1:16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P614" s="10" t="str">
        <f t="shared" si="10"/>
        <v/>
      </c>
    </row>
    <row r="615" spans="1:16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P615" s="10" t="str">
        <f t="shared" si="10"/>
        <v/>
      </c>
    </row>
    <row r="616" spans="1:16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P616" s="10" t="str">
        <f t="shared" si="10"/>
        <v/>
      </c>
    </row>
    <row r="617" spans="1:16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P617" s="10" t="str">
        <f t="shared" si="10"/>
        <v/>
      </c>
    </row>
    <row r="618" spans="1:16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P618" s="10" t="str">
        <f t="shared" si="10"/>
        <v/>
      </c>
    </row>
    <row r="619" spans="1:16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P619" s="10" t="str">
        <f t="shared" si="10"/>
        <v/>
      </c>
    </row>
    <row r="620" spans="1:16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P620" s="10" t="str">
        <f t="shared" si="10"/>
        <v/>
      </c>
    </row>
    <row r="621" spans="1:16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P621" s="10" t="str">
        <f t="shared" si="10"/>
        <v/>
      </c>
    </row>
    <row r="622" spans="1:16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P622" s="10" t="str">
        <f t="shared" si="10"/>
        <v/>
      </c>
    </row>
    <row r="623" spans="1:16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P623" s="10" t="str">
        <f t="shared" si="10"/>
        <v/>
      </c>
    </row>
    <row r="624" spans="1:16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P624" s="10" t="str">
        <f t="shared" si="10"/>
        <v/>
      </c>
    </row>
    <row r="625" spans="1:16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P625" s="10" t="str">
        <f t="shared" si="10"/>
        <v/>
      </c>
    </row>
    <row r="626" spans="1:16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P626" s="10" t="str">
        <f t="shared" si="10"/>
        <v/>
      </c>
    </row>
    <row r="627" spans="1:16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P627" s="10" t="str">
        <f t="shared" si="10"/>
        <v/>
      </c>
    </row>
    <row r="628" spans="1:16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P628" s="10" t="str">
        <f t="shared" si="10"/>
        <v/>
      </c>
    </row>
    <row r="629" spans="1:16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P629" s="10" t="str">
        <f t="shared" si="10"/>
        <v/>
      </c>
    </row>
    <row r="630" spans="1:16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P630" s="10" t="str">
        <f t="shared" si="10"/>
        <v/>
      </c>
    </row>
    <row r="631" spans="1:16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P631" s="10" t="str">
        <f t="shared" si="10"/>
        <v/>
      </c>
    </row>
    <row r="632" spans="1:16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P632" s="10" t="str">
        <f t="shared" si="10"/>
        <v/>
      </c>
    </row>
    <row r="633" spans="1:16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P633" s="10" t="str">
        <f t="shared" si="10"/>
        <v/>
      </c>
    </row>
    <row r="634" spans="1:16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P634" s="10" t="str">
        <f t="shared" si="10"/>
        <v/>
      </c>
    </row>
    <row r="635" spans="1:16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P635" s="10" t="str">
        <f t="shared" si="10"/>
        <v/>
      </c>
    </row>
    <row r="636" spans="1:16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P636" s="10" t="str">
        <f t="shared" si="10"/>
        <v/>
      </c>
    </row>
    <row r="637" spans="1:16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P637" s="10" t="str">
        <f t="shared" si="10"/>
        <v/>
      </c>
    </row>
    <row r="638" spans="1:16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P638" s="10" t="str">
        <f t="shared" si="10"/>
        <v/>
      </c>
    </row>
    <row r="639" spans="1:16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P639" s="10" t="str">
        <f t="shared" si="10"/>
        <v/>
      </c>
    </row>
    <row r="640" spans="1:16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P640" s="10" t="str">
        <f t="shared" si="10"/>
        <v/>
      </c>
    </row>
    <row r="641" spans="1:16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P641" s="10" t="str">
        <f t="shared" si="10"/>
        <v/>
      </c>
    </row>
    <row r="642" spans="1:16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P642" s="10" t="str">
        <f t="shared" si="10"/>
        <v/>
      </c>
    </row>
    <row r="643" spans="1:16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P643" s="10" t="str">
        <f t="shared" si="10"/>
        <v/>
      </c>
    </row>
    <row r="644" spans="1:16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P644" s="10" t="str">
        <f t="shared" si="10"/>
        <v/>
      </c>
    </row>
    <row r="645" spans="1:16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P645" s="10" t="str">
        <f t="shared" si="10"/>
        <v/>
      </c>
    </row>
    <row r="646" spans="1:16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P646" s="10" t="str">
        <f t="shared" si="10"/>
        <v/>
      </c>
    </row>
    <row r="647" spans="1:16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P647" s="10" t="str">
        <f t="shared" si="10"/>
        <v/>
      </c>
    </row>
    <row r="648" spans="1:16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P648" s="10" t="str">
        <f t="shared" si="10"/>
        <v/>
      </c>
    </row>
    <row r="649" spans="1:16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P649" s="10" t="str">
        <f t="shared" si="10"/>
        <v/>
      </c>
    </row>
    <row r="650" spans="1:16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P650" s="10" t="str">
        <f t="shared" si="10"/>
        <v/>
      </c>
    </row>
    <row r="651" spans="1:16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P651" s="10" t="str">
        <f t="shared" ref="P651:P714" si="11">IF(AND(ISBLANK(N651),ISBLANK(O651)),"",IF(ISBLANK(O651), ROUND(P650+N651,2), ROUND(P650+O651,2)))</f>
        <v/>
      </c>
    </row>
    <row r="652" spans="1:16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P652" s="10" t="str">
        <f t="shared" si="11"/>
        <v/>
      </c>
    </row>
    <row r="653" spans="1:16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P653" s="10" t="str">
        <f t="shared" si="11"/>
        <v/>
      </c>
    </row>
    <row r="654" spans="1:16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P654" s="10" t="str">
        <f t="shared" si="11"/>
        <v/>
      </c>
    </row>
    <row r="655" spans="1:16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P655" s="10" t="str">
        <f t="shared" si="11"/>
        <v/>
      </c>
    </row>
    <row r="656" spans="1:16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P656" s="10" t="str">
        <f t="shared" si="11"/>
        <v/>
      </c>
    </row>
    <row r="657" spans="1:16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P657" s="10" t="str">
        <f t="shared" si="11"/>
        <v/>
      </c>
    </row>
    <row r="658" spans="1:16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P658" s="10" t="str">
        <f t="shared" si="11"/>
        <v/>
      </c>
    </row>
    <row r="659" spans="1:16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P659" s="10" t="str">
        <f t="shared" si="11"/>
        <v/>
      </c>
    </row>
    <row r="660" spans="1:16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P660" s="10" t="str">
        <f t="shared" si="11"/>
        <v/>
      </c>
    </row>
    <row r="661" spans="1:16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P661" s="10" t="str">
        <f t="shared" si="11"/>
        <v/>
      </c>
    </row>
    <row r="662" spans="1:16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P662" s="10" t="str">
        <f t="shared" si="11"/>
        <v/>
      </c>
    </row>
    <row r="663" spans="1:16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P663" s="10" t="str">
        <f t="shared" si="11"/>
        <v/>
      </c>
    </row>
    <row r="664" spans="1:16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P664" s="10" t="str">
        <f t="shared" si="11"/>
        <v/>
      </c>
    </row>
    <row r="665" spans="1:16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P665" s="10" t="str">
        <f t="shared" si="11"/>
        <v/>
      </c>
    </row>
    <row r="666" spans="1:16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P666" s="10" t="str">
        <f t="shared" si="11"/>
        <v/>
      </c>
    </row>
    <row r="667" spans="1:16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P667" s="10" t="str">
        <f t="shared" si="11"/>
        <v/>
      </c>
    </row>
    <row r="668" spans="1:16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P668" s="10" t="str">
        <f t="shared" si="11"/>
        <v/>
      </c>
    </row>
    <row r="669" spans="1:16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P669" s="10" t="str">
        <f t="shared" si="11"/>
        <v/>
      </c>
    </row>
    <row r="670" spans="1:16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P670" s="10" t="str">
        <f t="shared" si="11"/>
        <v/>
      </c>
    </row>
    <row r="671" spans="1:16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P671" s="10" t="str">
        <f t="shared" si="11"/>
        <v/>
      </c>
    </row>
    <row r="672" spans="1:16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P672" s="10" t="str">
        <f t="shared" si="11"/>
        <v/>
      </c>
    </row>
    <row r="673" spans="1:16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P673" s="10" t="str">
        <f t="shared" si="11"/>
        <v/>
      </c>
    </row>
    <row r="674" spans="1:16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P674" s="10" t="str">
        <f t="shared" si="11"/>
        <v/>
      </c>
    </row>
    <row r="675" spans="1:16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P675" s="10" t="str">
        <f t="shared" si="11"/>
        <v/>
      </c>
    </row>
    <row r="676" spans="1:16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P676" s="10" t="str">
        <f t="shared" si="11"/>
        <v/>
      </c>
    </row>
    <row r="677" spans="1:16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P677" s="10" t="str">
        <f t="shared" si="11"/>
        <v/>
      </c>
    </row>
    <row r="678" spans="1:16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P678" s="10" t="str">
        <f t="shared" si="11"/>
        <v/>
      </c>
    </row>
    <row r="679" spans="1:16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P679" s="10" t="str">
        <f t="shared" si="11"/>
        <v/>
      </c>
    </row>
    <row r="680" spans="1:16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P680" s="10" t="str">
        <f t="shared" si="11"/>
        <v/>
      </c>
    </row>
    <row r="681" spans="1:16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P681" s="10" t="str">
        <f t="shared" si="11"/>
        <v/>
      </c>
    </row>
    <row r="682" spans="1:16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P682" s="10" t="str">
        <f t="shared" si="11"/>
        <v/>
      </c>
    </row>
    <row r="683" spans="1:16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P683" s="10" t="str">
        <f t="shared" si="11"/>
        <v/>
      </c>
    </row>
    <row r="684" spans="1:16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P684" s="10" t="str">
        <f t="shared" si="11"/>
        <v/>
      </c>
    </row>
    <row r="685" spans="1:16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P685" s="10" t="str">
        <f t="shared" si="11"/>
        <v/>
      </c>
    </row>
    <row r="686" spans="1:16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P686" s="10" t="str">
        <f t="shared" si="11"/>
        <v/>
      </c>
    </row>
    <row r="687" spans="1:16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P687" s="10" t="str">
        <f t="shared" si="11"/>
        <v/>
      </c>
    </row>
    <row r="688" spans="1:16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P688" s="10" t="str">
        <f t="shared" si="11"/>
        <v/>
      </c>
    </row>
    <row r="689" spans="1:16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P689" s="10" t="str">
        <f t="shared" si="11"/>
        <v/>
      </c>
    </row>
    <row r="690" spans="1:16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P690" s="10" t="str">
        <f t="shared" si="11"/>
        <v/>
      </c>
    </row>
    <row r="691" spans="1:16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P691" s="10" t="str">
        <f t="shared" si="11"/>
        <v/>
      </c>
    </row>
    <row r="692" spans="1:16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P692" s="10" t="str">
        <f t="shared" si="11"/>
        <v/>
      </c>
    </row>
    <row r="693" spans="1:16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P693" s="10" t="str">
        <f t="shared" si="11"/>
        <v/>
      </c>
    </row>
    <row r="694" spans="1:16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P694" s="10" t="str">
        <f t="shared" si="11"/>
        <v/>
      </c>
    </row>
    <row r="695" spans="1:16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P695" s="10" t="str">
        <f t="shared" si="11"/>
        <v/>
      </c>
    </row>
    <row r="696" spans="1:16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P696" s="10" t="str">
        <f t="shared" si="11"/>
        <v/>
      </c>
    </row>
    <row r="697" spans="1:16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P697" s="10" t="str">
        <f t="shared" si="11"/>
        <v/>
      </c>
    </row>
    <row r="698" spans="1:16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P698" s="10" t="str">
        <f t="shared" si="11"/>
        <v/>
      </c>
    </row>
    <row r="699" spans="1:16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P699" s="10" t="str">
        <f t="shared" si="11"/>
        <v/>
      </c>
    </row>
    <row r="700" spans="1:16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P700" s="10" t="str">
        <f t="shared" si="11"/>
        <v/>
      </c>
    </row>
    <row r="701" spans="1:16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P701" s="10" t="str">
        <f t="shared" si="11"/>
        <v/>
      </c>
    </row>
    <row r="702" spans="1:16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P702" s="10" t="str">
        <f t="shared" si="11"/>
        <v/>
      </c>
    </row>
    <row r="703" spans="1:16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P703" s="10" t="str">
        <f t="shared" si="11"/>
        <v/>
      </c>
    </row>
    <row r="704" spans="1:16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P704" s="10" t="str">
        <f t="shared" si="11"/>
        <v/>
      </c>
    </row>
    <row r="705" spans="1:16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P705" s="10" t="str">
        <f t="shared" si="11"/>
        <v/>
      </c>
    </row>
    <row r="706" spans="1:16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P706" s="10" t="str">
        <f t="shared" si="11"/>
        <v/>
      </c>
    </row>
    <row r="707" spans="1:16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P707" s="10" t="str">
        <f t="shared" si="11"/>
        <v/>
      </c>
    </row>
    <row r="708" spans="1:16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P708" s="10" t="str">
        <f t="shared" si="11"/>
        <v/>
      </c>
    </row>
    <row r="709" spans="1:16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P709" s="10" t="str">
        <f t="shared" si="11"/>
        <v/>
      </c>
    </row>
    <row r="710" spans="1:16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P710" s="10" t="str">
        <f t="shared" si="11"/>
        <v/>
      </c>
    </row>
    <row r="711" spans="1:16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P711" s="10" t="str">
        <f t="shared" si="11"/>
        <v/>
      </c>
    </row>
    <row r="712" spans="1:16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P712" s="10" t="str">
        <f t="shared" si="11"/>
        <v/>
      </c>
    </row>
    <row r="713" spans="1:16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P713" s="10" t="str">
        <f t="shared" si="11"/>
        <v/>
      </c>
    </row>
    <row r="714" spans="1:16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P714" s="10" t="str">
        <f t="shared" si="11"/>
        <v/>
      </c>
    </row>
    <row r="715" spans="1:16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P715" s="10" t="str">
        <f t="shared" ref="P715:P778" si="12">IF(AND(ISBLANK(N715),ISBLANK(O715)),"",IF(ISBLANK(O715), ROUND(P714+N715,2), ROUND(P714+O715,2)))</f>
        <v/>
      </c>
    </row>
    <row r="716" spans="1:16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P716" s="10" t="str">
        <f t="shared" si="12"/>
        <v/>
      </c>
    </row>
    <row r="717" spans="1:16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P717" s="10" t="str">
        <f t="shared" si="12"/>
        <v/>
      </c>
    </row>
    <row r="718" spans="1:16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P718" s="10" t="str">
        <f t="shared" si="12"/>
        <v/>
      </c>
    </row>
    <row r="719" spans="1:16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P719" s="10" t="str">
        <f t="shared" si="12"/>
        <v/>
      </c>
    </row>
    <row r="720" spans="1:16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P720" s="10" t="str">
        <f t="shared" si="12"/>
        <v/>
      </c>
    </row>
    <row r="721" spans="1:16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P721" s="10" t="str">
        <f t="shared" si="12"/>
        <v/>
      </c>
    </row>
    <row r="722" spans="1:16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P722" s="10" t="str">
        <f t="shared" si="12"/>
        <v/>
      </c>
    </row>
    <row r="723" spans="1:16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P723" s="10" t="str">
        <f t="shared" si="12"/>
        <v/>
      </c>
    </row>
    <row r="724" spans="1:16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P724" s="10" t="str">
        <f t="shared" si="12"/>
        <v/>
      </c>
    </row>
    <row r="725" spans="1:16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P725" s="10" t="str">
        <f t="shared" si="12"/>
        <v/>
      </c>
    </row>
    <row r="726" spans="1:16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P726" s="10" t="str">
        <f t="shared" si="12"/>
        <v/>
      </c>
    </row>
    <row r="727" spans="1:16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P727" s="10" t="str">
        <f t="shared" si="12"/>
        <v/>
      </c>
    </row>
    <row r="728" spans="1:16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P728" s="10" t="str">
        <f t="shared" si="12"/>
        <v/>
      </c>
    </row>
    <row r="729" spans="1:16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P729" s="10" t="str">
        <f t="shared" si="12"/>
        <v/>
      </c>
    </row>
    <row r="730" spans="1:16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P730" s="10" t="str">
        <f t="shared" si="12"/>
        <v/>
      </c>
    </row>
    <row r="731" spans="1:16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P731" s="10" t="str">
        <f t="shared" si="12"/>
        <v/>
      </c>
    </row>
    <row r="732" spans="1:16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P732" s="10" t="str">
        <f t="shared" si="12"/>
        <v/>
      </c>
    </row>
    <row r="733" spans="1:16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P733" s="10" t="str">
        <f t="shared" si="12"/>
        <v/>
      </c>
    </row>
    <row r="734" spans="1:16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P734" s="10" t="str">
        <f t="shared" si="12"/>
        <v/>
      </c>
    </row>
    <row r="735" spans="1:16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P735" s="10" t="str">
        <f t="shared" si="12"/>
        <v/>
      </c>
    </row>
    <row r="736" spans="1:16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P736" s="10" t="str">
        <f t="shared" si="12"/>
        <v/>
      </c>
    </row>
    <row r="737" spans="1:16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P737" s="10" t="str">
        <f t="shared" si="12"/>
        <v/>
      </c>
    </row>
    <row r="738" spans="1:16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P738" s="10" t="str">
        <f t="shared" si="12"/>
        <v/>
      </c>
    </row>
    <row r="739" spans="1:16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P739" s="10" t="str">
        <f t="shared" si="12"/>
        <v/>
      </c>
    </row>
    <row r="740" spans="1:16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P740" s="10" t="str">
        <f t="shared" si="12"/>
        <v/>
      </c>
    </row>
    <row r="741" spans="1:16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P741" s="10" t="str">
        <f t="shared" si="12"/>
        <v/>
      </c>
    </row>
    <row r="742" spans="1:16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P742" s="10" t="str">
        <f t="shared" si="12"/>
        <v/>
      </c>
    </row>
    <row r="743" spans="1:16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P743" s="10" t="str">
        <f t="shared" si="12"/>
        <v/>
      </c>
    </row>
    <row r="744" spans="1:16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P744" s="10" t="str">
        <f t="shared" si="12"/>
        <v/>
      </c>
    </row>
    <row r="745" spans="1:16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P745" s="10" t="str">
        <f t="shared" si="12"/>
        <v/>
      </c>
    </row>
    <row r="746" spans="1:16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P746" s="10" t="str">
        <f t="shared" si="12"/>
        <v/>
      </c>
    </row>
    <row r="747" spans="1:16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P747" s="10" t="str">
        <f t="shared" si="12"/>
        <v/>
      </c>
    </row>
    <row r="748" spans="1:16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P748" s="10" t="str">
        <f t="shared" si="12"/>
        <v/>
      </c>
    </row>
    <row r="749" spans="1:16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P749" s="10" t="str">
        <f t="shared" si="12"/>
        <v/>
      </c>
    </row>
    <row r="750" spans="1:16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P750" s="10" t="str">
        <f t="shared" si="12"/>
        <v/>
      </c>
    </row>
    <row r="751" spans="1:16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P751" s="10" t="str">
        <f t="shared" si="12"/>
        <v/>
      </c>
    </row>
    <row r="752" spans="1:16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P752" s="10" t="str">
        <f t="shared" si="12"/>
        <v/>
      </c>
    </row>
    <row r="753" spans="1:16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P753" s="10" t="str">
        <f t="shared" si="12"/>
        <v/>
      </c>
    </row>
    <row r="754" spans="1:16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P754" s="10" t="str">
        <f t="shared" si="12"/>
        <v/>
      </c>
    </row>
    <row r="755" spans="1:16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P755" s="10" t="str">
        <f t="shared" si="12"/>
        <v/>
      </c>
    </row>
    <row r="756" spans="1:16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P756" s="10" t="str">
        <f t="shared" si="12"/>
        <v/>
      </c>
    </row>
    <row r="757" spans="1:16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P757" s="10" t="str">
        <f t="shared" si="12"/>
        <v/>
      </c>
    </row>
    <row r="758" spans="1:16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P758" s="10" t="str">
        <f t="shared" si="12"/>
        <v/>
      </c>
    </row>
    <row r="759" spans="1:16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P759" s="10" t="str">
        <f t="shared" si="12"/>
        <v/>
      </c>
    </row>
    <row r="760" spans="1:16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P760" s="10" t="str">
        <f t="shared" si="12"/>
        <v/>
      </c>
    </row>
    <row r="761" spans="1:16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P761" s="10" t="str">
        <f t="shared" si="12"/>
        <v/>
      </c>
    </row>
    <row r="762" spans="1:16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P762" s="10" t="str">
        <f t="shared" si="12"/>
        <v/>
      </c>
    </row>
    <row r="763" spans="1:16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P763" s="10" t="str">
        <f t="shared" si="12"/>
        <v/>
      </c>
    </row>
    <row r="764" spans="1:16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P764" s="10" t="str">
        <f t="shared" si="12"/>
        <v/>
      </c>
    </row>
    <row r="765" spans="1:16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P765" s="10" t="str">
        <f t="shared" si="12"/>
        <v/>
      </c>
    </row>
    <row r="766" spans="1:16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P766" s="10" t="str">
        <f t="shared" si="12"/>
        <v/>
      </c>
    </row>
    <row r="767" spans="1:16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P767" s="10" t="str">
        <f t="shared" si="12"/>
        <v/>
      </c>
    </row>
    <row r="768" spans="1:16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P768" s="10" t="str">
        <f t="shared" si="12"/>
        <v/>
      </c>
    </row>
    <row r="769" spans="1:16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P769" s="10" t="str">
        <f t="shared" si="12"/>
        <v/>
      </c>
    </row>
    <row r="770" spans="1:16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P770" s="10" t="str">
        <f t="shared" si="12"/>
        <v/>
      </c>
    </row>
    <row r="771" spans="1:16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P771" s="10" t="str">
        <f t="shared" si="12"/>
        <v/>
      </c>
    </row>
    <row r="772" spans="1:16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P772" s="10" t="str">
        <f t="shared" si="12"/>
        <v/>
      </c>
    </row>
    <row r="773" spans="1:16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P773" s="10" t="str">
        <f t="shared" si="12"/>
        <v/>
      </c>
    </row>
    <row r="774" spans="1:16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P774" s="10" t="str">
        <f t="shared" si="12"/>
        <v/>
      </c>
    </row>
    <row r="775" spans="1:16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P775" s="10" t="str">
        <f t="shared" si="12"/>
        <v/>
      </c>
    </row>
    <row r="776" spans="1:16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P776" s="10" t="str">
        <f t="shared" si="12"/>
        <v/>
      </c>
    </row>
    <row r="777" spans="1:16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P777" s="10" t="str">
        <f t="shared" si="12"/>
        <v/>
      </c>
    </row>
    <row r="778" spans="1:16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P778" s="10" t="str">
        <f t="shared" si="12"/>
        <v/>
      </c>
    </row>
    <row r="779" spans="1:16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P779" s="10" t="str">
        <f t="shared" ref="P779:P842" si="13">IF(AND(ISBLANK(N779),ISBLANK(O779)),"",IF(ISBLANK(O779), ROUND(P778+N779,2), ROUND(P778+O779,2)))</f>
        <v/>
      </c>
    </row>
    <row r="780" spans="1:16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P780" s="10" t="str">
        <f t="shared" si="13"/>
        <v/>
      </c>
    </row>
    <row r="781" spans="1:16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P781" s="10" t="str">
        <f t="shared" si="13"/>
        <v/>
      </c>
    </row>
    <row r="782" spans="1:16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P782" s="10" t="str">
        <f t="shared" si="13"/>
        <v/>
      </c>
    </row>
    <row r="783" spans="1:16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P783" s="10" t="str">
        <f t="shared" si="13"/>
        <v/>
      </c>
    </row>
    <row r="784" spans="1:16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P784" s="10" t="str">
        <f t="shared" si="13"/>
        <v/>
      </c>
    </row>
    <row r="785" spans="1:16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P785" s="10" t="str">
        <f t="shared" si="13"/>
        <v/>
      </c>
    </row>
    <row r="786" spans="1:16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P786" s="10" t="str">
        <f t="shared" si="13"/>
        <v/>
      </c>
    </row>
    <row r="787" spans="1:16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P787" s="10" t="str">
        <f t="shared" si="13"/>
        <v/>
      </c>
    </row>
    <row r="788" spans="1:16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P788" s="10" t="str">
        <f t="shared" si="13"/>
        <v/>
      </c>
    </row>
    <row r="789" spans="1:16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P789" s="10" t="str">
        <f t="shared" si="13"/>
        <v/>
      </c>
    </row>
    <row r="790" spans="1:16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P790" s="10" t="str">
        <f t="shared" si="13"/>
        <v/>
      </c>
    </row>
    <row r="791" spans="1:16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P791" s="10" t="str">
        <f t="shared" si="13"/>
        <v/>
      </c>
    </row>
    <row r="792" spans="1:16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P792" s="10" t="str">
        <f t="shared" si="13"/>
        <v/>
      </c>
    </row>
    <row r="793" spans="1:16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P793" s="10" t="str">
        <f t="shared" si="13"/>
        <v/>
      </c>
    </row>
    <row r="794" spans="1:16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P794" s="10" t="str">
        <f t="shared" si="13"/>
        <v/>
      </c>
    </row>
    <row r="795" spans="1:16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P795" s="10" t="str">
        <f t="shared" si="13"/>
        <v/>
      </c>
    </row>
    <row r="796" spans="1:16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P796" s="10" t="str">
        <f t="shared" si="13"/>
        <v/>
      </c>
    </row>
    <row r="797" spans="1:16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P797" s="10" t="str">
        <f t="shared" si="13"/>
        <v/>
      </c>
    </row>
    <row r="798" spans="1:16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P798" s="10" t="str">
        <f t="shared" si="13"/>
        <v/>
      </c>
    </row>
    <row r="799" spans="1:16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P799" s="10" t="str">
        <f t="shared" si="13"/>
        <v/>
      </c>
    </row>
    <row r="800" spans="1:16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P800" s="10" t="str">
        <f t="shared" si="13"/>
        <v/>
      </c>
    </row>
    <row r="801" spans="1:16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P801" s="10" t="str">
        <f t="shared" si="13"/>
        <v/>
      </c>
    </row>
    <row r="802" spans="1:16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P802" s="10" t="str">
        <f t="shared" si="13"/>
        <v/>
      </c>
    </row>
    <row r="803" spans="1:16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P803" s="10" t="str">
        <f t="shared" si="13"/>
        <v/>
      </c>
    </row>
    <row r="804" spans="1:16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P804" s="10" t="str">
        <f t="shared" si="13"/>
        <v/>
      </c>
    </row>
    <row r="805" spans="1:16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P805" s="10" t="str">
        <f t="shared" si="13"/>
        <v/>
      </c>
    </row>
    <row r="806" spans="1:16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P806" s="10" t="str">
        <f t="shared" si="13"/>
        <v/>
      </c>
    </row>
    <row r="807" spans="1:16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P807" s="10" t="str">
        <f t="shared" si="13"/>
        <v/>
      </c>
    </row>
    <row r="808" spans="1:16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P808" s="10" t="str">
        <f t="shared" si="13"/>
        <v/>
      </c>
    </row>
    <row r="809" spans="1:16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P809" s="10" t="str">
        <f t="shared" si="13"/>
        <v/>
      </c>
    </row>
    <row r="810" spans="1:16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P810" s="10" t="str">
        <f t="shared" si="13"/>
        <v/>
      </c>
    </row>
    <row r="811" spans="1:16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P811" s="10" t="str">
        <f t="shared" si="13"/>
        <v/>
      </c>
    </row>
    <row r="812" spans="1:16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P812" s="10" t="str">
        <f t="shared" si="13"/>
        <v/>
      </c>
    </row>
    <row r="813" spans="1:16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P813" s="10" t="str">
        <f t="shared" si="13"/>
        <v/>
      </c>
    </row>
    <row r="814" spans="1:16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P814" s="10" t="str">
        <f t="shared" si="13"/>
        <v/>
      </c>
    </row>
    <row r="815" spans="1:16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P815" s="10" t="str">
        <f t="shared" si="13"/>
        <v/>
      </c>
    </row>
    <row r="816" spans="1:16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P816" s="10" t="str">
        <f t="shared" si="13"/>
        <v/>
      </c>
    </row>
    <row r="817" spans="1:16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P817" s="10" t="str">
        <f t="shared" si="13"/>
        <v/>
      </c>
    </row>
    <row r="818" spans="1:16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P818" s="10" t="str">
        <f t="shared" si="13"/>
        <v/>
      </c>
    </row>
    <row r="819" spans="1:16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P819" s="10" t="str">
        <f t="shared" si="13"/>
        <v/>
      </c>
    </row>
    <row r="820" spans="1:16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P820" s="10" t="str">
        <f t="shared" si="13"/>
        <v/>
      </c>
    </row>
    <row r="821" spans="1:16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P821" s="10" t="str">
        <f t="shared" si="13"/>
        <v/>
      </c>
    </row>
    <row r="822" spans="1:16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P822" s="10" t="str">
        <f t="shared" si="13"/>
        <v/>
      </c>
    </row>
    <row r="823" spans="1:16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P823" s="10" t="str">
        <f t="shared" si="13"/>
        <v/>
      </c>
    </row>
    <row r="824" spans="1:16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P824" s="10" t="str">
        <f t="shared" si="13"/>
        <v/>
      </c>
    </row>
    <row r="825" spans="1:16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P825" s="10" t="str">
        <f t="shared" si="13"/>
        <v/>
      </c>
    </row>
    <row r="826" spans="1:16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P826" s="10" t="str">
        <f t="shared" si="13"/>
        <v/>
      </c>
    </row>
    <row r="827" spans="1:16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P827" s="10" t="str">
        <f t="shared" si="13"/>
        <v/>
      </c>
    </row>
    <row r="828" spans="1:16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P828" s="10" t="str">
        <f t="shared" si="13"/>
        <v/>
      </c>
    </row>
    <row r="829" spans="1:16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P829" s="10" t="str">
        <f t="shared" si="13"/>
        <v/>
      </c>
    </row>
    <row r="830" spans="1:16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P830" s="10" t="str">
        <f t="shared" si="13"/>
        <v/>
      </c>
    </row>
    <row r="831" spans="1:16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P831" s="10" t="str">
        <f t="shared" si="13"/>
        <v/>
      </c>
    </row>
    <row r="832" spans="1:16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P832" s="10" t="str">
        <f t="shared" si="13"/>
        <v/>
      </c>
    </row>
    <row r="833" spans="1:16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P833" s="10" t="str">
        <f t="shared" si="13"/>
        <v/>
      </c>
    </row>
    <row r="834" spans="1:16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P834" s="10" t="str">
        <f t="shared" si="13"/>
        <v/>
      </c>
    </row>
    <row r="835" spans="1:16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P835" s="10" t="str">
        <f t="shared" si="13"/>
        <v/>
      </c>
    </row>
    <row r="836" spans="1:16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P836" s="10" t="str">
        <f t="shared" si="13"/>
        <v/>
      </c>
    </row>
    <row r="837" spans="1:16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P837" s="10" t="str">
        <f t="shared" si="13"/>
        <v/>
      </c>
    </row>
    <row r="838" spans="1:16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P838" s="10" t="str">
        <f t="shared" si="13"/>
        <v/>
      </c>
    </row>
    <row r="839" spans="1:16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P839" s="10" t="str">
        <f t="shared" si="13"/>
        <v/>
      </c>
    </row>
    <row r="840" spans="1:16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P840" s="10" t="str">
        <f t="shared" si="13"/>
        <v/>
      </c>
    </row>
    <row r="841" spans="1:16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P841" s="10" t="str">
        <f t="shared" si="13"/>
        <v/>
      </c>
    </row>
    <row r="842" spans="1:16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P842" s="10" t="str">
        <f t="shared" si="13"/>
        <v/>
      </c>
    </row>
    <row r="843" spans="1:16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P843" s="10" t="str">
        <f t="shared" ref="P843:P906" si="14">IF(AND(ISBLANK(N843),ISBLANK(O843)),"",IF(ISBLANK(O843), ROUND(P842+N843,2), ROUND(P842+O843,2)))</f>
        <v/>
      </c>
    </row>
    <row r="844" spans="1:16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P844" s="10" t="str">
        <f t="shared" si="14"/>
        <v/>
      </c>
    </row>
    <row r="845" spans="1:16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P845" s="10" t="str">
        <f t="shared" si="14"/>
        <v/>
      </c>
    </row>
    <row r="846" spans="1:16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P846" s="10" t="str">
        <f t="shared" si="14"/>
        <v/>
      </c>
    </row>
    <row r="847" spans="1:16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P847" s="10" t="str">
        <f t="shared" si="14"/>
        <v/>
      </c>
    </row>
    <row r="848" spans="1:16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P848" s="10" t="str">
        <f t="shared" si="14"/>
        <v/>
      </c>
    </row>
    <row r="849" spans="1:16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P849" s="10" t="str">
        <f t="shared" si="14"/>
        <v/>
      </c>
    </row>
    <row r="850" spans="1:16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P850" s="10" t="str">
        <f t="shared" si="14"/>
        <v/>
      </c>
    </row>
    <row r="851" spans="1:16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P851" s="10" t="str">
        <f t="shared" si="14"/>
        <v/>
      </c>
    </row>
    <row r="852" spans="1:16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P852" s="10" t="str">
        <f t="shared" si="14"/>
        <v/>
      </c>
    </row>
    <row r="853" spans="1:16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P853" s="10" t="str">
        <f t="shared" si="14"/>
        <v/>
      </c>
    </row>
    <row r="854" spans="1:16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P854" s="10" t="str">
        <f t="shared" si="14"/>
        <v/>
      </c>
    </row>
    <row r="855" spans="1:16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P855" s="10" t="str">
        <f t="shared" si="14"/>
        <v/>
      </c>
    </row>
    <row r="856" spans="1:16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P856" s="10" t="str">
        <f t="shared" si="14"/>
        <v/>
      </c>
    </row>
    <row r="857" spans="1:16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P857" s="10" t="str">
        <f t="shared" si="14"/>
        <v/>
      </c>
    </row>
    <row r="858" spans="1:16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P858" s="10" t="str">
        <f t="shared" si="14"/>
        <v/>
      </c>
    </row>
    <row r="859" spans="1:16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P859" s="10" t="str">
        <f t="shared" si="14"/>
        <v/>
      </c>
    </row>
    <row r="860" spans="1:16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P860" s="10" t="str">
        <f t="shared" si="14"/>
        <v/>
      </c>
    </row>
    <row r="861" spans="1:16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P861" s="10" t="str">
        <f t="shared" si="14"/>
        <v/>
      </c>
    </row>
    <row r="862" spans="1:16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P862" s="10" t="str">
        <f t="shared" si="14"/>
        <v/>
      </c>
    </row>
    <row r="863" spans="1:16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P863" s="10" t="str">
        <f t="shared" si="14"/>
        <v/>
      </c>
    </row>
    <row r="864" spans="1:16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P864" s="10" t="str">
        <f t="shared" si="14"/>
        <v/>
      </c>
    </row>
    <row r="865" spans="1:16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P865" s="10" t="str">
        <f t="shared" si="14"/>
        <v/>
      </c>
    </row>
    <row r="866" spans="1:16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P866" s="10" t="str">
        <f t="shared" si="14"/>
        <v/>
      </c>
    </row>
    <row r="867" spans="1:16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P867" s="10" t="str">
        <f t="shared" si="14"/>
        <v/>
      </c>
    </row>
    <row r="868" spans="1:16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P868" s="10" t="str">
        <f t="shared" si="14"/>
        <v/>
      </c>
    </row>
    <row r="869" spans="1:16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P869" s="10" t="str">
        <f t="shared" si="14"/>
        <v/>
      </c>
    </row>
    <row r="870" spans="1:16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P870" s="10" t="str">
        <f t="shared" si="14"/>
        <v/>
      </c>
    </row>
    <row r="871" spans="1:16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P871" s="10" t="str">
        <f t="shared" si="14"/>
        <v/>
      </c>
    </row>
    <row r="872" spans="1:16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P872" s="10" t="str">
        <f t="shared" si="14"/>
        <v/>
      </c>
    </row>
    <row r="873" spans="1:16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P873" s="10" t="str">
        <f t="shared" si="14"/>
        <v/>
      </c>
    </row>
    <row r="874" spans="1:16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P874" s="10" t="str">
        <f t="shared" si="14"/>
        <v/>
      </c>
    </row>
    <row r="875" spans="1:16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P875" s="10" t="str">
        <f t="shared" si="14"/>
        <v/>
      </c>
    </row>
    <row r="876" spans="1:16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P876" s="10" t="str">
        <f t="shared" si="14"/>
        <v/>
      </c>
    </row>
    <row r="877" spans="1:16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P877" s="10" t="str">
        <f t="shared" si="14"/>
        <v/>
      </c>
    </row>
    <row r="878" spans="1:16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P878" s="10" t="str">
        <f t="shared" si="14"/>
        <v/>
      </c>
    </row>
    <row r="879" spans="1:16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P879" s="10" t="str">
        <f t="shared" si="14"/>
        <v/>
      </c>
    </row>
    <row r="880" spans="1:16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P880" s="10" t="str">
        <f t="shared" si="14"/>
        <v/>
      </c>
    </row>
    <row r="881" spans="1:16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P881" s="10" t="str">
        <f t="shared" si="14"/>
        <v/>
      </c>
    </row>
    <row r="882" spans="1:16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P882" s="10" t="str">
        <f t="shared" si="14"/>
        <v/>
      </c>
    </row>
    <row r="883" spans="1:16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P883" s="10" t="str">
        <f t="shared" si="14"/>
        <v/>
      </c>
    </row>
    <row r="884" spans="1:16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P884" s="10" t="str">
        <f t="shared" si="14"/>
        <v/>
      </c>
    </row>
    <row r="885" spans="1:16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P885" s="10" t="str">
        <f t="shared" si="14"/>
        <v/>
      </c>
    </row>
    <row r="886" spans="1:16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P886" s="10" t="str">
        <f t="shared" si="14"/>
        <v/>
      </c>
    </row>
    <row r="887" spans="1:16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P887" s="10" t="str">
        <f t="shared" si="14"/>
        <v/>
      </c>
    </row>
    <row r="888" spans="1:16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P888" s="10" t="str">
        <f t="shared" si="14"/>
        <v/>
      </c>
    </row>
    <row r="889" spans="1:16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P889" s="10" t="str">
        <f t="shared" si="14"/>
        <v/>
      </c>
    </row>
    <row r="890" spans="1:16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P890" s="10" t="str">
        <f t="shared" si="14"/>
        <v/>
      </c>
    </row>
    <row r="891" spans="1:16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P891" s="10" t="str">
        <f t="shared" si="14"/>
        <v/>
      </c>
    </row>
    <row r="892" spans="1:16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P892" s="10" t="str">
        <f t="shared" si="14"/>
        <v/>
      </c>
    </row>
    <row r="893" spans="1:16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P893" s="10" t="str">
        <f t="shared" si="14"/>
        <v/>
      </c>
    </row>
    <row r="894" spans="1:16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P894" s="10" t="str">
        <f t="shared" si="14"/>
        <v/>
      </c>
    </row>
    <row r="895" spans="1:16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P895" s="10" t="str">
        <f t="shared" si="14"/>
        <v/>
      </c>
    </row>
    <row r="896" spans="1:16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P896" s="10" t="str">
        <f t="shared" si="14"/>
        <v/>
      </c>
    </row>
    <row r="897" spans="1:16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P897" s="10" t="str">
        <f t="shared" si="14"/>
        <v/>
      </c>
    </row>
    <row r="898" spans="1:16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P898" s="10" t="str">
        <f t="shared" si="14"/>
        <v/>
      </c>
    </row>
    <row r="899" spans="1:16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P899" s="10" t="str">
        <f t="shared" si="14"/>
        <v/>
      </c>
    </row>
    <row r="900" spans="1:16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P900" s="10" t="str">
        <f t="shared" si="14"/>
        <v/>
      </c>
    </row>
    <row r="901" spans="1:16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P901" s="10" t="str">
        <f t="shared" si="14"/>
        <v/>
      </c>
    </row>
    <row r="902" spans="1:16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P902" s="10" t="str">
        <f t="shared" si="14"/>
        <v/>
      </c>
    </row>
    <row r="903" spans="1:16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P903" s="10" t="str">
        <f t="shared" si="14"/>
        <v/>
      </c>
    </row>
    <row r="904" spans="1:16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P904" s="10" t="str">
        <f t="shared" si="14"/>
        <v/>
      </c>
    </row>
    <row r="905" spans="1:16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P905" s="10" t="str">
        <f t="shared" si="14"/>
        <v/>
      </c>
    </row>
    <row r="906" spans="1:16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P906" s="10" t="str">
        <f t="shared" si="14"/>
        <v/>
      </c>
    </row>
    <row r="907" spans="1:16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P907" s="10" t="str">
        <f t="shared" ref="P907:P970" si="15">IF(AND(ISBLANK(N907),ISBLANK(O907)),"",IF(ISBLANK(O907), ROUND(P906+N907,2), ROUND(P906+O907,2)))</f>
        <v/>
      </c>
    </row>
    <row r="908" spans="1:16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P908" s="10" t="str">
        <f t="shared" si="15"/>
        <v/>
      </c>
    </row>
    <row r="909" spans="1:16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P909" s="10" t="str">
        <f t="shared" si="15"/>
        <v/>
      </c>
    </row>
    <row r="910" spans="1:16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P910" s="10" t="str">
        <f t="shared" si="15"/>
        <v/>
      </c>
    </row>
    <row r="911" spans="1:16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P911" s="10" t="str">
        <f t="shared" si="15"/>
        <v/>
      </c>
    </row>
    <row r="912" spans="1:16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P912" s="10" t="str">
        <f t="shared" si="15"/>
        <v/>
      </c>
    </row>
    <row r="913" spans="1:16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P913" s="10" t="str">
        <f t="shared" si="15"/>
        <v/>
      </c>
    </row>
    <row r="914" spans="1:16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P914" s="10" t="str">
        <f t="shared" si="15"/>
        <v/>
      </c>
    </row>
    <row r="915" spans="1:16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P915" s="10" t="str">
        <f t="shared" si="15"/>
        <v/>
      </c>
    </row>
    <row r="916" spans="1:16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P916" s="10" t="str">
        <f t="shared" si="15"/>
        <v/>
      </c>
    </row>
    <row r="917" spans="1:16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P917" s="10" t="str">
        <f t="shared" si="15"/>
        <v/>
      </c>
    </row>
    <row r="918" spans="1:16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P918" s="10" t="str">
        <f t="shared" si="15"/>
        <v/>
      </c>
    </row>
    <row r="919" spans="1:16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P919" s="10" t="str">
        <f t="shared" si="15"/>
        <v/>
      </c>
    </row>
    <row r="920" spans="1:16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P920" s="10" t="str">
        <f t="shared" si="15"/>
        <v/>
      </c>
    </row>
    <row r="921" spans="1:16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P921" s="10" t="str">
        <f t="shared" si="15"/>
        <v/>
      </c>
    </row>
    <row r="922" spans="1:16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P922" s="10" t="str">
        <f t="shared" si="15"/>
        <v/>
      </c>
    </row>
    <row r="923" spans="1:16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P923" s="10" t="str">
        <f t="shared" si="15"/>
        <v/>
      </c>
    </row>
    <row r="924" spans="1:16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P924" s="10" t="str">
        <f t="shared" si="15"/>
        <v/>
      </c>
    </row>
    <row r="925" spans="1:16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P925" s="10" t="str">
        <f t="shared" si="15"/>
        <v/>
      </c>
    </row>
    <row r="926" spans="1:16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P926" s="10" t="str">
        <f t="shared" si="15"/>
        <v/>
      </c>
    </row>
    <row r="927" spans="1:16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P927" s="10" t="str">
        <f t="shared" si="15"/>
        <v/>
      </c>
    </row>
    <row r="928" spans="1:16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P928" s="10" t="str">
        <f t="shared" si="15"/>
        <v/>
      </c>
    </row>
    <row r="929" spans="1:16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P929" s="10" t="str">
        <f t="shared" si="15"/>
        <v/>
      </c>
    </row>
    <row r="930" spans="1:16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P930" s="10" t="str">
        <f t="shared" si="15"/>
        <v/>
      </c>
    </row>
    <row r="931" spans="1:16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P931" s="10" t="str">
        <f t="shared" si="15"/>
        <v/>
      </c>
    </row>
    <row r="932" spans="1:16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P932" s="10" t="str">
        <f t="shared" si="15"/>
        <v/>
      </c>
    </row>
    <row r="933" spans="1:16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P933" s="10" t="str">
        <f t="shared" si="15"/>
        <v/>
      </c>
    </row>
    <row r="934" spans="1:16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P934" s="10" t="str">
        <f t="shared" si="15"/>
        <v/>
      </c>
    </row>
    <row r="935" spans="1:16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P935" s="10" t="str">
        <f t="shared" si="15"/>
        <v/>
      </c>
    </row>
    <row r="936" spans="1:16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P936" s="10" t="str">
        <f t="shared" si="15"/>
        <v/>
      </c>
    </row>
    <row r="937" spans="1:16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P937" s="10" t="str">
        <f t="shared" si="15"/>
        <v/>
      </c>
    </row>
    <row r="938" spans="1:16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P938" s="10" t="str">
        <f t="shared" si="15"/>
        <v/>
      </c>
    </row>
    <row r="939" spans="1:16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P939" s="10" t="str">
        <f t="shared" si="15"/>
        <v/>
      </c>
    </row>
    <row r="940" spans="1:16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P940" s="10" t="str">
        <f t="shared" si="15"/>
        <v/>
      </c>
    </row>
    <row r="941" spans="1:16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P941" s="10" t="str">
        <f t="shared" si="15"/>
        <v/>
      </c>
    </row>
    <row r="942" spans="1:16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P942" s="10" t="str">
        <f t="shared" si="15"/>
        <v/>
      </c>
    </row>
    <row r="943" spans="1:16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P943" s="10" t="str">
        <f t="shared" si="15"/>
        <v/>
      </c>
    </row>
    <row r="944" spans="1:16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P944" s="10" t="str">
        <f t="shared" si="15"/>
        <v/>
      </c>
    </row>
    <row r="945" spans="1:16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P945" s="10" t="str">
        <f t="shared" si="15"/>
        <v/>
      </c>
    </row>
    <row r="946" spans="1:16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P946" s="10" t="str">
        <f t="shared" si="15"/>
        <v/>
      </c>
    </row>
    <row r="947" spans="1:16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P947" s="10" t="str">
        <f t="shared" si="15"/>
        <v/>
      </c>
    </row>
    <row r="948" spans="1:16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P948" s="10" t="str">
        <f t="shared" si="15"/>
        <v/>
      </c>
    </row>
    <row r="949" spans="1:16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P949" s="10" t="str">
        <f t="shared" si="15"/>
        <v/>
      </c>
    </row>
    <row r="950" spans="1:16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P950" s="10" t="str">
        <f t="shared" si="15"/>
        <v/>
      </c>
    </row>
    <row r="951" spans="1:16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P951" s="10" t="str">
        <f t="shared" si="15"/>
        <v/>
      </c>
    </row>
    <row r="952" spans="1:16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P952" s="10" t="str">
        <f t="shared" si="15"/>
        <v/>
      </c>
    </row>
    <row r="953" spans="1:16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P953" s="10" t="str">
        <f t="shared" si="15"/>
        <v/>
      </c>
    </row>
    <row r="954" spans="1:16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P954" s="10" t="str">
        <f t="shared" si="15"/>
        <v/>
      </c>
    </row>
    <row r="955" spans="1:16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P955" s="10" t="str">
        <f t="shared" si="15"/>
        <v/>
      </c>
    </row>
    <row r="956" spans="1:16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P956" s="10" t="str">
        <f t="shared" si="15"/>
        <v/>
      </c>
    </row>
    <row r="957" spans="1:16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P957" s="10" t="str">
        <f t="shared" si="15"/>
        <v/>
      </c>
    </row>
    <row r="958" spans="1:16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P958" s="10" t="str">
        <f t="shared" si="15"/>
        <v/>
      </c>
    </row>
    <row r="959" spans="1:16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P959" s="10" t="str">
        <f t="shared" si="15"/>
        <v/>
      </c>
    </row>
    <row r="960" spans="1:16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P960" s="10" t="str">
        <f t="shared" si="15"/>
        <v/>
      </c>
    </row>
    <row r="961" spans="1:16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P961" s="10" t="str">
        <f t="shared" si="15"/>
        <v/>
      </c>
    </row>
    <row r="962" spans="1:16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P962" s="10" t="str">
        <f t="shared" si="15"/>
        <v/>
      </c>
    </row>
    <row r="963" spans="1:16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P963" s="10" t="str">
        <f t="shared" si="15"/>
        <v/>
      </c>
    </row>
    <row r="964" spans="1:16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P964" s="10" t="str">
        <f t="shared" si="15"/>
        <v/>
      </c>
    </row>
    <row r="965" spans="1:16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P965" s="10" t="str">
        <f t="shared" si="15"/>
        <v/>
      </c>
    </row>
    <row r="966" spans="1:16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P966" s="10" t="str">
        <f t="shared" si="15"/>
        <v/>
      </c>
    </row>
    <row r="967" spans="1:16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P967" s="10" t="str">
        <f t="shared" si="15"/>
        <v/>
      </c>
    </row>
    <row r="968" spans="1:16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P968" s="10" t="str">
        <f t="shared" si="15"/>
        <v/>
      </c>
    </row>
    <row r="969" spans="1:16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P969" s="10" t="str">
        <f t="shared" si="15"/>
        <v/>
      </c>
    </row>
    <row r="970" spans="1:16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P970" s="10" t="str">
        <f t="shared" si="15"/>
        <v/>
      </c>
    </row>
    <row r="971" spans="1:16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P971" s="10" t="str">
        <f t="shared" ref="P971:P1034" si="16">IF(AND(ISBLANK(N971),ISBLANK(O971)),"",IF(ISBLANK(O971), ROUND(P970+N971,2), ROUND(P970+O971,2)))</f>
        <v/>
      </c>
    </row>
    <row r="972" spans="1:16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P972" s="10" t="str">
        <f t="shared" si="16"/>
        <v/>
      </c>
    </row>
    <row r="973" spans="1:16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P973" s="10" t="str">
        <f t="shared" si="16"/>
        <v/>
      </c>
    </row>
    <row r="974" spans="1:16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P974" s="10" t="str">
        <f t="shared" si="16"/>
        <v/>
      </c>
    </row>
    <row r="975" spans="1:16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P975" s="10" t="str">
        <f t="shared" si="16"/>
        <v/>
      </c>
    </row>
    <row r="976" spans="1:16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P976" s="10" t="str">
        <f t="shared" si="16"/>
        <v/>
      </c>
    </row>
    <row r="977" spans="1:16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P977" s="10" t="str">
        <f t="shared" si="16"/>
        <v/>
      </c>
    </row>
    <row r="978" spans="1:16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P978" s="10" t="str">
        <f t="shared" si="16"/>
        <v/>
      </c>
    </row>
    <row r="979" spans="1:16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P979" s="10" t="str">
        <f t="shared" si="16"/>
        <v/>
      </c>
    </row>
    <row r="980" spans="1:16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P980" s="10" t="str">
        <f t="shared" si="16"/>
        <v/>
      </c>
    </row>
    <row r="981" spans="1:16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P981" s="10" t="str">
        <f t="shared" si="16"/>
        <v/>
      </c>
    </row>
    <row r="982" spans="1:16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P982" s="10" t="str">
        <f t="shared" si="16"/>
        <v/>
      </c>
    </row>
    <row r="983" spans="1:16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P983" s="10" t="str">
        <f t="shared" si="16"/>
        <v/>
      </c>
    </row>
    <row r="984" spans="1:16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P984" s="10" t="str">
        <f t="shared" si="16"/>
        <v/>
      </c>
    </row>
    <row r="985" spans="1:16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P985" s="10" t="str">
        <f t="shared" si="16"/>
        <v/>
      </c>
    </row>
    <row r="986" spans="1:16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P986" s="10" t="str">
        <f t="shared" si="16"/>
        <v/>
      </c>
    </row>
    <row r="987" spans="1:16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P987" s="10" t="str">
        <f t="shared" si="16"/>
        <v/>
      </c>
    </row>
    <row r="988" spans="1:16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P988" s="10" t="str">
        <f t="shared" si="16"/>
        <v/>
      </c>
    </row>
    <row r="989" spans="1:16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P989" s="10" t="str">
        <f t="shared" si="16"/>
        <v/>
      </c>
    </row>
    <row r="990" spans="1:16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P990" s="10" t="str">
        <f t="shared" si="16"/>
        <v/>
      </c>
    </row>
    <row r="991" spans="1:16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P991" s="10" t="str">
        <f t="shared" si="16"/>
        <v/>
      </c>
    </row>
    <row r="992" spans="1:16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P992" s="10" t="str">
        <f t="shared" si="16"/>
        <v/>
      </c>
    </row>
    <row r="993" spans="1:16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P993" s="10" t="str">
        <f t="shared" si="16"/>
        <v/>
      </c>
    </row>
    <row r="994" spans="1:16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P994" s="10" t="str">
        <f t="shared" si="16"/>
        <v/>
      </c>
    </row>
    <row r="995" spans="1:16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P995" s="10" t="str">
        <f t="shared" si="16"/>
        <v/>
      </c>
    </row>
    <row r="996" spans="1:16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P996" s="10" t="str">
        <f t="shared" si="16"/>
        <v/>
      </c>
    </row>
    <row r="997" spans="1:16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P997" s="10" t="str">
        <f t="shared" si="16"/>
        <v/>
      </c>
    </row>
    <row r="998" spans="1:16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P998" s="10" t="str">
        <f t="shared" si="16"/>
        <v/>
      </c>
    </row>
    <row r="999" spans="1:16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P999" s="10" t="str">
        <f t="shared" si="16"/>
        <v/>
      </c>
    </row>
    <row r="1000" spans="1:16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P1000" s="10" t="str">
        <f t="shared" si="16"/>
        <v/>
      </c>
    </row>
    <row r="1001" spans="1:16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P1001" s="10" t="str">
        <f t="shared" si="16"/>
        <v/>
      </c>
    </row>
    <row r="1002" spans="1:16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P1002" s="10" t="str">
        <f t="shared" si="16"/>
        <v/>
      </c>
    </row>
    <row r="1003" spans="1:16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P1003" s="10" t="str">
        <f t="shared" si="16"/>
        <v/>
      </c>
    </row>
    <row r="1004" spans="1:16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P1004" s="10" t="str">
        <f t="shared" si="16"/>
        <v/>
      </c>
    </row>
    <row r="1005" spans="1:16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P1005" s="10" t="str">
        <f t="shared" si="16"/>
        <v/>
      </c>
    </row>
    <row r="1006" spans="1:16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P1006" s="10" t="str">
        <f t="shared" si="16"/>
        <v/>
      </c>
    </row>
    <row r="1007" spans="1:16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P1007" s="10" t="str">
        <f t="shared" si="16"/>
        <v/>
      </c>
    </row>
    <row r="1008" spans="1:16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P1008" s="10" t="str">
        <f t="shared" si="16"/>
        <v/>
      </c>
    </row>
    <row r="1009" spans="1:16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P1009" s="10" t="str">
        <f t="shared" si="16"/>
        <v/>
      </c>
    </row>
    <row r="1010" spans="1:16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P1010" s="10" t="str">
        <f t="shared" si="16"/>
        <v/>
      </c>
    </row>
    <row r="1011" spans="1:16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P1011" s="10" t="str">
        <f t="shared" si="16"/>
        <v/>
      </c>
    </row>
    <row r="1012" spans="1:16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P1012" s="10" t="str">
        <f t="shared" si="16"/>
        <v/>
      </c>
    </row>
    <row r="1013" spans="1:16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P1013" s="10" t="str">
        <f t="shared" si="16"/>
        <v/>
      </c>
    </row>
    <row r="1014" spans="1:16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P1014" s="10" t="str">
        <f t="shared" si="16"/>
        <v/>
      </c>
    </row>
    <row r="1015" spans="1:16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P1015" s="10" t="str">
        <f t="shared" si="16"/>
        <v/>
      </c>
    </row>
    <row r="1016" spans="1:16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P1016" s="10" t="str">
        <f t="shared" si="16"/>
        <v/>
      </c>
    </row>
    <row r="1017" spans="1:16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P1017" s="10" t="str">
        <f t="shared" si="16"/>
        <v/>
      </c>
    </row>
    <row r="1018" spans="1:16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P1018" s="10" t="str">
        <f t="shared" si="16"/>
        <v/>
      </c>
    </row>
    <row r="1019" spans="1:16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P1019" s="10" t="str">
        <f t="shared" si="16"/>
        <v/>
      </c>
    </row>
    <row r="1020" spans="1:16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P1020" s="10" t="str">
        <f t="shared" si="16"/>
        <v/>
      </c>
    </row>
    <row r="1021" spans="1:16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P1021" s="10" t="str">
        <f t="shared" si="16"/>
        <v/>
      </c>
    </row>
    <row r="1022" spans="1:16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P1022" s="10" t="str">
        <f t="shared" si="16"/>
        <v/>
      </c>
    </row>
    <row r="1023" spans="1:16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P1023" s="10" t="str">
        <f t="shared" si="16"/>
        <v/>
      </c>
    </row>
    <row r="1024" spans="1:16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P1024" s="10" t="str">
        <f t="shared" si="16"/>
        <v/>
      </c>
    </row>
    <row r="1025" spans="1:16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P1025" s="10" t="str">
        <f t="shared" si="16"/>
        <v/>
      </c>
    </row>
    <row r="1026" spans="1:16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P1026" s="10" t="str">
        <f t="shared" si="16"/>
        <v/>
      </c>
    </row>
    <row r="1027" spans="1:16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P1027" s="10" t="str">
        <f t="shared" si="16"/>
        <v/>
      </c>
    </row>
    <row r="1028" spans="1:16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P1028" s="10" t="str">
        <f t="shared" si="16"/>
        <v/>
      </c>
    </row>
    <row r="1029" spans="1:16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P1029" s="10" t="str">
        <f t="shared" si="16"/>
        <v/>
      </c>
    </row>
    <row r="1030" spans="1:16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P1030" s="10" t="str">
        <f t="shared" si="16"/>
        <v/>
      </c>
    </row>
    <row r="1031" spans="1:16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P1031" s="10" t="str">
        <f t="shared" si="16"/>
        <v/>
      </c>
    </row>
    <row r="1032" spans="1:16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P1032" s="10" t="str">
        <f t="shared" si="16"/>
        <v/>
      </c>
    </row>
    <row r="1033" spans="1:16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P1033" s="10" t="str">
        <f t="shared" si="16"/>
        <v/>
      </c>
    </row>
    <row r="1034" spans="1:16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P1034" s="10" t="str">
        <f t="shared" si="16"/>
        <v/>
      </c>
    </row>
    <row r="1035" spans="1:16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P1035" s="10" t="str">
        <f t="shared" ref="P1035:P1098" si="17">IF(AND(ISBLANK(N1035),ISBLANK(O1035)),"",IF(ISBLANK(O1035), ROUND(P1034+N1035,2), ROUND(P1034+O1035,2)))</f>
        <v/>
      </c>
    </row>
    <row r="1036" spans="1:16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P1036" s="10" t="str">
        <f t="shared" si="17"/>
        <v/>
      </c>
    </row>
    <row r="1037" spans="1:16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P1037" s="10" t="str">
        <f t="shared" si="17"/>
        <v/>
      </c>
    </row>
    <row r="1038" spans="1:16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P1038" s="10" t="str">
        <f t="shared" si="17"/>
        <v/>
      </c>
    </row>
    <row r="1039" spans="1:16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P1039" s="10" t="str">
        <f t="shared" si="17"/>
        <v/>
      </c>
    </row>
    <row r="1040" spans="1:16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P1040" s="10" t="str">
        <f t="shared" si="17"/>
        <v/>
      </c>
    </row>
    <row r="1041" spans="1:16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P1041" s="10" t="str">
        <f t="shared" si="17"/>
        <v/>
      </c>
    </row>
    <row r="1042" spans="1:16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P1042" s="10" t="str">
        <f t="shared" si="17"/>
        <v/>
      </c>
    </row>
    <row r="1043" spans="1:16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P1043" s="10" t="str">
        <f t="shared" si="17"/>
        <v/>
      </c>
    </row>
    <row r="1044" spans="1:16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P1044" s="10" t="str">
        <f t="shared" si="17"/>
        <v/>
      </c>
    </row>
    <row r="1045" spans="1:16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P1045" s="10" t="str">
        <f t="shared" si="17"/>
        <v/>
      </c>
    </row>
    <row r="1046" spans="1:16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P1046" s="10" t="str">
        <f t="shared" si="17"/>
        <v/>
      </c>
    </row>
    <row r="1047" spans="1:16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P1047" s="10" t="str">
        <f t="shared" si="17"/>
        <v/>
      </c>
    </row>
    <row r="1048" spans="1:16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P1048" s="10" t="str">
        <f t="shared" si="17"/>
        <v/>
      </c>
    </row>
    <row r="1049" spans="1:16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P1049" s="10" t="str">
        <f t="shared" si="17"/>
        <v/>
      </c>
    </row>
    <row r="1050" spans="1:16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P1050" s="10" t="str">
        <f t="shared" si="17"/>
        <v/>
      </c>
    </row>
    <row r="1051" spans="1:16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P1051" s="10" t="str">
        <f t="shared" si="17"/>
        <v/>
      </c>
    </row>
    <row r="1052" spans="1:16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P1052" s="10" t="str">
        <f t="shared" si="17"/>
        <v/>
      </c>
    </row>
    <row r="1053" spans="1:16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P1053" s="10" t="str">
        <f t="shared" si="17"/>
        <v/>
      </c>
    </row>
    <row r="1054" spans="1:16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P1054" s="10" t="str">
        <f t="shared" si="17"/>
        <v/>
      </c>
    </row>
    <row r="1055" spans="1:16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P1055" s="10" t="str">
        <f t="shared" si="17"/>
        <v/>
      </c>
    </row>
    <row r="1056" spans="1:16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P1056" s="10" t="str">
        <f t="shared" si="17"/>
        <v/>
      </c>
    </row>
    <row r="1057" spans="1:16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P1057" s="10" t="str">
        <f t="shared" si="17"/>
        <v/>
      </c>
    </row>
    <row r="1058" spans="1:16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P1058" s="10" t="str">
        <f t="shared" si="17"/>
        <v/>
      </c>
    </row>
    <row r="1059" spans="1:16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P1059" s="10" t="str">
        <f t="shared" si="17"/>
        <v/>
      </c>
    </row>
    <row r="1060" spans="1:16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P1060" s="10" t="str">
        <f t="shared" si="17"/>
        <v/>
      </c>
    </row>
    <row r="1061" spans="1:16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P1061" s="10" t="str">
        <f t="shared" si="17"/>
        <v/>
      </c>
    </row>
    <row r="1062" spans="1:16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P1062" s="10" t="str">
        <f t="shared" si="17"/>
        <v/>
      </c>
    </row>
    <row r="1063" spans="1:16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P1063" s="10" t="str">
        <f t="shared" si="17"/>
        <v/>
      </c>
    </row>
    <row r="1064" spans="1:16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P1064" s="10" t="str">
        <f t="shared" si="17"/>
        <v/>
      </c>
    </row>
    <row r="1065" spans="1:16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P1065" s="10" t="str">
        <f t="shared" si="17"/>
        <v/>
      </c>
    </row>
    <row r="1066" spans="1:16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P1066" s="10" t="str">
        <f t="shared" si="17"/>
        <v/>
      </c>
    </row>
    <row r="1067" spans="1:16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P1067" s="10" t="str">
        <f t="shared" si="17"/>
        <v/>
      </c>
    </row>
    <row r="1068" spans="1:16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P1068" s="10" t="str">
        <f t="shared" si="17"/>
        <v/>
      </c>
    </row>
    <row r="1069" spans="1:16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P1069" s="10" t="str">
        <f t="shared" si="17"/>
        <v/>
      </c>
    </row>
    <row r="1070" spans="1:16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P1070" s="10" t="str">
        <f t="shared" si="17"/>
        <v/>
      </c>
    </row>
    <row r="1071" spans="1:16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P1071" s="10" t="str">
        <f t="shared" si="17"/>
        <v/>
      </c>
    </row>
    <row r="1072" spans="1:16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P1072" s="10" t="str">
        <f t="shared" si="17"/>
        <v/>
      </c>
    </row>
    <row r="1073" spans="1:16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P1073" s="10" t="str">
        <f t="shared" si="17"/>
        <v/>
      </c>
    </row>
    <row r="1074" spans="1:16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P1074" s="10" t="str">
        <f t="shared" si="17"/>
        <v/>
      </c>
    </row>
    <row r="1075" spans="1:16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P1075" s="10" t="str">
        <f t="shared" si="17"/>
        <v/>
      </c>
    </row>
    <row r="1076" spans="1:16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P1076" s="10" t="str">
        <f t="shared" si="17"/>
        <v/>
      </c>
    </row>
    <row r="1077" spans="1:16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P1077" s="10" t="str">
        <f t="shared" si="17"/>
        <v/>
      </c>
    </row>
    <row r="1078" spans="1:16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P1078" s="10" t="str">
        <f t="shared" si="17"/>
        <v/>
      </c>
    </row>
    <row r="1079" spans="1:16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P1079" s="10" t="str">
        <f t="shared" si="17"/>
        <v/>
      </c>
    </row>
    <row r="1080" spans="1:16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P1080" s="10" t="str">
        <f t="shared" si="17"/>
        <v/>
      </c>
    </row>
    <row r="1081" spans="1:16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P1081" s="10" t="str">
        <f t="shared" si="17"/>
        <v/>
      </c>
    </row>
    <row r="1082" spans="1:16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P1082" s="10" t="str">
        <f t="shared" si="17"/>
        <v/>
      </c>
    </row>
    <row r="1083" spans="1:16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P1083" s="10" t="str">
        <f t="shared" si="17"/>
        <v/>
      </c>
    </row>
    <row r="1084" spans="1:16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P1084" s="10" t="str">
        <f t="shared" si="17"/>
        <v/>
      </c>
    </row>
    <row r="1085" spans="1:16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P1085" s="10" t="str">
        <f t="shared" si="17"/>
        <v/>
      </c>
    </row>
    <row r="1086" spans="1:16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P1086" s="10" t="str">
        <f t="shared" si="17"/>
        <v/>
      </c>
    </row>
    <row r="1087" spans="1:16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P1087" s="10" t="str">
        <f t="shared" si="17"/>
        <v/>
      </c>
    </row>
    <row r="1088" spans="1:16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P1088" s="10" t="str">
        <f t="shared" si="17"/>
        <v/>
      </c>
    </row>
    <row r="1089" spans="1:16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P1089" s="10" t="str">
        <f t="shared" si="17"/>
        <v/>
      </c>
    </row>
    <row r="1090" spans="1:16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P1090" s="10" t="str">
        <f t="shared" si="17"/>
        <v/>
      </c>
    </row>
    <row r="1091" spans="1:16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P1091" s="10" t="str">
        <f t="shared" si="17"/>
        <v/>
      </c>
    </row>
    <row r="1092" spans="1:16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P1092" s="10" t="str">
        <f t="shared" si="17"/>
        <v/>
      </c>
    </row>
    <row r="1093" spans="1:16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P1093" s="10" t="str">
        <f t="shared" si="17"/>
        <v/>
      </c>
    </row>
    <row r="1094" spans="1:16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P1094" s="10" t="str">
        <f t="shared" si="17"/>
        <v/>
      </c>
    </row>
    <row r="1095" spans="1:16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P1095" s="10" t="str">
        <f t="shared" si="17"/>
        <v/>
      </c>
    </row>
    <row r="1096" spans="1:16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P1096" s="10" t="str">
        <f t="shared" si="17"/>
        <v/>
      </c>
    </row>
    <row r="1097" spans="1:16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P1097" s="10" t="str">
        <f t="shared" si="17"/>
        <v/>
      </c>
    </row>
    <row r="1098" spans="1:16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P1098" s="10" t="str">
        <f t="shared" si="17"/>
        <v/>
      </c>
    </row>
    <row r="1099" spans="1:16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P1099" s="10" t="str">
        <f t="shared" ref="P1099:P1162" si="18">IF(AND(ISBLANK(N1099),ISBLANK(O1099)),"",IF(ISBLANK(O1099), ROUND(P1098+N1099,2), ROUND(P1098+O1099,2)))</f>
        <v/>
      </c>
    </row>
    <row r="1100" spans="1:16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P1100" s="10" t="str">
        <f t="shared" si="18"/>
        <v/>
      </c>
    </row>
    <row r="1101" spans="1:16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P1101" s="10" t="str">
        <f t="shared" si="18"/>
        <v/>
      </c>
    </row>
    <row r="1102" spans="1:16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P1102" s="10" t="str">
        <f t="shared" si="18"/>
        <v/>
      </c>
    </row>
    <row r="1103" spans="1:16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P1103" s="10" t="str">
        <f t="shared" si="18"/>
        <v/>
      </c>
    </row>
    <row r="1104" spans="1:16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P1104" s="10" t="str">
        <f t="shared" si="18"/>
        <v/>
      </c>
    </row>
    <row r="1105" spans="1:16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P1105" s="10" t="str">
        <f t="shared" si="18"/>
        <v/>
      </c>
    </row>
    <row r="1106" spans="1:16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P1106" s="10" t="str">
        <f t="shared" si="18"/>
        <v/>
      </c>
    </row>
    <row r="1107" spans="1:16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P1107" s="10" t="str">
        <f t="shared" si="18"/>
        <v/>
      </c>
    </row>
    <row r="1108" spans="1:16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P1108" s="10" t="str">
        <f t="shared" si="18"/>
        <v/>
      </c>
    </row>
    <row r="1109" spans="1:16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P1109" s="10" t="str">
        <f t="shared" si="18"/>
        <v/>
      </c>
    </row>
    <row r="1110" spans="1:16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P1110" s="10" t="str">
        <f t="shared" si="18"/>
        <v/>
      </c>
    </row>
    <row r="1111" spans="1:16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P1111" s="10" t="str">
        <f t="shared" si="18"/>
        <v/>
      </c>
    </row>
    <row r="1112" spans="1:16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P1112" s="10" t="str">
        <f t="shared" si="18"/>
        <v/>
      </c>
    </row>
    <row r="1113" spans="1:16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P1113" s="10" t="str">
        <f t="shared" si="18"/>
        <v/>
      </c>
    </row>
    <row r="1114" spans="1:16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P1114" s="10" t="str">
        <f t="shared" si="18"/>
        <v/>
      </c>
    </row>
    <row r="1115" spans="1:16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P1115" s="10" t="str">
        <f t="shared" si="18"/>
        <v/>
      </c>
    </row>
    <row r="1116" spans="1:16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P1116" s="10" t="str">
        <f t="shared" si="18"/>
        <v/>
      </c>
    </row>
    <row r="1117" spans="1:16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P1117" s="10" t="str">
        <f t="shared" si="18"/>
        <v/>
      </c>
    </row>
    <row r="1118" spans="1:16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P1118" s="10" t="str">
        <f t="shared" si="18"/>
        <v/>
      </c>
    </row>
    <row r="1119" spans="1:16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P1119" s="10" t="str">
        <f t="shared" si="18"/>
        <v/>
      </c>
    </row>
    <row r="1120" spans="1:16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P1120" s="10" t="str">
        <f t="shared" si="18"/>
        <v/>
      </c>
    </row>
    <row r="1121" spans="1:16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P1121" s="10" t="str">
        <f t="shared" si="18"/>
        <v/>
      </c>
    </row>
    <row r="1122" spans="1:16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P1122" s="10" t="str">
        <f t="shared" si="18"/>
        <v/>
      </c>
    </row>
    <row r="1123" spans="1:16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P1123" s="10" t="str">
        <f t="shared" si="18"/>
        <v/>
      </c>
    </row>
    <row r="1124" spans="1:16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P1124" s="10" t="str">
        <f t="shared" si="18"/>
        <v/>
      </c>
    </row>
    <row r="1125" spans="1:16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P1125" s="10" t="str">
        <f t="shared" si="18"/>
        <v/>
      </c>
    </row>
    <row r="1126" spans="1:16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P1126" s="10" t="str">
        <f t="shared" si="18"/>
        <v/>
      </c>
    </row>
    <row r="1127" spans="1:16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P1127" s="10" t="str">
        <f t="shared" si="18"/>
        <v/>
      </c>
    </row>
    <row r="1128" spans="1:16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P1128" s="10" t="str">
        <f t="shared" si="18"/>
        <v/>
      </c>
    </row>
    <row r="1129" spans="1:16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P1129" s="10" t="str">
        <f t="shared" si="18"/>
        <v/>
      </c>
    </row>
    <row r="1130" spans="1:16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P1130" s="10" t="str">
        <f t="shared" si="18"/>
        <v/>
      </c>
    </row>
    <row r="1131" spans="1:16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P1131" s="10" t="str">
        <f t="shared" si="18"/>
        <v/>
      </c>
    </row>
    <row r="1132" spans="1:16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P1132" s="10" t="str">
        <f t="shared" si="18"/>
        <v/>
      </c>
    </row>
    <row r="1133" spans="1:16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P1133" s="10" t="str">
        <f t="shared" si="18"/>
        <v/>
      </c>
    </row>
    <row r="1134" spans="1:16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P1134" s="10" t="str">
        <f t="shared" si="18"/>
        <v/>
      </c>
    </row>
    <row r="1135" spans="1:16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P1135" s="10" t="str">
        <f t="shared" si="18"/>
        <v/>
      </c>
    </row>
    <row r="1136" spans="1:16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P1136" s="10" t="str">
        <f t="shared" si="18"/>
        <v/>
      </c>
    </row>
    <row r="1137" spans="1:16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P1137" s="10" t="str">
        <f t="shared" si="18"/>
        <v/>
      </c>
    </row>
    <row r="1138" spans="1:16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P1138" s="10" t="str">
        <f t="shared" si="18"/>
        <v/>
      </c>
    </row>
    <row r="1139" spans="1:16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P1139" s="10" t="str">
        <f t="shared" si="18"/>
        <v/>
      </c>
    </row>
    <row r="1140" spans="1:16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P1140" s="10" t="str">
        <f t="shared" si="18"/>
        <v/>
      </c>
    </row>
    <row r="1141" spans="1:16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P1141" s="10" t="str">
        <f t="shared" si="18"/>
        <v/>
      </c>
    </row>
    <row r="1142" spans="1:16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P1142" s="10" t="str">
        <f t="shared" si="18"/>
        <v/>
      </c>
    </row>
    <row r="1143" spans="1:16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P1143" s="10" t="str">
        <f t="shared" si="18"/>
        <v/>
      </c>
    </row>
    <row r="1144" spans="1:16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P1144" s="10" t="str">
        <f t="shared" si="18"/>
        <v/>
      </c>
    </row>
    <row r="1145" spans="1:16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P1145" s="10" t="str">
        <f t="shared" si="18"/>
        <v/>
      </c>
    </row>
    <row r="1146" spans="1:16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P1146" s="10" t="str">
        <f t="shared" si="18"/>
        <v/>
      </c>
    </row>
    <row r="1147" spans="1:16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P1147" s="10" t="str">
        <f t="shared" si="18"/>
        <v/>
      </c>
    </row>
    <row r="1148" spans="1:16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P1148" s="10" t="str">
        <f t="shared" si="18"/>
        <v/>
      </c>
    </row>
    <row r="1149" spans="1:16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P1149" s="10" t="str">
        <f t="shared" si="18"/>
        <v/>
      </c>
    </row>
    <row r="1150" spans="1:16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P1150" s="10" t="str">
        <f t="shared" si="18"/>
        <v/>
      </c>
    </row>
    <row r="1151" spans="1:16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P1151" s="10" t="str">
        <f t="shared" si="18"/>
        <v/>
      </c>
    </row>
    <row r="1152" spans="1:16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P1152" s="10" t="str">
        <f t="shared" si="18"/>
        <v/>
      </c>
    </row>
    <row r="1153" spans="1:16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P1153" s="10" t="str">
        <f t="shared" si="18"/>
        <v/>
      </c>
    </row>
    <row r="1154" spans="1:16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P1154" s="10" t="str">
        <f t="shared" si="18"/>
        <v/>
      </c>
    </row>
    <row r="1155" spans="1:16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P1155" s="10" t="str">
        <f t="shared" si="18"/>
        <v/>
      </c>
    </row>
    <row r="1156" spans="1:16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P1156" s="10" t="str">
        <f t="shared" si="18"/>
        <v/>
      </c>
    </row>
    <row r="1157" spans="1:16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P1157" s="10" t="str">
        <f t="shared" si="18"/>
        <v/>
      </c>
    </row>
    <row r="1158" spans="1:16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P1158" s="10" t="str">
        <f t="shared" si="18"/>
        <v/>
      </c>
    </row>
    <row r="1159" spans="1:16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P1159" s="10" t="str">
        <f t="shared" si="18"/>
        <v/>
      </c>
    </row>
    <row r="1160" spans="1:16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P1160" s="10" t="str">
        <f t="shared" si="18"/>
        <v/>
      </c>
    </row>
    <row r="1161" spans="1:16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P1161" s="10" t="str">
        <f t="shared" si="18"/>
        <v/>
      </c>
    </row>
    <row r="1162" spans="1:16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P1162" s="10" t="str">
        <f t="shared" si="18"/>
        <v/>
      </c>
    </row>
    <row r="1163" spans="1:16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P1163" s="10" t="str">
        <f t="shared" ref="P1163:P1226" si="19">IF(AND(ISBLANK(N1163),ISBLANK(O1163)),"",IF(ISBLANK(O1163), ROUND(P1162+N1163,2), ROUND(P1162+O1163,2)))</f>
        <v/>
      </c>
    </row>
    <row r="1164" spans="1:16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P1164" s="10" t="str">
        <f t="shared" si="19"/>
        <v/>
      </c>
    </row>
    <row r="1165" spans="1:16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P1165" s="10" t="str">
        <f t="shared" si="19"/>
        <v/>
      </c>
    </row>
    <row r="1166" spans="1:16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P1166" s="10" t="str">
        <f t="shared" si="19"/>
        <v/>
      </c>
    </row>
    <row r="1167" spans="1:16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P1167" s="10" t="str">
        <f t="shared" si="19"/>
        <v/>
      </c>
    </row>
    <row r="1168" spans="1:16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P1168" s="10" t="str">
        <f t="shared" si="19"/>
        <v/>
      </c>
    </row>
    <row r="1169" spans="1:16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P1169" s="10" t="str">
        <f t="shared" si="19"/>
        <v/>
      </c>
    </row>
    <row r="1170" spans="1:16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P1170" s="10" t="str">
        <f t="shared" si="19"/>
        <v/>
      </c>
    </row>
    <row r="1171" spans="1:16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P1171" s="10" t="str">
        <f t="shared" si="19"/>
        <v/>
      </c>
    </row>
    <row r="1172" spans="1:16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P1172" s="10" t="str">
        <f t="shared" si="19"/>
        <v/>
      </c>
    </row>
    <row r="1173" spans="1:16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P1173" s="10" t="str">
        <f t="shared" si="19"/>
        <v/>
      </c>
    </row>
    <row r="1174" spans="1:16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P1174" s="10" t="str">
        <f t="shared" si="19"/>
        <v/>
      </c>
    </row>
    <row r="1175" spans="1:16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P1175" s="10" t="str">
        <f t="shared" si="19"/>
        <v/>
      </c>
    </row>
    <row r="1176" spans="1:16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P1176" s="10" t="str">
        <f t="shared" si="19"/>
        <v/>
      </c>
    </row>
    <row r="1177" spans="1:16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P1177" s="10" t="str">
        <f t="shared" si="19"/>
        <v/>
      </c>
    </row>
    <row r="1178" spans="1:16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P1178" s="10" t="str">
        <f t="shared" si="19"/>
        <v/>
      </c>
    </row>
    <row r="1179" spans="1:16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P1179" s="10" t="str">
        <f t="shared" si="19"/>
        <v/>
      </c>
    </row>
    <row r="1180" spans="1:16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P1180" s="10" t="str">
        <f t="shared" si="19"/>
        <v/>
      </c>
    </row>
    <row r="1181" spans="1:16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P1181" s="10" t="str">
        <f t="shared" si="19"/>
        <v/>
      </c>
    </row>
    <row r="1182" spans="1:16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P1182" s="10" t="str">
        <f t="shared" si="19"/>
        <v/>
      </c>
    </row>
    <row r="1183" spans="1:16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P1183" s="10" t="str">
        <f t="shared" si="19"/>
        <v/>
      </c>
    </row>
    <row r="1184" spans="1:16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P1184" s="10" t="str">
        <f t="shared" si="19"/>
        <v/>
      </c>
    </row>
    <row r="1185" spans="1:16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P1185" s="10" t="str">
        <f t="shared" si="19"/>
        <v/>
      </c>
    </row>
    <row r="1186" spans="1:16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P1186" s="10" t="str">
        <f t="shared" si="19"/>
        <v/>
      </c>
    </row>
    <row r="1187" spans="1:16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P1187" s="10" t="str">
        <f t="shared" si="19"/>
        <v/>
      </c>
    </row>
    <row r="1188" spans="1:16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P1188" s="10" t="str">
        <f t="shared" si="19"/>
        <v/>
      </c>
    </row>
    <row r="1189" spans="1:16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P1189" s="10" t="str">
        <f t="shared" si="19"/>
        <v/>
      </c>
    </row>
    <row r="1190" spans="1:16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P1190" s="10" t="str">
        <f t="shared" si="19"/>
        <v/>
      </c>
    </row>
    <row r="1191" spans="1:16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P1191" s="10" t="str">
        <f t="shared" si="19"/>
        <v/>
      </c>
    </row>
    <row r="1192" spans="1:16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P1192" s="10" t="str">
        <f t="shared" si="19"/>
        <v/>
      </c>
    </row>
    <row r="1193" spans="1:16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P1193" s="10" t="str">
        <f t="shared" si="19"/>
        <v/>
      </c>
    </row>
    <row r="1194" spans="1:16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P1194" s="10" t="str">
        <f t="shared" si="19"/>
        <v/>
      </c>
    </row>
    <row r="1195" spans="1:16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P1195" s="10" t="str">
        <f t="shared" si="19"/>
        <v/>
      </c>
    </row>
    <row r="1196" spans="1:16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P1196" s="10" t="str">
        <f t="shared" si="19"/>
        <v/>
      </c>
    </row>
    <row r="1197" spans="1:16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P1197" s="10" t="str">
        <f t="shared" si="19"/>
        <v/>
      </c>
    </row>
    <row r="1198" spans="1:16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P1198" s="10" t="str">
        <f t="shared" si="19"/>
        <v/>
      </c>
    </row>
    <row r="1199" spans="1:16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P1199" s="10" t="str">
        <f t="shared" si="19"/>
        <v/>
      </c>
    </row>
    <row r="1200" spans="1:16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P1200" s="10" t="str">
        <f t="shared" si="19"/>
        <v/>
      </c>
    </row>
    <row r="1201" spans="1:16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P1201" s="10" t="str">
        <f t="shared" si="19"/>
        <v/>
      </c>
    </row>
    <row r="1202" spans="1:16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P1202" s="10" t="str">
        <f t="shared" si="19"/>
        <v/>
      </c>
    </row>
    <row r="1203" spans="1:16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P1203" s="10" t="str">
        <f t="shared" si="19"/>
        <v/>
      </c>
    </row>
    <row r="1204" spans="1:16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P1204" s="10" t="str">
        <f t="shared" si="19"/>
        <v/>
      </c>
    </row>
    <row r="1205" spans="1:16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P1205" s="10" t="str">
        <f t="shared" si="19"/>
        <v/>
      </c>
    </row>
    <row r="1206" spans="1:16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P1206" s="10" t="str">
        <f t="shared" si="19"/>
        <v/>
      </c>
    </row>
    <row r="1207" spans="1:16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P1207" s="10" t="str">
        <f t="shared" si="19"/>
        <v/>
      </c>
    </row>
    <row r="1208" spans="1:16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P1208" s="10" t="str">
        <f t="shared" si="19"/>
        <v/>
      </c>
    </row>
    <row r="1209" spans="1:16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P1209" s="10" t="str">
        <f t="shared" si="19"/>
        <v/>
      </c>
    </row>
    <row r="1210" spans="1:16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P1210" s="10" t="str">
        <f t="shared" si="19"/>
        <v/>
      </c>
    </row>
    <row r="1211" spans="1:16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P1211" s="10" t="str">
        <f t="shared" si="19"/>
        <v/>
      </c>
    </row>
    <row r="1212" spans="1:16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P1212" s="10" t="str">
        <f t="shared" si="19"/>
        <v/>
      </c>
    </row>
    <row r="1213" spans="1:16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P1213" s="10" t="str">
        <f t="shared" si="19"/>
        <v/>
      </c>
    </row>
    <row r="1214" spans="1:16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P1214" s="10" t="str">
        <f t="shared" si="19"/>
        <v/>
      </c>
    </row>
    <row r="1215" spans="1:16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P1215" s="10" t="str">
        <f t="shared" si="19"/>
        <v/>
      </c>
    </row>
    <row r="1216" spans="1:16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P1216" s="10" t="str">
        <f t="shared" si="19"/>
        <v/>
      </c>
    </row>
    <row r="1217" spans="1:16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P1217" s="10" t="str">
        <f t="shared" si="19"/>
        <v/>
      </c>
    </row>
    <row r="1218" spans="1:16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P1218" s="10" t="str">
        <f t="shared" si="19"/>
        <v/>
      </c>
    </row>
    <row r="1219" spans="1:16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P1219" s="10" t="str">
        <f t="shared" si="19"/>
        <v/>
      </c>
    </row>
    <row r="1220" spans="1:16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P1220" s="10" t="str">
        <f t="shared" si="19"/>
        <v/>
      </c>
    </row>
    <row r="1221" spans="1:16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P1221" s="10" t="str">
        <f t="shared" si="19"/>
        <v/>
      </c>
    </row>
    <row r="1222" spans="1:16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P1222" s="10" t="str">
        <f t="shared" si="19"/>
        <v/>
      </c>
    </row>
    <row r="1223" spans="1:16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P1223" s="10" t="str">
        <f t="shared" si="19"/>
        <v/>
      </c>
    </row>
    <row r="1224" spans="1:16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P1224" s="10" t="str">
        <f t="shared" si="19"/>
        <v/>
      </c>
    </row>
    <row r="1225" spans="1:16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P1225" s="10" t="str">
        <f t="shared" si="19"/>
        <v/>
      </c>
    </row>
    <row r="1226" spans="1:16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P1226" s="10" t="str">
        <f t="shared" si="19"/>
        <v/>
      </c>
    </row>
    <row r="1227" spans="1:16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P1227" s="10" t="str">
        <f t="shared" ref="P1227:P1290" si="20">IF(AND(ISBLANK(N1227),ISBLANK(O1227)),"",IF(ISBLANK(O1227), ROUND(P1226+N1227,2), ROUND(P1226+O1227,2)))</f>
        <v/>
      </c>
    </row>
    <row r="1228" spans="1:16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P1228" s="10" t="str">
        <f t="shared" si="20"/>
        <v/>
      </c>
    </row>
    <row r="1229" spans="1:16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P1229" s="10" t="str">
        <f t="shared" si="20"/>
        <v/>
      </c>
    </row>
    <row r="1230" spans="1:16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P1230" s="10" t="str">
        <f t="shared" si="20"/>
        <v/>
      </c>
    </row>
    <row r="1231" spans="1:16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P1231" s="10" t="str">
        <f t="shared" si="20"/>
        <v/>
      </c>
    </row>
    <row r="1232" spans="1:16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P1232" s="10" t="str">
        <f t="shared" si="20"/>
        <v/>
      </c>
    </row>
    <row r="1233" spans="1:16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P1233" s="10" t="str">
        <f t="shared" si="20"/>
        <v/>
      </c>
    </row>
    <row r="1234" spans="1:16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P1234" s="10" t="str">
        <f t="shared" si="20"/>
        <v/>
      </c>
    </row>
    <row r="1235" spans="1:16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P1235" s="10" t="str">
        <f t="shared" si="20"/>
        <v/>
      </c>
    </row>
    <row r="1236" spans="1:16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P1236" s="10" t="str">
        <f t="shared" si="20"/>
        <v/>
      </c>
    </row>
    <row r="1237" spans="1:16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P1237" s="10" t="str">
        <f t="shared" si="20"/>
        <v/>
      </c>
    </row>
    <row r="1238" spans="1:16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P1238" s="10" t="str">
        <f t="shared" si="20"/>
        <v/>
      </c>
    </row>
    <row r="1239" spans="1:16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P1239" s="10" t="str">
        <f t="shared" si="20"/>
        <v/>
      </c>
    </row>
    <row r="1240" spans="1:16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P1240" s="10" t="str">
        <f t="shared" si="20"/>
        <v/>
      </c>
    </row>
    <row r="1241" spans="1:16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P1241" s="10" t="str">
        <f t="shared" si="20"/>
        <v/>
      </c>
    </row>
    <row r="1242" spans="1:16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P1242" s="10" t="str">
        <f t="shared" si="20"/>
        <v/>
      </c>
    </row>
    <row r="1243" spans="1:16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P1243" s="10" t="str">
        <f t="shared" si="20"/>
        <v/>
      </c>
    </row>
    <row r="1244" spans="1:16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P1244" s="10" t="str">
        <f t="shared" si="20"/>
        <v/>
      </c>
    </row>
    <row r="1245" spans="1:16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P1245" s="10" t="str">
        <f t="shared" si="20"/>
        <v/>
      </c>
    </row>
    <row r="1246" spans="1:16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P1246" s="10" t="str">
        <f t="shared" si="20"/>
        <v/>
      </c>
    </row>
    <row r="1247" spans="1:16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P1247" s="10" t="str">
        <f t="shared" si="20"/>
        <v/>
      </c>
    </row>
    <row r="1248" spans="1:16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P1248" s="10" t="str">
        <f t="shared" si="20"/>
        <v/>
      </c>
    </row>
    <row r="1249" spans="1:16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P1249" s="10" t="str">
        <f t="shared" si="20"/>
        <v/>
      </c>
    </row>
    <row r="1250" spans="1:16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P1250" s="10" t="str">
        <f t="shared" si="20"/>
        <v/>
      </c>
    </row>
    <row r="1251" spans="1:16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P1251" s="10" t="str">
        <f t="shared" si="20"/>
        <v/>
      </c>
    </row>
    <row r="1252" spans="1:16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P1252" s="10" t="str">
        <f t="shared" si="20"/>
        <v/>
      </c>
    </row>
    <row r="1253" spans="1:16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P1253" s="10" t="str">
        <f t="shared" si="20"/>
        <v/>
      </c>
    </row>
    <row r="1254" spans="1:16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P1254" s="10" t="str">
        <f t="shared" si="20"/>
        <v/>
      </c>
    </row>
    <row r="1255" spans="1:16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P1255" s="10" t="str">
        <f t="shared" si="20"/>
        <v/>
      </c>
    </row>
    <row r="1256" spans="1:16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P1256" s="10" t="str">
        <f t="shared" si="20"/>
        <v/>
      </c>
    </row>
    <row r="1257" spans="1:16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P1257" s="10" t="str">
        <f t="shared" si="20"/>
        <v/>
      </c>
    </row>
    <row r="1258" spans="1:16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P1258" s="10" t="str">
        <f t="shared" si="20"/>
        <v/>
      </c>
    </row>
    <row r="1259" spans="1:16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P1259" s="10" t="str">
        <f t="shared" si="20"/>
        <v/>
      </c>
    </row>
    <row r="1260" spans="1:16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P1260" s="10" t="str">
        <f t="shared" si="20"/>
        <v/>
      </c>
    </row>
    <row r="1261" spans="1:16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P1261" s="10" t="str">
        <f t="shared" si="20"/>
        <v/>
      </c>
    </row>
    <row r="1262" spans="1:16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P1262" s="10" t="str">
        <f t="shared" si="20"/>
        <v/>
      </c>
    </row>
    <row r="1263" spans="1:16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P1263" s="10" t="str">
        <f t="shared" si="20"/>
        <v/>
      </c>
    </row>
    <row r="1264" spans="1:16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P1264" s="10" t="str">
        <f t="shared" si="20"/>
        <v/>
      </c>
    </row>
    <row r="1265" spans="1:16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P1265" s="10" t="str">
        <f t="shared" si="20"/>
        <v/>
      </c>
    </row>
    <row r="1266" spans="1:16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P1266" s="10" t="str">
        <f t="shared" si="20"/>
        <v/>
      </c>
    </row>
    <row r="1267" spans="1:16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P1267" s="10" t="str">
        <f t="shared" si="20"/>
        <v/>
      </c>
    </row>
    <row r="1268" spans="1:16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P1268" s="10" t="str">
        <f t="shared" si="20"/>
        <v/>
      </c>
    </row>
    <row r="1269" spans="1:16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P1269" s="10" t="str">
        <f t="shared" si="20"/>
        <v/>
      </c>
    </row>
    <row r="1270" spans="1:16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P1270" s="10" t="str">
        <f t="shared" si="20"/>
        <v/>
      </c>
    </row>
    <row r="1271" spans="1:16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P1271" s="10" t="str">
        <f t="shared" si="20"/>
        <v/>
      </c>
    </row>
    <row r="1272" spans="1:16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P1272" s="10" t="str">
        <f t="shared" si="20"/>
        <v/>
      </c>
    </row>
    <row r="1273" spans="1:16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P1273" s="10" t="str">
        <f t="shared" si="20"/>
        <v/>
      </c>
    </row>
    <row r="1274" spans="1:16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P1274" s="10" t="str">
        <f t="shared" si="20"/>
        <v/>
      </c>
    </row>
    <row r="1275" spans="1:16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P1275" s="10" t="str">
        <f t="shared" si="20"/>
        <v/>
      </c>
    </row>
    <row r="1276" spans="1:16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P1276" s="10" t="str">
        <f t="shared" si="20"/>
        <v/>
      </c>
    </row>
    <row r="1277" spans="1:16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P1277" s="10" t="str">
        <f t="shared" si="20"/>
        <v/>
      </c>
    </row>
    <row r="1278" spans="1:16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P1278" s="10" t="str">
        <f t="shared" si="20"/>
        <v/>
      </c>
    </row>
    <row r="1279" spans="1:16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P1279" s="10" t="str">
        <f t="shared" si="20"/>
        <v/>
      </c>
    </row>
    <row r="1280" spans="1:16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P1280" s="10" t="str">
        <f t="shared" si="20"/>
        <v/>
      </c>
    </row>
    <row r="1281" spans="1:16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P1281" s="10" t="str">
        <f t="shared" si="20"/>
        <v/>
      </c>
    </row>
    <row r="1282" spans="1:16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P1282" s="10" t="str">
        <f t="shared" si="20"/>
        <v/>
      </c>
    </row>
    <row r="1283" spans="1:16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P1283" s="10" t="str">
        <f t="shared" si="20"/>
        <v/>
      </c>
    </row>
    <row r="1284" spans="1:16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P1284" s="10" t="str">
        <f t="shared" si="20"/>
        <v/>
      </c>
    </row>
    <row r="1285" spans="1:16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P1285" s="10" t="str">
        <f t="shared" si="20"/>
        <v/>
      </c>
    </row>
    <row r="1286" spans="1:16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P1286" s="10" t="str">
        <f t="shared" si="20"/>
        <v/>
      </c>
    </row>
    <row r="1287" spans="1:16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P1287" s="10" t="str">
        <f t="shared" si="20"/>
        <v/>
      </c>
    </row>
    <row r="1288" spans="1:16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P1288" s="10" t="str">
        <f t="shared" si="20"/>
        <v/>
      </c>
    </row>
    <row r="1289" spans="1:16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P1289" s="10" t="str">
        <f t="shared" si="20"/>
        <v/>
      </c>
    </row>
    <row r="1290" spans="1:16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P1290" s="10" t="str">
        <f t="shared" si="20"/>
        <v/>
      </c>
    </row>
    <row r="1291" spans="1:16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P1291" s="10" t="str">
        <f t="shared" ref="P1291:P1354" si="21">IF(AND(ISBLANK(N1291),ISBLANK(O1291)),"",IF(ISBLANK(O1291), ROUND(P1290+N1291,2), ROUND(P1290+O1291,2)))</f>
        <v/>
      </c>
    </row>
    <row r="1292" spans="1:16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P1292" s="10" t="str">
        <f t="shared" si="21"/>
        <v/>
      </c>
    </row>
    <row r="1293" spans="1:16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P1293" s="10" t="str">
        <f t="shared" si="21"/>
        <v/>
      </c>
    </row>
    <row r="1294" spans="1:16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P1294" s="10" t="str">
        <f t="shared" si="21"/>
        <v/>
      </c>
    </row>
    <row r="1295" spans="1:16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P1295" s="10" t="str">
        <f t="shared" si="21"/>
        <v/>
      </c>
    </row>
    <row r="1296" spans="1:16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P1296" s="10" t="str">
        <f t="shared" si="21"/>
        <v/>
      </c>
    </row>
    <row r="1297" spans="1:16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P1297" s="10" t="str">
        <f t="shared" si="21"/>
        <v/>
      </c>
    </row>
    <row r="1298" spans="1:16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P1298" s="10" t="str">
        <f t="shared" si="21"/>
        <v/>
      </c>
    </row>
    <row r="1299" spans="1:16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P1299" s="10" t="str">
        <f t="shared" si="21"/>
        <v/>
      </c>
    </row>
    <row r="1300" spans="1:16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P1300" s="10" t="str">
        <f t="shared" si="21"/>
        <v/>
      </c>
    </row>
    <row r="1301" spans="1:16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P1301" s="10" t="str">
        <f t="shared" si="21"/>
        <v/>
      </c>
    </row>
    <row r="1302" spans="1:16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P1302" s="10" t="str">
        <f t="shared" si="21"/>
        <v/>
      </c>
    </row>
    <row r="1303" spans="1:16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P1303" s="10" t="str">
        <f t="shared" si="21"/>
        <v/>
      </c>
    </row>
    <row r="1304" spans="1:16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P1304" s="10" t="str">
        <f t="shared" si="21"/>
        <v/>
      </c>
    </row>
    <row r="1305" spans="1:16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P1305" s="10" t="str">
        <f t="shared" si="21"/>
        <v/>
      </c>
    </row>
    <row r="1306" spans="1:16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P1306" s="10" t="str">
        <f t="shared" si="21"/>
        <v/>
      </c>
    </row>
    <row r="1307" spans="1:16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P1307" s="10" t="str">
        <f t="shared" si="21"/>
        <v/>
      </c>
    </row>
    <row r="1308" spans="1:16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P1308" s="10" t="str">
        <f t="shared" si="21"/>
        <v/>
      </c>
    </row>
    <row r="1309" spans="1:16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P1309" s="10" t="str">
        <f t="shared" si="21"/>
        <v/>
      </c>
    </row>
    <row r="1310" spans="1:16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P1310" s="10" t="str">
        <f t="shared" si="21"/>
        <v/>
      </c>
    </row>
    <row r="1311" spans="1:16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P1311" s="10" t="str">
        <f t="shared" si="21"/>
        <v/>
      </c>
    </row>
    <row r="1312" spans="1:16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P1312" s="10" t="str">
        <f t="shared" si="21"/>
        <v/>
      </c>
    </row>
    <row r="1313" spans="1:16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P1313" s="10" t="str">
        <f t="shared" si="21"/>
        <v/>
      </c>
    </row>
    <row r="1314" spans="1:16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P1314" s="10" t="str">
        <f t="shared" si="21"/>
        <v/>
      </c>
    </row>
    <row r="1315" spans="1:16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P1315" s="10" t="str">
        <f t="shared" si="21"/>
        <v/>
      </c>
    </row>
    <row r="1316" spans="1:16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P1316" s="10" t="str">
        <f t="shared" si="21"/>
        <v/>
      </c>
    </row>
    <row r="1317" spans="1:16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P1317" s="10" t="str">
        <f t="shared" si="21"/>
        <v/>
      </c>
    </row>
    <row r="1318" spans="1:16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P1318" s="10" t="str">
        <f t="shared" si="21"/>
        <v/>
      </c>
    </row>
    <row r="1319" spans="1:16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P1319" s="10" t="str">
        <f t="shared" si="21"/>
        <v/>
      </c>
    </row>
    <row r="1320" spans="1:16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P1320" s="10" t="str">
        <f t="shared" si="21"/>
        <v/>
      </c>
    </row>
    <row r="1321" spans="1:16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P1321" s="10" t="str">
        <f t="shared" si="21"/>
        <v/>
      </c>
    </row>
    <row r="1322" spans="1:16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P1322" s="10" t="str">
        <f t="shared" si="21"/>
        <v/>
      </c>
    </row>
    <row r="1323" spans="1:16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P1323" s="10" t="str">
        <f t="shared" si="21"/>
        <v/>
      </c>
    </row>
    <row r="1324" spans="1:16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P1324" s="10" t="str">
        <f t="shared" si="21"/>
        <v/>
      </c>
    </row>
    <row r="1325" spans="1:16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P1325" s="10" t="str">
        <f t="shared" si="21"/>
        <v/>
      </c>
    </row>
    <row r="1326" spans="1:16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P1326" s="10" t="str">
        <f t="shared" si="21"/>
        <v/>
      </c>
    </row>
    <row r="1327" spans="1:16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P1327" s="10" t="str">
        <f t="shared" si="21"/>
        <v/>
      </c>
    </row>
    <row r="1328" spans="1:16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P1328" s="10" t="str">
        <f t="shared" si="21"/>
        <v/>
      </c>
    </row>
    <row r="1329" spans="1:16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P1329" s="10" t="str">
        <f t="shared" si="21"/>
        <v/>
      </c>
    </row>
    <row r="1330" spans="1:16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P1330" s="10" t="str">
        <f t="shared" si="21"/>
        <v/>
      </c>
    </row>
    <row r="1331" spans="1:16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P1331" s="10" t="str">
        <f t="shared" si="21"/>
        <v/>
      </c>
    </row>
    <row r="1332" spans="1:16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P1332" s="10" t="str">
        <f t="shared" si="21"/>
        <v/>
      </c>
    </row>
    <row r="1333" spans="1:16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P1333" s="10" t="str">
        <f t="shared" si="21"/>
        <v/>
      </c>
    </row>
    <row r="1334" spans="1:16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P1334" s="10" t="str">
        <f t="shared" si="21"/>
        <v/>
      </c>
    </row>
    <row r="1335" spans="1:16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P1335" s="10" t="str">
        <f t="shared" si="21"/>
        <v/>
      </c>
    </row>
    <row r="1336" spans="1:16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P1336" s="10" t="str">
        <f t="shared" si="21"/>
        <v/>
      </c>
    </row>
    <row r="1337" spans="1:16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P1337" s="10" t="str">
        <f t="shared" si="21"/>
        <v/>
      </c>
    </row>
    <row r="1338" spans="1:16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P1338" s="10" t="str">
        <f t="shared" si="21"/>
        <v/>
      </c>
    </row>
    <row r="1339" spans="1:16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P1339" s="10" t="str">
        <f t="shared" si="21"/>
        <v/>
      </c>
    </row>
    <row r="1340" spans="1:16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P1340" s="10" t="str">
        <f t="shared" si="21"/>
        <v/>
      </c>
    </row>
    <row r="1341" spans="1:16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P1341" s="10" t="str">
        <f t="shared" si="21"/>
        <v/>
      </c>
    </row>
    <row r="1342" spans="1:16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P1342" s="10" t="str">
        <f t="shared" si="21"/>
        <v/>
      </c>
    </row>
    <row r="1343" spans="1:16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P1343" s="10" t="str">
        <f t="shared" si="21"/>
        <v/>
      </c>
    </row>
    <row r="1344" spans="1:16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P1344" s="10" t="str">
        <f t="shared" si="21"/>
        <v/>
      </c>
    </row>
    <row r="1345" spans="1:16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P1345" s="10" t="str">
        <f t="shared" si="21"/>
        <v/>
      </c>
    </row>
    <row r="1346" spans="1:16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P1346" s="10" t="str">
        <f t="shared" si="21"/>
        <v/>
      </c>
    </row>
    <row r="1347" spans="1:16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P1347" s="10" t="str">
        <f t="shared" si="21"/>
        <v/>
      </c>
    </row>
    <row r="1348" spans="1:16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P1348" s="10" t="str">
        <f t="shared" si="21"/>
        <v/>
      </c>
    </row>
    <row r="1349" spans="1:16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P1349" s="10" t="str">
        <f t="shared" si="21"/>
        <v/>
      </c>
    </row>
    <row r="1350" spans="1:16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P1350" s="10" t="str">
        <f t="shared" si="21"/>
        <v/>
      </c>
    </row>
    <row r="1351" spans="1:16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P1351" s="10" t="str">
        <f t="shared" si="21"/>
        <v/>
      </c>
    </row>
    <row r="1352" spans="1:16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P1352" s="10" t="str">
        <f t="shared" si="21"/>
        <v/>
      </c>
    </row>
    <row r="1353" spans="1:16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P1353" s="10" t="str">
        <f t="shared" si="21"/>
        <v/>
      </c>
    </row>
    <row r="1354" spans="1:16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P1354" s="10" t="str">
        <f t="shared" si="21"/>
        <v/>
      </c>
    </row>
    <row r="1355" spans="1:16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P1355" s="10" t="str">
        <f t="shared" ref="P1355:P1418" si="22">IF(AND(ISBLANK(N1355),ISBLANK(O1355)),"",IF(ISBLANK(O1355), ROUND(P1354+N1355,2), ROUND(P1354+O1355,2)))</f>
        <v/>
      </c>
    </row>
    <row r="1356" spans="1:16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P1356" s="10" t="str">
        <f t="shared" si="22"/>
        <v/>
      </c>
    </row>
    <row r="1357" spans="1:16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P1357" s="10" t="str">
        <f t="shared" si="22"/>
        <v/>
      </c>
    </row>
    <row r="1358" spans="1:16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P1358" s="10" t="str">
        <f t="shared" si="22"/>
        <v/>
      </c>
    </row>
    <row r="1359" spans="1:16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P1359" s="10" t="str">
        <f t="shared" si="22"/>
        <v/>
      </c>
    </row>
    <row r="1360" spans="1:16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P1360" s="10" t="str">
        <f t="shared" si="22"/>
        <v/>
      </c>
    </row>
    <row r="1361" spans="1:16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P1361" s="10" t="str">
        <f t="shared" si="22"/>
        <v/>
      </c>
    </row>
    <row r="1362" spans="1:16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P1362" s="10" t="str">
        <f t="shared" si="22"/>
        <v/>
      </c>
    </row>
    <row r="1363" spans="1:16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P1363" s="10" t="str">
        <f t="shared" si="22"/>
        <v/>
      </c>
    </row>
    <row r="1364" spans="1:16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P1364" s="10" t="str">
        <f t="shared" si="22"/>
        <v/>
      </c>
    </row>
    <row r="1365" spans="1:16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P1365" s="10" t="str">
        <f t="shared" si="22"/>
        <v/>
      </c>
    </row>
    <row r="1366" spans="1:16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P1366" s="10" t="str">
        <f t="shared" si="22"/>
        <v/>
      </c>
    </row>
    <row r="1367" spans="1:16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P1367" s="10" t="str">
        <f t="shared" si="22"/>
        <v/>
      </c>
    </row>
    <row r="1368" spans="1:16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P1368" s="10" t="str">
        <f t="shared" si="22"/>
        <v/>
      </c>
    </row>
    <row r="1369" spans="1:16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P1369" s="10" t="str">
        <f t="shared" si="22"/>
        <v/>
      </c>
    </row>
    <row r="1370" spans="1:16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P1370" s="10" t="str">
        <f t="shared" si="22"/>
        <v/>
      </c>
    </row>
    <row r="1371" spans="1:16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P1371" s="10" t="str">
        <f t="shared" si="22"/>
        <v/>
      </c>
    </row>
    <row r="1372" spans="1:16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P1372" s="10" t="str">
        <f t="shared" si="22"/>
        <v/>
      </c>
    </row>
    <row r="1373" spans="1:16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P1373" s="10" t="str">
        <f t="shared" si="22"/>
        <v/>
      </c>
    </row>
    <row r="1374" spans="1:16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P1374" s="10" t="str">
        <f t="shared" si="22"/>
        <v/>
      </c>
    </row>
    <row r="1375" spans="1:16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P1375" s="10" t="str">
        <f t="shared" si="22"/>
        <v/>
      </c>
    </row>
    <row r="1376" spans="1:16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P1376" s="10" t="str">
        <f t="shared" si="22"/>
        <v/>
      </c>
    </row>
    <row r="1377" spans="1:16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P1377" s="10" t="str">
        <f t="shared" si="22"/>
        <v/>
      </c>
    </row>
    <row r="1378" spans="1:16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P1378" s="10" t="str">
        <f t="shared" si="22"/>
        <v/>
      </c>
    </row>
    <row r="1379" spans="1:16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P1379" s="10" t="str">
        <f t="shared" si="22"/>
        <v/>
      </c>
    </row>
    <row r="1380" spans="1:16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P1380" s="10" t="str">
        <f t="shared" si="22"/>
        <v/>
      </c>
    </row>
    <row r="1381" spans="1:16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P1381" s="10" t="str">
        <f t="shared" si="22"/>
        <v/>
      </c>
    </row>
    <row r="1382" spans="1:16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P1382" s="10" t="str">
        <f t="shared" si="22"/>
        <v/>
      </c>
    </row>
    <row r="1383" spans="1:16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P1383" s="10" t="str">
        <f t="shared" si="22"/>
        <v/>
      </c>
    </row>
    <row r="1384" spans="1:16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P1384" s="10" t="str">
        <f t="shared" si="22"/>
        <v/>
      </c>
    </row>
    <row r="1385" spans="1:16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P1385" s="10" t="str">
        <f t="shared" si="22"/>
        <v/>
      </c>
    </row>
    <row r="1386" spans="1:16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P1386" s="10" t="str">
        <f t="shared" si="22"/>
        <v/>
      </c>
    </row>
    <row r="1387" spans="1:16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P1387" s="10" t="str">
        <f t="shared" si="22"/>
        <v/>
      </c>
    </row>
    <row r="1388" spans="1:16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P1388" s="10" t="str">
        <f t="shared" si="22"/>
        <v/>
      </c>
    </row>
    <row r="1389" spans="1:16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P1389" s="10" t="str">
        <f t="shared" si="22"/>
        <v/>
      </c>
    </row>
    <row r="1390" spans="1:16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P1390" s="10" t="str">
        <f t="shared" si="22"/>
        <v/>
      </c>
    </row>
    <row r="1391" spans="1:16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P1391" s="10" t="str">
        <f t="shared" si="22"/>
        <v/>
      </c>
    </row>
    <row r="1392" spans="1:16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P1392" s="10" t="str">
        <f t="shared" si="22"/>
        <v/>
      </c>
    </row>
    <row r="1393" spans="1:16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P1393" s="10" t="str">
        <f t="shared" si="22"/>
        <v/>
      </c>
    </row>
    <row r="1394" spans="1:16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P1394" s="10" t="str">
        <f t="shared" si="22"/>
        <v/>
      </c>
    </row>
    <row r="1395" spans="1:16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P1395" s="10" t="str">
        <f t="shared" si="22"/>
        <v/>
      </c>
    </row>
    <row r="1396" spans="1:16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P1396" s="10" t="str">
        <f t="shared" si="22"/>
        <v/>
      </c>
    </row>
    <row r="1397" spans="1:16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P1397" s="10" t="str">
        <f t="shared" si="22"/>
        <v/>
      </c>
    </row>
    <row r="1398" spans="1:16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P1398" s="10" t="str">
        <f t="shared" si="22"/>
        <v/>
      </c>
    </row>
    <row r="1399" spans="1:16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P1399" s="10" t="str">
        <f t="shared" si="22"/>
        <v/>
      </c>
    </row>
    <row r="1400" spans="1:16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P1400" s="10" t="str">
        <f t="shared" si="22"/>
        <v/>
      </c>
    </row>
    <row r="1401" spans="1:16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P1401" s="10" t="str">
        <f t="shared" si="22"/>
        <v/>
      </c>
    </row>
    <row r="1402" spans="1:16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P1402" s="10" t="str">
        <f t="shared" si="22"/>
        <v/>
      </c>
    </row>
    <row r="1403" spans="1:16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P1403" s="10" t="str">
        <f t="shared" si="22"/>
        <v/>
      </c>
    </row>
    <row r="1404" spans="1:16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P1404" s="10" t="str">
        <f t="shared" si="22"/>
        <v/>
      </c>
    </row>
    <row r="1405" spans="1:16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P1405" s="10" t="str">
        <f t="shared" si="22"/>
        <v/>
      </c>
    </row>
    <row r="1406" spans="1:16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P1406" s="10" t="str">
        <f t="shared" si="22"/>
        <v/>
      </c>
    </row>
    <row r="1407" spans="1:16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P1407" s="10" t="str">
        <f t="shared" si="22"/>
        <v/>
      </c>
    </row>
    <row r="1408" spans="1:16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P1408" s="10" t="str">
        <f t="shared" si="22"/>
        <v/>
      </c>
    </row>
    <row r="1409" spans="1:16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P1409" s="10" t="str">
        <f t="shared" si="22"/>
        <v/>
      </c>
    </row>
    <row r="1410" spans="1:16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P1410" s="10" t="str">
        <f t="shared" si="22"/>
        <v/>
      </c>
    </row>
    <row r="1411" spans="1:16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P1411" s="10" t="str">
        <f t="shared" si="22"/>
        <v/>
      </c>
    </row>
    <row r="1412" spans="1:16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P1412" s="10" t="str">
        <f t="shared" si="22"/>
        <v/>
      </c>
    </row>
    <row r="1413" spans="1:16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P1413" s="10" t="str">
        <f t="shared" si="22"/>
        <v/>
      </c>
    </row>
    <row r="1414" spans="1:16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P1414" s="10" t="str">
        <f t="shared" si="22"/>
        <v/>
      </c>
    </row>
    <row r="1415" spans="1:16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P1415" s="10" t="str">
        <f t="shared" si="22"/>
        <v/>
      </c>
    </row>
    <row r="1416" spans="1:16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P1416" s="10" t="str">
        <f t="shared" si="22"/>
        <v/>
      </c>
    </row>
    <row r="1417" spans="1:16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P1417" s="10" t="str">
        <f t="shared" si="22"/>
        <v/>
      </c>
    </row>
    <row r="1418" spans="1:16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P1418" s="10" t="str">
        <f t="shared" si="22"/>
        <v/>
      </c>
    </row>
    <row r="1419" spans="1:16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P1419" s="10" t="str">
        <f t="shared" ref="P1419:P1482" si="23">IF(AND(ISBLANK(N1419),ISBLANK(O1419)),"",IF(ISBLANK(O1419), ROUND(P1418+N1419,2), ROUND(P1418+O1419,2)))</f>
        <v/>
      </c>
    </row>
    <row r="1420" spans="1:16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P1420" s="10" t="str">
        <f t="shared" si="23"/>
        <v/>
      </c>
    </row>
    <row r="1421" spans="1:16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P1421" s="10" t="str">
        <f t="shared" si="23"/>
        <v/>
      </c>
    </row>
    <row r="1422" spans="1:16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P1422" s="10" t="str">
        <f t="shared" si="23"/>
        <v/>
      </c>
    </row>
    <row r="1423" spans="1:16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P1423" s="10" t="str">
        <f t="shared" si="23"/>
        <v/>
      </c>
    </row>
    <row r="1424" spans="1:16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P1424" s="10" t="str">
        <f t="shared" si="23"/>
        <v/>
      </c>
    </row>
    <row r="1425" spans="1:16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P1425" s="10" t="str">
        <f t="shared" si="23"/>
        <v/>
      </c>
    </row>
    <row r="1426" spans="1:16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P1426" s="10" t="str">
        <f t="shared" si="23"/>
        <v/>
      </c>
    </row>
    <row r="1427" spans="1:16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P1427" s="10" t="str">
        <f t="shared" si="23"/>
        <v/>
      </c>
    </row>
    <row r="1428" spans="1:16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P1428" s="10" t="str">
        <f t="shared" si="23"/>
        <v/>
      </c>
    </row>
    <row r="1429" spans="1:16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P1429" s="10" t="str">
        <f t="shared" si="23"/>
        <v/>
      </c>
    </row>
    <row r="1430" spans="1:16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P1430" s="10" t="str">
        <f t="shared" si="23"/>
        <v/>
      </c>
    </row>
    <row r="1431" spans="1:16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P1431" s="10" t="str">
        <f t="shared" si="23"/>
        <v/>
      </c>
    </row>
    <row r="1432" spans="1:16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P1432" s="10" t="str">
        <f t="shared" si="23"/>
        <v/>
      </c>
    </row>
    <row r="1433" spans="1:16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P1433" s="10" t="str">
        <f t="shared" si="23"/>
        <v/>
      </c>
    </row>
    <row r="1434" spans="1:16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P1434" s="10" t="str">
        <f t="shared" si="23"/>
        <v/>
      </c>
    </row>
    <row r="1435" spans="1:16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P1435" s="10" t="str">
        <f t="shared" si="23"/>
        <v/>
      </c>
    </row>
    <row r="1436" spans="1:16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P1436" s="10" t="str">
        <f t="shared" si="23"/>
        <v/>
      </c>
    </row>
    <row r="1437" spans="1:16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P1437" s="10" t="str">
        <f t="shared" si="23"/>
        <v/>
      </c>
    </row>
    <row r="1438" spans="1:16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P1438" s="10" t="str">
        <f t="shared" si="23"/>
        <v/>
      </c>
    </row>
    <row r="1439" spans="1:16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P1439" s="10" t="str">
        <f t="shared" si="23"/>
        <v/>
      </c>
    </row>
    <row r="1440" spans="1:16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P1440" s="10" t="str">
        <f t="shared" si="23"/>
        <v/>
      </c>
    </row>
    <row r="1441" spans="1:16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P1441" s="10" t="str">
        <f t="shared" si="23"/>
        <v/>
      </c>
    </row>
    <row r="1442" spans="1:16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P1442" s="10" t="str">
        <f t="shared" si="23"/>
        <v/>
      </c>
    </row>
    <row r="1443" spans="1:16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P1443" s="10" t="str">
        <f t="shared" si="23"/>
        <v/>
      </c>
    </row>
    <row r="1444" spans="1:16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P1444" s="10" t="str">
        <f t="shared" si="23"/>
        <v/>
      </c>
    </row>
    <row r="1445" spans="1:16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P1445" s="10" t="str">
        <f t="shared" si="23"/>
        <v/>
      </c>
    </row>
    <row r="1446" spans="1:16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P1446" s="10" t="str">
        <f t="shared" si="23"/>
        <v/>
      </c>
    </row>
    <row r="1447" spans="1:16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P1447" s="10" t="str">
        <f t="shared" si="23"/>
        <v/>
      </c>
    </row>
    <row r="1448" spans="1:16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P1448" s="10" t="str">
        <f t="shared" si="23"/>
        <v/>
      </c>
    </row>
    <row r="1449" spans="1:16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P1449" s="10" t="str">
        <f t="shared" si="23"/>
        <v/>
      </c>
    </row>
    <row r="1450" spans="1:16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P1450" s="10" t="str">
        <f t="shared" si="23"/>
        <v/>
      </c>
    </row>
    <row r="1451" spans="1:16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P1451" s="10" t="str">
        <f t="shared" si="23"/>
        <v/>
      </c>
    </row>
    <row r="1452" spans="1:16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P1452" s="10" t="str">
        <f t="shared" si="23"/>
        <v/>
      </c>
    </row>
    <row r="1453" spans="1:16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P1453" s="10" t="str">
        <f t="shared" si="23"/>
        <v/>
      </c>
    </row>
    <row r="1454" spans="1:16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P1454" s="10" t="str">
        <f t="shared" si="23"/>
        <v/>
      </c>
    </row>
    <row r="1455" spans="1:16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P1455" s="10" t="str">
        <f t="shared" si="23"/>
        <v/>
      </c>
    </row>
    <row r="1456" spans="1:16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P1456" s="10" t="str">
        <f t="shared" si="23"/>
        <v/>
      </c>
    </row>
    <row r="1457" spans="1:16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P1457" s="10" t="str">
        <f t="shared" si="23"/>
        <v/>
      </c>
    </row>
    <row r="1458" spans="1:16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P1458" s="10" t="str">
        <f t="shared" si="23"/>
        <v/>
      </c>
    </row>
    <row r="1459" spans="1:16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P1459" s="10" t="str">
        <f t="shared" si="23"/>
        <v/>
      </c>
    </row>
    <row r="1460" spans="1:16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P1460" s="10" t="str">
        <f t="shared" si="23"/>
        <v/>
      </c>
    </row>
    <row r="1461" spans="1:16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P1461" s="10" t="str">
        <f t="shared" si="23"/>
        <v/>
      </c>
    </row>
    <row r="1462" spans="1:16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P1462" s="10" t="str">
        <f t="shared" si="23"/>
        <v/>
      </c>
    </row>
    <row r="1463" spans="1:16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P1463" s="10" t="str">
        <f t="shared" si="23"/>
        <v/>
      </c>
    </row>
    <row r="1464" spans="1:16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P1464" s="10" t="str">
        <f t="shared" si="23"/>
        <v/>
      </c>
    </row>
    <row r="1465" spans="1:16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P1465" s="10" t="str">
        <f t="shared" si="23"/>
        <v/>
      </c>
    </row>
    <row r="1466" spans="1:16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P1466" s="10" t="str">
        <f t="shared" si="23"/>
        <v/>
      </c>
    </row>
    <row r="1467" spans="1:16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P1467" s="10" t="str">
        <f t="shared" si="23"/>
        <v/>
      </c>
    </row>
    <row r="1468" spans="1:16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P1468" s="10" t="str">
        <f t="shared" si="23"/>
        <v/>
      </c>
    </row>
    <row r="1469" spans="1:16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P1469" s="10" t="str">
        <f t="shared" si="23"/>
        <v/>
      </c>
    </row>
    <row r="1470" spans="1:16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P1470" s="10" t="str">
        <f t="shared" si="23"/>
        <v/>
      </c>
    </row>
    <row r="1471" spans="1:16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P1471" s="10" t="str">
        <f t="shared" si="23"/>
        <v/>
      </c>
    </row>
    <row r="1472" spans="1:16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P1472" s="10" t="str">
        <f t="shared" si="23"/>
        <v/>
      </c>
    </row>
    <row r="1473" spans="1:16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P1473" s="10" t="str">
        <f t="shared" si="23"/>
        <v/>
      </c>
    </row>
    <row r="1474" spans="1:16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P1474" s="10" t="str">
        <f t="shared" si="23"/>
        <v/>
      </c>
    </row>
    <row r="1475" spans="1:16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P1475" s="10" t="str">
        <f t="shared" si="23"/>
        <v/>
      </c>
    </row>
    <row r="1476" spans="1:16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P1476" s="10" t="str">
        <f t="shared" si="23"/>
        <v/>
      </c>
    </row>
    <row r="1477" spans="1:16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P1477" s="10" t="str">
        <f t="shared" si="23"/>
        <v/>
      </c>
    </row>
    <row r="1478" spans="1:16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P1478" s="10" t="str">
        <f t="shared" si="23"/>
        <v/>
      </c>
    </row>
    <row r="1479" spans="1:16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P1479" s="10" t="str">
        <f t="shared" si="23"/>
        <v/>
      </c>
    </row>
    <row r="1480" spans="1:16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P1480" s="10" t="str">
        <f t="shared" si="23"/>
        <v/>
      </c>
    </row>
    <row r="1481" spans="1:16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P1481" s="10" t="str">
        <f t="shared" si="23"/>
        <v/>
      </c>
    </row>
    <row r="1482" spans="1:16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P1482" s="10" t="str">
        <f t="shared" si="23"/>
        <v/>
      </c>
    </row>
    <row r="1483" spans="1:16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P1483" s="10" t="str">
        <f t="shared" ref="P1483:P1546" si="24">IF(AND(ISBLANK(N1483),ISBLANK(O1483)),"",IF(ISBLANK(O1483), ROUND(P1482+N1483,2), ROUND(P1482+O1483,2)))</f>
        <v/>
      </c>
    </row>
    <row r="1484" spans="1:16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P1484" s="10" t="str">
        <f t="shared" si="24"/>
        <v/>
      </c>
    </row>
    <row r="1485" spans="1:16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P1485" s="10" t="str">
        <f t="shared" si="24"/>
        <v/>
      </c>
    </row>
    <row r="1486" spans="1:16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P1486" s="10" t="str">
        <f t="shared" si="24"/>
        <v/>
      </c>
    </row>
    <row r="1487" spans="1:16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P1487" s="10" t="str">
        <f t="shared" si="24"/>
        <v/>
      </c>
    </row>
    <row r="1488" spans="1:16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P1488" s="10" t="str">
        <f t="shared" si="24"/>
        <v/>
      </c>
    </row>
    <row r="1489" spans="1:16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P1489" s="10" t="str">
        <f t="shared" si="24"/>
        <v/>
      </c>
    </row>
    <row r="1490" spans="1:16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P1490" s="10" t="str">
        <f t="shared" si="24"/>
        <v/>
      </c>
    </row>
    <row r="1491" spans="1:16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P1491" s="10" t="str">
        <f t="shared" si="24"/>
        <v/>
      </c>
    </row>
    <row r="1492" spans="1:16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P1492" s="10" t="str">
        <f t="shared" si="24"/>
        <v/>
      </c>
    </row>
    <row r="1493" spans="1:16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P1493" s="10" t="str">
        <f t="shared" si="24"/>
        <v/>
      </c>
    </row>
    <row r="1494" spans="1:16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P1494" s="10" t="str">
        <f t="shared" si="24"/>
        <v/>
      </c>
    </row>
    <row r="1495" spans="1:16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P1495" s="10" t="str">
        <f t="shared" si="24"/>
        <v/>
      </c>
    </row>
    <row r="1496" spans="1:16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P1496" s="10" t="str">
        <f t="shared" si="24"/>
        <v/>
      </c>
    </row>
    <row r="1497" spans="1:16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P1497" s="10" t="str">
        <f t="shared" si="24"/>
        <v/>
      </c>
    </row>
    <row r="1498" spans="1:16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P1498" s="10" t="str">
        <f t="shared" si="24"/>
        <v/>
      </c>
    </row>
    <row r="1499" spans="1:16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P1499" s="10" t="str">
        <f t="shared" si="24"/>
        <v/>
      </c>
    </row>
    <row r="1500" spans="1:16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P1500" s="10" t="str">
        <f t="shared" si="24"/>
        <v/>
      </c>
    </row>
    <row r="1501" spans="1:16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P1501" s="10" t="str">
        <f t="shared" si="24"/>
        <v/>
      </c>
    </row>
    <row r="1502" spans="1:16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P1502" s="10" t="str">
        <f t="shared" si="24"/>
        <v/>
      </c>
    </row>
    <row r="1503" spans="1:16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P1503" s="10" t="str">
        <f t="shared" si="24"/>
        <v/>
      </c>
    </row>
    <row r="1504" spans="1:16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P1504" s="10" t="str">
        <f t="shared" si="24"/>
        <v/>
      </c>
    </row>
    <row r="1505" spans="1:16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P1505" s="10" t="str">
        <f t="shared" si="24"/>
        <v/>
      </c>
    </row>
    <row r="1506" spans="1:16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P1506" s="10" t="str">
        <f t="shared" si="24"/>
        <v/>
      </c>
    </row>
    <row r="1507" spans="1:16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P1507" s="10" t="str">
        <f t="shared" si="24"/>
        <v/>
      </c>
    </row>
    <row r="1508" spans="1:16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P1508" s="10" t="str">
        <f t="shared" si="24"/>
        <v/>
      </c>
    </row>
    <row r="1509" spans="1:16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P1509" s="10" t="str">
        <f t="shared" si="24"/>
        <v/>
      </c>
    </row>
    <row r="1510" spans="1:16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P1510" s="10" t="str">
        <f t="shared" si="24"/>
        <v/>
      </c>
    </row>
    <row r="1511" spans="1:16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P1511" s="10" t="str">
        <f t="shared" si="24"/>
        <v/>
      </c>
    </row>
    <row r="1512" spans="1:16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P1512" s="10" t="str">
        <f t="shared" si="24"/>
        <v/>
      </c>
    </row>
    <row r="1513" spans="1:16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P1513" s="10" t="str">
        <f t="shared" si="24"/>
        <v/>
      </c>
    </row>
    <row r="1514" spans="1:16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P1514" s="10" t="str">
        <f t="shared" si="24"/>
        <v/>
      </c>
    </row>
    <row r="1515" spans="1:16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P1515" s="10" t="str">
        <f t="shared" si="24"/>
        <v/>
      </c>
    </row>
    <row r="1516" spans="1:16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P1516" s="10" t="str">
        <f t="shared" si="24"/>
        <v/>
      </c>
    </row>
    <row r="1517" spans="1:16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P1517" s="10" t="str">
        <f t="shared" si="24"/>
        <v/>
      </c>
    </row>
    <row r="1518" spans="1:16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P1518" s="10" t="str">
        <f t="shared" si="24"/>
        <v/>
      </c>
    </row>
    <row r="1519" spans="1:16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P1519" s="10" t="str">
        <f t="shared" si="24"/>
        <v/>
      </c>
    </row>
    <row r="1520" spans="1:16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P1520" s="10" t="str">
        <f t="shared" si="24"/>
        <v/>
      </c>
    </row>
    <row r="1521" spans="1:16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P1521" s="10" t="str">
        <f t="shared" si="24"/>
        <v/>
      </c>
    </row>
    <row r="1522" spans="1:16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P1522" s="10" t="str">
        <f t="shared" si="24"/>
        <v/>
      </c>
    </row>
    <row r="1523" spans="1:16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P1523" s="10" t="str">
        <f t="shared" si="24"/>
        <v/>
      </c>
    </row>
    <row r="1524" spans="1:16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P1524" s="10" t="str">
        <f t="shared" si="24"/>
        <v/>
      </c>
    </row>
    <row r="1525" spans="1:16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P1525" s="10" t="str">
        <f t="shared" si="24"/>
        <v/>
      </c>
    </row>
    <row r="1526" spans="1:16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P1526" s="10" t="str">
        <f t="shared" si="24"/>
        <v/>
      </c>
    </row>
    <row r="1527" spans="1:16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P1527" s="10" t="str">
        <f t="shared" si="24"/>
        <v/>
      </c>
    </row>
    <row r="1528" spans="1:16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P1528" s="10" t="str">
        <f t="shared" si="24"/>
        <v/>
      </c>
    </row>
    <row r="1529" spans="1:16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P1529" s="10" t="str">
        <f t="shared" si="24"/>
        <v/>
      </c>
    </row>
    <row r="1530" spans="1:16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P1530" s="10" t="str">
        <f t="shared" si="24"/>
        <v/>
      </c>
    </row>
    <row r="1531" spans="1:16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P1531" s="10" t="str">
        <f t="shared" si="24"/>
        <v/>
      </c>
    </row>
    <row r="1532" spans="1:16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P1532" s="10" t="str">
        <f t="shared" si="24"/>
        <v/>
      </c>
    </row>
    <row r="1533" spans="1:16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P1533" s="10" t="str">
        <f t="shared" si="24"/>
        <v/>
      </c>
    </row>
    <row r="1534" spans="1:16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P1534" s="10" t="str">
        <f t="shared" si="24"/>
        <v/>
      </c>
    </row>
    <row r="1535" spans="1:16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P1535" s="10" t="str">
        <f t="shared" si="24"/>
        <v/>
      </c>
    </row>
    <row r="1536" spans="1:16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P1536" s="10" t="str">
        <f t="shared" si="24"/>
        <v/>
      </c>
    </row>
    <row r="1537" spans="1:16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P1537" s="10" t="str">
        <f t="shared" si="24"/>
        <v/>
      </c>
    </row>
    <row r="1538" spans="1:16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P1538" s="10" t="str">
        <f t="shared" si="24"/>
        <v/>
      </c>
    </row>
    <row r="1539" spans="1:16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P1539" s="10" t="str">
        <f t="shared" si="24"/>
        <v/>
      </c>
    </row>
    <row r="1540" spans="1:16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P1540" s="10" t="str">
        <f t="shared" si="24"/>
        <v/>
      </c>
    </row>
    <row r="1541" spans="1:16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P1541" s="10" t="str">
        <f t="shared" si="24"/>
        <v/>
      </c>
    </row>
    <row r="1542" spans="1:16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P1542" s="10" t="str">
        <f t="shared" si="24"/>
        <v/>
      </c>
    </row>
    <row r="1543" spans="1:16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P1543" s="10" t="str">
        <f t="shared" si="24"/>
        <v/>
      </c>
    </row>
    <row r="1544" spans="1:16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P1544" s="10" t="str">
        <f t="shared" si="24"/>
        <v/>
      </c>
    </row>
    <row r="1545" spans="1:16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P1545" s="10" t="str">
        <f t="shared" si="24"/>
        <v/>
      </c>
    </row>
    <row r="1546" spans="1:16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P1546" s="10" t="str">
        <f t="shared" si="24"/>
        <v/>
      </c>
    </row>
    <row r="1547" spans="1:16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P1547" s="10" t="str">
        <f t="shared" ref="P1547:P1610" si="25">IF(AND(ISBLANK(N1547),ISBLANK(O1547)),"",IF(ISBLANK(O1547), ROUND(P1546+N1547,2), ROUND(P1546+O1547,2)))</f>
        <v/>
      </c>
    </row>
    <row r="1548" spans="1:16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P1548" s="10" t="str">
        <f t="shared" si="25"/>
        <v/>
      </c>
    </row>
    <row r="1549" spans="1:16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P1549" s="10" t="str">
        <f t="shared" si="25"/>
        <v/>
      </c>
    </row>
    <row r="1550" spans="1:16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P1550" s="10" t="str">
        <f t="shared" si="25"/>
        <v/>
      </c>
    </row>
    <row r="1551" spans="1:16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P1551" s="10" t="str">
        <f t="shared" si="25"/>
        <v/>
      </c>
    </row>
    <row r="1552" spans="1:16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P1552" s="10" t="str">
        <f t="shared" si="25"/>
        <v/>
      </c>
    </row>
    <row r="1553" spans="1:16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P1553" s="10" t="str">
        <f t="shared" si="25"/>
        <v/>
      </c>
    </row>
    <row r="1554" spans="1:16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P1554" s="10" t="str">
        <f t="shared" si="25"/>
        <v/>
      </c>
    </row>
    <row r="1555" spans="1:16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P1555" s="10" t="str">
        <f t="shared" si="25"/>
        <v/>
      </c>
    </row>
    <row r="1556" spans="1:16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P1556" s="10" t="str">
        <f t="shared" si="25"/>
        <v/>
      </c>
    </row>
    <row r="1557" spans="1:16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P1557" s="10" t="str">
        <f t="shared" si="25"/>
        <v/>
      </c>
    </row>
    <row r="1558" spans="1:16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P1558" s="10" t="str">
        <f t="shared" si="25"/>
        <v/>
      </c>
    </row>
    <row r="1559" spans="1:16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P1559" s="10" t="str">
        <f t="shared" si="25"/>
        <v/>
      </c>
    </row>
    <row r="1560" spans="1:16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P1560" s="10" t="str">
        <f t="shared" si="25"/>
        <v/>
      </c>
    </row>
    <row r="1561" spans="1:16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P1561" s="10" t="str">
        <f t="shared" si="25"/>
        <v/>
      </c>
    </row>
    <row r="1562" spans="1:16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P1562" s="10" t="str">
        <f t="shared" si="25"/>
        <v/>
      </c>
    </row>
    <row r="1563" spans="1:16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P1563" s="10" t="str">
        <f t="shared" si="25"/>
        <v/>
      </c>
    </row>
    <row r="1564" spans="1:16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P1564" s="10" t="str">
        <f t="shared" si="25"/>
        <v/>
      </c>
    </row>
    <row r="1565" spans="1:16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P1565" s="10" t="str">
        <f t="shared" si="25"/>
        <v/>
      </c>
    </row>
    <row r="1566" spans="1:16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P1566" s="10" t="str">
        <f t="shared" si="25"/>
        <v/>
      </c>
    </row>
    <row r="1567" spans="1:16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P1567" s="10" t="str">
        <f t="shared" si="25"/>
        <v/>
      </c>
    </row>
    <row r="1568" spans="1:16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P1568" s="10" t="str">
        <f t="shared" si="25"/>
        <v/>
      </c>
    </row>
    <row r="1569" spans="1:16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P1569" s="10" t="str">
        <f t="shared" si="25"/>
        <v/>
      </c>
    </row>
    <row r="1570" spans="1:16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P1570" s="10" t="str">
        <f t="shared" si="25"/>
        <v/>
      </c>
    </row>
    <row r="1571" spans="1:16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P1571" s="10" t="str">
        <f t="shared" si="25"/>
        <v/>
      </c>
    </row>
    <row r="1572" spans="1:16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P1572" s="10" t="str">
        <f t="shared" si="25"/>
        <v/>
      </c>
    </row>
    <row r="1573" spans="1:16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P1573" s="10" t="str">
        <f t="shared" si="25"/>
        <v/>
      </c>
    </row>
    <row r="1574" spans="1:16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P1574" s="10" t="str">
        <f t="shared" si="25"/>
        <v/>
      </c>
    </row>
    <row r="1575" spans="1:16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P1575" s="10" t="str">
        <f t="shared" si="25"/>
        <v/>
      </c>
    </row>
    <row r="1576" spans="1:16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P1576" s="10" t="str">
        <f t="shared" si="25"/>
        <v/>
      </c>
    </row>
    <row r="1577" spans="1:16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P1577" s="10" t="str">
        <f t="shared" si="25"/>
        <v/>
      </c>
    </row>
    <row r="1578" spans="1:16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P1578" s="10" t="str">
        <f t="shared" si="25"/>
        <v/>
      </c>
    </row>
    <row r="1579" spans="1:16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P1579" s="10" t="str">
        <f t="shared" si="25"/>
        <v/>
      </c>
    </row>
    <row r="1580" spans="1:16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P1580" s="10" t="str">
        <f t="shared" si="25"/>
        <v/>
      </c>
    </row>
    <row r="1581" spans="1:16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P1581" s="10" t="str">
        <f t="shared" si="25"/>
        <v/>
      </c>
    </row>
    <row r="1582" spans="1:16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P1582" s="10" t="str">
        <f t="shared" si="25"/>
        <v/>
      </c>
    </row>
    <row r="1583" spans="1:16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P1583" s="10" t="str">
        <f t="shared" si="25"/>
        <v/>
      </c>
    </row>
    <row r="1584" spans="1:16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P1584" s="10" t="str">
        <f t="shared" si="25"/>
        <v/>
      </c>
    </row>
    <row r="1585" spans="1:16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P1585" s="10" t="str">
        <f t="shared" si="25"/>
        <v/>
      </c>
    </row>
    <row r="1586" spans="1:16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P1586" s="10" t="str">
        <f t="shared" si="25"/>
        <v/>
      </c>
    </row>
    <row r="1587" spans="1:16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P1587" s="10" t="str">
        <f t="shared" si="25"/>
        <v/>
      </c>
    </row>
    <row r="1588" spans="1:16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P1588" s="10" t="str">
        <f t="shared" si="25"/>
        <v/>
      </c>
    </row>
    <row r="1589" spans="1:16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P1589" s="10" t="str">
        <f t="shared" si="25"/>
        <v/>
      </c>
    </row>
    <row r="1590" spans="1:16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P1590" s="10" t="str">
        <f t="shared" si="25"/>
        <v/>
      </c>
    </row>
    <row r="1591" spans="1:16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P1591" s="10" t="str">
        <f t="shared" si="25"/>
        <v/>
      </c>
    </row>
    <row r="1592" spans="1:16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P1592" s="10" t="str">
        <f t="shared" si="25"/>
        <v/>
      </c>
    </row>
    <row r="1593" spans="1:16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P1593" s="10" t="str">
        <f t="shared" si="25"/>
        <v/>
      </c>
    </row>
    <row r="1594" spans="1:16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P1594" s="10" t="str">
        <f t="shared" si="25"/>
        <v/>
      </c>
    </row>
    <row r="1595" spans="1:16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P1595" s="10" t="str">
        <f t="shared" si="25"/>
        <v/>
      </c>
    </row>
    <row r="1596" spans="1:16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P1596" s="10" t="str">
        <f t="shared" si="25"/>
        <v/>
      </c>
    </row>
    <row r="1597" spans="1:16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P1597" s="10" t="str">
        <f t="shared" si="25"/>
        <v/>
      </c>
    </row>
    <row r="1598" spans="1:16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P1598" s="10" t="str">
        <f t="shared" si="25"/>
        <v/>
      </c>
    </row>
    <row r="1599" spans="1:16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P1599" s="10" t="str">
        <f t="shared" si="25"/>
        <v/>
      </c>
    </row>
    <row r="1600" spans="1:16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P1600" s="10" t="str">
        <f t="shared" si="25"/>
        <v/>
      </c>
    </row>
    <row r="1601" spans="1:16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P1601" s="10" t="str">
        <f t="shared" si="25"/>
        <v/>
      </c>
    </row>
    <row r="1602" spans="1:16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P1602" s="10" t="str">
        <f t="shared" si="25"/>
        <v/>
      </c>
    </row>
    <row r="1603" spans="1:16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P1603" s="10" t="str">
        <f t="shared" si="25"/>
        <v/>
      </c>
    </row>
    <row r="1604" spans="1:16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P1604" s="10" t="str">
        <f t="shared" si="25"/>
        <v/>
      </c>
    </row>
    <row r="1605" spans="1:16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P1605" s="10" t="str">
        <f t="shared" si="25"/>
        <v/>
      </c>
    </row>
    <row r="1606" spans="1:16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P1606" s="10" t="str">
        <f t="shared" si="25"/>
        <v/>
      </c>
    </row>
    <row r="1607" spans="1:16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P1607" s="10" t="str">
        <f t="shared" si="25"/>
        <v/>
      </c>
    </row>
    <row r="1608" spans="1:16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P1608" s="10" t="str">
        <f t="shared" si="25"/>
        <v/>
      </c>
    </row>
    <row r="1609" spans="1:16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P1609" s="10" t="str">
        <f t="shared" si="25"/>
        <v/>
      </c>
    </row>
    <row r="1610" spans="1:16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P1610" s="10" t="str">
        <f t="shared" si="25"/>
        <v/>
      </c>
    </row>
    <row r="1611" spans="1:16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P1611" s="10" t="str">
        <f t="shared" ref="P1611:P1674" si="26">IF(AND(ISBLANK(N1611),ISBLANK(O1611)),"",IF(ISBLANK(O1611), ROUND(P1610+N1611,2), ROUND(P1610+O1611,2)))</f>
        <v/>
      </c>
    </row>
    <row r="1612" spans="1:16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P1612" s="10" t="str">
        <f t="shared" si="26"/>
        <v/>
      </c>
    </row>
    <row r="1613" spans="1:16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P1613" s="10" t="str">
        <f t="shared" si="26"/>
        <v/>
      </c>
    </row>
    <row r="1614" spans="1:16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P1614" s="10" t="str">
        <f t="shared" si="26"/>
        <v/>
      </c>
    </row>
    <row r="1615" spans="1:16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P1615" s="10" t="str">
        <f t="shared" si="26"/>
        <v/>
      </c>
    </row>
    <row r="1616" spans="1:16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P1616" s="10" t="str">
        <f t="shared" si="26"/>
        <v/>
      </c>
    </row>
    <row r="1617" spans="1:16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P1617" s="10" t="str">
        <f t="shared" si="26"/>
        <v/>
      </c>
    </row>
    <row r="1618" spans="1:16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P1618" s="10" t="str">
        <f t="shared" si="26"/>
        <v/>
      </c>
    </row>
    <row r="1619" spans="1:16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P1619" s="10" t="str">
        <f t="shared" si="26"/>
        <v/>
      </c>
    </row>
    <row r="1620" spans="1:16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P1620" s="10" t="str">
        <f t="shared" si="26"/>
        <v/>
      </c>
    </row>
    <row r="1621" spans="1:16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P1621" s="10" t="str">
        <f t="shared" si="26"/>
        <v/>
      </c>
    </row>
    <row r="1622" spans="1:16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P1622" s="10" t="str">
        <f t="shared" si="26"/>
        <v/>
      </c>
    </row>
    <row r="1623" spans="1:16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P1623" s="10" t="str">
        <f t="shared" si="26"/>
        <v/>
      </c>
    </row>
    <row r="1624" spans="1:16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P1624" s="10" t="str">
        <f t="shared" si="26"/>
        <v/>
      </c>
    </row>
    <row r="1625" spans="1:16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P1625" s="10" t="str">
        <f t="shared" si="26"/>
        <v/>
      </c>
    </row>
    <row r="1626" spans="1:16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P1626" s="10" t="str">
        <f t="shared" si="26"/>
        <v/>
      </c>
    </row>
    <row r="1627" spans="1:16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P1627" s="10" t="str">
        <f t="shared" si="26"/>
        <v/>
      </c>
    </row>
    <row r="1628" spans="1:16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P1628" s="10" t="str">
        <f t="shared" si="26"/>
        <v/>
      </c>
    </row>
    <row r="1629" spans="1:16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P1629" s="10" t="str">
        <f t="shared" si="26"/>
        <v/>
      </c>
    </row>
    <row r="1630" spans="1:16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P1630" s="10" t="str">
        <f t="shared" si="26"/>
        <v/>
      </c>
    </row>
    <row r="1631" spans="1:16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P1631" s="10" t="str">
        <f t="shared" si="26"/>
        <v/>
      </c>
    </row>
    <row r="1632" spans="1:16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P1632" s="10" t="str">
        <f t="shared" si="26"/>
        <v/>
      </c>
    </row>
    <row r="1633" spans="1:16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P1633" s="10" t="str">
        <f t="shared" si="26"/>
        <v/>
      </c>
    </row>
    <row r="1634" spans="1:16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P1634" s="10" t="str">
        <f t="shared" si="26"/>
        <v/>
      </c>
    </row>
    <row r="1635" spans="1:16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P1635" s="10" t="str">
        <f t="shared" si="26"/>
        <v/>
      </c>
    </row>
    <row r="1636" spans="1:16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P1636" s="10" t="str">
        <f t="shared" si="26"/>
        <v/>
      </c>
    </row>
    <row r="1637" spans="1:16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P1637" s="10" t="str">
        <f t="shared" si="26"/>
        <v/>
      </c>
    </row>
    <row r="1638" spans="1:16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P1638" s="10" t="str">
        <f t="shared" si="26"/>
        <v/>
      </c>
    </row>
    <row r="1639" spans="1:16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P1639" s="10" t="str">
        <f t="shared" si="26"/>
        <v/>
      </c>
    </row>
    <row r="1640" spans="1:16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P1640" s="10" t="str">
        <f t="shared" si="26"/>
        <v/>
      </c>
    </row>
    <row r="1641" spans="1:16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P1641" s="10" t="str">
        <f t="shared" si="26"/>
        <v/>
      </c>
    </row>
    <row r="1642" spans="1:16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P1642" s="10" t="str">
        <f t="shared" si="26"/>
        <v/>
      </c>
    </row>
    <row r="1643" spans="1:16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P1643" s="10" t="str">
        <f t="shared" si="26"/>
        <v/>
      </c>
    </row>
    <row r="1644" spans="1:16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P1644" s="10" t="str">
        <f t="shared" si="26"/>
        <v/>
      </c>
    </row>
    <row r="1645" spans="1:16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P1645" s="10" t="str">
        <f t="shared" si="26"/>
        <v/>
      </c>
    </row>
    <row r="1646" spans="1:16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P1646" s="10" t="str">
        <f t="shared" si="26"/>
        <v/>
      </c>
    </row>
    <row r="1647" spans="1:16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P1647" s="10" t="str">
        <f t="shared" si="26"/>
        <v/>
      </c>
    </row>
    <row r="1648" spans="1:16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P1648" s="10" t="str">
        <f t="shared" si="26"/>
        <v/>
      </c>
    </row>
    <row r="1649" spans="1:16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P1649" s="10" t="str">
        <f t="shared" si="26"/>
        <v/>
      </c>
    </row>
    <row r="1650" spans="1:16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P1650" s="10" t="str">
        <f t="shared" si="26"/>
        <v/>
      </c>
    </row>
    <row r="1651" spans="1:16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P1651" s="10" t="str">
        <f t="shared" si="26"/>
        <v/>
      </c>
    </row>
    <row r="1652" spans="1:16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P1652" s="10" t="str">
        <f t="shared" si="26"/>
        <v/>
      </c>
    </row>
    <row r="1653" spans="1:16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P1653" s="10" t="str">
        <f t="shared" si="26"/>
        <v/>
      </c>
    </row>
    <row r="1654" spans="1:16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P1654" s="10" t="str">
        <f t="shared" si="26"/>
        <v/>
      </c>
    </row>
    <row r="1655" spans="1:16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P1655" s="10" t="str">
        <f t="shared" si="26"/>
        <v/>
      </c>
    </row>
    <row r="1656" spans="1:16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P1656" s="10" t="str">
        <f t="shared" si="26"/>
        <v/>
      </c>
    </row>
    <row r="1657" spans="1:16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P1657" s="10" t="str">
        <f t="shared" si="26"/>
        <v/>
      </c>
    </row>
    <row r="1658" spans="1:16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P1658" s="10" t="str">
        <f t="shared" si="26"/>
        <v/>
      </c>
    </row>
    <row r="1659" spans="1:16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P1659" s="10" t="str">
        <f t="shared" si="26"/>
        <v/>
      </c>
    </row>
    <row r="1660" spans="1:16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P1660" s="10" t="str">
        <f t="shared" si="26"/>
        <v/>
      </c>
    </row>
    <row r="1661" spans="1:16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P1661" s="10" t="str">
        <f t="shared" si="26"/>
        <v/>
      </c>
    </row>
    <row r="1662" spans="1:16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P1662" s="10" t="str">
        <f t="shared" si="26"/>
        <v/>
      </c>
    </row>
    <row r="1663" spans="1:16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P1663" s="10" t="str">
        <f t="shared" si="26"/>
        <v/>
      </c>
    </row>
    <row r="1664" spans="1:16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P1664" s="10" t="str">
        <f t="shared" si="26"/>
        <v/>
      </c>
    </row>
    <row r="1665" spans="1:16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P1665" s="10" t="str">
        <f t="shared" si="26"/>
        <v/>
      </c>
    </row>
    <row r="1666" spans="1:16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P1666" s="10" t="str">
        <f t="shared" si="26"/>
        <v/>
      </c>
    </row>
    <row r="1667" spans="1:16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P1667" s="10" t="str">
        <f t="shared" si="26"/>
        <v/>
      </c>
    </row>
    <row r="1668" spans="1:16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P1668" s="10" t="str">
        <f t="shared" si="26"/>
        <v/>
      </c>
    </row>
    <row r="1669" spans="1:16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P1669" s="10" t="str">
        <f t="shared" si="26"/>
        <v/>
      </c>
    </row>
    <row r="1670" spans="1:16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P1670" s="10" t="str">
        <f t="shared" si="26"/>
        <v/>
      </c>
    </row>
    <row r="1671" spans="1:16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P1671" s="10" t="str">
        <f t="shared" si="26"/>
        <v/>
      </c>
    </row>
    <row r="1672" spans="1:16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P1672" s="10" t="str">
        <f t="shared" si="26"/>
        <v/>
      </c>
    </row>
    <row r="1673" spans="1:16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P1673" s="10" t="str">
        <f t="shared" si="26"/>
        <v/>
      </c>
    </row>
    <row r="1674" spans="1:16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P1674" s="10" t="str">
        <f t="shared" si="26"/>
        <v/>
      </c>
    </row>
    <row r="1675" spans="1:16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P1675" s="10" t="str">
        <f t="shared" ref="P1675:P1719" si="27">IF(AND(ISBLANK(N1675),ISBLANK(O1675)),"",IF(ISBLANK(O1675), ROUND(P1674+N1675,2), ROUND(P1674+O1675,2)))</f>
        <v/>
      </c>
    </row>
    <row r="1676" spans="1:16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P1676" s="10" t="str">
        <f t="shared" si="27"/>
        <v/>
      </c>
    </row>
    <row r="1677" spans="1:16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P1677" s="10" t="str">
        <f t="shared" si="27"/>
        <v/>
      </c>
    </row>
    <row r="1678" spans="1:16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P1678" s="10" t="str">
        <f t="shared" si="27"/>
        <v/>
      </c>
    </row>
    <row r="1679" spans="1:16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P1679" s="10" t="str">
        <f t="shared" si="27"/>
        <v/>
      </c>
    </row>
    <row r="1680" spans="1:16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P1680" s="10" t="str">
        <f t="shared" si="27"/>
        <v/>
      </c>
    </row>
    <row r="1681" spans="1:16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P1681" s="10" t="str">
        <f t="shared" si="27"/>
        <v/>
      </c>
    </row>
    <row r="1682" spans="1:16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P1682" s="10" t="str">
        <f t="shared" si="27"/>
        <v/>
      </c>
    </row>
    <row r="1683" spans="1:16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P1683" s="10" t="str">
        <f t="shared" si="27"/>
        <v/>
      </c>
    </row>
    <row r="1684" spans="1:16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P1684" s="10" t="str">
        <f t="shared" si="27"/>
        <v/>
      </c>
    </row>
    <row r="1685" spans="1:16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P1685" s="10" t="str">
        <f t="shared" si="27"/>
        <v/>
      </c>
    </row>
    <row r="1686" spans="1:16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P1686" s="10" t="str">
        <f t="shared" si="27"/>
        <v/>
      </c>
    </row>
    <row r="1687" spans="1:16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P1687" s="10" t="str">
        <f t="shared" si="27"/>
        <v/>
      </c>
    </row>
    <row r="1688" spans="1:16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P1688" s="10" t="str">
        <f t="shared" si="27"/>
        <v/>
      </c>
    </row>
    <row r="1689" spans="1:16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P1689" s="10" t="str">
        <f t="shared" si="27"/>
        <v/>
      </c>
    </row>
    <row r="1690" spans="1:16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P1690" s="10" t="str">
        <f t="shared" si="27"/>
        <v/>
      </c>
    </row>
    <row r="1691" spans="1:16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P1691" s="10" t="str">
        <f t="shared" si="27"/>
        <v/>
      </c>
    </row>
    <row r="1692" spans="1:16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P1692" s="10" t="str">
        <f t="shared" si="27"/>
        <v/>
      </c>
    </row>
    <row r="1693" spans="1:16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P1693" s="10" t="str">
        <f t="shared" si="27"/>
        <v/>
      </c>
    </row>
    <row r="1694" spans="1:16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P1694" s="10" t="str">
        <f t="shared" si="27"/>
        <v/>
      </c>
    </row>
    <row r="1695" spans="1:16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P1695" s="10" t="str">
        <f t="shared" si="27"/>
        <v/>
      </c>
    </row>
    <row r="1696" spans="1:16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P1696" s="10" t="str">
        <f t="shared" si="27"/>
        <v/>
      </c>
    </row>
    <row r="1697" spans="1:16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P1697" s="10" t="str">
        <f t="shared" si="27"/>
        <v/>
      </c>
    </row>
    <row r="1698" spans="1:16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P1698" s="10" t="str">
        <f t="shared" si="27"/>
        <v/>
      </c>
    </row>
    <row r="1699" spans="1:16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P1699" s="10" t="str">
        <f t="shared" si="27"/>
        <v/>
      </c>
    </row>
    <row r="1700" spans="1:16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P1700" s="10" t="str">
        <f t="shared" si="27"/>
        <v/>
      </c>
    </row>
    <row r="1701" spans="1:16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P1701" s="10" t="str">
        <f t="shared" si="27"/>
        <v/>
      </c>
    </row>
    <row r="1702" spans="1:16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P1702" s="10" t="str">
        <f t="shared" si="27"/>
        <v/>
      </c>
    </row>
    <row r="1703" spans="1:16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P1703" s="10" t="str">
        <f t="shared" si="27"/>
        <v/>
      </c>
    </row>
    <row r="1704" spans="1:16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P1704" s="10" t="str">
        <f t="shared" si="27"/>
        <v/>
      </c>
    </row>
    <row r="1705" spans="1:16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P1705" s="10" t="str">
        <f t="shared" si="27"/>
        <v/>
      </c>
    </row>
    <row r="1706" spans="1:16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P1706" s="10" t="str">
        <f t="shared" si="27"/>
        <v/>
      </c>
    </row>
    <row r="1707" spans="1:16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P1707" s="10" t="str">
        <f t="shared" si="27"/>
        <v/>
      </c>
    </row>
    <row r="1708" spans="1:16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P1708" s="10" t="str">
        <f t="shared" si="27"/>
        <v/>
      </c>
    </row>
    <row r="1709" spans="1:16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P1709" s="10" t="str">
        <f t="shared" si="27"/>
        <v/>
      </c>
    </row>
    <row r="1710" spans="1:16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P1710" s="10" t="str">
        <f t="shared" si="27"/>
        <v/>
      </c>
    </row>
    <row r="1711" spans="1:16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P1711" s="10" t="str">
        <f t="shared" si="27"/>
        <v/>
      </c>
    </row>
    <row r="1712" spans="1:16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P1712" s="10" t="str">
        <f t="shared" si="27"/>
        <v/>
      </c>
    </row>
    <row r="1713" spans="1:16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P1713" s="10" t="str">
        <f t="shared" si="27"/>
        <v/>
      </c>
    </row>
    <row r="1714" spans="1:16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P1714" s="10" t="str">
        <f t="shared" si="27"/>
        <v/>
      </c>
    </row>
    <row r="1715" spans="1:16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P1715" s="10" t="str">
        <f t="shared" si="27"/>
        <v/>
      </c>
    </row>
    <row r="1716" spans="1:16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P1716" s="10" t="str">
        <f t="shared" si="27"/>
        <v/>
      </c>
    </row>
    <row r="1717" spans="1:16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P1717" s="10" t="str">
        <f t="shared" si="27"/>
        <v/>
      </c>
    </row>
    <row r="1718" spans="1:16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P1718" s="10" t="str">
        <f t="shared" si="27"/>
        <v/>
      </c>
    </row>
    <row r="1719" spans="1:16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P1719" s="10" t="str">
        <f t="shared" si="27"/>
        <v/>
      </c>
    </row>
    <row r="1720" spans="1:16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J1720" s="3"/>
    </row>
    <row r="1721" spans="1:16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J1721" s="3"/>
    </row>
    <row r="1722" spans="1:16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J1722" s="3"/>
    </row>
    <row r="1723" spans="1:16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J1723" s="3"/>
    </row>
    <row r="1724" spans="1:16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J1724" s="3"/>
    </row>
    <row r="1725" spans="1:16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J1725" s="3"/>
    </row>
    <row r="1726" spans="1:16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J1726" s="3"/>
    </row>
    <row r="1727" spans="1:16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J1727" s="3"/>
    </row>
    <row r="1728" spans="1:16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J1728" s="3"/>
    </row>
    <row r="1729" spans="1:10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J1729" s="3"/>
    </row>
    <row r="1730" spans="1:10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J1730" s="3"/>
    </row>
    <row r="1731" spans="1:10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J1731" s="3"/>
    </row>
    <row r="1732" spans="1:10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J1732" s="3"/>
    </row>
    <row r="1733" spans="1:10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J1733" s="3"/>
    </row>
    <row r="1734" spans="1:10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J1734" s="3"/>
    </row>
    <row r="1735" spans="1:10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J1735" s="3"/>
    </row>
    <row r="1736" spans="1:10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J1736" s="3"/>
    </row>
    <row r="1737" spans="1:10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J1737" s="3"/>
    </row>
    <row r="1738" spans="1:10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J1738" s="3"/>
    </row>
    <row r="1739" spans="1:10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J1739" s="3"/>
    </row>
    <row r="1740" spans="1:10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J1740" s="3"/>
    </row>
    <row r="1741" spans="1:10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J1741" s="3"/>
    </row>
    <row r="1742" spans="1:10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J1742" s="3"/>
    </row>
    <row r="1743" spans="1:10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J1743" s="3"/>
    </row>
    <row r="1744" spans="1:10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J1744" s="3"/>
    </row>
    <row r="1745" spans="1:10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J1745" s="3"/>
    </row>
    <row r="1746" spans="1:10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J1746" s="3"/>
    </row>
    <row r="1747" spans="1:10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J1747" s="3"/>
    </row>
    <row r="1748" spans="1:10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J1748" s="3"/>
    </row>
    <row r="1749" spans="1:10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J1749" s="3"/>
    </row>
    <row r="1750" spans="1:10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J1750" s="3"/>
    </row>
    <row r="1751" spans="1:10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J1751" s="3"/>
    </row>
    <row r="1752" spans="1:10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J1752" s="3"/>
    </row>
    <row r="1753" spans="1:10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J1753" s="3"/>
    </row>
    <row r="1754" spans="1:10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J1754" s="3"/>
    </row>
    <row r="1755" spans="1:10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J1755" s="3"/>
    </row>
    <row r="1756" spans="1:10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J1756" s="3"/>
    </row>
    <row r="1757" spans="1:10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J1757" s="3"/>
    </row>
    <row r="1758" spans="1:10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J1758" s="3"/>
    </row>
    <row r="1759" spans="1:10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J1759" s="3"/>
    </row>
    <row r="1760" spans="1:10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J1760" s="3"/>
    </row>
    <row r="1761" spans="1:10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J1761" s="3"/>
    </row>
    <row r="1762" spans="1:10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J1762" s="3"/>
    </row>
    <row r="1763" spans="1:10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J1763" s="3"/>
    </row>
    <row r="1764" spans="1:10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J1764" s="3"/>
    </row>
    <row r="1765" spans="1:10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J1765" s="3"/>
    </row>
    <row r="1766" spans="1:10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J1766" s="3"/>
    </row>
    <row r="1767" spans="1:10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J1767" s="3"/>
    </row>
    <row r="1768" spans="1:10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J1768" s="3"/>
    </row>
    <row r="1769" spans="1:10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J1769" s="3"/>
    </row>
    <row r="1770" spans="1:10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J1770" s="3"/>
    </row>
    <row r="1771" spans="1:10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J1771" s="3"/>
    </row>
    <row r="1772" spans="1:10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J1772" s="3"/>
    </row>
    <row r="1773" spans="1:10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J1773" s="3"/>
    </row>
    <row r="1774" spans="1:10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J1774" s="3"/>
    </row>
    <row r="1775" spans="1:10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J1775" s="3"/>
    </row>
    <row r="1776" spans="1:10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J1776" s="3"/>
    </row>
    <row r="1777" spans="1:10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J1777" s="3"/>
    </row>
    <row r="1778" spans="1:10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J1778" s="3"/>
    </row>
    <row r="1779" spans="1:10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J1779" s="3"/>
    </row>
    <row r="1780" spans="1:10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J1780" s="3"/>
    </row>
    <row r="1781" spans="1:10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J1781" s="3"/>
    </row>
    <row r="1782" spans="1:10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J1782" s="3"/>
    </row>
    <row r="1783" spans="1:10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J1783" s="3"/>
    </row>
    <row r="1784" spans="1:10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J1784" s="3"/>
    </row>
    <row r="1785" spans="1:10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J1785" s="3"/>
    </row>
    <row r="1786" spans="1:10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J1786" s="3"/>
    </row>
    <row r="1787" spans="1:10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J1787" s="3"/>
    </row>
    <row r="1788" spans="1:10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J1788" s="3"/>
    </row>
    <row r="1789" spans="1:10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J1789" s="3"/>
    </row>
    <row r="1790" spans="1:10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J1790" s="3"/>
    </row>
    <row r="1791" spans="1:10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J1791" s="3"/>
    </row>
    <row r="1792" spans="1:10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J1792" s="3"/>
    </row>
    <row r="1793" spans="1:10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J1793" s="3"/>
    </row>
    <row r="1794" spans="1:10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J1794" s="3"/>
    </row>
    <row r="1795" spans="1:10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J1795" s="3"/>
    </row>
    <row r="1796" spans="1:10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J1796" s="3"/>
    </row>
    <row r="1797" spans="1:10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J1797" s="3"/>
    </row>
    <row r="1798" spans="1:10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J1798" s="3"/>
    </row>
    <row r="1799" spans="1:10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J1799" s="3"/>
    </row>
    <row r="1800" spans="1:10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J1800" s="3"/>
    </row>
    <row r="1801" spans="1:10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J1801" s="3"/>
    </row>
    <row r="1802" spans="1:10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J1802" s="3"/>
    </row>
    <row r="1803" spans="1:10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J1803" s="3"/>
    </row>
    <row r="1804" spans="1:10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J1804" s="3"/>
    </row>
    <row r="1805" spans="1:10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J1805" s="3"/>
    </row>
    <row r="1806" spans="1:10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J1806" s="3"/>
    </row>
    <row r="1807" spans="1:10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J1807" s="3"/>
    </row>
    <row r="1808" spans="1:10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J1808" s="3"/>
    </row>
    <row r="1809" spans="1:10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J1809" s="3"/>
    </row>
    <row r="1810" spans="1:10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J1810" s="3"/>
    </row>
    <row r="1811" spans="1:10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J1811" s="3"/>
    </row>
    <row r="1812" spans="1:10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J1812" s="3"/>
    </row>
    <row r="1813" spans="1:10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J1813" s="3"/>
    </row>
    <row r="1814" spans="1:10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J1814" s="3"/>
    </row>
    <row r="1815" spans="1:10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J1815" s="3"/>
    </row>
    <row r="1816" spans="1:10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J1816" s="3"/>
    </row>
    <row r="1817" spans="1:10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J1817" s="3"/>
    </row>
    <row r="1818" spans="1:10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J1818" s="3"/>
    </row>
    <row r="1819" spans="1:10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J1819" s="3"/>
    </row>
    <row r="1820" spans="1:10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J1820" s="3"/>
    </row>
    <row r="1821" spans="1:10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J1821" s="3"/>
    </row>
    <row r="1822" spans="1:10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J1822" s="3"/>
    </row>
    <row r="1823" spans="1:10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J1823" s="3"/>
    </row>
    <row r="1824" spans="1:10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J1824" s="3"/>
    </row>
    <row r="1825" spans="1:10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J1825" s="3"/>
    </row>
    <row r="1826" spans="1:10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J1826" s="3"/>
    </row>
    <row r="1827" spans="1:10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J1827" s="3"/>
    </row>
    <row r="1828" spans="1:10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J1828" s="3"/>
    </row>
    <row r="1829" spans="1:10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J1829" s="3"/>
    </row>
    <row r="1830" spans="1:10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J1830" s="3"/>
    </row>
    <row r="1831" spans="1:10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J1831" s="3"/>
    </row>
    <row r="1832" spans="1:10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J1832" s="3"/>
    </row>
    <row r="1833" spans="1:10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J1833" s="3"/>
    </row>
    <row r="1834" spans="1:10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J1834" s="3"/>
    </row>
    <row r="1835" spans="1:10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J1835" s="3"/>
    </row>
    <row r="1836" spans="1:10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J1836" s="3"/>
    </row>
    <row r="1837" spans="1:10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J1837" s="3"/>
    </row>
    <row r="1838" spans="1:10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J1838" s="3"/>
    </row>
    <row r="1839" spans="1:10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J1839" s="3"/>
    </row>
    <row r="1840" spans="1:10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J1840" s="3"/>
    </row>
    <row r="1841" spans="1:10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J1841" s="3"/>
    </row>
    <row r="1842" spans="1:10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J1842" s="3"/>
    </row>
    <row r="1843" spans="1:10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J1843" s="3"/>
    </row>
    <row r="1844" spans="1:10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J1844" s="3"/>
    </row>
    <row r="1845" spans="1:10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J1845" s="3"/>
    </row>
    <row r="1846" spans="1:10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J1846" s="3"/>
    </row>
    <row r="1847" spans="1:10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J1847" s="3"/>
    </row>
    <row r="1848" spans="1:10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J1848" s="3"/>
    </row>
    <row r="1849" spans="1:10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J1849" s="3"/>
    </row>
    <row r="1850" spans="1:10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J1850" s="3"/>
    </row>
    <row r="1851" spans="1:10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J1851" s="3"/>
    </row>
    <row r="1852" spans="1:10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J1852" s="3"/>
    </row>
    <row r="1853" spans="1:10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J1853" s="3"/>
    </row>
    <row r="1854" spans="1:10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J1854" s="3"/>
    </row>
    <row r="1855" spans="1:10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J1855" s="3"/>
    </row>
    <row r="1856" spans="1:10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J1856" s="3"/>
    </row>
    <row r="1857" spans="1:10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J1857" s="3"/>
    </row>
    <row r="1858" spans="1:10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J1858" s="3"/>
    </row>
    <row r="1859" spans="1:10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J1859" s="3"/>
    </row>
    <row r="1860" spans="1:10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J1860" s="3"/>
    </row>
    <row r="1861" spans="1:10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J1861" s="3"/>
    </row>
    <row r="1862" spans="1:10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J1862" s="3"/>
    </row>
    <row r="1863" spans="1:10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J1863" s="3"/>
    </row>
    <row r="1864" spans="1:10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J1864" s="3"/>
    </row>
    <row r="1865" spans="1:10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J1865" s="3"/>
    </row>
    <row r="1866" spans="1:10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J1866" s="3"/>
    </row>
    <row r="1867" spans="1:10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J1867" s="3"/>
    </row>
    <row r="1868" spans="1:10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J1868" s="3"/>
    </row>
    <row r="1869" spans="1:10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J1869" s="3"/>
    </row>
    <row r="1870" spans="1:10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J1870" s="3"/>
    </row>
    <row r="1871" spans="1:10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J1871" s="3"/>
    </row>
    <row r="1872" spans="1:10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J1872" s="3"/>
    </row>
    <row r="1873" spans="1:10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J1873" s="3"/>
    </row>
    <row r="1874" spans="1:10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J1874" s="3"/>
    </row>
    <row r="1875" spans="1:10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J1875" s="3"/>
    </row>
    <row r="1876" spans="1:10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J1876" s="3"/>
    </row>
    <row r="1877" spans="1:10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J1877" s="3"/>
    </row>
    <row r="1878" spans="1:10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J1878" s="3"/>
    </row>
    <row r="1879" spans="1:10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J1879" s="3"/>
    </row>
    <row r="1880" spans="1:10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J1880" s="3"/>
    </row>
    <row r="1881" spans="1:10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J1881" s="3"/>
    </row>
    <row r="1882" spans="1:10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J1882" s="3"/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8" priority="2" operator="lessThan">
      <formula>0</formula>
    </cfRule>
  </conditionalFormatting>
  <conditionalFormatting sqref="C2">
    <cfRule type="cellIs" dxfId="7" priority="3" operator="lessThan">
      <formula>0</formula>
    </cfRule>
  </conditionalFormatting>
  <conditionalFormatting sqref="P4:P1719">
    <cfRule type="cellIs" dxfId="6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E526-079A-4D3D-9E71-9F4B25B790E6}">
  <sheetPr codeName="Sheet33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89" t="s">
        <v>93</v>
      </c>
      <c r="C2" s="190" cm="1">
        <f t="array" ref="C2">LOOKUP(2,1/(P:P&lt;&gt;""),P:P)</f>
        <v>0</v>
      </c>
      <c r="D2" s="3"/>
      <c r="E2" s="189" t="s">
        <v>74</v>
      </c>
      <c r="F2" s="194"/>
      <c r="G2" s="194"/>
      <c r="H2" s="194"/>
      <c r="I2" s="194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89"/>
      <c r="C3" s="190"/>
      <c r="D3" s="3"/>
      <c r="E3" s="189"/>
      <c r="F3" s="194"/>
      <c r="G3" s="194"/>
      <c r="H3" s="194"/>
      <c r="I3" s="194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89" t="s">
        <v>6</v>
      </c>
      <c r="C5" s="192"/>
      <c r="D5" s="3"/>
      <c r="E5" s="189" t="s">
        <v>19</v>
      </c>
      <c r="F5" s="192"/>
      <c r="G5" s="192"/>
      <c r="H5" s="192"/>
      <c r="I5" s="192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89"/>
      <c r="C6" s="192"/>
      <c r="D6" s="3"/>
      <c r="E6" s="189"/>
      <c r="F6" s="192"/>
      <c r="G6" s="192"/>
      <c r="H6" s="192"/>
      <c r="I6" s="192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189" t="s">
        <v>16</v>
      </c>
      <c r="C8" s="204"/>
      <c r="D8" s="3"/>
      <c r="E8" s="189" t="s">
        <v>7</v>
      </c>
      <c r="F8" s="205"/>
      <c r="G8" s="194"/>
      <c r="H8" s="194"/>
      <c r="I8" s="194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189"/>
      <c r="C9" s="204"/>
      <c r="D9" s="3"/>
      <c r="E9" s="189"/>
      <c r="F9" s="194"/>
      <c r="G9" s="194"/>
      <c r="H9" s="194"/>
      <c r="I9" s="194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89" t="s">
        <v>77</v>
      </c>
      <c r="C11" s="206">
        <v>44998.773877314816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89"/>
      <c r="C12" s="206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5" priority="2" operator="lessThan">
      <formula>0</formula>
    </cfRule>
  </conditionalFormatting>
  <conditionalFormatting sqref="C2">
    <cfRule type="cellIs" dxfId="4" priority="3" operator="lessThan">
      <formula>0</formula>
    </cfRule>
  </conditionalFormatting>
  <conditionalFormatting sqref="P4:P1719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D024-D580-4BCD-8AC6-6364B1557E07}">
  <sheetPr codeName="Sheet62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89" t="s">
        <v>93</v>
      </c>
      <c r="C2" s="190" cm="1">
        <f t="array" ref="C2">LOOKUP(2,1/(P:P&lt;&gt;""),P:P)</f>
        <v>0</v>
      </c>
      <c r="D2" s="3"/>
      <c r="E2" s="189" t="s">
        <v>100</v>
      </c>
      <c r="F2" s="194"/>
      <c r="G2" s="194"/>
      <c r="H2" s="194"/>
      <c r="I2" s="194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89"/>
      <c r="C3" s="190"/>
      <c r="D3" s="3"/>
      <c r="E3" s="189"/>
      <c r="F3" s="194"/>
      <c r="G3" s="194"/>
      <c r="H3" s="194"/>
      <c r="I3" s="194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89" t="s">
        <v>6</v>
      </c>
      <c r="C5" s="192"/>
      <c r="D5" s="3"/>
      <c r="E5" s="207"/>
      <c r="F5" s="210"/>
      <c r="G5" s="210"/>
      <c r="H5" s="210"/>
      <c r="I5" s="210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89"/>
      <c r="C6" s="192"/>
      <c r="D6" s="3"/>
      <c r="E6" s="207"/>
      <c r="F6" s="210"/>
      <c r="G6" s="210"/>
      <c r="H6" s="210"/>
      <c r="I6" s="210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207"/>
      <c r="C8" s="208"/>
      <c r="D8" s="3"/>
      <c r="E8" s="207"/>
      <c r="F8" s="209"/>
      <c r="G8" s="210"/>
      <c r="H8" s="210"/>
      <c r="I8" s="210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207"/>
      <c r="C9" s="208"/>
      <c r="D9" s="3"/>
      <c r="E9" s="207"/>
      <c r="F9" s="210"/>
      <c r="G9" s="210"/>
      <c r="H9" s="210"/>
      <c r="I9" s="210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89" t="s">
        <v>77</v>
      </c>
      <c r="C11" s="206"/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89"/>
      <c r="C12" s="206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2" priority="2" operator="lessThan">
      <formula>0</formula>
    </cfRule>
  </conditionalFormatting>
  <conditionalFormatting sqref="C2">
    <cfRule type="cellIs" dxfId="1" priority="3" operator="lessThan">
      <formula>0</formula>
    </cfRule>
  </conditionalFormatting>
  <conditionalFormatting sqref="P4:P1719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Income</vt:lpstr>
      <vt:lpstr>Data</vt:lpstr>
      <vt:lpstr>Paydown Calc</vt:lpstr>
      <vt:lpstr>CredTemplate</vt:lpstr>
      <vt:lpstr>BillTemplate</vt:lpstr>
      <vt:lpstr>InvestTemplate</vt:lpstr>
      <vt:lpstr>CashTemplate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Brown</dc:creator>
  <cp:lastModifiedBy>Jessica Brown</cp:lastModifiedBy>
  <dcterms:created xsi:type="dcterms:W3CDTF">2023-03-09T21:14:13Z</dcterms:created>
  <dcterms:modified xsi:type="dcterms:W3CDTF">2023-03-24T12:49:46Z</dcterms:modified>
</cp:coreProperties>
</file>